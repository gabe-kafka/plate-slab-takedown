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SUMMARY" sheetId="2" state="visible" r:id="rId4"/>
    <sheet name="TRIB" sheetId="3" state="visible" r:id="rId5"/>
    <sheet name="KLL" sheetId="4" state="visible" r:id="rId6"/>
    <sheet name="FACADE" sheetId="5" state="visible" r:id="rId7"/>
    <sheet name="ARCH" sheetId="6" state="visible" r:id="rId8"/>
    <sheet name="ARCH_AG" sheetId="7" state="visible" r:id="rId9"/>
    <sheet name="CLASS" sheetId="8" state="visible" r:id="rId10"/>
    <sheet name="DEAD" sheetId="9" state="visible" r:id="rId11"/>
    <sheet name="LIVE" sheetId="10" state="visible" r:id="rId12"/>
    <sheet name="RED" sheetId="11" state="visible" r:id="rId13"/>
    <sheet name="PU" sheetId="12" state="visible" r:id="rId14"/>
    <sheet name="AG_REQ" sheetId="13" state="visible" r:id="rId15"/>
    <sheet name="RHO_ARCH" sheetId="14" state="visible" r:id="rId16"/>
    <sheet name="RECOMMEND" sheetId="15" state="visible" r:id="rId17"/>
    <sheet name="STATU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<sst xmlns="http://schemas.openxmlformats.org/spreadsheetml/2006/main" count="1334" uniqueCount="274">
  <si>
    <t xml:space="preserve">1300 Manhattan Ave: preliminary column sizing, inputs</t>
  </si>
  <si>
    <t xml:space="preserve">Blue = input. Yellow = assumption to confirm. Everything else is a formula. Loads in psf / plf / kips, lengths in ft, sections in inches.</t>
  </si>
  <si>
    <t xml:space="preserve">Materials and ACI 318 axial capacity</t>
  </si>
  <si>
    <t xml:space="preserve">f'c, concrete strength (ksi)</t>
  </si>
  <si>
    <t xml:space="preserve">Confirm with the engineer; 6 ksi assumed for all columns</t>
  </si>
  <si>
    <t xml:space="preserve">fy, reinforcing steel (ksi)</t>
  </si>
  <si>
    <t xml:space="preserve">phi, tied columns (ACI 318-19 21.2.2)</t>
  </si>
  <si>
    <t xml:space="preserve">Maximum axial factor, tied (ACI 318-19 22.4.2.1: 0.80)</t>
  </si>
  <si>
    <t xml:space="preserve">Target reinforcement ratio for sizing</t>
  </si>
  <si>
    <t xml:space="preserve">Section is picked so this ratio carries Pu</t>
  </si>
  <si>
    <t xml:space="preserve">Maximum ratio before a section is flagged NG</t>
  </si>
  <si>
    <t xml:space="preserve">ACI permits 8 %; 4 % keeps splices buildable</t>
  </si>
  <si>
    <t xml:space="preserve">Minimum ratio (ACI 318-19 10.6.1.1)</t>
  </si>
  <si>
    <t xml:space="preserve">Concrete unit weight (pcf)</t>
  </si>
  <si>
    <t xml:space="preserve">Load factor, dead (ASCE 7-22 2.3.1 combination 2)</t>
  </si>
  <si>
    <t xml:space="preserve">Load factor, live</t>
  </si>
  <si>
    <t xml:space="preserve">Facade weight (plf of slab edge)</t>
  </si>
  <si>
    <t xml:space="preserve">15 psf of wall over a 10 ft storey; applies to the facade length the engine attributes to each column</t>
  </si>
  <si>
    <t xml:space="preserve">Storey height below the 1st floor slab to the footing (ft)</t>
  </si>
  <si>
    <t xml:space="preserve">Not on the drawings received</t>
  </si>
  <si>
    <t xml:space="preserve">Match line x (ft, engine coordinates); columns east of it are Section B</t>
  </si>
  <si>
    <t xml:space="preserve">The PE#1 datum sits on the match line</t>
  </si>
  <si>
    <t xml:space="preserve">KLL where the engine gives none (interior column, ASCE 7-22 table 4.7-1)</t>
  </si>
  <si>
    <t xml:space="preserve">Column self-weight section where the architect shows none (in2)</t>
  </si>
  <si>
    <t xml:space="preserve">14 x 24</t>
  </si>
  <si>
    <t xml:space="preserve">Garage live-load factor for columns carrying 2+ garage floors (ASCE 7-22 4.7.4)</t>
  </si>
  <si>
    <t xml:space="preserve">Levels and occupancies (top down). Section A = the residential bar west of the match line; Section B = the garage / amenity block east of it.</t>
  </si>
  <si>
    <t xml:space="preserve">Level</t>
  </si>
  <si>
    <t xml:space="preserve">Elev (ft)</t>
  </si>
  <si>
    <t xml:space="preserve">Storey below (ft)</t>
  </si>
  <si>
    <t xml:space="preserve">Use areas of engine floor</t>
  </si>
  <si>
    <t xml:space="preserve">Assumed level (1 = include)</t>
  </si>
  <si>
    <t xml:space="preserve">A occupancy</t>
  </si>
  <si>
    <t xml:space="preserve">A slab (in)</t>
  </si>
  <si>
    <t xml:space="preserve">A SDL (psf)</t>
  </si>
  <si>
    <t xml:space="preserve">A LL (psf)</t>
  </si>
  <si>
    <t xml:space="preserve">A LL class</t>
  </si>
  <si>
    <t xml:space="preserve">B occupancy</t>
  </si>
  <si>
    <t xml:space="preserve">B slab (in)</t>
  </si>
  <si>
    <t xml:space="preserve">B SDL (psf)</t>
  </si>
  <si>
    <t xml:space="preserve">B LL (psf)</t>
  </si>
  <si>
    <t xml:space="preserve">B LL class</t>
  </si>
  <si>
    <t xml:space="preserve">Note</t>
  </si>
  <si>
    <t xml:space="preserve">ROOF</t>
  </si>
  <si>
    <t xml:space="preserve">11</t>
  </si>
  <si>
    <t xml:space="preserve">none</t>
  </si>
  <si>
    <t xml:space="preserve">NR</t>
  </si>
  <si>
    <t xml:space="preserve">roof</t>
  </si>
  <si>
    <t xml:space="preserve">A-109 not received; Section B of the 11th stands in, roof loads</t>
  </si>
  <si>
    <t xml:space="preserve">amenity roof terrace</t>
  </si>
  <si>
    <t xml:space="preserve">amenity / pool / fitness</t>
  </si>
  <si>
    <t xml:space="preserve">10</t>
  </si>
  <si>
    <t xml:space="preserve">residential</t>
  </si>
  <si>
    <t xml:space="preserve">RES</t>
  </si>
  <si>
    <t xml:space="preserve">lobby / co-work / parking (SL1)</t>
  </si>
  <si>
    <t xml:space="preserve">9</t>
  </si>
  <si>
    <t xml:space="preserve">parking + units</t>
  </si>
  <si>
    <t xml:space="preserve">GAR</t>
  </si>
  <si>
    <t xml:space="preserve">8</t>
  </si>
  <si>
    <t xml:space="preserve">7</t>
  </si>
  <si>
    <t xml:space="preserve">6</t>
  </si>
  <si>
    <t xml:space="preserve">residential (3 units)</t>
  </si>
  <si>
    <t xml:space="preserve">5</t>
  </si>
  <si>
    <t xml:space="preserve">4</t>
  </si>
  <si>
    <t xml:space="preserve">3</t>
  </si>
  <si>
    <t xml:space="preserve">A-107 not received; the 4th stands in</t>
  </si>
  <si>
    <t xml:space="preserve">2</t>
  </si>
  <si>
    <t xml:space="preserve">1</t>
  </si>
  <si>
    <t xml:space="preserve">residential / storage</t>
  </si>
  <si>
    <t xml:space="preserve">A-108 not received; the 4th stands in</t>
  </si>
  <si>
    <t xml:space="preserve">LL class: RES = reducible per ASCE 7-22 4.7.2 (floor of 0.4 for 2+ floors, 0.5 for one); GAR = passenger garage, at most the factor above for 2+ floors; NR = not reduced (assembly, roof, L &gt; 100 psf).</t>
  </si>
  <si>
    <t xml:space="preserve">Slab self-weight = thickness / 12 x unit weight. 'Assumed level' rows reuse the areas, KLL, facade and sections of the engine floor named; set the toggle to 0 to leave them out.</t>
  </si>
  <si>
    <t xml:space="preserve">Section families for the recommendation (smallest section whose area carries Pu at the target ratio)</t>
  </si>
  <si>
    <t xml:space="preserve">Family A (14 in wide, as the architect drew)</t>
  </si>
  <si>
    <t xml:space="preserve">Ag (in2)</t>
  </si>
  <si>
    <t xml:space="preserve">Family B (square, where the architect drew other shapes)</t>
  </si>
  <si>
    <t xml:space="preserve">14x24</t>
  </si>
  <si>
    <t xml:space="preserve">18x18</t>
  </si>
  <si>
    <t xml:space="preserve">14x30</t>
  </si>
  <si>
    <t xml:space="preserve">24x24</t>
  </si>
  <si>
    <t xml:space="preserve">14x36</t>
  </si>
  <si>
    <t xml:space="preserve">24x30</t>
  </si>
  <si>
    <t xml:space="preserve">14x42</t>
  </si>
  <si>
    <t xml:space="preserve">24x36</t>
  </si>
  <si>
    <t xml:space="preserve">14x48</t>
  </si>
  <si>
    <t xml:space="preserve">30x30</t>
  </si>
  <si>
    <t xml:space="preserve">14x54</t>
  </si>
  <si>
    <t xml:space="preserve">30x36</t>
  </si>
  <si>
    <t xml:space="preserve">14x60</t>
  </si>
  <si>
    <t xml:space="preserve">36x36</t>
  </si>
  <si>
    <t xml:space="preserve">18x60</t>
  </si>
  <si>
    <t xml:space="preserve">36x42</t>
  </si>
  <si>
    <t xml:space="preserve">24x60</t>
  </si>
  <si>
    <t xml:space="preserve">42x42</t>
  </si>
  <si>
    <t xml:space="preserve">Families must stay sorted by area, smallest first. Edit the names and areas to the firm's standard sizes.</t>
  </si>
  <si>
    <t xml:space="preserve">1300 Manhattan Ave: preliminary column sizing by load takedown</t>
  </si>
  <si>
    <t xml:space="preserve">Preliminary. Axial load only (no moment, no slenderness, no lateral); loads and occupancies per INPUTS; tributary areas from the engine on the architect's background set 23-037A, seven floors in hand (4 to 11), floors 1 to 3 and the roof assumed. Check the yellow cells in INPUTS before quoting any number.</t>
  </si>
  <si>
    <t xml:space="preserve">Counts at the base of each column line</t>
  </si>
  <si>
    <t xml:space="preserve">Column</t>
  </si>
  <si>
    <t xml:space="preserve">Section</t>
  </si>
  <si>
    <t xml:space="preserve">Lowest level</t>
  </si>
  <si>
    <t xml:space="preserve">Pu at base (kips)</t>
  </si>
  <si>
    <t xml:space="preserve">Architect section at base</t>
  </si>
  <si>
    <t xml:space="preserve">Ratio it needs</t>
  </si>
  <si>
    <t xml:space="preserve">Status</t>
  </si>
  <si>
    <t xml:space="preserve">Recommended at base</t>
  </si>
  <si>
    <t xml:space="preserve">Floors carried</t>
  </si>
  <si>
    <t xml:space="preserve">Outside the draft slab on the 7th east bay; carries only that level in this takedown</t>
  </si>
  <si>
    <t xml:space="preserve">Status counts at the base</t>
  </si>
  <si>
    <t xml:space="preserve">OK</t>
  </si>
  <si>
    <t xml:space="preserve">HEAVY</t>
  </si>
  <si>
    <t xml:space="preserve">NG</t>
  </si>
  <si>
    <t xml:space="preserve">Recommended section counts per level (how many columns the scheme needs at each size)</t>
  </si>
  <si>
    <t xml:space="preserve">LARGER</t>
  </si>
  <si>
    <t xml:space="preserve">Largest Pu per level (kips)</t>
  </si>
  <si>
    <t xml:space="preserve">Method</t>
  </si>
  <si>
    <t xml:space="preserve">1. Tributary area per column per slab from the tributary engine (Voronoi between columns and wall support points, clipped to the fitted slab edge).</t>
  </si>
  <si>
    <t xml:space="preserve">2. Dead = area x (slab self-weight + superimposed) + facade length x plf + column self-weight (architect's section) of the storey below. Live = area x occupancy live load from INPUTS by Section and level.</t>
  </si>
  <si>
    <t xml:space="preserve">3. Live load reduction, ASCE 7-22 4.7: residential share reduced on the cumulative tributary area with the engine's KLL; garage share limited to the garage factor; assembly, lobby and roof shares not reduced.</t>
  </si>
  <si>
    <t xml:space="preserve">4. Pu = 1.2 D + 1.6 L accumulated from the top down; the value at a level is at the bottom of the storey below that slab.</t>
  </si>
  <si>
    <t xml:space="preserve">5. Required gross area at the target ratio from ACI 318-19 22.4.2 (tied: 0.80 phi [0.85 f'c (Ag - Ast) + fy Ast]); the architect's section is checked for the ratio it would need; the recommendation is the smallest family section at the target ratio.</t>
  </si>
  <si>
    <t xml:space="preserve">6. Not included: moments from slab unbalance or lateral load, slenderness, shear walls taking axial load, transfer conditions at the hillside, the garage split levels, and floors 1 to 3 and the roof (assumed, see INPUTS).</t>
  </si>
  <si>
    <t xml:space="preserve">x (ft)</t>
  </si>
  <si>
    <t xml:space="preserve">y (ft)</t>
  </si>
  <si>
    <t xml:space="preserve">Tributary slab area (sf) per column per level, from the engine's takedown (Voronoi with walls). Assumed levels reuse an engine floor times the INPUTS toggle; ROOF uses Section B only.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</si>
  <si>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</si>
  <si>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</si>
  <si>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</si>
  <si>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</si>
  <si>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</si>
  <si>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</si>
  <si>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</si>
  <si>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</si>
  <si>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</si>
  <si>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</si>
  <si>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</si>
  <si>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</si>
  <si>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</si>
  <si>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</si>
  <si>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</si>
  <si>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</si>
  <si>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</si>
  <si>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</si>
  <si>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</si>
  <si>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</si>
  <si>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</si>
  <si>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</si>
  <si>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</si>
  <si>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</si>
  <si>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</si>
  <si>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</si>
  <si>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</si>
  <si>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</si>
  <si>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</si>
  <si>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</si>
  <si>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</si>
  <si>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</si>
  <si>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</si>
  <si>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</si>
  <si>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</si>
  <si>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</si>
  <si>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</si>
  <si>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</si>
  <si>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</si>
  <si>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</si>
  <si>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</si>
  <si>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</si>
  <si>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</si>
  <si>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</si>
  <si>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</si>
  <si>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</si>
  <si>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</si>
  <si>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</si>
  <si>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</si>
  <si>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C50</t>
  </si>
  <si>
    <t xml:space="preserve">C51</t>
  </si>
  <si>
    <t xml:space="preserve">C52</t>
  </si>
  <si>
    <t xml:space="preserve">C53</t>
  </si>
  <si>
    <t xml:space="preserve">C54</t>
  </si>
  <si>
    <t xml:space="preserve">C55</t>
  </si>
  <si>
    <t xml:space="preserve">C56</t>
  </si>
  <si>
    <t xml:space="preserve">C57</t>
  </si>
  <si>
    <t xml:space="preserve">C58</t>
  </si>
  <si>
    <t xml:space="preserve">C59</t>
  </si>
  <si>
    <t xml:space="preserve">C60</t>
  </si>
  <si>
    <t xml:space="preserve">C61</t>
  </si>
  <si>
    <t xml:space="preserve">C62</t>
  </si>
  <si>
    <t xml:space="preserve">C63</t>
  </si>
  <si>
    <t xml:space="preserve">C64</t>
  </si>
  <si>
    <t xml:space="preserve">C65</t>
  </si>
  <si>
    <t xml:space="preserve">C66</t>
  </si>
  <si>
    <t xml:space="preserve">C67</t>
  </si>
  <si>
    <t xml:space="preserve">C68</t>
  </si>
  <si>
    <t xml:space="preserve">C69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</si>
  <si>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</si>
  <si>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</si>
  <si>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</si>
  <si>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</si>
  <si>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</si>
  <si>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</si>
  <si>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C76</t>
  </si>
  <si>
    <t xml:space="preserve">C77</t>
  </si>
  <si>
    <t xml:space="preserve">C78</t>
  </si>
  <si>
    <t xml:space="preserve">C79</t>
  </si>
  <si>
    <t xml:space="preserve">C80</t>
  </si>
  <si>
    <t xml:space="preserve">C81</t>
  </si>
  <si>
    <t xml:space="preserve">C82</t>
  </si>
  <si>
    <t xml:space="preserve">C83</t>
  </si>
  <si>
    <t xml:space="preserve">C84</t>
  </si>
  <si>
    <t xml:space="preserve">C85</t>
  </si>
  <si>
    <t xml:space="preserve">C86</t>
  </si>
  <si>
    <t xml:space="preserve">C87</t>
  </si>
  <si>
    <t xml:space="preserve">C88</t>
  </si>
  <si>
    <t xml:space="preserve">C89</t>
  </si>
  <si>
    <t xml:space="preserve">C90</t>
  </si>
  <si>
    <t xml:space="preserve">C91</t>
  </si>
  <si>
    <t xml:space="preserve">C92</t>
  </si>
  <si>
    <t xml:space="preserve">C93</t>
  </si>
  <si>
    <t xml:space="preserve">C94</t>
  </si>
  <si>
    <t xml:space="preserve">C95</t>
  </si>
  <si>
    <t xml:space="preserve">C96</t>
  </si>
  <si>
    <t xml:space="preserve">C97</t>
  </si>
  <si>
    <t xml:space="preserve">C98</t>
  </si>
  <si>
    <t xml:space="preserve">C99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</si>
  <si>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</si>
  <si>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</si>
  <si>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</si>
  <si>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</si>
  <si>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</si>
  <si>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</si>
  <si>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</si>
  <si>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</si>
  <si>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</si>
  <si>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</si>
  <si>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C110</t>
  </si>
  <si>
    <t xml:space="preserve">C111</t>
  </si>
  <si>
    <t xml:space="preserve">C112</t>
  </si>
  <si>
    <t xml:space="preserve">C113</t>
  </si>
  <si>
    <t xml:space="preserve">C114</t>
  </si>
  <si>
    <t xml:space="preserve">C115</t>
  </si>
  <si>
    <t xml:space="preserve">C116</t>
  </si>
  <si>
    <t xml:space="preserve">C117</t>
  </si>
  <si>
    <t xml:space="preserve">7_UNLABELED_100</t>
  </si>
  <si>
    <t xml:space="preserve">7_UNLABELED_101</t>
  </si>
  <si>
    <t xml:space="preserve">7_UNLABELED_102</t>
  </si>
  <si>
    <t xml:space="preserve">7_UNLABELED_103</t>
  </si>
  <si>
    <t xml:space="preserve">7_UNLABELED_90</t>
  </si>
  <si>
    <t xml:space="preserve">7_UNLABELED_91</t>
  </si>
  <si>
    <t xml:space="preserve">7_UNLABELED_92</t>
  </si>
  <si>
    <t xml:space="preserve">7_UNLABELED_93</t>
  </si>
  <si>
    <t xml:space="preserve">7_UNLABELED_94</t>
  </si>
  <si>
    <t xml:space="preserve">7_UNLABELED_95</t>
  </si>
  <si>
    <t xml:space="preserve">7_UNLABELED_96</t>
  </si>
  <si>
    <t xml:space="preserve">7_UNLABELED_97</t>
  </si>
  <si>
    <t xml:space="preserve">7_UNLABELED_98</t>
  </si>
  <si>
    <t xml:space="preserve">7_UNLABELED_99</t>
  </si>
  <si>
    <t xml:space="preserve">8_UNLABELED_106</t>
  </si>
  <si>
    <t xml:space="preserve">8_UNLABELED_107</t>
  </si>
  <si>
    <t xml:space="preserve">Live-load element factor per column per level from the engine (4 interior, 3 edge, 2 corner). Blank = engine gave none; INPUTS default applies.</t>
  </si>
  <si>
    <t xml:space="preserve">Facade length (ft) attributed to each column per level by the engine's perimeter attribution.</t>
  </si>
  <si>
    <t xml:space="preserve">Column section the architect drew below each slab (from the Revit block name), and its gross area on sheet ARCH_AG.</t>
  </si>
  <si>
    <t xml:space="preserve">d24</t>
  </si>
  <si>
    <t xml:space="preserve">12x18</t>
  </si>
  <si>
    <t xml:space="preserve">22x38</t>
  </si>
  <si>
    <t xml:space="preserve">Gross area (in2) of the architect's section; INPUTS default where none is drawn.</t>
  </si>
  <si>
    <t xml:space="preserve">Live-load class per column per level from INPUTS (by Section and level): RES, GAR or NR. Blank where the column carries no slab there.</t>
  </si>
  <si>
    <t xml:space="preserve">Dead load (kips) delivered at each level: tributary area x (slab self-weight + SDL) + facade plf x storey + column self-weight of the storey below (architect's section). Zero where the column carries no slab.</t>
  </si>
  <si>
    <t xml:space="preserve">Unreduced live load (kips) at each level: tributary area x LL for the column's Section.</t>
  </si>
  <si>
    <t xml:space="preserve">ASCE 7-22 4.7.2 reduction factor on the reducible (RES) live load carried down to this level: AT = reducible tributary area from the top to here, KLL at this level; floor 0.4 (2+ floors) / 0.5 (one); none below KLL x AT = 400 sf.</t>
  </si>
  <si>
    <t xml:space="preserve">Factored axial load Pu (kips) at the bottom of the storey below each slab: 1.2 x dead above + 1.6 x live above, RES share reduced by RED, GAR share by the garage factor when 2+ garage floors are carried, NR share unreduced.</t>
  </si>
  <si>
    <t xml:space="preserve">Required gross section (in2) at the target ratio: Pu / (alpha x phi x (0.85 f'c (1 - rho) + fy rho)), ACI 318-19 22.4.2.</t>
  </si>
  <si>
    <t xml:space="preserve">Reinforcement ratio the architect's section needs to carry Pu: (Pu / (alpha phi) - 0.85 f'c Ag) / (Ag (fy - 0.85 f'c)). Red = above the maximum ratio; negative means below minimum steel (fine).</t>
  </si>
  <si>
    <t xml:space="preserve">Smallest section whose area is at least AG_REQ, from family A (14 in wide) where the architect drew a 14-wide column or none, else family B (INPUTS); 'LARGER' when none is big enough. The architect's section is kept in ARCH for comparison.</t>
  </si>
  <si>
    <t xml:space="preserve">OK: architect's section carries Pu at or below the target ratio. HEAVY: needs more than the target but no more than the maximum ratio. NG: needs more than the maximum ratio; use RECOMMEND.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</si>
</sst>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0.0%"/>
    <numFmt numFmtId="168" formatCode="0;;\-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10" min="7" style="0" width="9"/>
    <col collapsed="false" customWidth="true" hidden="false" outlineLevel="0" max="11" min="11" style="0" width="16"/>
    <col collapsed="false" customWidth="true" hidden="false" outlineLevel="0" max="15" min="12" style="0" width="9"/>
    <col collapsed="false" customWidth="true" hidden="false" outlineLevel="0" max="16" min="16" style="0" width="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6</v>
      </c>
      <c r="C5" s="2" t="s">
        <v>4</v>
      </c>
    </row>
    <row r="6" customFormat="false" ht="15" hidden="false" customHeight="false" outlineLevel="0" collapsed="false">
      <c r="A6" s="4" t="s">
        <v>5</v>
      </c>
      <c r="B6" s="6" t="n">
        <v>60</v>
      </c>
      <c r="C6" s="2"/>
    </row>
    <row r="7" customFormat="false" ht="15" hidden="false" customHeight="false" outlineLevel="0" collapsed="false">
      <c r="A7" s="4" t="s">
        <v>6</v>
      </c>
      <c r="B7" s="6" t="n">
        <v>0.65</v>
      </c>
      <c r="C7" s="2"/>
    </row>
    <row r="8" customFormat="false" ht="15" hidden="false" customHeight="false" outlineLevel="0" collapsed="false">
      <c r="A8" s="4" t="s">
        <v>7</v>
      </c>
      <c r="B8" s="6" t="n">
        <v>0.8</v>
      </c>
      <c r="C8" s="2"/>
    </row>
    <row r="9" customFormat="false" ht="15" hidden="false" customHeight="false" outlineLevel="0" collapsed="false">
      <c r="A9" s="4" t="s">
        <v>8</v>
      </c>
      <c r="B9" s="6" t="n">
        <v>0.02</v>
      </c>
      <c r="C9" s="2" t="s">
        <v>9</v>
      </c>
    </row>
    <row r="10" customFormat="false" ht="15" hidden="false" customHeight="false" outlineLevel="0" collapsed="false">
      <c r="A10" s="4" t="s">
        <v>10</v>
      </c>
      <c r="B10" s="6" t="n">
        <v>0.04</v>
      </c>
      <c r="C10" s="2" t="s">
        <v>11</v>
      </c>
    </row>
    <row r="11" customFormat="false" ht="15" hidden="false" customHeight="false" outlineLevel="0" collapsed="false">
      <c r="A11" s="4" t="s">
        <v>12</v>
      </c>
      <c r="B11" s="6" t="n">
        <v>0.01</v>
      </c>
      <c r="C11" s="2"/>
    </row>
    <row r="12" customFormat="false" ht="15" hidden="false" customHeight="false" outlineLevel="0" collapsed="false">
      <c r="A12" s="4" t="s">
        <v>13</v>
      </c>
      <c r="B12" s="6" t="n">
        <v>150</v>
      </c>
      <c r="C12" s="2"/>
    </row>
    <row r="13" customFormat="false" ht="15" hidden="false" customHeight="false" outlineLevel="0" collapsed="false">
      <c r="A13" s="4" t="s">
        <v>14</v>
      </c>
      <c r="B13" s="6" t="n">
        <v>1.2</v>
      </c>
      <c r="C13" s="2"/>
    </row>
    <row r="14" customFormat="false" ht="15" hidden="false" customHeight="false" outlineLevel="0" collapsed="false">
      <c r="A14" s="4" t="s">
        <v>15</v>
      </c>
      <c r="B14" s="6" t="n">
        <v>1.6</v>
      </c>
      <c r="C14" s="2"/>
    </row>
    <row r="15" customFormat="false" ht="15" hidden="false" customHeight="false" outlineLevel="0" collapsed="false">
      <c r="A15" s="4" t="s">
        <v>16</v>
      </c>
      <c r="B15" s="5" t="n">
        <v>150</v>
      </c>
      <c r="C15" s="2" t="s">
        <v>17</v>
      </c>
    </row>
    <row r="16" customFormat="false" ht="15" hidden="false" customHeight="false" outlineLevel="0" collapsed="false">
      <c r="A16" s="4" t="s">
        <v>18</v>
      </c>
      <c r="B16" s="5" t="n">
        <v>12</v>
      </c>
      <c r="C16" s="2" t="s">
        <v>19</v>
      </c>
    </row>
    <row r="17" customFormat="false" ht="15" hidden="false" customHeight="false" outlineLevel="0" collapsed="false">
      <c r="A17" s="4" t="s">
        <v>20</v>
      </c>
      <c r="B17" s="5" t="n">
        <v>540</v>
      </c>
      <c r="C17" s="2" t="s">
        <v>21</v>
      </c>
    </row>
    <row r="18" customFormat="false" ht="15" hidden="false" customHeight="false" outlineLevel="0" collapsed="false">
      <c r="A18" s="4" t="s">
        <v>22</v>
      </c>
      <c r="B18" s="6" t="n">
        <v>4</v>
      </c>
      <c r="C18" s="2"/>
    </row>
    <row r="19" customFormat="false" ht="15" hidden="false" customHeight="false" outlineLevel="0" collapsed="false">
      <c r="A19" s="4" t="s">
        <v>23</v>
      </c>
      <c r="B19" s="6" t="n">
        <v>336</v>
      </c>
      <c r="C19" s="2" t="s">
        <v>24</v>
      </c>
    </row>
    <row r="20" customFormat="false" ht="15" hidden="false" customHeight="false" outlineLevel="0" collapsed="false">
      <c r="A20" s="4" t="s">
        <v>25</v>
      </c>
      <c r="B20" s="6" t="n">
        <v>0.8</v>
      </c>
      <c r="C20" s="2"/>
    </row>
    <row r="22" customFormat="false" ht="15" hidden="false" customHeight="false" outlineLevel="0" collapsed="false">
      <c r="A22" s="3" t="s">
        <v>26</v>
      </c>
    </row>
    <row r="23" customFormat="false" ht="35.05" hidden="false" customHeight="false" outlineLevel="0" collapsed="false">
      <c r="A23" s="7" t="s">
        <v>27</v>
      </c>
      <c r="B23" s="7" t="s">
        <v>28</v>
      </c>
      <c r="C23" s="7" t="s">
        <v>29</v>
      </c>
      <c r="D23" s="7" t="s">
        <v>30</v>
      </c>
      <c r="E23" s="7" t="s">
        <v>31</v>
      </c>
      <c r="F23" s="7" t="s">
        <v>32</v>
      </c>
      <c r="G23" s="7" t="s">
        <v>33</v>
      </c>
      <c r="H23" s="7" t="s">
        <v>34</v>
      </c>
      <c r="I23" s="7" t="s">
        <v>35</v>
      </c>
      <c r="J23" s="7" t="s">
        <v>36</v>
      </c>
      <c r="K23" s="7" t="s">
        <v>37</v>
      </c>
      <c r="L23" s="7" t="s">
        <v>38</v>
      </c>
      <c r="M23" s="7" t="s">
        <v>39</v>
      </c>
      <c r="N23" s="7" t="s">
        <v>40</v>
      </c>
      <c r="O23" s="7" t="s">
        <v>41</v>
      </c>
      <c r="P23" s="7" t="s">
        <v>42</v>
      </c>
    </row>
    <row r="24" customFormat="false" ht="15" hidden="false" customHeight="false" outlineLevel="0" collapsed="false">
      <c r="A24" s="3" t="s">
        <v>43</v>
      </c>
      <c r="B24" s="8" t="n">
        <v>201.5</v>
      </c>
      <c r="C24" s="9" t="n">
        <f aca="false">B24-B25</f>
        <v>10.5</v>
      </c>
      <c r="D24" s="6" t="s">
        <v>44</v>
      </c>
      <c r="E24" s="5" t="n">
        <v>1</v>
      </c>
      <c r="F24" s="6" t="s">
        <v>45</v>
      </c>
      <c r="G24" s="6" t="n">
        <v>0</v>
      </c>
      <c r="H24" s="6" t="n">
        <v>0</v>
      </c>
      <c r="I24" s="5" t="n">
        <v>0</v>
      </c>
      <c r="J24" s="6" t="s">
        <v>46</v>
      </c>
      <c r="K24" s="6" t="s">
        <v>47</v>
      </c>
      <c r="L24" s="6" t="n">
        <v>10</v>
      </c>
      <c r="M24" s="6" t="n">
        <v>30</v>
      </c>
      <c r="N24" s="5" t="n">
        <v>30</v>
      </c>
      <c r="O24" s="6" t="s">
        <v>46</v>
      </c>
      <c r="P24" s="2" t="s">
        <v>48</v>
      </c>
    </row>
    <row r="25" customFormat="false" ht="15" hidden="false" customHeight="false" outlineLevel="0" collapsed="false">
      <c r="A25" s="3" t="s">
        <v>44</v>
      </c>
      <c r="B25" s="8" t="n">
        <v>191</v>
      </c>
      <c r="C25" s="9" t="n">
        <f aca="false">B25-B26</f>
        <v>11.5</v>
      </c>
      <c r="D25" s="6" t="s">
        <v>44</v>
      </c>
      <c r="E25" s="6" t="n">
        <v>0</v>
      </c>
      <c r="F25" s="6" t="s">
        <v>49</v>
      </c>
      <c r="G25" s="6" t="n">
        <v>8</v>
      </c>
      <c r="H25" s="6" t="n">
        <v>30</v>
      </c>
      <c r="I25" s="5" t="n">
        <v>100</v>
      </c>
      <c r="J25" s="6" t="s">
        <v>46</v>
      </c>
      <c r="K25" s="6" t="s">
        <v>50</v>
      </c>
      <c r="L25" s="6" t="n">
        <v>10</v>
      </c>
      <c r="M25" s="6" t="n">
        <v>30</v>
      </c>
      <c r="N25" s="5" t="n">
        <v>100</v>
      </c>
      <c r="O25" s="6" t="s">
        <v>46</v>
      </c>
      <c r="P25" s="2"/>
    </row>
    <row r="26" customFormat="false" ht="15" hidden="false" customHeight="false" outlineLevel="0" collapsed="false">
      <c r="A26" s="3" t="s">
        <v>51</v>
      </c>
      <c r="B26" s="8" t="n">
        <v>179.5</v>
      </c>
      <c r="C26" s="9" t="n">
        <f aca="false">B26-B27</f>
        <v>10.5</v>
      </c>
      <c r="D26" s="6" t="s">
        <v>51</v>
      </c>
      <c r="E26" s="6" t="n">
        <v>0</v>
      </c>
      <c r="F26" s="6" t="s">
        <v>52</v>
      </c>
      <c r="G26" s="6" t="n">
        <v>8</v>
      </c>
      <c r="H26" s="6" t="n">
        <v>20</v>
      </c>
      <c r="I26" s="5" t="n">
        <v>40</v>
      </c>
      <c r="J26" s="6" t="s">
        <v>53</v>
      </c>
      <c r="K26" s="6" t="s">
        <v>54</v>
      </c>
      <c r="L26" s="6" t="n">
        <v>10</v>
      </c>
      <c r="M26" s="6" t="n">
        <v>20</v>
      </c>
      <c r="N26" s="5" t="n">
        <v>100</v>
      </c>
      <c r="O26" s="6" t="s">
        <v>46</v>
      </c>
      <c r="P26" s="2"/>
    </row>
    <row r="27" customFormat="false" ht="15" hidden="false" customHeight="false" outlineLevel="0" collapsed="false">
      <c r="A27" s="3" t="s">
        <v>55</v>
      </c>
      <c r="B27" s="8" t="n">
        <v>169</v>
      </c>
      <c r="C27" s="9" t="n">
        <f aca="false">B27-B28</f>
        <v>10.5</v>
      </c>
      <c r="D27" s="6" t="s">
        <v>55</v>
      </c>
      <c r="E27" s="6" t="n">
        <v>0</v>
      </c>
      <c r="F27" s="6" t="s">
        <v>52</v>
      </c>
      <c r="G27" s="6" t="n">
        <v>8</v>
      </c>
      <c r="H27" s="6" t="n">
        <v>20</v>
      </c>
      <c r="I27" s="5" t="n">
        <v>40</v>
      </c>
      <c r="J27" s="6" t="s">
        <v>53</v>
      </c>
      <c r="K27" s="6" t="s">
        <v>56</v>
      </c>
      <c r="L27" s="6" t="n">
        <v>10</v>
      </c>
      <c r="M27" s="6" t="n">
        <v>5</v>
      </c>
      <c r="N27" s="5" t="n">
        <v>40</v>
      </c>
      <c r="O27" s="6" t="s">
        <v>57</v>
      </c>
      <c r="P27" s="2"/>
    </row>
    <row r="28" customFormat="false" ht="15" hidden="false" customHeight="false" outlineLevel="0" collapsed="false">
      <c r="A28" s="3" t="s">
        <v>58</v>
      </c>
      <c r="B28" s="8" t="n">
        <v>158.5</v>
      </c>
      <c r="C28" s="9" t="n">
        <f aca="false">B28-B29</f>
        <v>10.5</v>
      </c>
      <c r="D28" s="6" t="s">
        <v>58</v>
      </c>
      <c r="E28" s="6" t="n">
        <v>0</v>
      </c>
      <c r="F28" s="6" t="s">
        <v>52</v>
      </c>
      <c r="G28" s="6" t="n">
        <v>8</v>
      </c>
      <c r="H28" s="6" t="n">
        <v>20</v>
      </c>
      <c r="I28" s="5" t="n">
        <v>40</v>
      </c>
      <c r="J28" s="6" t="s">
        <v>53</v>
      </c>
      <c r="K28" s="6" t="s">
        <v>56</v>
      </c>
      <c r="L28" s="6" t="n">
        <v>10</v>
      </c>
      <c r="M28" s="6" t="n">
        <v>5</v>
      </c>
      <c r="N28" s="5" t="n">
        <v>40</v>
      </c>
      <c r="O28" s="6" t="s">
        <v>57</v>
      </c>
      <c r="P28" s="2"/>
    </row>
    <row r="29" customFormat="false" ht="15" hidden="false" customHeight="false" outlineLevel="0" collapsed="false">
      <c r="A29" s="3" t="s">
        <v>59</v>
      </c>
      <c r="B29" s="8" t="n">
        <v>148</v>
      </c>
      <c r="C29" s="9" t="n">
        <f aca="false">B29-B30</f>
        <v>10.5</v>
      </c>
      <c r="D29" s="6" t="s">
        <v>59</v>
      </c>
      <c r="E29" s="6" t="n">
        <v>0</v>
      </c>
      <c r="F29" s="6" t="s">
        <v>52</v>
      </c>
      <c r="G29" s="6" t="n">
        <v>8</v>
      </c>
      <c r="H29" s="6" t="n">
        <v>20</v>
      </c>
      <c r="I29" s="5" t="n">
        <v>40</v>
      </c>
      <c r="J29" s="6" t="s">
        <v>53</v>
      </c>
      <c r="K29" s="6" t="s">
        <v>56</v>
      </c>
      <c r="L29" s="6" t="n">
        <v>10</v>
      </c>
      <c r="M29" s="6" t="n">
        <v>5</v>
      </c>
      <c r="N29" s="5" t="n">
        <v>40</v>
      </c>
      <c r="O29" s="6" t="s">
        <v>57</v>
      </c>
      <c r="P29" s="2"/>
    </row>
    <row r="30" customFormat="false" ht="15" hidden="false" customHeight="false" outlineLevel="0" collapsed="false">
      <c r="A30" s="3" t="s">
        <v>60</v>
      </c>
      <c r="B30" s="8" t="n">
        <v>137.5</v>
      </c>
      <c r="C30" s="9" t="n">
        <f aca="false">B30-B31</f>
        <v>10.5</v>
      </c>
      <c r="D30" s="6" t="s">
        <v>60</v>
      </c>
      <c r="E30" s="6" t="n">
        <v>0</v>
      </c>
      <c r="F30" s="6" t="s">
        <v>52</v>
      </c>
      <c r="G30" s="6" t="n">
        <v>8</v>
      </c>
      <c r="H30" s="6" t="n">
        <v>20</v>
      </c>
      <c r="I30" s="5" t="n">
        <v>40</v>
      </c>
      <c r="J30" s="6" t="s">
        <v>53</v>
      </c>
      <c r="K30" s="6" t="s">
        <v>61</v>
      </c>
      <c r="L30" s="6" t="n">
        <v>8</v>
      </c>
      <c r="M30" s="6" t="n">
        <v>20</v>
      </c>
      <c r="N30" s="5" t="n">
        <v>40</v>
      </c>
      <c r="O30" s="6" t="s">
        <v>53</v>
      </c>
      <c r="P30" s="2"/>
    </row>
    <row r="31" customFormat="false" ht="15" hidden="false" customHeight="false" outlineLevel="0" collapsed="false">
      <c r="A31" s="3" t="s">
        <v>62</v>
      </c>
      <c r="B31" s="8" t="n">
        <v>127</v>
      </c>
      <c r="C31" s="9" t="n">
        <f aca="false">B31-B32</f>
        <v>10.5</v>
      </c>
      <c r="D31" s="6" t="s">
        <v>62</v>
      </c>
      <c r="E31" s="6" t="n">
        <v>0</v>
      </c>
      <c r="F31" s="6" t="s">
        <v>52</v>
      </c>
      <c r="G31" s="6" t="n">
        <v>8</v>
      </c>
      <c r="H31" s="6" t="n">
        <v>20</v>
      </c>
      <c r="I31" s="5" t="n">
        <v>40</v>
      </c>
      <c r="J31" s="6" t="s">
        <v>53</v>
      </c>
      <c r="K31" s="6" t="s">
        <v>45</v>
      </c>
      <c r="L31" s="6" t="n">
        <v>8</v>
      </c>
      <c r="M31" s="6" t="n">
        <v>20</v>
      </c>
      <c r="N31" s="5" t="n">
        <v>40</v>
      </c>
      <c r="O31" s="6" t="s">
        <v>53</v>
      </c>
      <c r="P31" s="2"/>
    </row>
    <row r="32" customFormat="false" ht="15" hidden="false" customHeight="false" outlineLevel="0" collapsed="false">
      <c r="A32" s="3" t="s">
        <v>63</v>
      </c>
      <c r="B32" s="8" t="n">
        <v>116.5</v>
      </c>
      <c r="C32" s="9" t="n">
        <f aca="false">B32-B33</f>
        <v>10.5</v>
      </c>
      <c r="D32" s="6" t="s">
        <v>63</v>
      </c>
      <c r="E32" s="6" t="n">
        <v>0</v>
      </c>
      <c r="F32" s="6" t="s">
        <v>52</v>
      </c>
      <c r="G32" s="6" t="n">
        <v>8</v>
      </c>
      <c r="H32" s="6" t="n">
        <v>20</v>
      </c>
      <c r="I32" s="5" t="n">
        <v>40</v>
      </c>
      <c r="J32" s="6" t="s">
        <v>53</v>
      </c>
      <c r="K32" s="6" t="s">
        <v>45</v>
      </c>
      <c r="L32" s="6" t="n">
        <v>8</v>
      </c>
      <c r="M32" s="6" t="n">
        <v>20</v>
      </c>
      <c r="N32" s="5" t="n">
        <v>40</v>
      </c>
      <c r="O32" s="6" t="s">
        <v>53</v>
      </c>
      <c r="P32" s="2"/>
    </row>
    <row r="33" customFormat="false" ht="15" hidden="false" customHeight="false" outlineLevel="0" collapsed="false">
      <c r="A33" s="3" t="s">
        <v>64</v>
      </c>
      <c r="B33" s="8" t="n">
        <v>106</v>
      </c>
      <c r="C33" s="9" t="n">
        <f aca="false">B33-B34</f>
        <v>10.5</v>
      </c>
      <c r="D33" s="6" t="s">
        <v>63</v>
      </c>
      <c r="E33" s="5" t="n">
        <v>1</v>
      </c>
      <c r="F33" s="6" t="s">
        <v>52</v>
      </c>
      <c r="G33" s="6" t="n">
        <v>8</v>
      </c>
      <c r="H33" s="6" t="n">
        <v>20</v>
      </c>
      <c r="I33" s="5" t="n">
        <v>40</v>
      </c>
      <c r="J33" s="6" t="s">
        <v>53</v>
      </c>
      <c r="K33" s="6" t="s">
        <v>45</v>
      </c>
      <c r="L33" s="6" t="n">
        <v>8</v>
      </c>
      <c r="M33" s="6" t="n">
        <v>20</v>
      </c>
      <c r="N33" s="5" t="n">
        <v>40</v>
      </c>
      <c r="O33" s="6" t="s">
        <v>53</v>
      </c>
      <c r="P33" s="2" t="s">
        <v>65</v>
      </c>
    </row>
    <row r="34" customFormat="false" ht="15" hidden="false" customHeight="false" outlineLevel="0" collapsed="false">
      <c r="A34" s="3" t="s">
        <v>66</v>
      </c>
      <c r="B34" s="8" t="n">
        <v>95.5</v>
      </c>
      <c r="C34" s="9" t="n">
        <f aca="false">B34-B35</f>
        <v>10.5</v>
      </c>
      <c r="D34" s="6" t="s">
        <v>63</v>
      </c>
      <c r="E34" s="5" t="n">
        <v>1</v>
      </c>
      <c r="F34" s="6" t="s">
        <v>52</v>
      </c>
      <c r="G34" s="6" t="n">
        <v>8</v>
      </c>
      <c r="H34" s="6" t="n">
        <v>20</v>
      </c>
      <c r="I34" s="5" t="n">
        <v>40</v>
      </c>
      <c r="J34" s="6" t="s">
        <v>53</v>
      </c>
      <c r="K34" s="6" t="s">
        <v>45</v>
      </c>
      <c r="L34" s="6" t="n">
        <v>8</v>
      </c>
      <c r="M34" s="6" t="n">
        <v>20</v>
      </c>
      <c r="N34" s="5" t="n">
        <v>40</v>
      </c>
      <c r="O34" s="6" t="s">
        <v>53</v>
      </c>
      <c r="P34" s="2" t="s">
        <v>65</v>
      </c>
    </row>
    <row r="35" customFormat="false" ht="15" hidden="false" customHeight="false" outlineLevel="0" collapsed="false">
      <c r="A35" s="3" t="s">
        <v>67</v>
      </c>
      <c r="B35" s="8" t="n">
        <v>85</v>
      </c>
      <c r="C35" s="9" t="n">
        <f aca="false">INPUTS!$B$16</f>
        <v>12</v>
      </c>
      <c r="D35" s="6" t="s">
        <v>63</v>
      </c>
      <c r="E35" s="5" t="n">
        <v>1</v>
      </c>
      <c r="F35" s="6" t="s">
        <v>68</v>
      </c>
      <c r="G35" s="6" t="n">
        <v>8</v>
      </c>
      <c r="H35" s="6" t="n">
        <v>20</v>
      </c>
      <c r="I35" s="5" t="n">
        <v>40</v>
      </c>
      <c r="J35" s="6" t="s">
        <v>53</v>
      </c>
      <c r="K35" s="6" t="s">
        <v>45</v>
      </c>
      <c r="L35" s="6" t="n">
        <v>8</v>
      </c>
      <c r="M35" s="6" t="n">
        <v>20</v>
      </c>
      <c r="N35" s="5" t="n">
        <v>40</v>
      </c>
      <c r="O35" s="6" t="s">
        <v>53</v>
      </c>
      <c r="P35" s="2" t="s">
        <v>69</v>
      </c>
    </row>
    <row r="37" customFormat="false" ht="15" hidden="false" customHeight="false" outlineLevel="0" collapsed="false">
      <c r="A37" s="2" t="s">
        <v>70</v>
      </c>
    </row>
    <row r="38" customFormat="false" ht="15" hidden="false" customHeight="false" outlineLevel="0" collapsed="false">
      <c r="A38" s="2" t="s">
        <v>71</v>
      </c>
    </row>
    <row r="40" customFormat="false" ht="15" hidden="false" customHeight="false" outlineLevel="0" collapsed="false">
      <c r="A40" s="3" t="s">
        <v>72</v>
      </c>
    </row>
    <row r="41" customFormat="false" ht="68.65" hidden="false" customHeight="false" outlineLevel="0" collapsed="false">
      <c r="A41" s="7" t="s">
        <v>73</v>
      </c>
      <c r="B41" s="7" t="s">
        <v>74</v>
      </c>
      <c r="D41" s="7" t="s">
        <v>75</v>
      </c>
      <c r="E41" s="7" t="s">
        <v>74</v>
      </c>
    </row>
    <row r="42" customFormat="false" ht="15" hidden="false" customHeight="false" outlineLevel="0" collapsed="false">
      <c r="A42" s="6" t="s">
        <v>76</v>
      </c>
      <c r="B42" s="10" t="n">
        <v>336</v>
      </c>
      <c r="D42" s="6" t="s">
        <v>77</v>
      </c>
      <c r="E42" s="10" t="n">
        <v>324</v>
      </c>
    </row>
    <row r="43" customFormat="false" ht="15" hidden="false" customHeight="false" outlineLevel="0" collapsed="false">
      <c r="A43" s="6" t="s">
        <v>78</v>
      </c>
      <c r="B43" s="10" t="n">
        <v>420</v>
      </c>
      <c r="D43" s="6" t="s">
        <v>79</v>
      </c>
      <c r="E43" s="10" t="n">
        <v>576</v>
      </c>
    </row>
    <row r="44" customFormat="false" ht="15" hidden="false" customHeight="false" outlineLevel="0" collapsed="false">
      <c r="A44" s="6" t="s">
        <v>80</v>
      </c>
      <c r="B44" s="10" t="n">
        <v>504</v>
      </c>
      <c r="D44" s="6" t="s">
        <v>81</v>
      </c>
      <c r="E44" s="10" t="n">
        <v>720</v>
      </c>
    </row>
    <row r="45" customFormat="false" ht="15" hidden="false" customHeight="false" outlineLevel="0" collapsed="false">
      <c r="A45" s="6" t="s">
        <v>82</v>
      </c>
      <c r="B45" s="10" t="n">
        <v>588</v>
      </c>
      <c r="D45" s="6" t="s">
        <v>83</v>
      </c>
      <c r="E45" s="10" t="n">
        <v>864</v>
      </c>
    </row>
    <row r="46" customFormat="false" ht="15" hidden="false" customHeight="false" outlineLevel="0" collapsed="false">
      <c r="A46" s="6" t="s">
        <v>84</v>
      </c>
      <c r="B46" s="10" t="n">
        <v>672</v>
      </c>
      <c r="D46" s="6" t="s">
        <v>85</v>
      </c>
      <c r="E46" s="10" t="n">
        <v>900</v>
      </c>
    </row>
    <row r="47" customFormat="false" ht="15" hidden="false" customHeight="false" outlineLevel="0" collapsed="false">
      <c r="A47" s="6" t="s">
        <v>86</v>
      </c>
      <c r="B47" s="10" t="n">
        <v>756</v>
      </c>
      <c r="D47" s="6" t="s">
        <v>87</v>
      </c>
      <c r="E47" s="10" t="n">
        <v>1080</v>
      </c>
    </row>
    <row r="48" customFormat="false" ht="15" hidden="false" customHeight="false" outlineLevel="0" collapsed="false">
      <c r="A48" s="6" t="s">
        <v>88</v>
      </c>
      <c r="B48" s="10" t="n">
        <v>840</v>
      </c>
      <c r="D48" s="6" t="s">
        <v>89</v>
      </c>
      <c r="E48" s="10" t="n">
        <v>1296</v>
      </c>
    </row>
    <row r="49" customFormat="false" ht="15" hidden="false" customHeight="false" outlineLevel="0" collapsed="false">
      <c r="A49" s="6" t="s">
        <v>90</v>
      </c>
      <c r="B49" s="10" t="n">
        <v>1080</v>
      </c>
      <c r="D49" s="6" t="s">
        <v>91</v>
      </c>
      <c r="E49" s="10" t="n">
        <v>1512</v>
      </c>
    </row>
    <row r="50" customFormat="false" ht="15" hidden="false" customHeight="false" outlineLevel="0" collapsed="false">
      <c r="A50" s="6" t="s">
        <v>92</v>
      </c>
      <c r="B50" s="10" t="n">
        <v>1440</v>
      </c>
      <c r="D50" s="6" t="s">
        <v>93</v>
      </c>
      <c r="E50" s="10" t="n">
        <v>1764</v>
      </c>
    </row>
    <row r="52" customFormat="false" ht="15" hidden="false" customHeight="false" outlineLevel="0" collapsed="false">
      <c r="A52" s="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3" t="s">
        <v>97</v>
      </c>
    </row>
    <row r="5" customFormat="false" ht="23.85" hidden="false" customHeight="false" outlineLevel="0" collapsed="false">
      <c r="A5" s="7" t="s">
        <v>98</v>
      </c>
      <c r="B5" s="7" t="s">
        <v>99</v>
      </c>
      <c r="C5" s="7" t="s">
        <v>100</v>
      </c>
      <c r="D5" s="7" t="s">
        <v>101</v>
      </c>
      <c r="E5" s="7" t="s">
        <v>102</v>
      </c>
      <c r="F5" s="7" t="s">
        <v>103</v>
      </c>
      <c r="G5" s="7" t="s">
        <v>104</v>
      </c>
      <c r="H5" s="7" t="s">
        <v>105</v>
      </c>
      <c r="I5" s="7" t="s">
        <v>106</v>
      </c>
      <c r="J5" s="7" t="s">
        <v>42</v>
      </c>
    </row>
    <row r="6" customFormat="false" ht="15" hidden="false" customHeight="false" outlineLevel="0" collapsed="false">
      <c r="A6" s="11" t="str">
        <f aca="false">TRIB!A2</f>
        <v>C1</v>
      </c>
      <c r="B6" s="11" t="str">
        <f aca="false">TRIB!D2</f>
        <v>A</v>
      </c>
      <c r="C6" s="4" t="str">
        <f aca="false">IF(COUNTIF(TRIB!$E2:$P2,"&gt;0")=0,"",INDEX(TRIB!$E$1:$P$1,SUMPRODUCT(MAX((TRIB!$E2:$P2&lt;&gt;"")*(COLUMN(TRIB!$E2:$P2)-COLUMN(TRIB!$E2)+1)))))</f>
        <v>1</v>
      </c>
      <c r="D6" s="10" t="n">
        <f aca="false">IFERROR(INDEX(PU!$E2:$P2,MATCH(C6,TRIB!$E$1:$P$1,0)),"")</f>
        <v>519.759379467083</v>
      </c>
      <c r="E6" s="4" t="str">
        <f aca="false">IFERROR(INDEX(ARCH!$E2:$P2,MATCH(C6,TRIB!$E$1:$P$1,0)),"")</f>
        <v>14x36</v>
      </c>
      <c r="F6" s="12" t="n">
        <f aca="false">IFERROR(INDEX(RHO_ARCH!$E2:$P2,MATCH(C6,TRIB!$E$1:$P$1,0)),"")</f>
        <v>-0.0567721518126056</v>
      </c>
      <c r="G6" s="4" t="str">
        <f aca="false">IFERROR(INDEX(STATUS!$E2:$P2,MATCH(C6,TRIB!$E$1:$P$1,0)),"")</f>
        <v>OK</v>
      </c>
      <c r="H6" s="4" t="str">
        <f aca="false">IFERROR(INDEX(RECOMMEND!$E2:$P2,MATCH(C6,TRIB!$E$1:$P$1,0)),"")</f>
        <v>14x24</v>
      </c>
      <c r="I6" s="10" t="n">
        <f aca="false">COUNTIF(TRIB!$E2:$P2,"&gt;0")</f>
        <v>11</v>
      </c>
      <c r="J6" s="2"/>
    </row>
    <row r="7" customFormat="false" ht="15" hidden="false" customHeight="false" outlineLevel="0" collapsed="false">
      <c r="A7" s="11" t="str">
        <f aca="false">TRIB!A3</f>
        <v>C2</v>
      </c>
      <c r="B7" s="11" t="str">
        <f aca="false">TRIB!D3</f>
        <v>A</v>
      </c>
      <c r="C7" s="4" t="str">
        <f aca="false">IF(COUNTIF(TRIB!$E3:$P3,"&gt;0")=0,"",INDEX(TRIB!$E$1:$P$1,SUMPRODUCT(MAX((TRIB!$E3:$P3&lt;&gt;"")*(COLUMN(TRIB!$E3:$P3)-COLUMN(TRIB!$E3)+1)))))</f>
        <v>1</v>
      </c>
      <c r="D7" s="10" t="n">
        <f aca="false">IFERROR(INDEX(PU!$E3:$P3,MATCH(C7,TRIB!$E$1:$P$1,0)),"")</f>
        <v>628.109158441642</v>
      </c>
      <c r="E7" s="4" t="str">
        <f aca="false">IFERROR(INDEX(ARCH!$E3:$P3,MATCH(C7,TRIB!$E$1:$P$1,0)),"")</f>
        <v>d24</v>
      </c>
      <c r="F7" s="12" t="n">
        <f aca="false">IFERROR(INDEX(RHO_ARCH!$E3:$P3,MATCH(C7,TRIB!$E$1:$P$1,0)),"")</f>
        <v>-0.0442613817239202</v>
      </c>
      <c r="G7" s="4" t="str">
        <f aca="false">IFERROR(INDEX(STATUS!$E3:$P3,MATCH(C7,TRIB!$E$1:$P$1,0)),"")</f>
        <v>OK</v>
      </c>
      <c r="H7" s="4" t="str">
        <f aca="false">IFERROR(INDEX(RECOMMEND!$E3:$P3,MATCH(C7,TRIB!$E$1:$P$1,0)),"")</f>
        <v>18x18</v>
      </c>
      <c r="I7" s="10" t="n">
        <f aca="false">COUNTIF(TRIB!$E3:$P3,"&gt;0")</f>
        <v>10</v>
      </c>
      <c r="J7" s="2"/>
    </row>
    <row r="8" customFormat="false" ht="15" hidden="false" customHeight="false" outlineLevel="0" collapsed="false">
      <c r="A8" s="11" t="str">
        <f aca="false">TRIB!A4</f>
        <v>C3</v>
      </c>
      <c r="B8" s="11" t="str">
        <f aca="false">TRIB!D4</f>
        <v>A</v>
      </c>
      <c r="C8" s="4" t="str">
        <f aca="false">IF(COUNTIF(TRIB!$E4:$P4,"&gt;0")=0,"",INDEX(TRIB!$E$1:$P$1,SUMPRODUCT(MAX((TRIB!$E4:$P4&lt;&gt;"")*(COLUMN(TRIB!$E4:$P4)-COLUMN(TRIB!$E4)+1)))))</f>
        <v>1</v>
      </c>
      <c r="D8" s="10" t="n">
        <f aca="false">IFERROR(INDEX(PU!$E4:$P4,MATCH(C8,TRIB!$E$1:$P$1,0)),"")</f>
        <v>690.525473574856</v>
      </c>
      <c r="E8" s="4" t="str">
        <f aca="false">IFERROR(INDEX(ARCH!$E4:$P4,MATCH(C8,TRIB!$E$1:$P$1,0)),"")</f>
        <v>14x36</v>
      </c>
      <c r="F8" s="12" t="n">
        <f aca="false">IFERROR(INDEX(RHO_ARCH!$E4:$P4,MATCH(C8,TRIB!$E$1:$P$1,0)),"")</f>
        <v>-0.0449036631166129</v>
      </c>
      <c r="G8" s="4" t="str">
        <f aca="false">IFERROR(INDEX(STATUS!$E4:$P4,MATCH(C8,TRIB!$E$1:$P$1,0)),"")</f>
        <v>OK</v>
      </c>
      <c r="H8" s="4" t="str">
        <f aca="false">IFERROR(INDEX(RECOMMEND!$E4:$P4,MATCH(C8,TRIB!$E$1:$P$1,0)),"")</f>
        <v>14x24</v>
      </c>
      <c r="I8" s="10" t="n">
        <f aca="false">COUNTIF(TRIB!$E4:$P4,"&gt;0")</f>
        <v>11</v>
      </c>
      <c r="J8" s="2"/>
    </row>
    <row r="9" customFormat="false" ht="15" hidden="false" customHeight="false" outlineLevel="0" collapsed="false">
      <c r="A9" s="11" t="str">
        <f aca="false">TRIB!A5</f>
        <v>C4</v>
      </c>
      <c r="B9" s="11" t="str">
        <f aca="false">TRIB!D5</f>
        <v>A</v>
      </c>
      <c r="C9" s="4" t="str">
        <f aca="false">IF(COUNTIF(TRIB!$E5:$P5,"&gt;0")=0,"",INDEX(TRIB!$E$1:$P$1,SUMPRODUCT(MAX((TRIB!$E5:$P5&lt;&gt;"")*(COLUMN(TRIB!$E5:$P5)-COLUMN(TRIB!$E5)+1)))))</f>
        <v>1</v>
      </c>
      <c r="D9" s="10" t="n">
        <f aca="false">IFERROR(INDEX(PU!$E5:$P5,MATCH(C9,TRIB!$E$1:$P$1,0)),"")</f>
        <v>652.989042656171</v>
      </c>
      <c r="E9" s="4" t="str">
        <f aca="false">IFERROR(INDEX(ARCH!$E5:$P5,MATCH(C9,TRIB!$E$1:$P$1,0)),"")</f>
        <v>14x24</v>
      </c>
      <c r="F9" s="12" t="n">
        <f aca="false">IFERROR(INDEX(RHO_ARCH!$E5:$P5,MATCH(C9,TRIB!$E$1:$P$1,0)),"")</f>
        <v>-0.0248206609986677</v>
      </c>
      <c r="G9" s="4" t="str">
        <f aca="false">IFERROR(INDEX(STATUS!$E5:$P5,MATCH(C9,TRIB!$E$1:$P$1,0)),"")</f>
        <v>OK</v>
      </c>
      <c r="H9" s="4" t="str">
        <f aca="false">IFERROR(INDEX(RECOMMEND!$E5:$P5,MATCH(C9,TRIB!$E$1:$P$1,0)),"")</f>
        <v>14x24</v>
      </c>
      <c r="I9" s="10" t="n">
        <f aca="false">COUNTIF(TRIB!$E5:$P5,"&gt;0")</f>
        <v>11</v>
      </c>
      <c r="J9" s="2"/>
    </row>
    <row r="10" customFormat="false" ht="15" hidden="false" customHeight="false" outlineLevel="0" collapsed="false">
      <c r="A10" s="11" t="str">
        <f aca="false">TRIB!A6</f>
        <v>C5</v>
      </c>
      <c r="B10" s="11" t="str">
        <f aca="false">TRIB!D6</f>
        <v>A</v>
      </c>
      <c r="C10" s="4" t="str">
        <f aca="false">IF(COUNTIF(TRIB!$E6:$P6,"&gt;0")=0,"",INDEX(TRIB!$E$1:$P$1,SUMPRODUCT(MAX((TRIB!$E6:$P6&lt;&gt;"")*(COLUMN(TRIB!$E6:$P6)-COLUMN(TRIB!$E6)+1)))))</f>
        <v>1</v>
      </c>
      <c r="D10" s="10" t="n">
        <f aca="false">IFERROR(INDEX(PU!$E6:$P6,MATCH(C10,TRIB!$E$1:$P$1,0)),"")</f>
        <v>292.770539448989</v>
      </c>
      <c r="E10" s="4" t="str">
        <f aca="false">IFERROR(INDEX(ARCH!$E6:$P6,MATCH(C10,TRIB!$E$1:$P$1,0)),"")</f>
        <v>14x24</v>
      </c>
      <c r="F10" s="12" t="n">
        <f aca="false">IFERROR(INDEX(RHO_ARCH!$E6:$P6,MATCH(C10,TRIB!$E$1:$P$1,0)),"")</f>
        <v>-0.0623742156642416</v>
      </c>
      <c r="G10" s="4" t="str">
        <f aca="false">IFERROR(INDEX(STATUS!$E6:$P6,MATCH(C10,TRIB!$E$1:$P$1,0)),"")</f>
        <v>OK</v>
      </c>
      <c r="H10" s="4" t="str">
        <f aca="false">IFERROR(INDEX(RECOMMEND!$E6:$P6,MATCH(C10,TRIB!$E$1:$P$1,0)),"")</f>
        <v>14x24</v>
      </c>
      <c r="I10" s="10" t="n">
        <f aca="false">COUNTIF(TRIB!$E6:$P6,"&gt;0")</f>
        <v>11</v>
      </c>
      <c r="J10" s="2"/>
    </row>
    <row r="11" customFormat="false" ht="15" hidden="false" customHeight="false" outlineLevel="0" collapsed="false">
      <c r="A11" s="11" t="str">
        <f aca="false">TRIB!A7</f>
        <v>C6</v>
      </c>
      <c r="B11" s="11" t="str">
        <f aca="false">TRIB!D7</f>
        <v>A</v>
      </c>
      <c r="C11" s="4" t="str">
        <f aca="false">IF(COUNTIF(TRIB!$E7:$P7,"&gt;0")=0,"",INDEX(TRIB!$E$1:$P$1,SUMPRODUCT(MAX((TRIB!$E7:$P7&lt;&gt;"")*(COLUMN(TRIB!$E7:$P7)-COLUMN(TRIB!$E7)+1)))))</f>
        <v>1</v>
      </c>
      <c r="D11" s="10" t="n">
        <f aca="false">IFERROR(INDEX(PU!$E7:$P7,MATCH(C11,TRIB!$E$1:$P$1,0)),"")</f>
        <v>488.179701133391</v>
      </c>
      <c r="E11" s="4" t="str">
        <f aca="false">IFERROR(INDEX(ARCH!$E7:$P7,MATCH(C11,TRIB!$E$1:$P$1,0)),"")</f>
        <v>14x24</v>
      </c>
      <c r="F11" s="12" t="n">
        <f aca="false">IFERROR(INDEX(RHO_ARCH!$E7:$P7,MATCH(C11,TRIB!$E$1:$P$1,0)),"")</f>
        <v>-0.0420023897582069</v>
      </c>
      <c r="G11" s="4" t="str">
        <f aca="false">IFERROR(INDEX(STATUS!$E7:$P7,MATCH(C11,TRIB!$E$1:$P$1,0)),"")</f>
        <v>OK</v>
      </c>
      <c r="H11" s="4" t="str">
        <f aca="false">IFERROR(INDEX(RECOMMEND!$E7:$P7,MATCH(C11,TRIB!$E$1:$P$1,0)),"")</f>
        <v>14x24</v>
      </c>
      <c r="I11" s="10" t="n">
        <f aca="false">COUNTIF(TRIB!$E7:$P7,"&gt;0")</f>
        <v>11</v>
      </c>
      <c r="J11" s="2"/>
    </row>
    <row r="12" customFormat="false" ht="15" hidden="false" customHeight="false" outlineLevel="0" collapsed="false">
      <c r="A12" s="11" t="str">
        <f aca="false">TRIB!A8</f>
        <v>C7</v>
      </c>
      <c r="B12" s="11" t="str">
        <f aca="false">TRIB!D8</f>
        <v>A</v>
      </c>
      <c r="C12" s="4" t="str">
        <f aca="false">IF(COUNTIF(TRIB!$E8:$P8,"&gt;0")=0,"",INDEX(TRIB!$E$1:$P$1,SUMPRODUCT(MAX((TRIB!$E8:$P8&lt;&gt;"")*(COLUMN(TRIB!$E8:$P8)-COLUMN(TRIB!$E8)+1)))))</f>
        <v>1</v>
      </c>
      <c r="D12" s="10" t="n">
        <f aca="false">IFERROR(INDEX(PU!$E8:$P8,MATCH(C12,TRIB!$E$1:$P$1,0)),"")</f>
        <v>944.048</v>
      </c>
      <c r="E12" s="4" t="str">
        <f aca="false">IFERROR(INDEX(ARCH!$E8:$P8,MATCH(C12,TRIB!$E$1:$P$1,0)),"")</f>
        <v>14x36</v>
      </c>
      <c r="F12" s="12" t="n">
        <f aca="false">IFERROR(INDEX(RHO_ARCH!$E8:$P8,MATCH(C12,TRIB!$E$1:$P$1,0)),"")</f>
        <v>-0.0272834835676366</v>
      </c>
      <c r="G12" s="4" t="str">
        <f aca="false">IFERROR(INDEX(STATUS!$E8:$P8,MATCH(C12,TRIB!$E$1:$P$1,0)),"")</f>
        <v>OK</v>
      </c>
      <c r="H12" s="4" t="str">
        <f aca="false">IFERROR(INDEX(RECOMMEND!$E8:$P8,MATCH(C12,TRIB!$E$1:$P$1,0)),"")</f>
        <v>14x24</v>
      </c>
      <c r="I12" s="10" t="n">
        <f aca="false">COUNTIF(TRIB!$E8:$P8,"&gt;0")</f>
        <v>11</v>
      </c>
      <c r="J12" s="2"/>
    </row>
    <row r="13" customFormat="false" ht="15" hidden="false" customHeight="false" outlineLevel="0" collapsed="false">
      <c r="A13" s="11" t="str">
        <f aca="false">TRIB!A9</f>
        <v>C8</v>
      </c>
      <c r="B13" s="11" t="str">
        <f aca="false">TRIB!D9</f>
        <v>A</v>
      </c>
      <c r="C13" s="4" t="str">
        <f aca="false">IF(COUNTIF(TRIB!$E9:$P9,"&gt;0")=0,"",INDEX(TRIB!$E$1:$P$1,SUMPRODUCT(MAX((TRIB!$E9:$P9&lt;&gt;"")*(COLUMN(TRIB!$E9:$P9)-COLUMN(TRIB!$E9)+1)))))</f>
        <v>1</v>
      </c>
      <c r="D13" s="10" t="n">
        <f aca="false">IFERROR(INDEX(PU!$E9:$P9,MATCH(C13,TRIB!$E$1:$P$1,0)),"")</f>
        <v>955.596</v>
      </c>
      <c r="E13" s="4" t="str">
        <f aca="false">IFERROR(INDEX(ARCH!$E9:$P9,MATCH(C13,TRIB!$E$1:$P$1,0)),"")</f>
        <v>14x36</v>
      </c>
      <c r="F13" s="12" t="n">
        <f aca="false">IFERROR(INDEX(RHO_ARCH!$E9:$P9,MATCH(C13,TRIB!$E$1:$P$1,0)),"")</f>
        <v>-0.0264808809890777</v>
      </c>
      <c r="G13" s="4" t="str">
        <f aca="false">IFERROR(INDEX(STATUS!$E9:$P9,MATCH(C13,TRIB!$E$1:$P$1,0)),"")</f>
        <v>OK</v>
      </c>
      <c r="H13" s="4" t="str">
        <f aca="false">IFERROR(INDEX(RECOMMEND!$E9:$P9,MATCH(C13,TRIB!$E$1:$P$1,0)),"")</f>
        <v>14x24</v>
      </c>
      <c r="I13" s="10" t="n">
        <f aca="false">COUNTIF(TRIB!$E9:$P9,"&gt;0")</f>
        <v>11</v>
      </c>
      <c r="J13" s="2"/>
    </row>
    <row r="14" customFormat="false" ht="15" hidden="false" customHeight="false" outlineLevel="0" collapsed="false">
      <c r="A14" s="11" t="str">
        <f aca="false">TRIB!A10</f>
        <v>C9</v>
      </c>
      <c r="B14" s="11" t="str">
        <f aca="false">TRIB!D10</f>
        <v>A</v>
      </c>
      <c r="C14" s="4" t="str">
        <f aca="false">IF(COUNTIF(TRIB!$E10:$P10,"&gt;0")=0,"",INDEX(TRIB!$E$1:$P$1,SUMPRODUCT(MAX((TRIB!$E10:$P10&lt;&gt;"")*(COLUMN(TRIB!$E10:$P10)-COLUMN(TRIB!$E10)+1)))))</f>
        <v>1</v>
      </c>
      <c r="D14" s="10" t="n">
        <f aca="false">IFERROR(INDEX(PU!$E10:$P10,MATCH(C14,TRIB!$E$1:$P$1,0)),"")</f>
        <v>1015.956</v>
      </c>
      <c r="E14" s="4" t="str">
        <f aca="false">IFERROR(INDEX(ARCH!$E10:$P10,MATCH(C14,TRIB!$E$1:$P$1,0)),"")</f>
        <v>14x36</v>
      </c>
      <c r="F14" s="12" t="n">
        <f aca="false">IFERROR(INDEX(RHO_ARCH!$E10:$P10,MATCH(C14,TRIB!$E$1:$P$1,0)),"")</f>
        <v>-0.0222857743349547</v>
      </c>
      <c r="G14" s="4" t="str">
        <f aca="false">IFERROR(INDEX(STATUS!$E10:$P10,MATCH(C14,TRIB!$E$1:$P$1,0)),"")</f>
        <v>OK</v>
      </c>
      <c r="H14" s="4" t="str">
        <f aca="false">IFERROR(INDEX(RECOMMEND!$E10:$P10,MATCH(C14,TRIB!$E$1:$P$1,0)),"")</f>
        <v>14x24</v>
      </c>
      <c r="I14" s="10" t="n">
        <f aca="false">COUNTIF(TRIB!$E10:$P10,"&gt;0")</f>
        <v>11</v>
      </c>
      <c r="J14" s="2"/>
    </row>
    <row r="15" customFormat="false" ht="15" hidden="false" customHeight="false" outlineLevel="0" collapsed="false">
      <c r="A15" s="11" t="str">
        <f aca="false">TRIB!A11</f>
        <v>C10</v>
      </c>
      <c r="B15" s="11" t="str">
        <f aca="false">TRIB!D11</f>
        <v>A</v>
      </c>
      <c r="C15" s="4" t="str">
        <f aca="false">IF(COUNTIF(TRIB!$E11:$P11,"&gt;0")=0,"",INDEX(TRIB!$E$1:$P$1,SUMPRODUCT(MAX((TRIB!$E11:$P11&lt;&gt;"")*(COLUMN(TRIB!$E11:$P11)-COLUMN(TRIB!$E11)+1)))))</f>
        <v>1</v>
      </c>
      <c r="D15" s="10" t="n">
        <f aca="false">IFERROR(INDEX(PU!$E11:$P11,MATCH(C15,TRIB!$E$1:$P$1,0)),"")</f>
        <v>964.288</v>
      </c>
      <c r="E15" s="4" t="str">
        <f aca="false">IFERROR(INDEX(ARCH!$E11:$P11,MATCH(C15,TRIB!$E$1:$P$1,0)),"")</f>
        <v>14x36</v>
      </c>
      <c r="F15" s="12" t="n">
        <f aca="false">IFERROR(INDEX(RHO_ARCH!$E11:$P11,MATCH(C15,TRIB!$E$1:$P$1,0)),"")</f>
        <v>-0.0258767745106543</v>
      </c>
      <c r="G15" s="4" t="str">
        <f aca="false">IFERROR(INDEX(STATUS!$E11:$P11,MATCH(C15,TRIB!$E$1:$P$1,0)),"")</f>
        <v>OK</v>
      </c>
      <c r="H15" s="4" t="str">
        <f aca="false">IFERROR(INDEX(RECOMMEND!$E11:$P11,MATCH(C15,TRIB!$E$1:$P$1,0)),"")</f>
        <v>14x24</v>
      </c>
      <c r="I15" s="10" t="n">
        <f aca="false">COUNTIF(TRIB!$E11:$P11,"&gt;0")</f>
        <v>11</v>
      </c>
      <c r="J15" s="2"/>
    </row>
    <row r="16" customFormat="false" ht="15" hidden="false" customHeight="false" outlineLevel="0" collapsed="false">
      <c r="A16" s="11" t="str">
        <f aca="false">TRIB!A12</f>
        <v>C11</v>
      </c>
      <c r="B16" s="11" t="str">
        <f aca="false">TRIB!D12</f>
        <v>A</v>
      </c>
      <c r="C16" s="4" t="str">
        <f aca="false">IF(COUNTIF(TRIB!$E12:$P12,"&gt;0")=0,"",INDEX(TRIB!$E$1:$P$1,SUMPRODUCT(MAX((TRIB!$E12:$P12&lt;&gt;"")*(COLUMN(TRIB!$E12:$P12)-COLUMN(TRIB!$E12)+1)))))</f>
        <v>1</v>
      </c>
      <c r="D16" s="10" t="n">
        <f aca="false">IFERROR(INDEX(PU!$E12:$P12,MATCH(C16,TRIB!$E$1:$P$1,0)),"")</f>
        <v>307.648419109611</v>
      </c>
      <c r="E16" s="4" t="str">
        <f aca="false">IFERROR(INDEX(ARCH!$E12:$P12,MATCH(C16,TRIB!$E$1:$P$1,0)),"")</f>
        <v>14x24</v>
      </c>
      <c r="F16" s="12" t="n">
        <f aca="false">IFERROR(INDEX(RHO_ARCH!$E12:$P12,MATCH(C16,TRIB!$E$1:$P$1,0)),"")</f>
        <v>-0.0608231646711125</v>
      </c>
      <c r="G16" s="4" t="str">
        <f aca="false">IFERROR(INDEX(STATUS!$E12:$P12,MATCH(C16,TRIB!$E$1:$P$1,0)),"")</f>
        <v>OK</v>
      </c>
      <c r="H16" s="4" t="str">
        <f aca="false">IFERROR(INDEX(RECOMMEND!$E12:$P12,MATCH(C16,TRIB!$E$1:$P$1,0)),"")</f>
        <v>14x24</v>
      </c>
      <c r="I16" s="10" t="n">
        <f aca="false">COUNTIF(TRIB!$E12:$P12,"&gt;0")</f>
        <v>11</v>
      </c>
      <c r="J16" s="2"/>
    </row>
    <row r="17" customFormat="false" ht="15" hidden="false" customHeight="false" outlineLevel="0" collapsed="false">
      <c r="A17" s="11" t="str">
        <f aca="false">TRIB!A13</f>
        <v>C12</v>
      </c>
      <c r="B17" s="11" t="str">
        <f aca="false">TRIB!D13</f>
        <v>A</v>
      </c>
      <c r="C17" s="4" t="str">
        <f aca="false">IF(COUNTIF(TRIB!$E13:$P13,"&gt;0")=0,"",INDEX(TRIB!$E$1:$P$1,SUMPRODUCT(MAX((TRIB!$E13:$P13&lt;&gt;"")*(COLUMN(TRIB!$E13:$P13)-COLUMN(TRIB!$E13)+1)))))</f>
        <v>1</v>
      </c>
      <c r="D17" s="10" t="n">
        <f aca="false">IFERROR(INDEX(PU!$E13:$P13,MATCH(C17,TRIB!$E$1:$P$1,0)),"")</f>
        <v>1028.028</v>
      </c>
      <c r="E17" s="4" t="str">
        <f aca="false">IFERROR(INDEX(ARCH!$E13:$P13,MATCH(C17,TRIB!$E$1:$P$1,0)),"")</f>
        <v>14x36</v>
      </c>
      <c r="F17" s="12" t="n">
        <f aca="false">IFERROR(INDEX(RHO_ARCH!$E13:$P13,MATCH(C17,TRIB!$E$1:$P$1,0)),"")</f>
        <v>-0.02144675300413</v>
      </c>
      <c r="G17" s="4" t="str">
        <f aca="false">IFERROR(INDEX(STATUS!$E13:$P13,MATCH(C17,TRIB!$E$1:$P$1,0)),"")</f>
        <v>OK</v>
      </c>
      <c r="H17" s="4" t="str">
        <f aca="false">IFERROR(INDEX(RECOMMEND!$E13:$P13,MATCH(C17,TRIB!$E$1:$P$1,0)),"")</f>
        <v>14x24</v>
      </c>
      <c r="I17" s="10" t="n">
        <f aca="false">COUNTIF(TRIB!$E13:$P13,"&gt;0")</f>
        <v>11</v>
      </c>
      <c r="J17" s="2"/>
    </row>
    <row r="18" customFormat="false" ht="15" hidden="false" customHeight="false" outlineLevel="0" collapsed="false">
      <c r="A18" s="11" t="str">
        <f aca="false">TRIB!A14</f>
        <v>C13</v>
      </c>
      <c r="B18" s="11" t="str">
        <f aca="false">TRIB!D14</f>
        <v>A</v>
      </c>
      <c r="C18" s="4" t="str">
        <f aca="false">IF(COUNTIF(TRIB!$E14:$P14,"&gt;0")=0,"",INDEX(TRIB!$E$1:$P$1,SUMPRODUCT(MAX((TRIB!$E14:$P14&lt;&gt;"")*(COLUMN(TRIB!$E14:$P14)-COLUMN(TRIB!$E14)+1)))))</f>
        <v>1</v>
      </c>
      <c r="D18" s="10" t="n">
        <f aca="false">IFERROR(INDEX(PU!$E14:$P14,MATCH(C18,TRIB!$E$1:$P$1,0)),"")</f>
        <v>687.693052612888</v>
      </c>
      <c r="E18" s="4" t="str">
        <f aca="false">IFERROR(INDEX(ARCH!$E14:$P14,MATCH(C18,TRIB!$E$1:$P$1,0)),"")</f>
        <v>14x36</v>
      </c>
      <c r="F18" s="12" t="n">
        <f aca="false">IFERROR(INDEX(RHO_ARCH!$E14:$P14,MATCH(C18,TRIB!$E$1:$P$1,0)),"")</f>
        <v>-0.0451005204397545</v>
      </c>
      <c r="G18" s="4" t="str">
        <f aca="false">IFERROR(INDEX(STATUS!$E14:$P14,MATCH(C18,TRIB!$E$1:$P$1,0)),"")</f>
        <v>OK</v>
      </c>
      <c r="H18" s="4" t="str">
        <f aca="false">IFERROR(INDEX(RECOMMEND!$E14:$P14,MATCH(C18,TRIB!$E$1:$P$1,0)),"")</f>
        <v>14x24</v>
      </c>
      <c r="I18" s="10" t="n">
        <f aca="false">COUNTIF(TRIB!$E14:$P14,"&gt;0")</f>
        <v>11</v>
      </c>
      <c r="J18" s="2"/>
    </row>
    <row r="19" customFormat="false" ht="15" hidden="false" customHeight="false" outlineLevel="0" collapsed="false">
      <c r="A19" s="11" t="str">
        <f aca="false">TRIB!A15</f>
        <v>C14</v>
      </c>
      <c r="B19" s="11" t="str">
        <f aca="false">TRIB!D15</f>
        <v>A</v>
      </c>
      <c r="C19" s="4" t="str">
        <f aca="false">IF(COUNTIF(TRIB!$E15:$P15,"&gt;0")=0,"",INDEX(TRIB!$E$1:$P$1,SUMPRODUCT(MAX((TRIB!$E15:$P15&lt;&gt;"")*(COLUMN(TRIB!$E15:$P15)-COLUMN(TRIB!$E15)+1)))))</f>
        <v>1</v>
      </c>
      <c r="D19" s="10" t="n">
        <f aca="false">IFERROR(INDEX(PU!$E15:$P15,MATCH(C19,TRIB!$E$1:$P$1,0)),"")</f>
        <v>628.128215028739</v>
      </c>
      <c r="E19" s="4" t="str">
        <f aca="false">IFERROR(INDEX(ARCH!$E15:$P15,MATCH(C19,TRIB!$E$1:$P$1,0)),"")</f>
        <v>14x24</v>
      </c>
      <c r="F19" s="12" t="n">
        <f aca="false">IFERROR(INDEX(RHO_ARCH!$E15:$P15,MATCH(C19,TRIB!$E$1:$P$1,0)),"")</f>
        <v>-0.0274124558149413</v>
      </c>
      <c r="G19" s="4" t="str">
        <f aca="false">IFERROR(INDEX(STATUS!$E15:$P15,MATCH(C19,TRIB!$E$1:$P$1,0)),"")</f>
        <v>OK</v>
      </c>
      <c r="H19" s="4" t="str">
        <f aca="false">IFERROR(INDEX(RECOMMEND!$E15:$P15,MATCH(C19,TRIB!$E$1:$P$1,0)),"")</f>
        <v>14x24</v>
      </c>
      <c r="I19" s="10" t="n">
        <f aca="false">COUNTIF(TRIB!$E15:$P15,"&gt;0")</f>
        <v>11</v>
      </c>
      <c r="J19" s="2"/>
    </row>
    <row r="20" customFormat="false" ht="15" hidden="false" customHeight="false" outlineLevel="0" collapsed="false">
      <c r="A20" s="11" t="str">
        <f aca="false">TRIB!A16</f>
        <v>C15</v>
      </c>
      <c r="B20" s="11" t="str">
        <f aca="false">TRIB!D16</f>
        <v>A</v>
      </c>
      <c r="C20" s="4" t="str">
        <f aca="false">IF(COUNTIF(TRIB!$E16:$P16,"&gt;0")=0,"",INDEX(TRIB!$E$1:$P$1,SUMPRODUCT(MAX((TRIB!$E16:$P16&lt;&gt;"")*(COLUMN(TRIB!$E16:$P16)-COLUMN(TRIB!$E16)+1)))))</f>
        <v>1</v>
      </c>
      <c r="D20" s="10" t="n">
        <f aca="false">IFERROR(INDEX(PU!$E16:$P16,MATCH(C20,TRIB!$E$1:$P$1,0)),"")</f>
        <v>763.82</v>
      </c>
      <c r="E20" s="4" t="str">
        <f aca="false">IFERROR(INDEX(ARCH!$E16:$P16,MATCH(C20,TRIB!$E$1:$P$1,0)),"")</f>
        <v>14x24</v>
      </c>
      <c r="F20" s="12" t="n">
        <f aca="false">IFERROR(INDEX(RHO_ARCH!$E16:$P16,MATCH(C20,TRIB!$E$1:$P$1,0)),"")</f>
        <v>-0.0132662950285901</v>
      </c>
      <c r="G20" s="4" t="str">
        <f aca="false">IFERROR(INDEX(STATUS!$E16:$P16,MATCH(C20,TRIB!$E$1:$P$1,0)),"")</f>
        <v>OK</v>
      </c>
      <c r="H20" s="4" t="str">
        <f aca="false">IFERROR(INDEX(RECOMMEND!$E16:$P16,MATCH(C20,TRIB!$E$1:$P$1,0)),"")</f>
        <v>14x24</v>
      </c>
      <c r="I20" s="10" t="n">
        <f aca="false">COUNTIF(TRIB!$E16:$P16,"&gt;0")</f>
        <v>11</v>
      </c>
      <c r="J20" s="2"/>
    </row>
    <row r="21" customFormat="false" ht="15" hidden="false" customHeight="false" outlineLevel="0" collapsed="false">
      <c r="A21" s="11" t="str">
        <f aca="false">TRIB!A17</f>
        <v>C16</v>
      </c>
      <c r="B21" s="11" t="str">
        <f aca="false">TRIB!D17</f>
        <v>A</v>
      </c>
      <c r="C21" s="4" t="str">
        <f aca="false">IF(COUNTIF(TRIB!$E17:$P17,"&gt;0")=0,"",INDEX(TRIB!$E$1:$P$1,SUMPRODUCT(MAX((TRIB!$E17:$P17&lt;&gt;"")*(COLUMN(TRIB!$E17:$P17)-COLUMN(TRIB!$E17)+1)))))</f>
        <v>1</v>
      </c>
      <c r="D21" s="10" t="n">
        <f aca="false">IFERROR(INDEX(PU!$E17:$P17,MATCH(C21,TRIB!$E$1:$P$1,0)),"")</f>
        <v>718.347973992187</v>
      </c>
      <c r="E21" s="4" t="str">
        <f aca="false">IFERROR(INDEX(ARCH!$E17:$P17,MATCH(C21,TRIB!$E$1:$P$1,0)),"")</f>
        <v>14x36</v>
      </c>
      <c r="F21" s="12" t="n">
        <f aca="false">IFERROR(INDEX(RHO_ARCH!$E17:$P17,MATCH(C21,TRIB!$E$1:$P$1,0)),"")</f>
        <v>-0.0429699593950243</v>
      </c>
      <c r="G21" s="4" t="str">
        <f aca="false">IFERROR(INDEX(STATUS!$E17:$P17,MATCH(C21,TRIB!$E$1:$P$1,0)),"")</f>
        <v>OK</v>
      </c>
      <c r="H21" s="4" t="str">
        <f aca="false">IFERROR(INDEX(RECOMMEND!$E17:$P17,MATCH(C21,TRIB!$E$1:$P$1,0)),"")</f>
        <v>14x24</v>
      </c>
      <c r="I21" s="10" t="n">
        <f aca="false">COUNTIF(TRIB!$E17:$P17,"&gt;0")</f>
        <v>11</v>
      </c>
      <c r="J21" s="2"/>
    </row>
    <row r="22" customFormat="false" ht="15" hidden="false" customHeight="false" outlineLevel="0" collapsed="false">
      <c r="A22" s="11" t="str">
        <f aca="false">TRIB!A18</f>
        <v>C17</v>
      </c>
      <c r="B22" s="11" t="str">
        <f aca="false">TRIB!D18</f>
        <v>A</v>
      </c>
      <c r="C22" s="4" t="str">
        <f aca="false">IF(COUNTIF(TRIB!$E18:$P18,"&gt;0")=0,"",INDEX(TRIB!$E$1:$P$1,SUMPRODUCT(MAX((TRIB!$E18:$P18&lt;&gt;"")*(COLUMN(TRIB!$E18:$P18)-COLUMN(TRIB!$E18)+1)))))</f>
        <v>1</v>
      </c>
      <c r="D22" s="10" t="n">
        <f aca="false">IFERROR(INDEX(PU!$E18:$P18,MATCH(C22,TRIB!$E$1:$P$1,0)),"")</f>
        <v>814.756</v>
      </c>
      <c r="E22" s="4" t="str">
        <f aca="false">IFERROR(INDEX(ARCH!$E18:$P18,MATCH(C22,TRIB!$E$1:$P$1,0)),"")</f>
        <v>14x36</v>
      </c>
      <c r="F22" s="12" t="n">
        <f aca="false">IFERROR(INDEX(RHO_ARCH!$E18:$P18,MATCH(C22,TRIB!$E$1:$P$1,0)),"")</f>
        <v>-0.0362694631820315</v>
      </c>
      <c r="G22" s="4" t="str">
        <f aca="false">IFERROR(INDEX(STATUS!$E18:$P18,MATCH(C22,TRIB!$E$1:$P$1,0)),"")</f>
        <v>OK</v>
      </c>
      <c r="H22" s="4" t="str">
        <f aca="false">IFERROR(INDEX(RECOMMEND!$E18:$P18,MATCH(C22,TRIB!$E$1:$P$1,0)),"")</f>
        <v>14x24</v>
      </c>
      <c r="I22" s="10" t="n">
        <f aca="false">COUNTIF(TRIB!$E18:$P18,"&gt;0")</f>
        <v>11</v>
      </c>
      <c r="J22" s="2"/>
    </row>
    <row r="23" customFormat="false" ht="15" hidden="false" customHeight="false" outlineLevel="0" collapsed="false">
      <c r="A23" s="11" t="str">
        <f aca="false">TRIB!A19</f>
        <v>C18</v>
      </c>
      <c r="B23" s="11" t="str">
        <f aca="false">TRIB!D19</f>
        <v>A</v>
      </c>
      <c r="C23" s="4" t="str">
        <f aca="false">IF(COUNTIF(TRIB!$E19:$P19,"&gt;0")=0,"",INDEX(TRIB!$E$1:$P$1,SUMPRODUCT(MAX((TRIB!$E19:$P19&lt;&gt;"")*(COLUMN(TRIB!$E19:$P19)-COLUMN(TRIB!$E19)+1)))))</f>
        <v>1</v>
      </c>
      <c r="D23" s="10" t="n">
        <f aca="false">IFERROR(INDEX(PU!$E19:$P19,MATCH(C23,TRIB!$E$1:$P$1,0)),"")</f>
        <v>1205.084</v>
      </c>
      <c r="E23" s="4" t="str">
        <f aca="false">IFERROR(INDEX(ARCH!$E19:$P19,MATCH(C23,TRIB!$E$1:$P$1,0)),"")</f>
        <v>14x36</v>
      </c>
      <c r="F23" s="12" t="n">
        <f aca="false">IFERROR(INDEX(RHO_ARCH!$E19:$P19,MATCH(C23,TRIB!$E$1:$P$1,0)),"")</f>
        <v>-0.00914110681870245</v>
      </c>
      <c r="G23" s="4" t="str">
        <f aca="false">IFERROR(INDEX(STATUS!$E19:$P19,MATCH(C23,TRIB!$E$1:$P$1,0)),"")</f>
        <v>OK</v>
      </c>
      <c r="H23" s="4" t="str">
        <f aca="false">IFERROR(INDEX(RECOMMEND!$E19:$P19,MATCH(C23,TRIB!$E$1:$P$1,0)),"")</f>
        <v>14x30</v>
      </c>
      <c r="I23" s="10" t="n">
        <f aca="false">COUNTIF(TRIB!$E19:$P19,"&gt;0")</f>
        <v>11</v>
      </c>
      <c r="J23" s="2"/>
    </row>
    <row r="24" customFormat="false" ht="15" hidden="false" customHeight="false" outlineLevel="0" collapsed="false">
      <c r="A24" s="11" t="str">
        <f aca="false">TRIB!A20</f>
        <v>C19</v>
      </c>
      <c r="B24" s="11" t="str">
        <f aca="false">TRIB!D20</f>
        <v>A</v>
      </c>
      <c r="C24" s="4" t="str">
        <f aca="false">IF(COUNTIF(TRIB!$E20:$P20,"&gt;0")=0,"",INDEX(TRIB!$E$1:$P$1,SUMPRODUCT(MAX((TRIB!$E20:$P20&lt;&gt;"")*(COLUMN(TRIB!$E20:$P20)-COLUMN(TRIB!$E20)+1)))))</f>
        <v>1</v>
      </c>
      <c r="D24" s="10" t="n">
        <f aca="false">IFERROR(INDEX(PU!$E20:$P20,MATCH(C24,TRIB!$E$1:$P$1,0)),"")</f>
        <v>345.952897176671</v>
      </c>
      <c r="E24" s="4" t="str">
        <f aca="false">IFERROR(INDEX(ARCH!$E20:$P20,MATCH(C24,TRIB!$E$1:$P$1,0)),"")</f>
        <v>12x18</v>
      </c>
      <c r="F24" s="12" t="n">
        <f aca="false">IFERROR(INDEX(RHO_ARCH!$E20:$P20,MATCH(C24,TRIB!$E$1:$P$1,0)),"")</f>
        <v>-0.0367929878371399</v>
      </c>
      <c r="G24" s="4" t="str">
        <f aca="false">IFERROR(INDEX(STATUS!$E20:$P20,MATCH(C24,TRIB!$E$1:$P$1,0)),"")</f>
        <v>OK</v>
      </c>
      <c r="H24" s="4" t="str">
        <f aca="false">IFERROR(INDEX(RECOMMEND!$E20:$P20,MATCH(C24,TRIB!$E$1:$P$1,0)),"")</f>
        <v>18x18</v>
      </c>
      <c r="I24" s="10" t="n">
        <f aca="false">COUNTIF(TRIB!$E20:$P20,"&gt;0")</f>
        <v>11</v>
      </c>
      <c r="J24" s="2"/>
    </row>
    <row r="25" customFormat="false" ht="15" hidden="false" customHeight="false" outlineLevel="0" collapsed="false">
      <c r="A25" s="11" t="str">
        <f aca="false">TRIB!A21</f>
        <v>C20</v>
      </c>
      <c r="B25" s="11" t="str">
        <f aca="false">TRIB!D21</f>
        <v>A</v>
      </c>
      <c r="C25" s="4" t="str">
        <f aca="false">IF(COUNTIF(TRIB!$E21:$P21,"&gt;0")=0,"",INDEX(TRIB!$E$1:$P$1,SUMPRODUCT(MAX((TRIB!$E21:$P21&lt;&gt;"")*(COLUMN(TRIB!$E21:$P21)-COLUMN(TRIB!$E21)+1)))))</f>
        <v>1</v>
      </c>
      <c r="D25" s="10" t="n">
        <f aca="false">IFERROR(INDEX(PU!$E21:$P21,MATCH(C25,TRIB!$E$1:$P$1,0)),"")</f>
        <v>948.9216</v>
      </c>
      <c r="E25" s="4" t="str">
        <f aca="false">IFERROR(INDEX(ARCH!$E21:$P21,MATCH(C25,TRIB!$E$1:$P$1,0)),"")</f>
        <v>14x36</v>
      </c>
      <c r="F25" s="12" t="n">
        <f aca="false">IFERROR(INDEX(RHO_ARCH!$E21:$P21,MATCH(C25,TRIB!$E$1:$P$1,0)),"")</f>
        <v>-0.0269447613709909</v>
      </c>
      <c r="G25" s="4" t="str">
        <f aca="false">IFERROR(INDEX(STATUS!$E21:$P21,MATCH(C25,TRIB!$E$1:$P$1,0)),"")</f>
        <v>OK</v>
      </c>
      <c r="H25" s="4" t="str">
        <f aca="false">IFERROR(INDEX(RECOMMEND!$E21:$P21,MATCH(C25,TRIB!$E$1:$P$1,0)),"")</f>
        <v>14x24</v>
      </c>
      <c r="I25" s="10" t="n">
        <f aca="false">COUNTIF(TRIB!$E21:$P21,"&gt;0")</f>
        <v>11</v>
      </c>
      <c r="J25" s="2"/>
    </row>
    <row r="26" customFormat="false" ht="15" hidden="false" customHeight="false" outlineLevel="0" collapsed="false">
      <c r="A26" s="11" t="str">
        <f aca="false">TRIB!A22</f>
        <v>C21</v>
      </c>
      <c r="B26" s="11" t="str">
        <f aca="false">TRIB!D22</f>
        <v>A</v>
      </c>
      <c r="C26" s="4" t="str">
        <f aca="false">IF(COUNTIF(TRIB!$E22:$P22,"&gt;0")=0,"",INDEX(TRIB!$E$1:$P$1,SUMPRODUCT(MAX((TRIB!$E22:$P22&lt;&gt;"")*(COLUMN(TRIB!$E22:$P22)-COLUMN(TRIB!$E22)+1)))))</f>
        <v>1</v>
      </c>
      <c r="D26" s="10" t="n">
        <f aca="false">IFERROR(INDEX(PU!$E22:$P22,MATCH(C26,TRIB!$E$1:$P$1,0)),"")</f>
        <v>961.592</v>
      </c>
      <c r="E26" s="4" t="str">
        <f aca="false">IFERROR(INDEX(ARCH!$E22:$P22,MATCH(C26,TRIB!$E$1:$P$1,0)),"")</f>
        <v>14x36</v>
      </c>
      <c r="F26" s="12" t="n">
        <f aca="false">IFERROR(INDEX(RHO_ARCH!$E22:$P22,MATCH(C26,TRIB!$E$1:$P$1,0)),"")</f>
        <v>-0.0260641503810903</v>
      </c>
      <c r="G26" s="4" t="str">
        <f aca="false">IFERROR(INDEX(STATUS!$E22:$P22,MATCH(C26,TRIB!$E$1:$P$1,0)),"")</f>
        <v>OK</v>
      </c>
      <c r="H26" s="4" t="str">
        <f aca="false">IFERROR(INDEX(RECOMMEND!$E22:$P22,MATCH(C26,TRIB!$E$1:$P$1,0)),"")</f>
        <v>14x24</v>
      </c>
      <c r="I26" s="10" t="n">
        <f aca="false">COUNTIF(TRIB!$E22:$P22,"&gt;0")</f>
        <v>11</v>
      </c>
      <c r="J26" s="2"/>
    </row>
    <row r="27" customFormat="false" ht="15" hidden="false" customHeight="false" outlineLevel="0" collapsed="false">
      <c r="A27" s="11" t="str">
        <f aca="false">TRIB!A23</f>
        <v>C22</v>
      </c>
      <c r="B27" s="11" t="str">
        <f aca="false">TRIB!D23</f>
        <v>A</v>
      </c>
      <c r="C27" s="4" t="str">
        <f aca="false">IF(COUNTIF(TRIB!$E23:$P23,"&gt;0")=0,"",INDEX(TRIB!$E$1:$P$1,SUMPRODUCT(MAX((TRIB!$E23:$P23&lt;&gt;"")*(COLUMN(TRIB!$E23:$P23)-COLUMN(TRIB!$E23)+1)))))</f>
        <v>1</v>
      </c>
      <c r="D27" s="10" t="n">
        <f aca="false">IFERROR(INDEX(PU!$E23:$P23,MATCH(C27,TRIB!$E$1:$P$1,0)),"")</f>
        <v>977.728</v>
      </c>
      <c r="E27" s="4" t="str">
        <f aca="false">IFERROR(INDEX(ARCH!$E23:$P23,MATCH(C27,TRIB!$E$1:$P$1,0)),"")</f>
        <v>14x36</v>
      </c>
      <c r="F27" s="12" t="n">
        <f aca="false">IFERROR(INDEX(RHO_ARCH!$E23:$P23,MATCH(C27,TRIB!$E$1:$P$1,0)),"")</f>
        <v>-0.0249426752158993</v>
      </c>
      <c r="G27" s="4" t="str">
        <f aca="false">IFERROR(INDEX(STATUS!$E23:$P23,MATCH(C27,TRIB!$E$1:$P$1,0)),"")</f>
        <v>OK</v>
      </c>
      <c r="H27" s="4" t="str">
        <f aca="false">IFERROR(INDEX(RECOMMEND!$E23:$P23,MATCH(C27,TRIB!$E$1:$P$1,0)),"")</f>
        <v>14x24</v>
      </c>
      <c r="I27" s="10" t="n">
        <f aca="false">COUNTIF(TRIB!$E23:$P23,"&gt;0")</f>
        <v>11</v>
      </c>
      <c r="J27" s="2"/>
    </row>
    <row r="28" customFormat="false" ht="15" hidden="false" customHeight="false" outlineLevel="0" collapsed="false">
      <c r="A28" s="11" t="str">
        <f aca="false">TRIB!A24</f>
        <v>C23</v>
      </c>
      <c r="B28" s="11" t="str">
        <f aca="false">TRIB!D24</f>
        <v>A</v>
      </c>
      <c r="C28" s="4" t="str">
        <f aca="false">IF(COUNTIF(TRIB!$E24:$P24,"&gt;0")=0,"",INDEX(TRIB!$E$1:$P$1,SUMPRODUCT(MAX((TRIB!$E24:$P24&lt;&gt;"")*(COLUMN(TRIB!$E24:$P24)-COLUMN(TRIB!$E24)+1)))))</f>
        <v>1</v>
      </c>
      <c r="D28" s="10" t="n">
        <f aca="false">IFERROR(INDEX(PU!$E24:$P24,MATCH(C28,TRIB!$E$1:$P$1,0)),"")</f>
        <v>719.556</v>
      </c>
      <c r="E28" s="4" t="str">
        <f aca="false">IFERROR(INDEX(ARCH!$E24:$P24,MATCH(C28,TRIB!$E$1:$P$1,0)),"")</f>
        <v>14x24</v>
      </c>
      <c r="F28" s="12" t="n">
        <f aca="false">IFERROR(INDEX(RHO_ARCH!$E24:$P24,MATCH(C28,TRIB!$E$1:$P$1,0)),"")</f>
        <v>-0.0178809123481255</v>
      </c>
      <c r="G28" s="4" t="str">
        <f aca="false">IFERROR(INDEX(STATUS!$E24:$P24,MATCH(C28,TRIB!$E$1:$P$1,0)),"")</f>
        <v>OK</v>
      </c>
      <c r="H28" s="4" t="str">
        <f aca="false">IFERROR(INDEX(RECOMMEND!$E24:$P24,MATCH(C28,TRIB!$E$1:$P$1,0)),"")</f>
        <v>14x24</v>
      </c>
      <c r="I28" s="10" t="n">
        <f aca="false">COUNTIF(TRIB!$E24:$P24,"&gt;0")</f>
        <v>11</v>
      </c>
      <c r="J28" s="2"/>
    </row>
    <row r="29" customFormat="false" ht="15" hidden="false" customHeight="false" outlineLevel="0" collapsed="false">
      <c r="A29" s="11" t="str">
        <f aca="false">TRIB!A25</f>
        <v>C24</v>
      </c>
      <c r="B29" s="11" t="str">
        <f aca="false">TRIB!D25</f>
        <v>A</v>
      </c>
      <c r="C29" s="4" t="str">
        <f aca="false">IF(COUNTIF(TRIB!$E25:$P25,"&gt;0")=0,"",INDEX(TRIB!$E$1:$P$1,SUMPRODUCT(MAX((TRIB!$E25:$P25&lt;&gt;"")*(COLUMN(TRIB!$E25:$P25)-COLUMN(TRIB!$E25)+1)))))</f>
        <v>1</v>
      </c>
      <c r="D29" s="10" t="n">
        <f aca="false">IFERROR(INDEX(PU!$E25:$P25,MATCH(C29,TRIB!$E$1:$P$1,0)),"")</f>
        <v>672.413868548892</v>
      </c>
      <c r="E29" s="4" t="str">
        <f aca="false">IFERROR(INDEX(ARCH!$E25:$P25,MATCH(C29,TRIB!$E$1:$P$1,0)),"")</f>
        <v>14x24</v>
      </c>
      <c r="F29" s="12" t="n">
        <f aca="false">IFERROR(INDEX(RHO_ARCH!$E25:$P25,MATCH(C29,TRIB!$E$1:$P$1,0)),"")</f>
        <v>-0.0227955810693006</v>
      </c>
      <c r="G29" s="4" t="str">
        <f aca="false">IFERROR(INDEX(STATUS!$E25:$P25,MATCH(C29,TRIB!$E$1:$P$1,0)),"")</f>
        <v>OK</v>
      </c>
      <c r="H29" s="4" t="str">
        <f aca="false">IFERROR(INDEX(RECOMMEND!$E25:$P25,MATCH(C29,TRIB!$E$1:$P$1,0)),"")</f>
        <v>14x24</v>
      </c>
      <c r="I29" s="10" t="n">
        <f aca="false">COUNTIF(TRIB!$E25:$P25,"&gt;0")</f>
        <v>11</v>
      </c>
      <c r="J29" s="2"/>
    </row>
    <row r="30" customFormat="false" ht="15" hidden="false" customHeight="false" outlineLevel="0" collapsed="false">
      <c r="A30" s="11" t="str">
        <f aca="false">TRIB!A26</f>
        <v>C25</v>
      </c>
      <c r="B30" s="11" t="str">
        <f aca="false">TRIB!D26</f>
        <v>A</v>
      </c>
      <c r="C30" s="4" t="str">
        <f aca="false">IF(COUNTIF(TRIB!$E26:$P26,"&gt;0")=0,"",INDEX(TRIB!$E$1:$P$1,SUMPRODUCT(MAX((TRIB!$E26:$P26&lt;&gt;"")*(COLUMN(TRIB!$E26:$P26)-COLUMN(TRIB!$E26)+1)))))</f>
        <v>1</v>
      </c>
      <c r="D30" s="10" t="n">
        <f aca="false">IFERROR(INDEX(PU!$E26:$P26,MATCH(C30,TRIB!$E$1:$P$1,0)),"")</f>
        <v>954.508</v>
      </c>
      <c r="E30" s="4" t="str">
        <f aca="false">IFERROR(INDEX(ARCH!$E26:$P26,MATCH(C30,TRIB!$E$1:$P$1,0)),"")</f>
        <v>14x36</v>
      </c>
      <c r="F30" s="12" t="n">
        <f aca="false">IFERROR(INDEX(RHO_ARCH!$E26:$P26,MATCH(C30,TRIB!$E$1:$P$1,0)),"")</f>
        <v>-0.0265564985510341</v>
      </c>
      <c r="G30" s="4" t="str">
        <f aca="false">IFERROR(INDEX(STATUS!$E26:$P26,MATCH(C30,TRIB!$E$1:$P$1,0)),"")</f>
        <v>OK</v>
      </c>
      <c r="H30" s="4" t="str">
        <f aca="false">IFERROR(INDEX(RECOMMEND!$E26:$P26,MATCH(C30,TRIB!$E$1:$P$1,0)),"")</f>
        <v>14x24</v>
      </c>
      <c r="I30" s="10" t="n">
        <f aca="false">COUNTIF(TRIB!$E26:$P26,"&gt;0")</f>
        <v>11</v>
      </c>
      <c r="J30" s="2"/>
    </row>
    <row r="31" customFormat="false" ht="15" hidden="false" customHeight="false" outlineLevel="0" collapsed="false">
      <c r="A31" s="11" t="str">
        <f aca="false">TRIB!A27</f>
        <v>C26</v>
      </c>
      <c r="B31" s="11" t="str">
        <f aca="false">TRIB!D27</f>
        <v>A</v>
      </c>
      <c r="C31" s="4" t="str">
        <f aca="false">IF(COUNTIF(TRIB!$E27:$P27,"&gt;0")=0,"",INDEX(TRIB!$E$1:$P$1,SUMPRODUCT(MAX((TRIB!$E27:$P27&lt;&gt;"")*(COLUMN(TRIB!$E27:$P27)-COLUMN(TRIB!$E27)+1)))))</f>
        <v>1</v>
      </c>
      <c r="D31" s="10" t="n">
        <f aca="false">IFERROR(INDEX(PU!$E27:$P27,MATCH(C31,TRIB!$E$1:$P$1,0)),"")</f>
        <v>458.417690829518</v>
      </c>
      <c r="E31" s="4" t="str">
        <f aca="false">IFERROR(INDEX(ARCH!$E27:$P27,MATCH(C31,TRIB!$E$1:$P$1,0)),"")</f>
        <v>14x24</v>
      </c>
      <c r="F31" s="12" t="n">
        <f aca="false">IFERROR(INDEX(RHO_ARCH!$E27:$P27,MATCH(C31,TRIB!$E$1:$P$1,0)),"")</f>
        <v>-0.0451051434228653</v>
      </c>
      <c r="G31" s="4" t="str">
        <f aca="false">IFERROR(INDEX(STATUS!$E27:$P27,MATCH(C31,TRIB!$E$1:$P$1,0)),"")</f>
        <v>OK</v>
      </c>
      <c r="H31" s="4" t="str">
        <f aca="false">IFERROR(INDEX(RECOMMEND!$E27:$P27,MATCH(C31,TRIB!$E$1:$P$1,0)),"")</f>
        <v>14x24</v>
      </c>
      <c r="I31" s="10" t="n">
        <f aca="false">COUNTIF(TRIB!$E27:$P27,"&gt;0")</f>
        <v>11</v>
      </c>
      <c r="J31" s="2"/>
    </row>
    <row r="32" customFormat="false" ht="15" hidden="false" customHeight="false" outlineLevel="0" collapsed="false">
      <c r="A32" s="11" t="str">
        <f aca="false">TRIB!A28</f>
        <v>C27</v>
      </c>
      <c r="B32" s="11" t="str">
        <f aca="false">TRIB!D28</f>
        <v>A</v>
      </c>
      <c r="C32" s="4" t="str">
        <f aca="false">IF(COUNTIF(TRIB!$E28:$P28,"&gt;0")=0,"",INDEX(TRIB!$E$1:$P$1,SUMPRODUCT(MAX((TRIB!$E28:$P28&lt;&gt;"")*(COLUMN(TRIB!$E28:$P28)-COLUMN(TRIB!$E28)+1)))))</f>
        <v>1</v>
      </c>
      <c r="D32" s="10" t="n">
        <f aca="false">IFERROR(INDEX(PU!$E28:$P28,MATCH(C32,TRIB!$E$1:$P$1,0)),"")</f>
        <v>722.204</v>
      </c>
      <c r="E32" s="4" t="str">
        <f aca="false">IFERROR(INDEX(ARCH!$E28:$P28,MATCH(C32,TRIB!$E$1:$P$1,0)),"")</f>
        <v>14x36</v>
      </c>
      <c r="F32" s="12" t="n">
        <f aca="false">IFERROR(INDEX(RHO_ARCH!$E28:$P28,MATCH(C32,TRIB!$E$1:$P$1,0)),"")</f>
        <v>-0.0427019600516868</v>
      </c>
      <c r="G32" s="4" t="str">
        <f aca="false">IFERROR(INDEX(STATUS!$E28:$P28,MATCH(C32,TRIB!$E$1:$P$1,0)),"")</f>
        <v>OK</v>
      </c>
      <c r="H32" s="4" t="str">
        <f aca="false">IFERROR(INDEX(RECOMMEND!$E28:$P28,MATCH(C32,TRIB!$E$1:$P$1,0)),"")</f>
        <v>14x24</v>
      </c>
      <c r="I32" s="10" t="n">
        <f aca="false">COUNTIF(TRIB!$E28:$P28,"&gt;0")</f>
        <v>11</v>
      </c>
      <c r="J32" s="2"/>
    </row>
    <row r="33" customFormat="false" ht="15" hidden="false" customHeight="false" outlineLevel="0" collapsed="false">
      <c r="A33" s="11" t="str">
        <f aca="false">TRIB!A29</f>
        <v>C28</v>
      </c>
      <c r="B33" s="11" t="str">
        <f aca="false">TRIB!D29</f>
        <v>A</v>
      </c>
      <c r="C33" s="4" t="str">
        <f aca="false">IF(COUNTIF(TRIB!$E29:$P29,"&gt;0")=0,"",INDEX(TRIB!$E$1:$P$1,SUMPRODUCT(MAX((TRIB!$E29:$P29&lt;&gt;"")*(COLUMN(TRIB!$E29:$P29)-COLUMN(TRIB!$E29)+1)))))</f>
        <v>1</v>
      </c>
      <c r="D33" s="10" t="n">
        <f aca="false">IFERROR(INDEX(PU!$E29:$P29,MATCH(C33,TRIB!$E$1:$P$1,0)),"")</f>
        <v>1018.716</v>
      </c>
      <c r="E33" s="4" t="str">
        <f aca="false">IFERROR(INDEX(ARCH!$E29:$P29,MATCH(C33,TRIB!$E$1:$P$1,0)),"")</f>
        <v>14x36</v>
      </c>
      <c r="F33" s="12" t="n">
        <f aca="false">IFERROR(INDEX(RHO_ARCH!$E29:$P29,MATCH(C33,TRIB!$E$1:$P$1,0)),"")</f>
        <v>-0.0220939503726389</v>
      </c>
      <c r="G33" s="4" t="str">
        <f aca="false">IFERROR(INDEX(STATUS!$E29:$P29,MATCH(C33,TRIB!$E$1:$P$1,0)),"")</f>
        <v>OK</v>
      </c>
      <c r="H33" s="4" t="str">
        <f aca="false">IFERROR(INDEX(RECOMMEND!$E29:$P29,MATCH(C33,TRIB!$E$1:$P$1,0)),"")</f>
        <v>14x24</v>
      </c>
      <c r="I33" s="10" t="n">
        <f aca="false">COUNTIF(TRIB!$E29:$P29,"&gt;0")</f>
        <v>11</v>
      </c>
      <c r="J33" s="2"/>
    </row>
    <row r="34" customFormat="false" ht="15" hidden="false" customHeight="false" outlineLevel="0" collapsed="false">
      <c r="A34" s="11" t="str">
        <f aca="false">TRIB!A30</f>
        <v>C29</v>
      </c>
      <c r="B34" s="11" t="str">
        <f aca="false">TRIB!D30</f>
        <v>A</v>
      </c>
      <c r="C34" s="4" t="str">
        <f aca="false">IF(COUNTIF(TRIB!$E30:$P30,"&gt;0")=0,"",INDEX(TRIB!$E$1:$P$1,SUMPRODUCT(MAX((TRIB!$E30:$P30&lt;&gt;"")*(COLUMN(TRIB!$E30:$P30)-COLUMN(TRIB!$E30)+1)))))</f>
        <v>1</v>
      </c>
      <c r="D34" s="10" t="n">
        <f aca="false">IFERROR(INDEX(PU!$E30:$P30,MATCH(C34,TRIB!$E$1:$P$1,0)),"")</f>
        <v>603.556549009006</v>
      </c>
      <c r="E34" s="4" t="str">
        <f aca="false">IFERROR(INDEX(ARCH!$E30:$P30,MATCH(C34,TRIB!$E$1:$P$1,0)),"")</f>
        <v>14x24</v>
      </c>
      <c r="F34" s="12" t="n">
        <f aca="false">IFERROR(INDEX(RHO_ARCH!$E30:$P30,MATCH(C34,TRIB!$E$1:$P$1,0)),"")</f>
        <v>-0.0299741049109221</v>
      </c>
      <c r="G34" s="4" t="str">
        <f aca="false">IFERROR(INDEX(STATUS!$E30:$P30,MATCH(C34,TRIB!$E$1:$P$1,0)),"")</f>
        <v>OK</v>
      </c>
      <c r="H34" s="4" t="str">
        <f aca="false">IFERROR(INDEX(RECOMMEND!$E30:$P30,MATCH(C34,TRIB!$E$1:$P$1,0)),"")</f>
        <v>14x24</v>
      </c>
      <c r="I34" s="10" t="n">
        <f aca="false">COUNTIF(TRIB!$E30:$P30,"&gt;0")</f>
        <v>11</v>
      </c>
      <c r="J34" s="2"/>
    </row>
    <row r="35" customFormat="false" ht="15" hidden="false" customHeight="false" outlineLevel="0" collapsed="false">
      <c r="A35" s="11" t="str">
        <f aca="false">TRIB!A31</f>
        <v>C30</v>
      </c>
      <c r="B35" s="11" t="str">
        <f aca="false">TRIB!D31</f>
        <v>A</v>
      </c>
      <c r="C35" s="4" t="str">
        <f aca="false">IF(COUNTIF(TRIB!$E31:$P31,"&gt;0")=0,"",INDEX(TRIB!$E$1:$P$1,SUMPRODUCT(MAX((TRIB!$E31:$P31&lt;&gt;"")*(COLUMN(TRIB!$E31:$P31)-COLUMN(TRIB!$E31)+1)))))</f>
        <v>1</v>
      </c>
      <c r="D35" s="10" t="n">
        <f aca="false">IFERROR(INDEX(PU!$E31:$P31,MATCH(C35,TRIB!$E$1:$P$1,0)),"")</f>
        <v>452.474689396174</v>
      </c>
      <c r="E35" s="4" t="str">
        <f aca="false">IFERROR(INDEX(ARCH!$E31:$P31,MATCH(C35,TRIB!$E$1:$P$1,0)),"")</f>
        <v>14x36</v>
      </c>
      <c r="F35" s="12" t="n">
        <f aca="false">IFERROR(INDEX(RHO_ARCH!$E31:$P31,MATCH(C35,TRIB!$E$1:$P$1,0)),"")</f>
        <v>-0.0614485343678918</v>
      </c>
      <c r="G35" s="4" t="str">
        <f aca="false">IFERROR(INDEX(STATUS!$E31:$P31,MATCH(C35,TRIB!$E$1:$P$1,0)),"")</f>
        <v>OK</v>
      </c>
      <c r="H35" s="4" t="str">
        <f aca="false">IFERROR(INDEX(RECOMMEND!$E31:$P31,MATCH(C35,TRIB!$E$1:$P$1,0)),"")</f>
        <v>14x24</v>
      </c>
      <c r="I35" s="10" t="n">
        <f aca="false">COUNTIF(TRIB!$E31:$P31,"&gt;0")</f>
        <v>11</v>
      </c>
      <c r="J35" s="2"/>
    </row>
    <row r="36" customFormat="false" ht="15" hidden="false" customHeight="false" outlineLevel="0" collapsed="false">
      <c r="A36" s="11" t="str">
        <f aca="false">TRIB!A32</f>
        <v>C31</v>
      </c>
      <c r="B36" s="11" t="str">
        <f aca="false">TRIB!D32</f>
        <v>A</v>
      </c>
      <c r="C36" s="4" t="str">
        <f aca="false">IF(COUNTIF(TRIB!$E32:$P32,"&gt;0")=0,"",INDEX(TRIB!$E$1:$P$1,SUMPRODUCT(MAX((TRIB!$E32:$P32&lt;&gt;"")*(COLUMN(TRIB!$E32:$P32)-COLUMN(TRIB!$E32)+1)))))</f>
        <v>1</v>
      </c>
      <c r="D36" s="10" t="n">
        <f aca="false">IFERROR(INDEX(PU!$E32:$P32,MATCH(C36,TRIB!$E$1:$P$1,0)),"")</f>
        <v>945.952</v>
      </c>
      <c r="E36" s="4" t="str">
        <f aca="false">IFERROR(INDEX(ARCH!$E32:$P32,MATCH(C36,TRIB!$E$1:$P$1,0)),"")</f>
        <v>14x36</v>
      </c>
      <c r="F36" s="12" t="n">
        <f aca="false">IFERROR(INDEX(RHO_ARCH!$E32:$P32,MATCH(C36,TRIB!$E$1:$P$1,0)),"")</f>
        <v>-0.0271511528342129</v>
      </c>
      <c r="G36" s="4" t="str">
        <f aca="false">IFERROR(INDEX(STATUS!$E32:$P32,MATCH(C36,TRIB!$E$1:$P$1,0)),"")</f>
        <v>OK</v>
      </c>
      <c r="H36" s="4" t="str">
        <f aca="false">IFERROR(INDEX(RECOMMEND!$E32:$P32,MATCH(C36,TRIB!$E$1:$P$1,0)),"")</f>
        <v>14x24</v>
      </c>
      <c r="I36" s="10" t="n">
        <f aca="false">COUNTIF(TRIB!$E32:$P32,"&gt;0")</f>
        <v>11</v>
      </c>
      <c r="J36" s="2"/>
    </row>
    <row r="37" customFormat="false" ht="15" hidden="false" customHeight="false" outlineLevel="0" collapsed="false">
      <c r="A37" s="11" t="str">
        <f aca="false">TRIB!A33</f>
        <v>C32</v>
      </c>
      <c r="B37" s="11" t="str">
        <f aca="false">TRIB!D33</f>
        <v>A</v>
      </c>
      <c r="C37" s="4" t="str">
        <f aca="false">IF(COUNTIF(TRIB!$E33:$P33,"&gt;0")=0,"",INDEX(TRIB!$E$1:$P$1,SUMPRODUCT(MAX((TRIB!$E33:$P33&lt;&gt;"")*(COLUMN(TRIB!$E33:$P33)-COLUMN(TRIB!$E33)+1)))))</f>
        <v>1</v>
      </c>
      <c r="D37" s="10" t="n">
        <f aca="false">IFERROR(INDEX(PU!$E33:$P33,MATCH(C37,TRIB!$E$1:$P$1,0)),"")</f>
        <v>897.945</v>
      </c>
      <c r="E37" s="4" t="str">
        <f aca="false">IFERROR(INDEX(ARCH!$E33:$P33,MATCH(C37,TRIB!$E$1:$P$1,0)),"")</f>
        <v>14x36</v>
      </c>
      <c r="F37" s="12" t="n">
        <f aca="false">IFERROR(INDEX(RHO_ARCH!$E33:$P33,MATCH(C37,TRIB!$E$1:$P$1,0)),"")</f>
        <v>-0.0304877082541017</v>
      </c>
      <c r="G37" s="4" t="str">
        <f aca="false">IFERROR(INDEX(STATUS!$E33:$P33,MATCH(C37,TRIB!$E$1:$P$1,0)),"")</f>
        <v>OK</v>
      </c>
      <c r="H37" s="4" t="str">
        <f aca="false">IFERROR(INDEX(RECOMMEND!$E33:$P33,MATCH(C37,TRIB!$E$1:$P$1,0)),"")</f>
        <v>14x24</v>
      </c>
      <c r="I37" s="10" t="n">
        <f aca="false">COUNTIF(TRIB!$E33:$P33,"&gt;0")</f>
        <v>11</v>
      </c>
      <c r="J37" s="2"/>
    </row>
    <row r="38" customFormat="false" ht="15" hidden="false" customHeight="false" outlineLevel="0" collapsed="false">
      <c r="A38" s="11" t="str">
        <f aca="false">TRIB!A34</f>
        <v>C33</v>
      </c>
      <c r="B38" s="11" t="str">
        <f aca="false">TRIB!D34</f>
        <v>A</v>
      </c>
      <c r="C38" s="4" t="str">
        <f aca="false">IF(COUNTIF(TRIB!$E34:$P34,"&gt;0")=0,"",INDEX(TRIB!$E$1:$P$1,SUMPRODUCT(MAX((TRIB!$E34:$P34&lt;&gt;"")*(COLUMN(TRIB!$E34:$P34)-COLUMN(TRIB!$E34)+1)))))</f>
        <v>1</v>
      </c>
      <c r="D38" s="10" t="n">
        <f aca="false">IFERROR(INDEX(PU!$E34:$P34,MATCH(C38,TRIB!$E$1:$P$1,0)),"")</f>
        <v>653.313585194973</v>
      </c>
      <c r="E38" s="4" t="str">
        <f aca="false">IFERROR(INDEX(ARCH!$E34:$P34,MATCH(C38,TRIB!$E$1:$P$1,0)),"")</f>
        <v>14x36</v>
      </c>
      <c r="F38" s="12" t="n">
        <f aca="false">IFERROR(INDEX(RHO_ARCH!$E34:$P34,MATCH(C38,TRIB!$E$1:$P$1,0)),"")</f>
        <v>-0.0474899427812074</v>
      </c>
      <c r="G38" s="4" t="str">
        <f aca="false">IFERROR(INDEX(STATUS!$E34:$P34,MATCH(C38,TRIB!$E$1:$P$1,0)),"")</f>
        <v>OK</v>
      </c>
      <c r="H38" s="4" t="str">
        <f aca="false">IFERROR(INDEX(RECOMMEND!$E34:$P34,MATCH(C38,TRIB!$E$1:$P$1,0)),"")</f>
        <v>14x24</v>
      </c>
      <c r="I38" s="10" t="n">
        <f aca="false">COUNTIF(TRIB!$E34:$P34,"&gt;0")</f>
        <v>11</v>
      </c>
      <c r="J38" s="2"/>
    </row>
    <row r="39" customFormat="false" ht="15" hidden="false" customHeight="false" outlineLevel="0" collapsed="false">
      <c r="A39" s="11" t="str">
        <f aca="false">TRIB!A35</f>
        <v>C34</v>
      </c>
      <c r="B39" s="11" t="str">
        <f aca="false">TRIB!D35</f>
        <v>A</v>
      </c>
      <c r="C39" s="4" t="str">
        <f aca="false">IF(COUNTIF(TRIB!$E35:$P35,"&gt;0")=0,"",INDEX(TRIB!$E$1:$P$1,SUMPRODUCT(MAX((TRIB!$E35:$P35&lt;&gt;"")*(COLUMN(TRIB!$E35:$P35)-COLUMN(TRIB!$E35)+1)))))</f>
        <v>1</v>
      </c>
      <c r="D39" s="10" t="n">
        <f aca="false">IFERROR(INDEX(PU!$E35:$P35,MATCH(C39,TRIB!$E$1:$P$1,0)),"")</f>
        <v>770.935</v>
      </c>
      <c r="E39" s="4" t="str">
        <f aca="false">IFERROR(INDEX(ARCH!$E35:$P35,MATCH(C39,TRIB!$E$1:$P$1,0)),"")</f>
        <v>14x36</v>
      </c>
      <c r="F39" s="12" t="n">
        <f aca="false">IFERROR(INDEX(RHO_ARCH!$E35:$P35,MATCH(C39,TRIB!$E$1:$P$1,0)),"")</f>
        <v>-0.039315085592408</v>
      </c>
      <c r="G39" s="4" t="str">
        <f aca="false">IFERROR(INDEX(STATUS!$E35:$P35,MATCH(C39,TRIB!$E$1:$P$1,0)),"")</f>
        <v>OK</v>
      </c>
      <c r="H39" s="4" t="str">
        <f aca="false">IFERROR(INDEX(RECOMMEND!$E35:$P35,MATCH(C39,TRIB!$E$1:$P$1,0)),"")</f>
        <v>14x24</v>
      </c>
      <c r="I39" s="10" t="n">
        <f aca="false">COUNTIF(TRIB!$E35:$P35,"&gt;0")</f>
        <v>10</v>
      </c>
      <c r="J39" s="2"/>
    </row>
    <row r="40" customFormat="false" ht="15" hidden="false" customHeight="false" outlineLevel="0" collapsed="false">
      <c r="A40" s="11" t="str">
        <f aca="false">TRIB!A36</f>
        <v>C35</v>
      </c>
      <c r="B40" s="11" t="str">
        <f aca="false">TRIB!D36</f>
        <v>A</v>
      </c>
      <c r="C40" s="4" t="str">
        <f aca="false">IF(COUNTIF(TRIB!$E36:$P36,"&gt;0")=0,"",INDEX(TRIB!$E$1:$P$1,SUMPRODUCT(MAX((TRIB!$E36:$P36&lt;&gt;"")*(COLUMN(TRIB!$E36:$P36)-COLUMN(TRIB!$E36)+1)))))</f>
        <v>1</v>
      </c>
      <c r="D40" s="10" t="n">
        <f aca="false">IFERROR(INDEX(PU!$E36:$P36,MATCH(C40,TRIB!$E$1:$P$1,0)),"")</f>
        <v>1302.292</v>
      </c>
      <c r="E40" s="4" t="str">
        <f aca="false">IFERROR(INDEX(ARCH!$E36:$P36,MATCH(C40,TRIB!$E$1:$P$1,0)),"")</f>
        <v>14x36</v>
      </c>
      <c r="F40" s="12" t="n">
        <f aca="false">IFERROR(INDEX(RHO_ARCH!$E36:$P36,MATCH(C40,TRIB!$E$1:$P$1,0)),"")</f>
        <v>-0.00238501126479267</v>
      </c>
      <c r="G40" s="4" t="str">
        <f aca="false">IFERROR(INDEX(STATUS!$E36:$P36,MATCH(C40,TRIB!$E$1:$P$1,0)),"")</f>
        <v>OK</v>
      </c>
      <c r="H40" s="4" t="str">
        <f aca="false">IFERROR(INDEX(RECOMMEND!$E36:$P36,MATCH(C40,TRIB!$E$1:$P$1,0)),"")</f>
        <v>14x30</v>
      </c>
      <c r="I40" s="10" t="n">
        <f aca="false">COUNTIF(TRIB!$E36:$P36,"&gt;0")</f>
        <v>11</v>
      </c>
      <c r="J40" s="2"/>
    </row>
    <row r="41" customFormat="false" ht="15" hidden="false" customHeight="false" outlineLevel="0" collapsed="false">
      <c r="A41" s="11" t="str">
        <f aca="false">TRIB!A37</f>
        <v>C36</v>
      </c>
      <c r="B41" s="11" t="str">
        <f aca="false">TRIB!D37</f>
        <v>A</v>
      </c>
      <c r="C41" s="4" t="str">
        <f aca="false">IF(COUNTIF(TRIB!$E37:$P37,"&gt;0")=0,"",INDEX(TRIB!$E$1:$P$1,SUMPRODUCT(MAX((TRIB!$E37:$P37&lt;&gt;"")*(COLUMN(TRIB!$E37:$P37)-COLUMN(TRIB!$E37)+1)))))</f>
        <v>1</v>
      </c>
      <c r="D41" s="10" t="n">
        <f aca="false">IFERROR(INDEX(PU!$E37:$P37,MATCH(C41,TRIB!$E$1:$P$1,0)),"")</f>
        <v>681.78352804315</v>
      </c>
      <c r="E41" s="4" t="str">
        <f aca="false">IFERROR(INDEX(ARCH!$E37:$P37,MATCH(C41,TRIB!$E$1:$P$1,0)),"")</f>
        <v>14x36</v>
      </c>
      <c r="F41" s="12" t="n">
        <f aca="false">IFERROR(INDEX(RHO_ARCH!$E37:$P37,MATCH(C41,TRIB!$E$1:$P$1,0)),"")</f>
        <v>-0.0455112408811927</v>
      </c>
      <c r="G41" s="4" t="str">
        <f aca="false">IFERROR(INDEX(STATUS!$E37:$P37,MATCH(C41,TRIB!$E$1:$P$1,0)),"")</f>
        <v>OK</v>
      </c>
      <c r="H41" s="4" t="str">
        <f aca="false">IFERROR(INDEX(RECOMMEND!$E37:$P37,MATCH(C41,TRIB!$E$1:$P$1,0)),"")</f>
        <v>14x24</v>
      </c>
      <c r="I41" s="10" t="n">
        <f aca="false">COUNTIF(TRIB!$E37:$P37,"&gt;0")</f>
        <v>11</v>
      </c>
      <c r="J41" s="2"/>
    </row>
    <row r="42" customFormat="false" ht="15" hidden="false" customHeight="false" outlineLevel="0" collapsed="false">
      <c r="A42" s="11" t="str">
        <f aca="false">TRIB!A38</f>
        <v>C37</v>
      </c>
      <c r="B42" s="11" t="str">
        <f aca="false">TRIB!D38</f>
        <v>A</v>
      </c>
      <c r="C42" s="4" t="str">
        <f aca="false">IF(COUNTIF(TRIB!$E38:$P38,"&gt;0")=0,"",INDEX(TRIB!$E$1:$P$1,SUMPRODUCT(MAX((TRIB!$E38:$P38&lt;&gt;"")*(COLUMN(TRIB!$E38:$P38)-COLUMN(TRIB!$E38)+1)))))</f>
        <v>1</v>
      </c>
      <c r="D42" s="10" t="n">
        <f aca="false">IFERROR(INDEX(PU!$E38:$P38,MATCH(C42,TRIB!$E$1:$P$1,0)),"")</f>
        <v>554.372933080958</v>
      </c>
      <c r="E42" s="4" t="str">
        <f aca="false">IFERROR(INDEX(ARCH!$E38:$P38,MATCH(C42,TRIB!$E$1:$P$1,0)),"")</f>
        <v>14x24</v>
      </c>
      <c r="F42" s="12" t="n">
        <f aca="false">IFERROR(INDEX(RHO_ARCH!$E38:$P38,MATCH(C42,TRIB!$E$1:$P$1,0)),"")</f>
        <v>-0.0351016027850172</v>
      </c>
      <c r="G42" s="4" t="str">
        <f aca="false">IFERROR(INDEX(STATUS!$E38:$P38,MATCH(C42,TRIB!$E$1:$P$1,0)),"")</f>
        <v>OK</v>
      </c>
      <c r="H42" s="4" t="str">
        <f aca="false">IFERROR(INDEX(RECOMMEND!$E38:$P38,MATCH(C42,TRIB!$E$1:$P$1,0)),"")</f>
        <v>14x24</v>
      </c>
      <c r="I42" s="10" t="n">
        <f aca="false">COUNTIF(TRIB!$E38:$P38,"&gt;0")</f>
        <v>11</v>
      </c>
      <c r="J42" s="2"/>
    </row>
    <row r="43" customFormat="false" ht="15" hidden="false" customHeight="false" outlineLevel="0" collapsed="false">
      <c r="A43" s="11" t="str">
        <f aca="false">TRIB!A39</f>
        <v>C38</v>
      </c>
      <c r="B43" s="11" t="str">
        <f aca="false">TRIB!D39</f>
        <v>A</v>
      </c>
      <c r="C43" s="4" t="str">
        <f aca="false">IF(COUNTIF(TRIB!$E39:$P39,"&gt;0")=0,"",INDEX(TRIB!$E$1:$P$1,SUMPRODUCT(MAX((TRIB!$E39:$P39&lt;&gt;"")*(COLUMN(TRIB!$E39:$P39)-COLUMN(TRIB!$E39)+1)))))</f>
        <v>1</v>
      </c>
      <c r="D43" s="10" t="n">
        <f aca="false">IFERROR(INDEX(PU!$E39:$P39,MATCH(C43,TRIB!$E$1:$P$1,0)),"")</f>
        <v>772.932</v>
      </c>
      <c r="E43" s="4" t="str">
        <f aca="false">IFERROR(INDEX(ARCH!$E39:$P39,MATCH(C43,TRIB!$E$1:$P$1,0)),"")</f>
        <v>14x24</v>
      </c>
      <c r="F43" s="12" t="n">
        <f aca="false">IFERROR(INDEX(RHO_ARCH!$E39:$P39,MATCH(C43,TRIB!$E$1:$P$1,0)),"")</f>
        <v>-0.0123163494065133</v>
      </c>
      <c r="G43" s="4" t="str">
        <f aca="false">IFERROR(INDEX(STATUS!$E39:$P39,MATCH(C43,TRIB!$E$1:$P$1,0)),"")</f>
        <v>OK</v>
      </c>
      <c r="H43" s="4" t="str">
        <f aca="false">IFERROR(INDEX(RECOMMEND!$E39:$P39,MATCH(C43,TRIB!$E$1:$P$1,0)),"")</f>
        <v>14x24</v>
      </c>
      <c r="I43" s="10" t="n">
        <f aca="false">COUNTIF(TRIB!$E39:$P39,"&gt;0")</f>
        <v>11</v>
      </c>
      <c r="J43" s="2"/>
    </row>
    <row r="44" customFormat="false" ht="15" hidden="false" customHeight="false" outlineLevel="0" collapsed="false">
      <c r="A44" s="11" t="str">
        <f aca="false">TRIB!A40</f>
        <v>C39</v>
      </c>
      <c r="B44" s="11" t="str">
        <f aca="false">TRIB!D40</f>
        <v>A</v>
      </c>
      <c r="C44" s="4" t="str">
        <f aca="false">IF(COUNTIF(TRIB!$E40:$P40,"&gt;0")=0,"",INDEX(TRIB!$E$1:$P$1,SUMPRODUCT(MAX((TRIB!$E40:$P40&lt;&gt;"")*(COLUMN(TRIB!$E40:$P40)-COLUMN(TRIB!$E40)+1)))))</f>
        <v>1</v>
      </c>
      <c r="D44" s="10" t="n">
        <f aca="false">IFERROR(INDEX(PU!$E40:$P40,MATCH(C44,TRIB!$E$1:$P$1,0)),"")</f>
        <v>360.338581136304</v>
      </c>
      <c r="E44" s="4" t="str">
        <f aca="false">IFERROR(INDEX(ARCH!$E40:$P40,MATCH(C44,TRIB!$E$1:$P$1,0)),"")</f>
        <v>14x36</v>
      </c>
      <c r="F44" s="12" t="n">
        <f aca="false">IFERROR(INDEX(RHO_ARCH!$E40:$P40,MATCH(C44,TRIB!$E$1:$P$1,0)),"")</f>
        <v>-0.0678521261645449</v>
      </c>
      <c r="G44" s="4" t="str">
        <f aca="false">IFERROR(INDEX(STATUS!$E40:$P40,MATCH(C44,TRIB!$E$1:$P$1,0)),"")</f>
        <v>OK</v>
      </c>
      <c r="H44" s="4" t="str">
        <f aca="false">IFERROR(INDEX(RECOMMEND!$E40:$P40,MATCH(C44,TRIB!$E$1:$P$1,0)),"")</f>
        <v>14x24</v>
      </c>
      <c r="I44" s="10" t="n">
        <f aca="false">COUNTIF(TRIB!$E40:$P40,"&gt;0")</f>
        <v>11</v>
      </c>
      <c r="J44" s="2"/>
    </row>
    <row r="45" customFormat="false" ht="15" hidden="false" customHeight="false" outlineLevel="0" collapsed="false">
      <c r="A45" s="11" t="str">
        <f aca="false">TRIB!A41</f>
        <v>C40</v>
      </c>
      <c r="B45" s="11" t="str">
        <f aca="false">TRIB!D41</f>
        <v>A</v>
      </c>
      <c r="C45" s="4" t="str">
        <f aca="false">IF(COUNTIF(TRIB!$E41:$P41,"&gt;0")=0,"",INDEX(TRIB!$E$1:$P$1,SUMPRODUCT(MAX((TRIB!$E41:$P41&lt;&gt;"")*(COLUMN(TRIB!$E41:$P41)-COLUMN(TRIB!$E41)+1)))))</f>
        <v>1</v>
      </c>
      <c r="D45" s="10" t="n">
        <f aca="false">IFERROR(INDEX(PU!$E41:$P41,MATCH(C45,TRIB!$E$1:$P$1,0)),"")</f>
        <v>421.897042228023</v>
      </c>
      <c r="E45" s="4" t="str">
        <f aca="false">IFERROR(INDEX(ARCH!$E41:$P41,MATCH(C45,TRIB!$E$1:$P$1,0)),"")</f>
        <v>14x36</v>
      </c>
      <c r="F45" s="12" t="n">
        <f aca="false">IFERROR(INDEX(RHO_ARCH!$E41:$P41,MATCH(C45,TRIB!$E$1:$P$1,0)),"")</f>
        <v>-0.0635737247440107</v>
      </c>
      <c r="G45" s="4" t="str">
        <f aca="false">IFERROR(INDEX(STATUS!$E41:$P41,MATCH(C45,TRIB!$E$1:$P$1,0)),"")</f>
        <v>OK</v>
      </c>
      <c r="H45" s="4" t="str">
        <f aca="false">IFERROR(INDEX(RECOMMEND!$E41:$P41,MATCH(C45,TRIB!$E$1:$P$1,0)),"")</f>
        <v>14x24</v>
      </c>
      <c r="I45" s="10" t="n">
        <f aca="false">COUNTIF(TRIB!$E41:$P41,"&gt;0")</f>
        <v>11</v>
      </c>
      <c r="J45" s="2"/>
    </row>
    <row r="46" customFormat="false" ht="15" hidden="false" customHeight="false" outlineLevel="0" collapsed="false">
      <c r="A46" s="11" t="str">
        <f aca="false">TRIB!A42</f>
        <v>C41</v>
      </c>
      <c r="B46" s="11" t="str">
        <f aca="false">TRIB!D42</f>
        <v>A</v>
      </c>
      <c r="C46" s="4" t="str">
        <f aca="false">IF(COUNTIF(TRIB!$E42:$P42,"&gt;0")=0,"",INDEX(TRIB!$E$1:$P$1,SUMPRODUCT(MAX((TRIB!$E42:$P42&lt;&gt;"")*(COLUMN(TRIB!$E42:$P42)-COLUMN(TRIB!$E42)+1)))))</f>
        <v>1</v>
      </c>
      <c r="D46" s="10" t="n">
        <f aca="false">IFERROR(INDEX(PU!$E42:$P42,MATCH(C46,TRIB!$E$1:$P$1,0)),"")</f>
        <v>472.416210161894</v>
      </c>
      <c r="E46" s="4" t="str">
        <f aca="false">IFERROR(INDEX(ARCH!$E42:$P42,MATCH(C46,TRIB!$E$1:$P$1,0)),"")</f>
        <v>14x24</v>
      </c>
      <c r="F46" s="12" t="n">
        <f aca="false">IFERROR(INDEX(RHO_ARCH!$E42:$P42,MATCH(C46,TRIB!$E$1:$P$1,0)),"")</f>
        <v>-0.0436457676375989</v>
      </c>
      <c r="G46" s="4" t="str">
        <f aca="false">IFERROR(INDEX(STATUS!$E42:$P42,MATCH(C46,TRIB!$E$1:$P$1,0)),"")</f>
        <v>OK</v>
      </c>
      <c r="H46" s="4" t="str">
        <f aca="false">IFERROR(INDEX(RECOMMEND!$E42:$P42,MATCH(C46,TRIB!$E$1:$P$1,0)),"")</f>
        <v>14x24</v>
      </c>
      <c r="I46" s="10" t="n">
        <f aca="false">COUNTIF(TRIB!$E42:$P42,"&gt;0")</f>
        <v>11</v>
      </c>
      <c r="J46" s="2"/>
    </row>
    <row r="47" customFormat="false" ht="15" hidden="false" customHeight="false" outlineLevel="0" collapsed="false">
      <c r="A47" s="11" t="str">
        <f aca="false">TRIB!A43</f>
        <v>C42</v>
      </c>
      <c r="B47" s="11" t="str">
        <f aca="false">TRIB!D43</f>
        <v>A</v>
      </c>
      <c r="C47" s="4" t="str">
        <f aca="false">IF(COUNTIF(TRIB!$E43:$P43,"&gt;0")=0,"",INDEX(TRIB!$E$1:$P$1,SUMPRODUCT(MAX((TRIB!$E43:$P43&lt;&gt;"")*(COLUMN(TRIB!$E43:$P43)-COLUMN(TRIB!$E43)+1)))))</f>
        <v>1</v>
      </c>
      <c r="D47" s="10" t="n">
        <f aca="false">IFERROR(INDEX(PU!$E43:$P43,MATCH(C47,TRIB!$E$1:$P$1,0)),"")</f>
        <v>455.970278615262</v>
      </c>
      <c r="E47" s="4" t="str">
        <f aca="false">IFERROR(INDEX(ARCH!$E43:$P43,MATCH(C47,TRIB!$E$1:$P$1,0)),"")</f>
        <v>14x36</v>
      </c>
      <c r="F47" s="12" t="n">
        <f aca="false">IFERROR(INDEX(RHO_ARCH!$E43:$P43,MATCH(C47,TRIB!$E$1:$P$1,0)),"")</f>
        <v>-0.0612055858988216</v>
      </c>
      <c r="G47" s="4" t="str">
        <f aca="false">IFERROR(INDEX(STATUS!$E43:$P43,MATCH(C47,TRIB!$E$1:$P$1,0)),"")</f>
        <v>OK</v>
      </c>
      <c r="H47" s="4" t="str">
        <f aca="false">IFERROR(INDEX(RECOMMEND!$E43:$P43,MATCH(C47,TRIB!$E$1:$P$1,0)),"")</f>
        <v>14x24</v>
      </c>
      <c r="I47" s="10" t="n">
        <f aca="false">COUNTIF(TRIB!$E43:$P43,"&gt;0")</f>
        <v>11</v>
      </c>
      <c r="J47" s="2"/>
    </row>
    <row r="48" customFormat="false" ht="15" hidden="false" customHeight="false" outlineLevel="0" collapsed="false">
      <c r="A48" s="11" t="str">
        <f aca="false">TRIB!A44</f>
        <v>C43</v>
      </c>
      <c r="B48" s="11" t="str">
        <f aca="false">TRIB!D44</f>
        <v>A</v>
      </c>
      <c r="C48" s="4" t="str">
        <f aca="false">IF(COUNTIF(TRIB!$E44:$P44,"&gt;0")=0,"",INDEX(TRIB!$E$1:$P$1,SUMPRODUCT(MAX((TRIB!$E44:$P44&lt;&gt;"")*(COLUMN(TRIB!$E44:$P44)-COLUMN(TRIB!$E44)+1)))))</f>
        <v>1</v>
      </c>
      <c r="D48" s="10" t="n">
        <f aca="false">IFERROR(INDEX(PU!$E44:$P44,MATCH(C48,TRIB!$E$1:$P$1,0)),"")</f>
        <v>1026.5672</v>
      </c>
      <c r="E48" s="4" t="str">
        <f aca="false">IFERROR(INDEX(ARCH!$E44:$P44,MATCH(C48,TRIB!$E$1:$P$1,0)),"")</f>
        <v>14x24</v>
      </c>
      <c r="F48" s="12" t="n">
        <f aca="false">IFERROR(INDEX(RHO_ARCH!$E44:$P44,MATCH(C48,TRIB!$E$1:$P$1,0)),"")</f>
        <v>0.0141256663797647</v>
      </c>
      <c r="G48" s="4" t="str">
        <f aca="false">IFERROR(INDEX(STATUS!$E44:$P44,MATCH(C48,TRIB!$E$1:$P$1,0)),"")</f>
        <v>OK</v>
      </c>
      <c r="H48" s="4" t="str">
        <f aca="false">IFERROR(INDEX(RECOMMEND!$E44:$P44,MATCH(C48,TRIB!$E$1:$P$1,0)),"")</f>
        <v>14x24</v>
      </c>
      <c r="I48" s="10" t="n">
        <f aca="false">COUNTIF(TRIB!$E44:$P44,"&gt;0")</f>
        <v>11</v>
      </c>
      <c r="J48" s="2"/>
    </row>
    <row r="49" customFormat="false" ht="15" hidden="false" customHeight="false" outlineLevel="0" collapsed="false">
      <c r="A49" s="11" t="str">
        <f aca="false">TRIB!A45</f>
        <v>C44</v>
      </c>
      <c r="B49" s="11" t="str">
        <f aca="false">TRIB!D45</f>
        <v>A</v>
      </c>
      <c r="C49" s="4" t="str">
        <f aca="false">IF(COUNTIF(TRIB!$E45:$P45,"&gt;0")=0,"",INDEX(TRIB!$E$1:$P$1,SUMPRODUCT(MAX((TRIB!$E45:$P45&lt;&gt;"")*(COLUMN(TRIB!$E45:$P45)-COLUMN(TRIB!$E45)+1)))))</f>
        <v>1</v>
      </c>
      <c r="D49" s="10" t="n">
        <f aca="false">IFERROR(INDEX(PU!$E45:$P45,MATCH(C49,TRIB!$E$1:$P$1,0)),"")</f>
        <v>504.976193960857</v>
      </c>
      <c r="E49" s="4" t="str">
        <f aca="false">IFERROR(INDEX(ARCH!$E45:$P45,MATCH(C49,TRIB!$E$1:$P$1,0)),"")</f>
        <v>14x24</v>
      </c>
      <c r="F49" s="12" t="n">
        <f aca="false">IFERROR(INDEX(RHO_ARCH!$E45:$P45,MATCH(C49,TRIB!$E$1:$P$1,0)),"")</f>
        <v>-0.0402513192108303</v>
      </c>
      <c r="G49" s="4" t="str">
        <f aca="false">IFERROR(INDEX(STATUS!$E45:$P45,MATCH(C49,TRIB!$E$1:$P$1,0)),"")</f>
        <v>OK</v>
      </c>
      <c r="H49" s="4" t="str">
        <f aca="false">IFERROR(INDEX(RECOMMEND!$E45:$P45,MATCH(C49,TRIB!$E$1:$P$1,0)),"")</f>
        <v>14x24</v>
      </c>
      <c r="I49" s="10" t="n">
        <f aca="false">COUNTIF(TRIB!$E45:$P45,"&gt;0")</f>
        <v>11</v>
      </c>
      <c r="J49" s="2"/>
    </row>
    <row r="50" customFormat="false" ht="15" hidden="false" customHeight="false" outlineLevel="0" collapsed="false">
      <c r="A50" s="11" t="str">
        <f aca="false">TRIB!A46</f>
        <v>C45</v>
      </c>
      <c r="B50" s="11" t="str">
        <f aca="false">TRIB!D46</f>
        <v>A</v>
      </c>
      <c r="C50" s="4" t="str">
        <f aca="false">IF(COUNTIF(TRIB!$E46:$P46,"&gt;0")=0,"",INDEX(TRIB!$E$1:$P$1,SUMPRODUCT(MAX((TRIB!$E46:$P46&lt;&gt;"")*(COLUMN(TRIB!$E46:$P46)-COLUMN(TRIB!$E46)+1)))))</f>
        <v>1</v>
      </c>
      <c r="D50" s="10" t="n">
        <f aca="false">IFERROR(INDEX(PU!$E46:$P46,MATCH(C50,TRIB!$E$1:$P$1,0)),"")</f>
        <v>579.587849254625</v>
      </c>
      <c r="E50" s="4" t="str">
        <f aca="false">IFERROR(INDEX(ARCH!$E46:$P46,MATCH(C50,TRIB!$E$1:$P$1,0)),"")</f>
        <v>14x36</v>
      </c>
      <c r="F50" s="12" t="n">
        <f aca="false">IFERROR(INDEX(RHO_ARCH!$E46:$P46,MATCH(C50,TRIB!$E$1:$P$1,0)),"")</f>
        <v>-0.0526139872713247</v>
      </c>
      <c r="G50" s="4" t="str">
        <f aca="false">IFERROR(INDEX(STATUS!$E46:$P46,MATCH(C50,TRIB!$E$1:$P$1,0)),"")</f>
        <v>OK</v>
      </c>
      <c r="H50" s="4" t="str">
        <f aca="false">IFERROR(INDEX(RECOMMEND!$E46:$P46,MATCH(C50,TRIB!$E$1:$P$1,0)),"")</f>
        <v>14x24</v>
      </c>
      <c r="I50" s="10" t="n">
        <f aca="false">COUNTIF(TRIB!$E46:$P46,"&gt;0")</f>
        <v>11</v>
      </c>
      <c r="J50" s="2"/>
    </row>
    <row r="51" customFormat="false" ht="15" hidden="false" customHeight="false" outlineLevel="0" collapsed="false">
      <c r="A51" s="11" t="str">
        <f aca="false">TRIB!A47</f>
        <v>C46</v>
      </c>
      <c r="B51" s="11" t="str">
        <f aca="false">TRIB!D47</f>
        <v>A</v>
      </c>
      <c r="C51" s="4" t="str">
        <f aca="false">IF(COUNTIF(TRIB!$E47:$P47,"&gt;0")=0,"",INDEX(TRIB!$E$1:$P$1,SUMPRODUCT(MAX((TRIB!$E47:$P47&lt;&gt;"")*(COLUMN(TRIB!$E47:$P47)-COLUMN(TRIB!$E47)+1)))))</f>
        <v>1</v>
      </c>
      <c r="D51" s="10" t="n">
        <f aca="false">IFERROR(INDEX(PU!$E47:$P47,MATCH(C51,TRIB!$E$1:$P$1,0)),"")</f>
        <v>1029.2152</v>
      </c>
      <c r="E51" s="4" t="str">
        <f aca="false">IFERROR(INDEX(ARCH!$E47:$P47,MATCH(C51,TRIB!$E$1:$P$1,0)),"")</f>
        <v>14x36</v>
      </c>
      <c r="F51" s="12" t="n">
        <f aca="false">IFERROR(INDEX(RHO_ARCH!$E47:$P47,MATCH(C51,TRIB!$E$1:$P$1,0)),"")</f>
        <v>-0.02136424089976</v>
      </c>
      <c r="G51" s="4" t="str">
        <f aca="false">IFERROR(INDEX(STATUS!$E47:$P47,MATCH(C51,TRIB!$E$1:$P$1,0)),"")</f>
        <v>OK</v>
      </c>
      <c r="H51" s="4" t="str">
        <f aca="false">IFERROR(INDEX(RECOMMEND!$E47:$P47,MATCH(C51,TRIB!$E$1:$P$1,0)),"")</f>
        <v>14x24</v>
      </c>
      <c r="I51" s="10" t="n">
        <f aca="false">COUNTIF(TRIB!$E47:$P47,"&gt;0")</f>
        <v>11</v>
      </c>
      <c r="J51" s="2"/>
    </row>
    <row r="52" customFormat="false" ht="15" hidden="false" customHeight="false" outlineLevel="0" collapsed="false">
      <c r="A52" s="11" t="str">
        <f aca="false">TRIB!A48</f>
        <v>C47</v>
      </c>
      <c r="B52" s="11" t="str">
        <f aca="false">TRIB!D48</f>
        <v>A</v>
      </c>
      <c r="C52" s="4" t="str">
        <f aca="false">IF(COUNTIF(TRIB!$E48:$P48,"&gt;0")=0,"",INDEX(TRIB!$E$1:$P$1,SUMPRODUCT(MAX((TRIB!$E48:$P48&lt;&gt;"")*(COLUMN(TRIB!$E48:$P48)-COLUMN(TRIB!$E48)+1)))))</f>
        <v>1</v>
      </c>
      <c r="D52" s="10" t="n">
        <f aca="false">IFERROR(INDEX(PU!$E48:$P48,MATCH(C52,TRIB!$E$1:$P$1,0)),"")</f>
        <v>473.365974602408</v>
      </c>
      <c r="E52" s="4" t="str">
        <f aca="false">IFERROR(INDEX(ARCH!$E48:$P48,MATCH(C52,TRIB!$E$1:$P$1,0)),"")</f>
        <v>14x24</v>
      </c>
      <c r="F52" s="12" t="n">
        <f aca="false">IFERROR(INDEX(RHO_ARCH!$E48:$P48,MATCH(C52,TRIB!$E$1:$P$1,0)),"")</f>
        <v>-0.0435467526494217</v>
      </c>
      <c r="G52" s="4" t="str">
        <f aca="false">IFERROR(INDEX(STATUS!$E48:$P48,MATCH(C52,TRIB!$E$1:$P$1,0)),"")</f>
        <v>OK</v>
      </c>
      <c r="H52" s="4" t="str">
        <f aca="false">IFERROR(INDEX(RECOMMEND!$E48:$P48,MATCH(C52,TRIB!$E$1:$P$1,0)),"")</f>
        <v>14x24</v>
      </c>
      <c r="I52" s="10" t="n">
        <f aca="false">COUNTIF(TRIB!$E48:$P48,"&gt;0")</f>
        <v>11</v>
      </c>
      <c r="J52" s="2"/>
    </row>
    <row r="53" customFormat="false" ht="15" hidden="false" customHeight="false" outlineLevel="0" collapsed="false">
      <c r="A53" s="11" t="str">
        <f aca="false">TRIB!A49</f>
        <v>C48</v>
      </c>
      <c r="B53" s="11" t="str">
        <f aca="false">TRIB!D49</f>
        <v>A</v>
      </c>
      <c r="C53" s="4" t="str">
        <f aca="false">IF(COUNTIF(TRIB!$E49:$P49,"&gt;0")=0,"",INDEX(TRIB!$E$1:$P$1,SUMPRODUCT(MAX((TRIB!$E49:$P49&lt;&gt;"")*(COLUMN(TRIB!$E49:$P49)-COLUMN(TRIB!$E49)+1)))))</f>
        <v>1</v>
      </c>
      <c r="D53" s="10" t="n">
        <f aca="false">IFERROR(INDEX(PU!$E49:$P49,MATCH(C53,TRIB!$E$1:$P$1,0)),"")</f>
        <v>602.744661876844</v>
      </c>
      <c r="E53" s="4" t="str">
        <f aca="false">IFERROR(INDEX(ARCH!$E49:$P49,MATCH(C53,TRIB!$E$1:$P$1,0)),"")</f>
        <v>14x24</v>
      </c>
      <c r="F53" s="12" t="n">
        <f aca="false">IFERROR(INDEX(RHO_ARCH!$E49:$P49,MATCH(C53,TRIB!$E$1:$P$1,0)),"")</f>
        <v>-0.0300587458927942</v>
      </c>
      <c r="G53" s="4" t="str">
        <f aca="false">IFERROR(INDEX(STATUS!$E49:$P49,MATCH(C53,TRIB!$E$1:$P$1,0)),"")</f>
        <v>OK</v>
      </c>
      <c r="H53" s="4" t="str">
        <f aca="false">IFERROR(INDEX(RECOMMEND!$E49:$P49,MATCH(C53,TRIB!$E$1:$P$1,0)),"")</f>
        <v>14x24</v>
      </c>
      <c r="I53" s="10" t="n">
        <f aca="false">COUNTIF(TRIB!$E49:$P49,"&gt;0")</f>
        <v>11</v>
      </c>
      <c r="J53" s="2"/>
    </row>
    <row r="54" customFormat="false" ht="15" hidden="false" customHeight="false" outlineLevel="0" collapsed="false">
      <c r="A54" s="11" t="str">
        <f aca="false">TRIB!A50</f>
        <v>C49</v>
      </c>
      <c r="B54" s="11" t="str">
        <f aca="false">TRIB!D50</f>
        <v>A</v>
      </c>
      <c r="C54" s="4" t="str">
        <f aca="false">IF(COUNTIF(TRIB!$E50:$P50,"&gt;0")=0,"",INDEX(TRIB!$E$1:$P$1,SUMPRODUCT(MAX((TRIB!$E50:$P50&lt;&gt;"")*(COLUMN(TRIB!$E50:$P50)-COLUMN(TRIB!$E50)+1)))))</f>
        <v>1</v>
      </c>
      <c r="D54" s="10" t="n">
        <f aca="false">IFERROR(INDEX(PU!$E50:$P50,MATCH(C54,TRIB!$E$1:$P$1,0)),"")</f>
        <v>562.288557045233</v>
      </c>
      <c r="E54" s="4" t="str">
        <f aca="false">IFERROR(INDEX(ARCH!$E50:$P50,MATCH(C54,TRIB!$E$1:$P$1,0)),"")</f>
        <v>14x24</v>
      </c>
      <c r="F54" s="12" t="n">
        <f aca="false">IFERROR(INDEX(RHO_ARCH!$E50:$P50,MATCH(C54,TRIB!$E$1:$P$1,0)),"")</f>
        <v>-0.0342763819409798</v>
      </c>
      <c r="G54" s="4" t="str">
        <f aca="false">IFERROR(INDEX(STATUS!$E50:$P50,MATCH(C54,TRIB!$E$1:$P$1,0)),"")</f>
        <v>OK</v>
      </c>
      <c r="H54" s="4" t="str">
        <f aca="false">IFERROR(INDEX(RECOMMEND!$E50:$P50,MATCH(C54,TRIB!$E$1:$P$1,0)),"")</f>
        <v>14x24</v>
      </c>
      <c r="I54" s="10" t="n">
        <f aca="false">COUNTIF(TRIB!$E50:$P50,"&gt;0")</f>
        <v>11</v>
      </c>
      <c r="J54" s="2"/>
    </row>
    <row r="55" customFormat="false" ht="15" hidden="false" customHeight="false" outlineLevel="0" collapsed="false">
      <c r="A55" s="11" t="str">
        <f aca="false">TRIB!A51</f>
        <v>C50</v>
      </c>
      <c r="B55" s="11" t="str">
        <f aca="false">TRIB!D51</f>
        <v>A</v>
      </c>
      <c r="C55" s="4" t="str">
        <f aca="false">IF(COUNTIF(TRIB!$E51:$P51,"&gt;0")=0,"",INDEX(TRIB!$E$1:$P$1,SUMPRODUCT(MAX((TRIB!$E51:$P51&lt;&gt;"")*(COLUMN(TRIB!$E51:$P51)-COLUMN(TRIB!$E51)+1)))))</f>
        <v>1</v>
      </c>
      <c r="D55" s="10" t="n">
        <f aca="false">IFERROR(INDEX(PU!$E51:$P51,MATCH(C55,TRIB!$E$1:$P$1,0)),"")</f>
        <v>228.876176854163</v>
      </c>
      <c r="E55" s="4" t="str">
        <f aca="false">IFERROR(INDEX(ARCH!$E51:$P51,MATCH(C55,TRIB!$E$1:$P$1,0)),"")</f>
        <v>14x24</v>
      </c>
      <c r="F55" s="12" t="n">
        <f aca="false">IFERROR(INDEX(RHO_ARCH!$E51:$P51,MATCH(C55,TRIB!$E$1:$P$1,0)),"")</f>
        <v>-0.0690353405569481</v>
      </c>
      <c r="G55" s="4" t="str">
        <f aca="false">IFERROR(INDEX(STATUS!$E51:$P51,MATCH(C55,TRIB!$E$1:$P$1,0)),"")</f>
        <v>OK</v>
      </c>
      <c r="H55" s="4" t="str">
        <f aca="false">IFERROR(INDEX(RECOMMEND!$E51:$P51,MATCH(C55,TRIB!$E$1:$P$1,0)),"")</f>
        <v>14x24</v>
      </c>
      <c r="I55" s="10" t="n">
        <f aca="false">COUNTIF(TRIB!$E51:$P51,"&gt;0")</f>
        <v>11</v>
      </c>
      <c r="J55" s="2"/>
    </row>
    <row r="56" customFormat="false" ht="15" hidden="false" customHeight="false" outlineLevel="0" collapsed="false">
      <c r="A56" s="11" t="str">
        <f aca="false">TRIB!A52</f>
        <v>C51</v>
      </c>
      <c r="B56" s="11" t="str">
        <f aca="false">TRIB!D52</f>
        <v>A</v>
      </c>
      <c r="C56" s="4" t="str">
        <f aca="false">IF(COUNTIF(TRIB!$E52:$P52,"&gt;0")=0,"",INDEX(TRIB!$E$1:$P$1,SUMPRODUCT(MAX((TRIB!$E52:$P52&lt;&gt;"")*(COLUMN(TRIB!$E52:$P52)-COLUMN(TRIB!$E52)+1)))))</f>
        <v>1</v>
      </c>
      <c r="D56" s="10" t="n">
        <f aca="false">IFERROR(INDEX(PU!$E52:$P52,MATCH(C56,TRIB!$E$1:$P$1,0)),"")</f>
        <v>530.704568997995</v>
      </c>
      <c r="E56" s="4" t="str">
        <f aca="false">IFERROR(INDEX(ARCH!$E52:$P52,MATCH(C56,TRIB!$E$1:$P$1,0)),"")</f>
        <v>14x24</v>
      </c>
      <c r="F56" s="12" t="n">
        <f aca="false">IFERROR(INDEX(RHO_ARCH!$E52:$P52,MATCH(C56,TRIB!$E$1:$P$1,0)),"")</f>
        <v>-0.0375690807088902</v>
      </c>
      <c r="G56" s="4" t="str">
        <f aca="false">IFERROR(INDEX(STATUS!$E52:$P52,MATCH(C56,TRIB!$E$1:$P$1,0)),"")</f>
        <v>OK</v>
      </c>
      <c r="H56" s="4" t="str">
        <f aca="false">IFERROR(INDEX(RECOMMEND!$E52:$P52,MATCH(C56,TRIB!$E$1:$P$1,0)),"")</f>
        <v>14x24</v>
      </c>
      <c r="I56" s="10" t="n">
        <f aca="false">COUNTIF(TRIB!$E52:$P52,"&gt;0")</f>
        <v>11</v>
      </c>
      <c r="J56" s="2"/>
    </row>
    <row r="57" customFormat="false" ht="15" hidden="false" customHeight="false" outlineLevel="0" collapsed="false">
      <c r="A57" s="11" t="str">
        <f aca="false">TRIB!A53</f>
        <v>C52</v>
      </c>
      <c r="B57" s="11" t="str">
        <f aca="false">TRIB!D53</f>
        <v>B</v>
      </c>
      <c r="C57" s="4" t="str">
        <f aca="false">IF(COUNTIF(TRIB!$E53:$P53,"&gt;0")=0,"",INDEX(TRIB!$E$1:$P$1,SUMPRODUCT(MAX((TRIB!$E53:$P53&lt;&gt;"")*(COLUMN(TRIB!$E53:$P53)-COLUMN(TRIB!$E53)+1)))))</f>
        <v>1</v>
      </c>
      <c r="D57" s="10" t="n">
        <f aca="false">IFERROR(INDEX(PU!$E53:$P53,MATCH(C57,TRIB!$E$1:$P$1,0)),"")</f>
        <v>1021.65132305769</v>
      </c>
      <c r="E57" s="4" t="str">
        <f aca="false">IFERROR(INDEX(ARCH!$E53:$P53,MATCH(C57,TRIB!$E$1:$P$1,0)),"")</f>
        <v>14x24</v>
      </c>
      <c r="F57" s="12" t="n">
        <f aca="false">IFERROR(INDEX(RHO_ARCH!$E53:$P53,MATCH(C57,TRIB!$E$1:$P$1,0)),"")</f>
        <v>0.01361317562252</v>
      </c>
      <c r="G57" s="4" t="str">
        <f aca="false">IFERROR(INDEX(STATUS!$E53:$P53,MATCH(C57,TRIB!$E$1:$P$1,0)),"")</f>
        <v>OK</v>
      </c>
      <c r="H57" s="4" t="str">
        <f aca="false">IFERROR(INDEX(RECOMMEND!$E53:$P53,MATCH(C57,TRIB!$E$1:$P$1,0)),"")</f>
        <v>14x24</v>
      </c>
      <c r="I57" s="10" t="n">
        <f aca="false">COUNTIF(TRIB!$E53:$P53,"&gt;0")</f>
        <v>12</v>
      </c>
      <c r="J57" s="2"/>
    </row>
    <row r="58" customFormat="false" ht="15" hidden="false" customHeight="false" outlineLevel="0" collapsed="false">
      <c r="A58" s="11" t="str">
        <f aca="false">TRIB!A54</f>
        <v>C53</v>
      </c>
      <c r="B58" s="11" t="str">
        <f aca="false">TRIB!D54</f>
        <v>B</v>
      </c>
      <c r="C58" s="4" t="str">
        <f aca="false">IF(COUNTIF(TRIB!$E54:$P54,"&gt;0")=0,"",INDEX(TRIB!$E$1:$P$1,SUMPRODUCT(MAX((TRIB!$E54:$P54&lt;&gt;"")*(COLUMN(TRIB!$E54:$P54)-COLUMN(TRIB!$E54)+1)))))</f>
        <v>1</v>
      </c>
      <c r="D58" s="10" t="n">
        <f aca="false">IFERROR(INDEX(PU!$E54:$P54,MATCH(C58,TRIB!$E$1:$P$1,0)),"")</f>
        <v>552.58633984953</v>
      </c>
      <c r="E58" s="4" t="str">
        <f aca="false">IFERROR(INDEX(ARCH!$E54:$P54,MATCH(C58,TRIB!$E$1:$P$1,0)),"")</f>
        <v>14x24</v>
      </c>
      <c r="F58" s="12" t="n">
        <f aca="false">IFERROR(INDEX(RHO_ARCH!$E54:$P54,MATCH(C58,TRIB!$E$1:$P$1,0)),"")</f>
        <v>-0.0352878589767016</v>
      </c>
      <c r="G58" s="4" t="str">
        <f aca="false">IFERROR(INDEX(STATUS!$E54:$P54,MATCH(C58,TRIB!$E$1:$P$1,0)),"")</f>
        <v>OK</v>
      </c>
      <c r="H58" s="4" t="str">
        <f aca="false">IFERROR(INDEX(RECOMMEND!$E54:$P54,MATCH(C58,TRIB!$E$1:$P$1,0)),"")</f>
        <v>14x24</v>
      </c>
      <c r="I58" s="10" t="n">
        <f aca="false">COUNTIF(TRIB!$E54:$P54,"&gt;0")</f>
        <v>12</v>
      </c>
      <c r="J58" s="2"/>
    </row>
    <row r="59" customFormat="false" ht="15" hidden="false" customHeight="false" outlineLevel="0" collapsed="false">
      <c r="A59" s="11" t="str">
        <f aca="false">TRIB!A55</f>
        <v>C54</v>
      </c>
      <c r="B59" s="11" t="str">
        <f aca="false">TRIB!D55</f>
        <v>B</v>
      </c>
      <c r="C59" s="4" t="str">
        <f aca="false">IF(COUNTIF(TRIB!$E55:$P55,"&gt;0")=0,"",INDEX(TRIB!$E$1:$P$1,SUMPRODUCT(MAX((TRIB!$E55:$P55&lt;&gt;"")*(COLUMN(TRIB!$E55:$P55)-COLUMN(TRIB!$E55)+1)))))</f>
        <v>1</v>
      </c>
      <c r="D59" s="10" t="n">
        <f aca="false">IFERROR(INDEX(PU!$E55:$P55,MATCH(C59,TRIB!$E$1:$P$1,0)),"")</f>
        <v>1112.2314767252</v>
      </c>
      <c r="E59" s="4" t="str">
        <f aca="false">IFERROR(INDEX(ARCH!$E55:$P55,MATCH(C59,TRIB!$E$1:$P$1,0)),"")</f>
        <v>14x24</v>
      </c>
      <c r="F59" s="12" t="n">
        <f aca="false">IFERROR(INDEX(RHO_ARCH!$E55:$P55,MATCH(C59,TRIB!$E$1:$P$1,0)),"")</f>
        <v>0.0230563517006033</v>
      </c>
      <c r="G59" s="4" t="str">
        <f aca="false">IFERROR(INDEX(STATUS!$E55:$P55,MATCH(C59,TRIB!$E$1:$P$1,0)),"")</f>
        <v>HEAVY</v>
      </c>
      <c r="H59" s="4" t="str">
        <f aca="false">IFERROR(INDEX(RECOMMEND!$E55:$P55,MATCH(C59,TRIB!$E$1:$P$1,0)),"")</f>
        <v>14x30</v>
      </c>
      <c r="I59" s="10" t="n">
        <f aca="false">COUNTIF(TRIB!$E55:$P55,"&gt;0")</f>
        <v>12</v>
      </c>
      <c r="J59" s="2"/>
    </row>
    <row r="60" customFormat="false" ht="15" hidden="false" customHeight="false" outlineLevel="0" collapsed="false">
      <c r="A60" s="11" t="str">
        <f aca="false">TRIB!A56</f>
        <v>C55</v>
      </c>
      <c r="B60" s="11" t="str">
        <f aca="false">TRIB!D56</f>
        <v>B</v>
      </c>
      <c r="C60" s="4" t="str">
        <f aca="false">IF(COUNTIF(TRIB!$E56:$P56,"&gt;0")=0,"",INDEX(TRIB!$E$1:$P$1,SUMPRODUCT(MAX((TRIB!$E56:$P56&lt;&gt;"")*(COLUMN(TRIB!$E56:$P56)-COLUMN(TRIB!$E56)+1)))))</f>
        <v>1</v>
      </c>
      <c r="D60" s="10" t="n">
        <f aca="false">IFERROR(INDEX(PU!$E56:$P56,MATCH(C60,TRIB!$E$1:$P$1,0)),"")</f>
        <v>460.282030137824</v>
      </c>
      <c r="E60" s="4" t="str">
        <f aca="false">IFERROR(INDEX(ARCH!$E56:$P56,MATCH(C60,TRIB!$E$1:$P$1,0)),"")</f>
        <v>14x36</v>
      </c>
      <c r="F60" s="12" t="n">
        <f aca="false">IFERROR(INDEX(RHO_ARCH!$E56:$P56,MATCH(C60,TRIB!$E$1:$P$1,0)),"")</f>
        <v>-0.0609059129779597</v>
      </c>
      <c r="G60" s="4" t="str">
        <f aca="false">IFERROR(INDEX(STATUS!$E56:$P56,MATCH(C60,TRIB!$E$1:$P$1,0)),"")</f>
        <v>OK</v>
      </c>
      <c r="H60" s="4" t="str">
        <f aca="false">IFERROR(INDEX(RECOMMEND!$E56:$P56,MATCH(C60,TRIB!$E$1:$P$1,0)),"")</f>
        <v>14x24</v>
      </c>
      <c r="I60" s="10" t="n">
        <f aca="false">COUNTIF(TRIB!$E56:$P56,"&gt;0")</f>
        <v>12</v>
      </c>
      <c r="J60" s="2"/>
    </row>
    <row r="61" customFormat="false" ht="15" hidden="false" customHeight="false" outlineLevel="0" collapsed="false">
      <c r="A61" s="11" t="str">
        <f aca="false">TRIB!A57</f>
        <v>C56</v>
      </c>
      <c r="B61" s="11" t="str">
        <f aca="false">TRIB!D57</f>
        <v>B</v>
      </c>
      <c r="C61" s="4" t="str">
        <f aca="false">IF(COUNTIF(TRIB!$E57:$P57,"&gt;0")=0,"",INDEX(TRIB!$E$1:$P$1,SUMPRODUCT(MAX((TRIB!$E57:$P57&lt;&gt;"")*(COLUMN(TRIB!$E57:$P57)-COLUMN(TRIB!$E57)+1)))))</f>
        <v>1</v>
      </c>
      <c r="D61" s="10" t="n">
        <f aca="false">IFERROR(INDEX(PU!$E57:$P57,MATCH(C61,TRIB!$E$1:$P$1,0)),"")</f>
        <v>327.9904</v>
      </c>
      <c r="E61" s="4" t="str">
        <f aca="false">IFERROR(INDEX(ARCH!$E57:$P57,MATCH(C61,TRIB!$E$1:$P$1,0)),"")</f>
        <v>14x24</v>
      </c>
      <c r="F61" s="12" t="n">
        <f aca="false">IFERROR(INDEX(RHO_ARCH!$E57:$P57,MATCH(C61,TRIB!$E$1:$P$1,0)),"")</f>
        <v>-0.0587024693582071</v>
      </c>
      <c r="G61" s="4" t="str">
        <f aca="false">IFERROR(INDEX(STATUS!$E57:$P57,MATCH(C61,TRIB!$E$1:$P$1,0)),"")</f>
        <v>OK</v>
      </c>
      <c r="H61" s="4" t="str">
        <f aca="false">IFERROR(INDEX(RECOMMEND!$E57:$P57,MATCH(C61,TRIB!$E$1:$P$1,0)),"")</f>
        <v>14x24</v>
      </c>
      <c r="I61" s="10" t="n">
        <f aca="false">COUNTIF(TRIB!$E57:$P57,"&gt;0")</f>
        <v>12</v>
      </c>
      <c r="J61" s="2"/>
    </row>
    <row r="62" customFormat="false" ht="15" hidden="false" customHeight="false" outlineLevel="0" collapsed="false">
      <c r="A62" s="11" t="str">
        <f aca="false">TRIB!A58</f>
        <v>C57</v>
      </c>
      <c r="B62" s="11" t="str">
        <f aca="false">TRIB!D58</f>
        <v>B</v>
      </c>
      <c r="C62" s="4" t="str">
        <f aca="false">IF(COUNTIF(TRIB!$E58:$P58,"&gt;0")=0,"",INDEX(TRIB!$E$1:$P$1,SUMPRODUCT(MAX((TRIB!$E58:$P58&lt;&gt;"")*(COLUMN(TRIB!$E58:$P58)-COLUMN(TRIB!$E58)+1)))))</f>
        <v>1</v>
      </c>
      <c r="D62" s="10" t="n">
        <f aca="false">IFERROR(INDEX(PU!$E58:$P58,MATCH(C62,TRIB!$E$1:$P$1,0)),"")</f>
        <v>851.485330713613</v>
      </c>
      <c r="E62" s="4" t="str">
        <f aca="false">IFERROR(INDEX(ARCH!$E58:$P58,MATCH(C62,TRIB!$E$1:$P$1,0)),"")</f>
        <v>14x36</v>
      </c>
      <c r="F62" s="12" t="n">
        <f aca="false">IFERROR(INDEX(RHO_ARCH!$E58:$P58,MATCH(C62,TRIB!$E$1:$P$1,0)),"")</f>
        <v>-0.0337167219680129</v>
      </c>
      <c r="G62" s="4" t="str">
        <f aca="false">IFERROR(INDEX(STATUS!$E58:$P58,MATCH(C62,TRIB!$E$1:$P$1,0)),"")</f>
        <v>OK</v>
      </c>
      <c r="H62" s="4" t="str">
        <f aca="false">IFERROR(INDEX(RECOMMEND!$E58:$P58,MATCH(C62,TRIB!$E$1:$P$1,0)),"")</f>
        <v>14x24</v>
      </c>
      <c r="I62" s="10" t="n">
        <f aca="false">COUNTIF(TRIB!$E58:$P58,"&gt;0")</f>
        <v>12</v>
      </c>
      <c r="J62" s="2"/>
    </row>
    <row r="63" customFormat="false" ht="15" hidden="false" customHeight="false" outlineLevel="0" collapsed="false">
      <c r="A63" s="11" t="str">
        <f aca="false">TRIB!A59</f>
        <v>C58</v>
      </c>
      <c r="B63" s="11" t="str">
        <f aca="false">TRIB!D59</f>
        <v>B</v>
      </c>
      <c r="C63" s="4" t="str">
        <f aca="false">IF(COUNTIF(TRIB!$E59:$P59,"&gt;0")=0,"",INDEX(TRIB!$E$1:$P$1,SUMPRODUCT(MAX((TRIB!$E59:$P59&lt;&gt;"")*(COLUMN(TRIB!$E59:$P59)-COLUMN(TRIB!$E59)+1)))))</f>
        <v>1</v>
      </c>
      <c r="D63" s="10" t="n">
        <f aca="false">IFERROR(INDEX(PU!$E59:$P59,MATCH(C63,TRIB!$E$1:$P$1,0)),"")</f>
        <v>655.922645686823</v>
      </c>
      <c r="E63" s="4" t="str">
        <f aca="false">IFERROR(INDEX(ARCH!$E59:$P59,MATCH(C63,TRIB!$E$1:$P$1,0)),"")</f>
        <v>14x36</v>
      </c>
      <c r="F63" s="12" t="n">
        <f aca="false">IFERROR(INDEX(RHO_ARCH!$E59:$P59,MATCH(C63,TRIB!$E$1:$P$1,0)),"")</f>
        <v>-0.0473086093314002</v>
      </c>
      <c r="G63" s="4" t="str">
        <f aca="false">IFERROR(INDEX(STATUS!$E59:$P59,MATCH(C63,TRIB!$E$1:$P$1,0)),"")</f>
        <v>OK</v>
      </c>
      <c r="H63" s="4" t="str">
        <f aca="false">IFERROR(INDEX(RECOMMEND!$E59:$P59,MATCH(C63,TRIB!$E$1:$P$1,0)),"")</f>
        <v>14x24</v>
      </c>
      <c r="I63" s="10" t="n">
        <f aca="false">COUNTIF(TRIB!$E59:$P59,"&gt;0")</f>
        <v>12</v>
      </c>
      <c r="J63" s="2"/>
    </row>
    <row r="64" customFormat="false" ht="15" hidden="false" customHeight="false" outlineLevel="0" collapsed="false">
      <c r="A64" s="11" t="str">
        <f aca="false">TRIB!A60</f>
        <v>C59</v>
      </c>
      <c r="B64" s="11" t="str">
        <f aca="false">TRIB!D60</f>
        <v>B</v>
      </c>
      <c r="C64" s="4" t="str">
        <f aca="false">IF(COUNTIF(TRIB!$E60:$P60,"&gt;0")=0,"",INDEX(TRIB!$E$1:$P$1,SUMPRODUCT(MAX((TRIB!$E60:$P60&lt;&gt;"")*(COLUMN(TRIB!$E60:$P60)-COLUMN(TRIB!$E60)+1)))))</f>
        <v>1</v>
      </c>
      <c r="D64" s="10" t="n">
        <f aca="false">IFERROR(INDEX(PU!$E60:$P60,MATCH(C64,TRIB!$E$1:$P$1,0)),"")</f>
        <v>296.0708</v>
      </c>
      <c r="E64" s="4" t="str">
        <f aca="false">IFERROR(INDEX(ARCH!$E60:$P60,MATCH(C64,TRIB!$E$1:$P$1,0)),"")</f>
        <v>14x24</v>
      </c>
      <c r="F64" s="12" t="n">
        <f aca="false">IFERROR(INDEX(RHO_ARCH!$E60:$P60,MATCH(C64,TRIB!$E$1:$P$1,0)),"")</f>
        <v>-0.0620301563949105</v>
      </c>
      <c r="G64" s="4" t="str">
        <f aca="false">IFERROR(INDEX(STATUS!$E60:$P60,MATCH(C64,TRIB!$E$1:$P$1,0)),"")</f>
        <v>OK</v>
      </c>
      <c r="H64" s="4" t="str">
        <f aca="false">IFERROR(INDEX(RECOMMEND!$E60:$P60,MATCH(C64,TRIB!$E$1:$P$1,0)),"")</f>
        <v>14x24</v>
      </c>
      <c r="I64" s="10" t="n">
        <f aca="false">COUNTIF(TRIB!$E60:$P60,"&gt;0")</f>
        <v>12</v>
      </c>
      <c r="J64" s="2"/>
    </row>
    <row r="65" customFormat="false" ht="15" hidden="false" customHeight="false" outlineLevel="0" collapsed="false">
      <c r="A65" s="11" t="str">
        <f aca="false">TRIB!A61</f>
        <v>C60</v>
      </c>
      <c r="B65" s="11" t="str">
        <f aca="false">TRIB!D61</f>
        <v>B</v>
      </c>
      <c r="C65" s="4" t="str">
        <f aca="false">IF(COUNTIF(TRIB!$E61:$P61,"&gt;0")=0,"",INDEX(TRIB!$E$1:$P$1,SUMPRODUCT(MAX((TRIB!$E61:$P61&lt;&gt;"")*(COLUMN(TRIB!$E61:$P61)-COLUMN(TRIB!$E61)+1)))))</f>
        <v>1</v>
      </c>
      <c r="D65" s="10" t="n">
        <f aca="false">IFERROR(INDEX(PU!$E61:$P61,MATCH(C65,TRIB!$E$1:$P$1,0)),"")</f>
        <v>1134.58107898385</v>
      </c>
      <c r="E65" s="4" t="str">
        <f aca="false">IFERROR(INDEX(ARCH!$E61:$P61,MATCH(C65,TRIB!$E$1:$P$1,0)),"")</f>
        <v>14x36</v>
      </c>
      <c r="F65" s="12" t="n">
        <f aca="false">IFERROR(INDEX(RHO_ARCH!$E61:$P61,MATCH(C65,TRIB!$E$1:$P$1,0)),"")</f>
        <v>-0.0140411610448446</v>
      </c>
      <c r="G65" s="4" t="str">
        <f aca="false">IFERROR(INDEX(STATUS!$E61:$P61,MATCH(C65,TRIB!$E$1:$P$1,0)),"")</f>
        <v>OK</v>
      </c>
      <c r="H65" s="4" t="str">
        <f aca="false">IFERROR(INDEX(RECOMMEND!$E61:$P61,MATCH(C65,TRIB!$E$1:$P$1,0)),"")</f>
        <v>14x30</v>
      </c>
      <c r="I65" s="10" t="n">
        <f aca="false">COUNTIF(TRIB!$E61:$P61,"&gt;0")</f>
        <v>12</v>
      </c>
      <c r="J65" s="2"/>
    </row>
    <row r="66" customFormat="false" ht="15" hidden="false" customHeight="false" outlineLevel="0" collapsed="false">
      <c r="A66" s="11" t="str">
        <f aca="false">TRIB!A62</f>
        <v>C61</v>
      </c>
      <c r="B66" s="11" t="str">
        <f aca="false">TRIB!D62</f>
        <v>B</v>
      </c>
      <c r="C66" s="4" t="str">
        <f aca="false">IF(COUNTIF(TRIB!$E62:$P62,"&gt;0")=0,"",INDEX(TRIB!$E$1:$P$1,SUMPRODUCT(MAX((TRIB!$E62:$P62&lt;&gt;"")*(COLUMN(TRIB!$E62:$P62)-COLUMN(TRIB!$E62)+1)))))</f>
        <v>1</v>
      </c>
      <c r="D66" s="10" t="n">
        <f aca="false">IFERROR(INDEX(PU!$E62:$P62,MATCH(C66,TRIB!$E$1:$P$1,0)),"")</f>
        <v>1198.29575214549</v>
      </c>
      <c r="E66" s="4" t="str">
        <f aca="false">IFERROR(INDEX(ARCH!$E62:$P62,MATCH(C66,TRIB!$E$1:$P$1,0)),"")</f>
        <v>14x36</v>
      </c>
      <c r="F66" s="12" t="n">
        <f aca="false">IFERROR(INDEX(RHO_ARCH!$E62:$P62,MATCH(C66,TRIB!$E$1:$P$1,0)),"")</f>
        <v>-0.00961289978994671</v>
      </c>
      <c r="G66" s="4" t="str">
        <f aca="false">IFERROR(INDEX(STATUS!$E62:$P62,MATCH(C66,TRIB!$E$1:$P$1,0)),"")</f>
        <v>OK</v>
      </c>
      <c r="H66" s="4" t="str">
        <f aca="false">IFERROR(INDEX(RECOMMEND!$E62:$P62,MATCH(C66,TRIB!$E$1:$P$1,0)),"")</f>
        <v>14x30</v>
      </c>
      <c r="I66" s="10" t="n">
        <f aca="false">COUNTIF(TRIB!$E62:$P62,"&gt;0")</f>
        <v>12</v>
      </c>
      <c r="J66" s="2"/>
    </row>
    <row r="67" customFormat="false" ht="15" hidden="false" customHeight="false" outlineLevel="0" collapsed="false">
      <c r="A67" s="11" t="str">
        <f aca="false">TRIB!A63</f>
        <v>C62</v>
      </c>
      <c r="B67" s="11" t="str">
        <f aca="false">TRIB!D63</f>
        <v>B</v>
      </c>
      <c r="C67" s="4" t="str">
        <f aca="false">IF(COUNTIF(TRIB!$E63:$P63,"&gt;0")=0,"",INDEX(TRIB!$E$1:$P$1,SUMPRODUCT(MAX((TRIB!$E63:$P63&lt;&gt;"")*(COLUMN(TRIB!$E63:$P63)-COLUMN(TRIB!$E63)+1)))))</f>
        <v>1</v>
      </c>
      <c r="D67" s="10" t="n">
        <f aca="false">IFERROR(INDEX(PU!$E63:$P63,MATCH(C67,TRIB!$E$1:$P$1,0)),"")</f>
        <v>710.938652444105</v>
      </c>
      <c r="E67" s="4" t="str">
        <f aca="false">IFERROR(INDEX(ARCH!$E63:$P63,MATCH(C67,TRIB!$E$1:$P$1,0)),"")</f>
        <v>14x36</v>
      </c>
      <c r="F67" s="12" t="n">
        <f aca="false">IFERROR(INDEX(RHO_ARCH!$E63:$P63,MATCH(C67,TRIB!$E$1:$P$1,0)),"")</f>
        <v>-0.0434849178795984</v>
      </c>
      <c r="G67" s="4" t="str">
        <f aca="false">IFERROR(INDEX(STATUS!$E63:$P63,MATCH(C67,TRIB!$E$1:$P$1,0)),"")</f>
        <v>OK</v>
      </c>
      <c r="H67" s="4" t="str">
        <f aca="false">IFERROR(INDEX(RECOMMEND!$E63:$P63,MATCH(C67,TRIB!$E$1:$P$1,0)),"")</f>
        <v>14x24</v>
      </c>
      <c r="I67" s="10" t="n">
        <f aca="false">COUNTIF(TRIB!$E63:$P63,"&gt;0")</f>
        <v>12</v>
      </c>
      <c r="J67" s="2"/>
    </row>
    <row r="68" customFormat="false" ht="15" hidden="false" customHeight="false" outlineLevel="0" collapsed="false">
      <c r="A68" s="11" t="str">
        <f aca="false">TRIB!A64</f>
        <v>C63</v>
      </c>
      <c r="B68" s="11" t="str">
        <f aca="false">TRIB!D64</f>
        <v>B</v>
      </c>
      <c r="C68" s="4" t="str">
        <f aca="false">IF(COUNTIF(TRIB!$E64:$P64,"&gt;0")=0,"",INDEX(TRIB!$E$1:$P$1,SUMPRODUCT(MAX((TRIB!$E64:$P64&lt;&gt;"")*(COLUMN(TRIB!$E64:$P64)-COLUMN(TRIB!$E64)+1)))))</f>
        <v>7</v>
      </c>
      <c r="D68" s="10" t="n">
        <f aca="false">IFERROR(INDEX(PU!$E64:$P64,MATCH(C68,TRIB!$E$1:$P$1,0)),"")</f>
        <v>1004.8892</v>
      </c>
      <c r="E68" s="4" t="str">
        <f aca="false">IFERROR(INDEX(ARCH!$E64:$P64,MATCH(C68,TRIB!$E$1:$P$1,0)),"")</f>
        <v>14x36</v>
      </c>
      <c r="F68" s="12" t="n">
        <f aca="false">IFERROR(INDEX(RHO_ARCH!$E64:$P64,MATCH(C68,TRIB!$E$1:$P$1,0)),"")</f>
        <v>-0.0230549328226924</v>
      </c>
      <c r="G68" s="4" t="str">
        <f aca="false">IFERROR(INDEX(STATUS!$E64:$P64,MATCH(C68,TRIB!$E$1:$P$1,0)),"")</f>
        <v>OK</v>
      </c>
      <c r="H68" s="4" t="str">
        <f aca="false">IFERROR(INDEX(RECOMMEND!$E64:$P64,MATCH(C68,TRIB!$E$1:$P$1,0)),"")</f>
        <v>14x24</v>
      </c>
      <c r="I68" s="10" t="n">
        <f aca="false">COUNTIF(TRIB!$E64:$P64,"&gt;0")</f>
        <v>6</v>
      </c>
      <c r="J68" s="2"/>
    </row>
    <row r="69" customFormat="false" ht="15" hidden="false" customHeight="false" outlineLevel="0" collapsed="false">
      <c r="A69" s="11" t="str">
        <f aca="false">TRIB!A65</f>
        <v>C64</v>
      </c>
      <c r="B69" s="11" t="str">
        <f aca="false">TRIB!D65</f>
        <v>B</v>
      </c>
      <c r="C69" s="4" t="str">
        <f aca="false">IF(COUNTIF(TRIB!$E65:$P65,"&gt;0")=0,"",INDEX(TRIB!$E$1:$P$1,SUMPRODUCT(MAX((TRIB!$E65:$P65&lt;&gt;"")*(COLUMN(TRIB!$E65:$P65)-COLUMN(TRIB!$E65)+1)))))</f>
        <v>7</v>
      </c>
      <c r="D69" s="10" t="n">
        <f aca="false">IFERROR(INDEX(PU!$E65:$P65,MATCH(C69,TRIB!$E$1:$P$1,0)),"")</f>
        <v>924.6312</v>
      </c>
      <c r="E69" s="4" t="str">
        <f aca="false">IFERROR(INDEX(ARCH!$E65:$P65,MATCH(C69,TRIB!$E$1:$P$1,0)),"")</f>
        <v>14x36</v>
      </c>
      <c r="F69" s="12" t="n">
        <f aca="false">IFERROR(INDEX(RHO_ARCH!$E65:$P65,MATCH(C69,TRIB!$E$1:$P$1,0)),"")</f>
        <v>-0.0286329790428151</v>
      </c>
      <c r="G69" s="4" t="str">
        <f aca="false">IFERROR(INDEX(STATUS!$E65:$P65,MATCH(C69,TRIB!$E$1:$P$1,0)),"")</f>
        <v>OK</v>
      </c>
      <c r="H69" s="4" t="str">
        <f aca="false">IFERROR(INDEX(RECOMMEND!$E65:$P65,MATCH(C69,TRIB!$E$1:$P$1,0)),"")</f>
        <v>14x24</v>
      </c>
      <c r="I69" s="10" t="n">
        <f aca="false">COUNTIF(TRIB!$E65:$P65,"&gt;0")</f>
        <v>6</v>
      </c>
      <c r="J69" s="2"/>
    </row>
    <row r="70" customFormat="false" ht="15" hidden="false" customHeight="false" outlineLevel="0" collapsed="false">
      <c r="A70" s="11" t="str">
        <f aca="false">TRIB!A66</f>
        <v>C65</v>
      </c>
      <c r="B70" s="11" t="str">
        <f aca="false">TRIB!D66</f>
        <v>B</v>
      </c>
      <c r="C70" s="4" t="str">
        <f aca="false">IF(COUNTIF(TRIB!$E66:$P66,"&gt;0")=0,"",INDEX(TRIB!$E$1:$P$1,SUMPRODUCT(MAX((TRIB!$E66:$P66&lt;&gt;"")*(COLUMN(TRIB!$E66:$P66)-COLUMN(TRIB!$E66)+1)))))</f>
        <v>7</v>
      </c>
      <c r="D70" s="10" t="n">
        <f aca="false">IFERROR(INDEX(PU!$E66:$P66,MATCH(C70,TRIB!$E$1:$P$1,0)),"")</f>
        <v>682.5244</v>
      </c>
      <c r="E70" s="4" t="str">
        <f aca="false">IFERROR(INDEX(ARCH!$E66:$P66,MATCH(C70,TRIB!$E$1:$P$1,0)),"")</f>
        <v>14x36</v>
      </c>
      <c r="F70" s="12" t="n">
        <f aca="false">IFERROR(INDEX(RHO_ARCH!$E66:$P66,MATCH(C70,TRIB!$E$1:$P$1,0)),"")</f>
        <v>-0.0454597492165798</v>
      </c>
      <c r="G70" s="4" t="str">
        <f aca="false">IFERROR(INDEX(STATUS!$E66:$P66,MATCH(C70,TRIB!$E$1:$P$1,0)),"")</f>
        <v>OK</v>
      </c>
      <c r="H70" s="4" t="str">
        <f aca="false">IFERROR(INDEX(RECOMMEND!$E66:$P66,MATCH(C70,TRIB!$E$1:$P$1,0)),"")</f>
        <v>14x24</v>
      </c>
      <c r="I70" s="10" t="n">
        <f aca="false">COUNTIF(TRIB!$E66:$P66,"&gt;0")</f>
        <v>6</v>
      </c>
      <c r="J70" s="2"/>
    </row>
    <row r="71" customFormat="false" ht="15" hidden="false" customHeight="false" outlineLevel="0" collapsed="false">
      <c r="A71" s="11" t="str">
        <f aca="false">TRIB!A67</f>
        <v>C66</v>
      </c>
      <c r="B71" s="11" t="str">
        <f aca="false">TRIB!D67</f>
        <v>B</v>
      </c>
      <c r="C71" s="4" t="str">
        <f aca="false">IF(COUNTIF(TRIB!$E67:$P67,"&gt;0")=0,"",INDEX(TRIB!$E$1:$P$1,SUMPRODUCT(MAX((TRIB!$E67:$P67&lt;&gt;"")*(COLUMN(TRIB!$E67:$P67)-COLUMN(TRIB!$E67)+1)))))</f>
        <v>7</v>
      </c>
      <c r="D71" s="10" t="n">
        <f aca="false">IFERROR(INDEX(PU!$E67:$P67,MATCH(C71,TRIB!$E$1:$P$1,0)),"")</f>
        <v>752.088</v>
      </c>
      <c r="E71" s="4" t="str">
        <f aca="false">IFERROR(INDEX(ARCH!$E67:$P67,MATCH(C71,TRIB!$E$1:$P$1,0)),"")</f>
        <v>14x36</v>
      </c>
      <c r="F71" s="12" t="n">
        <f aca="false">IFERROR(INDEX(RHO_ARCH!$E67:$P67,MATCH(C71,TRIB!$E$1:$P$1,0)),"")</f>
        <v>-0.0406249791495693</v>
      </c>
      <c r="G71" s="4" t="str">
        <f aca="false">IFERROR(INDEX(STATUS!$E67:$P67,MATCH(C71,TRIB!$E$1:$P$1,0)),"")</f>
        <v>OK</v>
      </c>
      <c r="H71" s="4" t="str">
        <f aca="false">IFERROR(INDEX(RECOMMEND!$E67:$P67,MATCH(C71,TRIB!$E$1:$P$1,0)),"")</f>
        <v>14x24</v>
      </c>
      <c r="I71" s="10" t="n">
        <f aca="false">COUNTIF(TRIB!$E67:$P67,"&gt;0")</f>
        <v>6</v>
      </c>
      <c r="J71" s="2"/>
    </row>
    <row r="72" customFormat="false" ht="15" hidden="false" customHeight="false" outlineLevel="0" collapsed="false">
      <c r="A72" s="11" t="str">
        <f aca="false">TRIB!A68</f>
        <v>C67</v>
      </c>
      <c r="B72" s="11" t="str">
        <f aca="false">TRIB!D68</f>
        <v>B</v>
      </c>
      <c r="C72" s="4" t="str">
        <f aca="false">IF(COUNTIF(TRIB!$E68:$P68,"&gt;0")=0,"",INDEX(TRIB!$E$1:$P$1,SUMPRODUCT(MAX((TRIB!$E68:$P68&lt;&gt;"")*(COLUMN(TRIB!$E68:$P68)-COLUMN(TRIB!$E68)+1)))))</f>
        <v>7</v>
      </c>
      <c r="D72" s="10" t="n">
        <f aca="false">IFERROR(INDEX(PU!$E68:$P68,MATCH(C72,TRIB!$E$1:$P$1,0)),"")</f>
        <v>1017.072</v>
      </c>
      <c r="E72" s="4" t="str">
        <f aca="false">IFERROR(INDEX(ARCH!$E68:$P68,MATCH(C72,TRIB!$E$1:$P$1,0)),"")</f>
        <v>14x36</v>
      </c>
      <c r="F72" s="12" t="n">
        <f aca="false">IFERROR(INDEX(RHO_ARCH!$E68:$P68,MATCH(C72,TRIB!$E$1:$P$1,0)),"")</f>
        <v>-0.0222082107328009</v>
      </c>
      <c r="G72" s="4" t="str">
        <f aca="false">IFERROR(INDEX(STATUS!$E68:$P68,MATCH(C72,TRIB!$E$1:$P$1,0)),"")</f>
        <v>OK</v>
      </c>
      <c r="H72" s="4" t="str">
        <f aca="false">IFERROR(INDEX(RECOMMEND!$E68:$P68,MATCH(C72,TRIB!$E$1:$P$1,0)),"")</f>
        <v>14x24</v>
      </c>
      <c r="I72" s="10" t="n">
        <f aca="false">COUNTIF(TRIB!$E68:$P68,"&gt;0")</f>
        <v>6</v>
      </c>
      <c r="J72" s="2"/>
    </row>
    <row r="73" customFormat="false" ht="15" hidden="false" customHeight="false" outlineLevel="0" collapsed="false">
      <c r="A73" s="11" t="str">
        <f aca="false">TRIB!A69</f>
        <v>C68</v>
      </c>
      <c r="B73" s="11" t="str">
        <f aca="false">TRIB!D69</f>
        <v>B</v>
      </c>
      <c r="C73" s="4" t="str">
        <f aca="false">IF(COUNTIF(TRIB!$E69:$P69,"&gt;0")=0,"",INDEX(TRIB!$E$1:$P$1,SUMPRODUCT(MAX((TRIB!$E69:$P69&lt;&gt;"")*(COLUMN(TRIB!$E69:$P69)-COLUMN(TRIB!$E69)+1)))))</f>
        <v>7</v>
      </c>
      <c r="D73" s="10" t="n">
        <f aca="false">IFERROR(INDEX(PU!$E69:$P69,MATCH(C73,TRIB!$E$1:$P$1,0)),"")</f>
        <v>1047.5324</v>
      </c>
      <c r="E73" s="4" t="str">
        <f aca="false">IFERROR(INDEX(ARCH!$E69:$P69,MATCH(C73,TRIB!$E$1:$P$1,0)),"")</f>
        <v>14x36</v>
      </c>
      <c r="F73" s="12" t="n">
        <f aca="false">IFERROR(INDEX(RHO_ARCH!$E69:$P69,MATCH(C73,TRIB!$E$1:$P$1,0)),"")</f>
        <v>-0.020091169203191</v>
      </c>
      <c r="G73" s="4" t="str">
        <f aca="false">IFERROR(INDEX(STATUS!$E69:$P69,MATCH(C73,TRIB!$E$1:$P$1,0)),"")</f>
        <v>OK</v>
      </c>
      <c r="H73" s="4" t="str">
        <f aca="false">IFERROR(INDEX(RECOMMEND!$E69:$P69,MATCH(C73,TRIB!$E$1:$P$1,0)),"")</f>
        <v>14x24</v>
      </c>
      <c r="I73" s="10" t="n">
        <f aca="false">COUNTIF(TRIB!$E69:$P69,"&gt;0")</f>
        <v>6</v>
      </c>
      <c r="J73" s="2"/>
    </row>
    <row r="74" customFormat="false" ht="15" hidden="false" customHeight="false" outlineLevel="0" collapsed="false">
      <c r="A74" s="11" t="str">
        <f aca="false">TRIB!A70</f>
        <v>C69</v>
      </c>
      <c r="B74" s="11" t="str">
        <f aca="false">TRIB!D70</f>
        <v>B</v>
      </c>
      <c r="C74" s="4" t="str">
        <f aca="false">IF(COUNTIF(TRIB!$E70:$P70,"&gt;0")=0,"",INDEX(TRIB!$E$1:$P$1,SUMPRODUCT(MAX((TRIB!$E70:$P70&lt;&gt;"")*(COLUMN(TRIB!$E70:$P70)-COLUMN(TRIB!$E70)+1)))))</f>
        <v>7</v>
      </c>
      <c r="D74" s="10" t="n">
        <f aca="false">IFERROR(INDEX(PU!$E70:$P70,MATCH(C74,TRIB!$E$1:$P$1,0)),"")</f>
        <v>680.9916</v>
      </c>
      <c r="E74" s="4" t="str">
        <f aca="false">IFERROR(INDEX(ARCH!$E70:$P70,MATCH(C74,TRIB!$E$1:$P$1,0)),"")</f>
        <v>14x36</v>
      </c>
      <c r="F74" s="12" t="n">
        <f aca="false">IFERROR(INDEX(RHO_ARCH!$E70:$P70,MATCH(C74,TRIB!$E$1:$P$1,0)),"")</f>
        <v>-0.0455662810171007</v>
      </c>
      <c r="G74" s="4" t="str">
        <f aca="false">IFERROR(INDEX(STATUS!$E70:$P70,MATCH(C74,TRIB!$E$1:$P$1,0)),"")</f>
        <v>OK</v>
      </c>
      <c r="H74" s="4" t="str">
        <f aca="false">IFERROR(INDEX(RECOMMEND!$E70:$P70,MATCH(C74,TRIB!$E$1:$P$1,0)),"")</f>
        <v>14x24</v>
      </c>
      <c r="I74" s="10" t="n">
        <f aca="false">COUNTIF(TRIB!$E70:$P70,"&gt;0")</f>
        <v>6</v>
      </c>
      <c r="J74" s="2"/>
    </row>
    <row r="75" customFormat="false" ht="15" hidden="false" customHeight="false" outlineLevel="0" collapsed="false">
      <c r="A75" s="11" t="str">
        <f aca="false">TRIB!A71</f>
        <v>C70</v>
      </c>
      <c r="B75" s="11" t="str">
        <f aca="false">TRIB!D71</f>
        <v>B</v>
      </c>
      <c r="C75" s="4" t="str">
        <f aca="false">IF(COUNTIF(TRIB!$E71:$P71,"&gt;0")=0,"",INDEX(TRIB!$E$1:$P$1,SUMPRODUCT(MAX((TRIB!$E71:$P71&lt;&gt;"")*(COLUMN(TRIB!$E71:$P71)-COLUMN(TRIB!$E71)+1)))))</f>
        <v>7</v>
      </c>
      <c r="D75" s="10" t="n">
        <f aca="false">IFERROR(INDEX(PU!$E71:$P71,MATCH(C75,TRIB!$E$1:$P$1,0)),"")</f>
        <v>842.5688</v>
      </c>
      <c r="E75" s="4" t="str">
        <f aca="false">IFERROR(INDEX(ARCH!$E71:$P71,MATCH(C75,TRIB!$E$1:$P$1,0)),"")</f>
        <v>14x36</v>
      </c>
      <c r="F75" s="12" t="n">
        <f aca="false">IFERROR(INDEX(RHO_ARCH!$E71:$P71,MATCH(C75,TRIB!$E$1:$P$1,0)),"")</f>
        <v>-0.0343364336533735</v>
      </c>
      <c r="G75" s="4" t="str">
        <f aca="false">IFERROR(INDEX(STATUS!$E71:$P71,MATCH(C75,TRIB!$E$1:$P$1,0)),"")</f>
        <v>OK</v>
      </c>
      <c r="H75" s="4" t="str">
        <f aca="false">IFERROR(INDEX(RECOMMEND!$E71:$P71,MATCH(C75,TRIB!$E$1:$P$1,0)),"")</f>
        <v>14x24</v>
      </c>
      <c r="I75" s="10" t="n">
        <f aca="false">COUNTIF(TRIB!$E71:$P71,"&gt;0")</f>
        <v>6</v>
      </c>
      <c r="J75" s="2"/>
    </row>
    <row r="76" customFormat="false" ht="15" hidden="false" customHeight="false" outlineLevel="0" collapsed="false">
      <c r="A76" s="11" t="str">
        <f aca="false">TRIB!A72</f>
        <v>C71</v>
      </c>
      <c r="B76" s="11" t="str">
        <f aca="false">TRIB!D72</f>
        <v>B</v>
      </c>
      <c r="C76" s="4" t="str">
        <f aca="false">IF(COUNTIF(TRIB!$E72:$P72,"&gt;0")=0,"",INDEX(TRIB!$E$1:$P$1,SUMPRODUCT(MAX((TRIB!$E72:$P72&lt;&gt;"")*(COLUMN(TRIB!$E72:$P72)-COLUMN(TRIB!$E72)+1)))))</f>
        <v>7</v>
      </c>
      <c r="D76" s="10" t="n">
        <f aca="false">IFERROR(INDEX(PU!$E72:$P72,MATCH(C76,TRIB!$E$1:$P$1,0)),"")</f>
        <v>821.3104</v>
      </c>
      <c r="E76" s="4" t="str">
        <f aca="false">IFERROR(INDEX(ARCH!$E72:$P72,MATCH(C76,TRIB!$E$1:$P$1,0)),"")</f>
        <v>14x36</v>
      </c>
      <c r="F76" s="12" t="n">
        <f aca="false">IFERROR(INDEX(RHO_ARCH!$E72:$P72,MATCH(C76,TRIB!$E$1:$P$1,0)),"")</f>
        <v>-0.0358139229723929</v>
      </c>
      <c r="G76" s="4" t="str">
        <f aca="false">IFERROR(INDEX(STATUS!$E72:$P72,MATCH(C76,TRIB!$E$1:$P$1,0)),"")</f>
        <v>OK</v>
      </c>
      <c r="H76" s="4" t="str">
        <f aca="false">IFERROR(INDEX(RECOMMEND!$E72:$P72,MATCH(C76,TRIB!$E$1:$P$1,0)),"")</f>
        <v>14x24</v>
      </c>
      <c r="I76" s="10" t="n">
        <f aca="false">COUNTIF(TRIB!$E72:$P72,"&gt;0")</f>
        <v>6</v>
      </c>
      <c r="J76" s="2"/>
    </row>
    <row r="77" customFormat="false" ht="15" hidden="false" customHeight="false" outlineLevel="0" collapsed="false">
      <c r="A77" s="11" t="str">
        <f aca="false">TRIB!A73</f>
        <v>C72</v>
      </c>
      <c r="B77" s="11" t="str">
        <f aca="false">TRIB!D73</f>
        <v>B</v>
      </c>
      <c r="C77" s="4" t="str">
        <f aca="false">IF(COUNTIF(TRIB!$E73:$P73,"&gt;0")=0,"",INDEX(TRIB!$E$1:$P$1,SUMPRODUCT(MAX((TRIB!$E73:$P73&lt;&gt;"")*(COLUMN(TRIB!$E73:$P73)-COLUMN(TRIB!$E73)+1)))))</f>
        <v>7</v>
      </c>
      <c r="D77" s="10" t="n">
        <f aca="false">IFERROR(INDEX(PU!$E73:$P73,MATCH(C77,TRIB!$E$1:$P$1,0)),"")</f>
        <v>574.386</v>
      </c>
      <c r="E77" s="4" t="str">
        <f aca="false">IFERROR(INDEX(ARCH!$E73:$P73,MATCH(C77,TRIB!$E$1:$P$1,0)),"")</f>
        <v>14x36</v>
      </c>
      <c r="F77" s="12" t="n">
        <f aca="false">IFERROR(INDEX(RHO_ARCH!$E73:$P73,MATCH(C77,TRIB!$E$1:$P$1,0)),"")</f>
        <v>-0.0529755232624085</v>
      </c>
      <c r="G77" s="4" t="str">
        <f aca="false">IFERROR(INDEX(STATUS!$E73:$P73,MATCH(C77,TRIB!$E$1:$P$1,0)),"")</f>
        <v>OK</v>
      </c>
      <c r="H77" s="4" t="str">
        <f aca="false">IFERROR(INDEX(RECOMMEND!$E73:$P73,MATCH(C77,TRIB!$E$1:$P$1,0)),"")</f>
        <v>14x24</v>
      </c>
      <c r="I77" s="10" t="n">
        <f aca="false">COUNTIF(TRIB!$E73:$P73,"&gt;0")</f>
        <v>6</v>
      </c>
      <c r="J77" s="2"/>
    </row>
    <row r="78" customFormat="false" ht="15" hidden="false" customHeight="false" outlineLevel="0" collapsed="false">
      <c r="A78" s="11" t="str">
        <f aca="false">TRIB!A74</f>
        <v>C73</v>
      </c>
      <c r="B78" s="11" t="str">
        <f aca="false">TRIB!D74</f>
        <v>B</v>
      </c>
      <c r="C78" s="4" t="str">
        <f aca="false">IF(COUNTIF(TRIB!$E74:$P74,"&gt;0")=0,"",INDEX(TRIB!$E$1:$P$1,SUMPRODUCT(MAX((TRIB!$E74:$P74&lt;&gt;"")*(COLUMN(TRIB!$E74:$P74)-COLUMN(TRIB!$E74)+1)))))</f>
        <v>7</v>
      </c>
      <c r="D78" s="10" t="n">
        <f aca="false">IFERROR(INDEX(PU!$E74:$P74,MATCH(C78,TRIB!$E$1:$P$1,0)),"")</f>
        <v>886.4308</v>
      </c>
      <c r="E78" s="4" t="str">
        <f aca="false">IFERROR(INDEX(ARCH!$E74:$P74,MATCH(C78,TRIB!$E$1:$P$1,0)),"")</f>
        <v>14x36</v>
      </c>
      <c r="F78" s="12" t="n">
        <f aca="false">IFERROR(INDEX(RHO_ARCH!$E74:$P74,MATCH(C78,TRIB!$E$1:$P$1,0)),"")</f>
        <v>-0.0312879616841365</v>
      </c>
      <c r="G78" s="4" t="str">
        <f aca="false">IFERROR(INDEX(STATUS!$E74:$P74,MATCH(C78,TRIB!$E$1:$P$1,0)),"")</f>
        <v>OK</v>
      </c>
      <c r="H78" s="4" t="str">
        <f aca="false">IFERROR(INDEX(RECOMMEND!$E74:$P74,MATCH(C78,TRIB!$E$1:$P$1,0)),"")</f>
        <v>14x24</v>
      </c>
      <c r="I78" s="10" t="n">
        <f aca="false">COUNTIF(TRIB!$E74:$P74,"&gt;0")</f>
        <v>6</v>
      </c>
      <c r="J78" s="2"/>
    </row>
    <row r="79" customFormat="false" ht="15" hidden="false" customHeight="false" outlineLevel="0" collapsed="false">
      <c r="A79" s="11" t="str">
        <f aca="false">TRIB!A75</f>
        <v>C74</v>
      </c>
      <c r="B79" s="11" t="str">
        <f aca="false">TRIB!D75</f>
        <v>B</v>
      </c>
      <c r="C79" s="4" t="str">
        <f aca="false">IF(COUNTIF(TRIB!$E75:$P75,"&gt;0")=0,"",INDEX(TRIB!$E$1:$P$1,SUMPRODUCT(MAX((TRIB!$E75:$P75&lt;&gt;"")*(COLUMN(TRIB!$E75:$P75)-COLUMN(TRIB!$E75)+1)))))</f>
        <v>7</v>
      </c>
      <c r="D79" s="10" t="n">
        <f aca="false">IFERROR(INDEX(PU!$E75:$P75,MATCH(C79,TRIB!$E$1:$P$1,0)),"")</f>
        <v>895.6392</v>
      </c>
      <c r="E79" s="4" t="str">
        <f aca="false">IFERROR(INDEX(ARCH!$E75:$P75,MATCH(C79,TRIB!$E$1:$P$1,0)),"")</f>
        <v>14x36</v>
      </c>
      <c r="F79" s="12" t="n">
        <f aca="false">IFERROR(INDEX(RHO_ARCH!$E75:$P75,MATCH(C79,TRIB!$E$1:$P$1,0)),"")</f>
        <v>-0.0306479646643581</v>
      </c>
      <c r="G79" s="4" t="str">
        <f aca="false">IFERROR(INDEX(STATUS!$E75:$P75,MATCH(C79,TRIB!$E$1:$P$1,0)),"")</f>
        <v>OK</v>
      </c>
      <c r="H79" s="4" t="str">
        <f aca="false">IFERROR(INDEX(RECOMMEND!$E75:$P75,MATCH(C79,TRIB!$E$1:$P$1,0)),"")</f>
        <v>14x24</v>
      </c>
      <c r="I79" s="10" t="n">
        <f aca="false">COUNTIF(TRIB!$E75:$P75,"&gt;0")</f>
        <v>6</v>
      </c>
      <c r="J79" s="2"/>
    </row>
    <row r="80" customFormat="false" ht="15" hidden="false" customHeight="false" outlineLevel="0" collapsed="false">
      <c r="A80" s="11" t="str">
        <f aca="false">TRIB!A76</f>
        <v>C75</v>
      </c>
      <c r="B80" s="11" t="str">
        <f aca="false">TRIB!D76</f>
        <v>B</v>
      </c>
      <c r="C80" s="4" t="str">
        <f aca="false">IF(COUNTIF(TRIB!$E76:$P76,"&gt;0")=0,"",INDEX(TRIB!$E$1:$P$1,SUMPRODUCT(MAX((TRIB!$E76:$P76&lt;&gt;"")*(COLUMN(TRIB!$E76:$P76)-COLUMN(TRIB!$E76)+1)))))</f>
        <v>7</v>
      </c>
      <c r="D80" s="10" t="n">
        <f aca="false">IFERROR(INDEX(PU!$E76:$P76,MATCH(C80,TRIB!$E$1:$P$1,0)),"")</f>
        <v>175.5116</v>
      </c>
      <c r="E80" s="4" t="str">
        <f aca="false">IFERROR(INDEX(ARCH!$E76:$P76,MATCH(C80,TRIB!$E$1:$P$1,0)),"")</f>
        <v>14x36</v>
      </c>
      <c r="F80" s="12" t="n">
        <f aca="false">IFERROR(INDEX(RHO_ARCH!$E76:$P76,MATCH(C80,TRIB!$E$1:$P$1,0)),"")</f>
        <v>-0.0806978666951345</v>
      </c>
      <c r="G80" s="4" t="str">
        <f aca="false">IFERROR(INDEX(STATUS!$E76:$P76,MATCH(C80,TRIB!$E$1:$P$1,0)),"")</f>
        <v>OK</v>
      </c>
      <c r="H80" s="4" t="str">
        <f aca="false">IFERROR(INDEX(RECOMMEND!$E76:$P76,MATCH(C80,TRIB!$E$1:$P$1,0)),"")</f>
        <v>14x24</v>
      </c>
      <c r="I80" s="10" t="n">
        <f aca="false">COUNTIF(TRIB!$E76:$P76,"&gt;0")</f>
        <v>6</v>
      </c>
      <c r="J80" s="2"/>
    </row>
    <row r="81" customFormat="false" ht="15" hidden="false" customHeight="false" outlineLevel="0" collapsed="false">
      <c r="A81" s="11" t="str">
        <f aca="false">TRIB!A77</f>
        <v>C76</v>
      </c>
      <c r="B81" s="11" t="str">
        <f aca="false">TRIB!D77</f>
        <v>B</v>
      </c>
      <c r="C81" s="4" t="str">
        <f aca="false">IF(COUNTIF(TRIB!$E77:$P77,"&gt;0")=0,"",INDEX(TRIB!$E$1:$P$1,SUMPRODUCT(MAX((TRIB!$E77:$P77&lt;&gt;"")*(COLUMN(TRIB!$E77:$P77)-COLUMN(TRIB!$E77)+1)))))</f>
        <v>7</v>
      </c>
      <c r="D81" s="10" t="n">
        <f aca="false">IFERROR(INDEX(PU!$E77:$P77,MATCH(C81,TRIB!$E$1:$P$1,0)),"")</f>
        <v>534.3592</v>
      </c>
      <c r="E81" s="4" t="str">
        <f aca="false">IFERROR(INDEX(ARCH!$E77:$P77,MATCH(C81,TRIB!$E$1:$P$1,0)),"")</f>
        <v>14x36</v>
      </c>
      <c r="F81" s="12" t="n">
        <f aca="false">IFERROR(INDEX(RHO_ARCH!$E77:$P77,MATCH(C81,TRIB!$E$1:$P$1,0)),"")</f>
        <v>-0.0557574433257493</v>
      </c>
      <c r="G81" s="4" t="str">
        <f aca="false">IFERROR(INDEX(STATUS!$E77:$P77,MATCH(C81,TRIB!$E$1:$P$1,0)),"")</f>
        <v>OK</v>
      </c>
      <c r="H81" s="4" t="str">
        <f aca="false">IFERROR(INDEX(RECOMMEND!$E77:$P77,MATCH(C81,TRIB!$E$1:$P$1,0)),"")</f>
        <v>14x24</v>
      </c>
      <c r="I81" s="10" t="n">
        <f aca="false">COUNTIF(TRIB!$E77:$P77,"&gt;0")</f>
        <v>6</v>
      </c>
      <c r="J81" s="2"/>
    </row>
    <row r="82" customFormat="false" ht="15" hidden="false" customHeight="false" outlineLevel="0" collapsed="false">
      <c r="A82" s="11" t="str">
        <f aca="false">TRIB!A78</f>
        <v>C77</v>
      </c>
      <c r="B82" s="11" t="str">
        <f aca="false">TRIB!D78</f>
        <v>B</v>
      </c>
      <c r="C82" s="4" t="str">
        <f aca="false">IF(COUNTIF(TRIB!$E78:$P78,"&gt;0")=0,"",INDEX(TRIB!$E$1:$P$1,SUMPRODUCT(MAX((TRIB!$E78:$P78&lt;&gt;"")*(COLUMN(TRIB!$E78:$P78)-COLUMN(TRIB!$E78)+1)))))</f>
        <v>7</v>
      </c>
      <c r="D82" s="10" t="n">
        <f aca="false">IFERROR(INDEX(PU!$E78:$P78,MATCH(C82,TRIB!$E$1:$P$1,0)),"")</f>
        <v>924.6988</v>
      </c>
      <c r="E82" s="4" t="str">
        <f aca="false">IFERROR(INDEX(ARCH!$E78:$P78,MATCH(C82,TRIB!$E$1:$P$1,0)),"")</f>
        <v>14x36</v>
      </c>
      <c r="F82" s="12" t="n">
        <f aca="false">IFERROR(INDEX(RHO_ARCH!$E78:$P78,MATCH(C82,TRIB!$E$1:$P$1,0)),"")</f>
        <v>-0.0286282807457671</v>
      </c>
      <c r="G82" s="4" t="str">
        <f aca="false">IFERROR(INDEX(STATUS!$E78:$P78,MATCH(C82,TRIB!$E$1:$P$1,0)),"")</f>
        <v>OK</v>
      </c>
      <c r="H82" s="4" t="str">
        <f aca="false">IFERROR(INDEX(RECOMMEND!$E78:$P78,MATCH(C82,TRIB!$E$1:$P$1,0)),"")</f>
        <v>14x24</v>
      </c>
      <c r="I82" s="10" t="n">
        <f aca="false">COUNTIF(TRIB!$E78:$P78,"&gt;0")</f>
        <v>6</v>
      </c>
      <c r="J82" s="2"/>
    </row>
    <row r="83" customFormat="false" ht="15" hidden="false" customHeight="false" outlineLevel="0" collapsed="false">
      <c r="A83" s="11" t="str">
        <f aca="false">TRIB!A79</f>
        <v>C78</v>
      </c>
      <c r="B83" s="11" t="str">
        <f aca="false">TRIB!D79</f>
        <v>B</v>
      </c>
      <c r="C83" s="4" t="str">
        <f aca="false">IF(COUNTIF(TRIB!$E79:$P79,"&gt;0")=0,"",INDEX(TRIB!$E$1:$P$1,SUMPRODUCT(MAX((TRIB!$E79:$P79&lt;&gt;"")*(COLUMN(TRIB!$E79:$P79)-COLUMN(TRIB!$E79)+1)))))</f>
        <v>7</v>
      </c>
      <c r="D83" s="10" t="n">
        <f aca="false">IFERROR(INDEX(PU!$E79:$P79,MATCH(C83,TRIB!$E$1:$P$1,0)),"")</f>
        <v>831.85</v>
      </c>
      <c r="E83" s="4" t="str">
        <f aca="false">IFERROR(INDEX(ARCH!$E79:$P79,MATCH(C83,TRIB!$E$1:$P$1,0)),"")</f>
        <v>14x36</v>
      </c>
      <c r="F83" s="12" t="n">
        <f aca="false">IFERROR(INDEX(RHO_ARCH!$E79:$P79,MATCH(C83,TRIB!$E$1:$P$1,0)),"")</f>
        <v>-0.0350814056415149</v>
      </c>
      <c r="G83" s="4" t="str">
        <f aca="false">IFERROR(INDEX(STATUS!$E79:$P79,MATCH(C83,TRIB!$E$1:$P$1,0)),"")</f>
        <v>OK</v>
      </c>
      <c r="H83" s="4" t="str">
        <f aca="false">IFERROR(INDEX(RECOMMEND!$E79:$P79,MATCH(C83,TRIB!$E$1:$P$1,0)),"")</f>
        <v>14x24</v>
      </c>
      <c r="I83" s="10" t="n">
        <f aca="false">COUNTIF(TRIB!$E79:$P79,"&gt;0")</f>
        <v>6</v>
      </c>
      <c r="J83" s="2"/>
    </row>
    <row r="84" customFormat="false" ht="15" hidden="false" customHeight="false" outlineLevel="0" collapsed="false">
      <c r="A84" s="11" t="str">
        <f aca="false">TRIB!A80</f>
        <v>C79</v>
      </c>
      <c r="B84" s="11" t="str">
        <f aca="false">TRIB!D80</f>
        <v>B</v>
      </c>
      <c r="C84" s="4" t="str">
        <f aca="false">IF(COUNTIF(TRIB!$E80:$P80,"&gt;0")=0,"",INDEX(TRIB!$E$1:$P$1,SUMPRODUCT(MAX((TRIB!$E80:$P80&lt;&gt;"")*(COLUMN(TRIB!$E80:$P80)-COLUMN(TRIB!$E80)+1)))))</f>
        <v>7</v>
      </c>
      <c r="D84" s="10" t="n">
        <f aca="false">IFERROR(INDEX(PU!$E80:$P80,MATCH(C84,TRIB!$E$1:$P$1,0)),"")</f>
        <v>868.6552</v>
      </c>
      <c r="E84" s="4" t="str">
        <f aca="false">IFERROR(INDEX(ARCH!$E80:$P80,MATCH(C84,TRIB!$E$1:$P$1,0)),"")</f>
        <v>14x36</v>
      </c>
      <c r="F84" s="12" t="n">
        <f aca="false">IFERROR(INDEX(RHO_ARCH!$E80:$P80,MATCH(C84,TRIB!$E$1:$P$1,0)),"")</f>
        <v>-0.0325233914031728</v>
      </c>
      <c r="G84" s="4" t="str">
        <f aca="false">IFERROR(INDEX(STATUS!$E80:$P80,MATCH(C84,TRIB!$E$1:$P$1,0)),"")</f>
        <v>OK</v>
      </c>
      <c r="H84" s="4" t="str">
        <f aca="false">IFERROR(INDEX(RECOMMEND!$E80:$P80,MATCH(C84,TRIB!$E$1:$P$1,0)),"")</f>
        <v>14x24</v>
      </c>
      <c r="I84" s="10" t="n">
        <f aca="false">COUNTIF(TRIB!$E80:$P80,"&gt;0")</f>
        <v>6</v>
      </c>
      <c r="J84" s="2"/>
    </row>
    <row r="85" customFormat="false" ht="15" hidden="false" customHeight="false" outlineLevel="0" collapsed="false">
      <c r="A85" s="11" t="str">
        <f aca="false">TRIB!A81</f>
        <v>C80</v>
      </c>
      <c r="B85" s="11" t="str">
        <f aca="false">TRIB!D81</f>
        <v>B</v>
      </c>
      <c r="C85" s="4" t="str">
        <f aca="false">IF(COUNTIF(TRIB!$E81:$P81,"&gt;0")=0,"",INDEX(TRIB!$E$1:$P$1,SUMPRODUCT(MAX((TRIB!$E81:$P81&lt;&gt;"")*(COLUMN(TRIB!$E81:$P81)-COLUMN(TRIB!$E81)+1)))))</f>
        <v>7</v>
      </c>
      <c r="D85" s="10" t="n">
        <f aca="false">IFERROR(INDEX(PU!$E81:$P81,MATCH(C85,TRIB!$E$1:$P$1,0)),"")</f>
        <v>922</v>
      </c>
      <c r="E85" s="4" t="str">
        <f aca="false">IFERROR(INDEX(ARCH!$E81:$P81,MATCH(C85,TRIB!$E$1:$P$1,0)),"")</f>
        <v>14x36</v>
      </c>
      <c r="F85" s="12" t="n">
        <f aca="false">IFERROR(INDEX(RHO_ARCH!$E81:$P81,MATCH(C85,TRIB!$E$1:$P$1,0)),"")</f>
        <v>-0.0288158512202228</v>
      </c>
      <c r="G85" s="4" t="str">
        <f aca="false">IFERROR(INDEX(STATUS!$E81:$P81,MATCH(C85,TRIB!$E$1:$P$1,0)),"")</f>
        <v>OK</v>
      </c>
      <c r="H85" s="4" t="str">
        <f aca="false">IFERROR(INDEX(RECOMMEND!$E81:$P81,MATCH(C85,TRIB!$E$1:$P$1,0)),"")</f>
        <v>14x24</v>
      </c>
      <c r="I85" s="10" t="n">
        <f aca="false">COUNTIF(TRIB!$E81:$P81,"&gt;0")</f>
        <v>6</v>
      </c>
      <c r="J85" s="2"/>
    </row>
    <row r="86" customFormat="false" ht="15" hidden="false" customHeight="false" outlineLevel="0" collapsed="false">
      <c r="A86" s="11" t="str">
        <f aca="false">TRIB!A82</f>
        <v>C81</v>
      </c>
      <c r="B86" s="11" t="str">
        <f aca="false">TRIB!D82</f>
        <v>B</v>
      </c>
      <c r="C86" s="4" t="str">
        <f aca="false">IF(COUNTIF(TRIB!$E82:$P82,"&gt;0")=0,"",INDEX(TRIB!$E$1:$P$1,SUMPRODUCT(MAX((TRIB!$E82:$P82&lt;&gt;"")*(COLUMN(TRIB!$E82:$P82)-COLUMN(TRIB!$E82)+1)))))</f>
        <v>7</v>
      </c>
      <c r="D86" s="10" t="n">
        <f aca="false">IFERROR(INDEX(PU!$E82:$P82,MATCH(C86,TRIB!$E$1:$P$1,0)),"")</f>
        <v>172.2656</v>
      </c>
      <c r="E86" s="4" t="str">
        <f aca="false">IFERROR(INDEX(ARCH!$E82:$P82,MATCH(C86,TRIB!$E$1:$P$1,0)),"")</f>
        <v>14x36</v>
      </c>
      <c r="F86" s="12" t="n">
        <f aca="false">IFERROR(INDEX(RHO_ARCH!$E82:$P82,MATCH(C86,TRIB!$E$1:$P$1,0)),"")</f>
        <v>-0.0809234683551623</v>
      </c>
      <c r="G86" s="4" t="str">
        <f aca="false">IFERROR(INDEX(STATUS!$E82:$P82,MATCH(C86,TRIB!$E$1:$P$1,0)),"")</f>
        <v>OK</v>
      </c>
      <c r="H86" s="4" t="str">
        <f aca="false">IFERROR(INDEX(RECOMMEND!$E82:$P82,MATCH(C86,TRIB!$E$1:$P$1,0)),"")</f>
        <v>14x24</v>
      </c>
      <c r="I86" s="10" t="n">
        <f aca="false">COUNTIF(TRIB!$E82:$P82,"&gt;0")</f>
        <v>6</v>
      </c>
      <c r="J86" s="2"/>
    </row>
    <row r="87" customFormat="false" ht="15" hidden="false" customHeight="false" outlineLevel="0" collapsed="false">
      <c r="A87" s="11" t="str">
        <f aca="false">TRIB!A83</f>
        <v>C82</v>
      </c>
      <c r="B87" s="11" t="str">
        <f aca="false">TRIB!D83</f>
        <v>B</v>
      </c>
      <c r="C87" s="4" t="str">
        <f aca="false">IF(COUNTIF(TRIB!$E83:$P83,"&gt;0")=0,"",INDEX(TRIB!$E$1:$P$1,SUMPRODUCT(MAX((TRIB!$E83:$P83&lt;&gt;"")*(COLUMN(TRIB!$E83:$P83)-COLUMN(TRIB!$E83)+1)))))</f>
        <v>7</v>
      </c>
      <c r="D87" s="10" t="n">
        <f aca="false">IFERROR(INDEX(PU!$E83:$P83,MATCH(C87,TRIB!$E$1:$P$1,0)),"")</f>
        <v>653.0056</v>
      </c>
      <c r="E87" s="4" t="str">
        <f aca="false">IFERROR(INDEX(ARCH!$E83:$P83,MATCH(C87,TRIB!$E$1:$P$1,0)),"")</f>
        <v>14x36</v>
      </c>
      <c r="F87" s="12" t="n">
        <f aca="false">IFERROR(INDEX(RHO_ARCH!$E83:$P83,MATCH(C87,TRIB!$E$1:$P$1,0)),"")</f>
        <v>-0.0475113481944083</v>
      </c>
      <c r="G87" s="4" t="str">
        <f aca="false">IFERROR(INDEX(STATUS!$E83:$P83,MATCH(C87,TRIB!$E$1:$P$1,0)),"")</f>
        <v>OK</v>
      </c>
      <c r="H87" s="4" t="str">
        <f aca="false">IFERROR(INDEX(RECOMMEND!$E83:$P83,MATCH(C87,TRIB!$E$1:$P$1,0)),"")</f>
        <v>14x24</v>
      </c>
      <c r="I87" s="10" t="n">
        <f aca="false">COUNTIF(TRIB!$E83:$P83,"&gt;0")</f>
        <v>6</v>
      </c>
      <c r="J87" s="2"/>
    </row>
    <row r="88" customFormat="false" ht="15" hidden="false" customHeight="false" outlineLevel="0" collapsed="false">
      <c r="A88" s="11" t="str">
        <f aca="false">TRIB!A84</f>
        <v>C83</v>
      </c>
      <c r="B88" s="11" t="str">
        <f aca="false">TRIB!D84</f>
        <v>B</v>
      </c>
      <c r="C88" s="4" t="str">
        <f aca="false">IF(COUNTIF(TRIB!$E84:$P84,"&gt;0")=0,"",INDEX(TRIB!$E$1:$P$1,SUMPRODUCT(MAX((TRIB!$E84:$P84&lt;&gt;"")*(COLUMN(TRIB!$E84:$P84)-COLUMN(TRIB!$E84)+1)))))</f>
        <v>7</v>
      </c>
      <c r="D88" s="10" t="n">
        <f aca="false">IFERROR(INDEX(PU!$E84:$P84,MATCH(C88,TRIB!$E$1:$P$1,0)),"")</f>
        <v>617.6008</v>
      </c>
      <c r="E88" s="4" t="str">
        <f aca="false">IFERROR(INDEX(ARCH!$E84:$P84,MATCH(C88,TRIB!$E$1:$P$1,0)),"")</f>
        <v>14x36</v>
      </c>
      <c r="F88" s="12" t="n">
        <f aca="false">IFERROR(INDEX(RHO_ARCH!$E84:$P84,MATCH(C88,TRIB!$E$1:$P$1,0)),"")</f>
        <v>-0.0499720326223058</v>
      </c>
      <c r="G88" s="4" t="str">
        <f aca="false">IFERROR(INDEX(STATUS!$E84:$P84,MATCH(C88,TRIB!$E$1:$P$1,0)),"")</f>
        <v>OK</v>
      </c>
      <c r="H88" s="4" t="str">
        <f aca="false">IFERROR(INDEX(RECOMMEND!$E84:$P84,MATCH(C88,TRIB!$E$1:$P$1,0)),"")</f>
        <v>14x24</v>
      </c>
      <c r="I88" s="10" t="n">
        <f aca="false">COUNTIF(TRIB!$E84:$P84,"&gt;0")</f>
        <v>6</v>
      </c>
      <c r="J88" s="2"/>
    </row>
    <row r="89" customFormat="false" ht="15" hidden="false" customHeight="false" outlineLevel="0" collapsed="false">
      <c r="A89" s="11" t="str">
        <f aca="false">TRIB!A85</f>
        <v>C84</v>
      </c>
      <c r="B89" s="11" t="str">
        <f aca="false">TRIB!D85</f>
        <v>B</v>
      </c>
      <c r="C89" s="4" t="str">
        <f aca="false">IF(COUNTIF(TRIB!$E85:$P85,"&gt;0")=0,"",INDEX(TRIB!$E$1:$P$1,SUMPRODUCT(MAX((TRIB!$E85:$P85&lt;&gt;"")*(COLUMN(TRIB!$E85:$P85)-COLUMN(TRIB!$E85)+1)))))</f>
        <v>7</v>
      </c>
      <c r="D89" s="10" t="n">
        <f aca="false">IFERROR(INDEX(PU!$E85:$P85,MATCH(C89,TRIB!$E$1:$P$1,0)),"")</f>
        <v>797.6908</v>
      </c>
      <c r="E89" s="4" t="str">
        <f aca="false">IFERROR(INDEX(ARCH!$E85:$P85,MATCH(C89,TRIB!$E$1:$P$1,0)),"")</f>
        <v>14x36</v>
      </c>
      <c r="F89" s="12" t="n">
        <f aca="false">IFERROR(INDEX(RHO_ARCH!$E85:$P85,MATCH(C89,TRIB!$E$1:$P$1,0)),"")</f>
        <v>-0.0374555190812021</v>
      </c>
      <c r="G89" s="4" t="str">
        <f aca="false">IFERROR(INDEX(STATUS!$E85:$P85,MATCH(C89,TRIB!$E$1:$P$1,0)),"")</f>
        <v>OK</v>
      </c>
      <c r="H89" s="4" t="str">
        <f aca="false">IFERROR(INDEX(RECOMMEND!$E85:$P85,MATCH(C89,TRIB!$E$1:$P$1,0)),"")</f>
        <v>14x24</v>
      </c>
      <c r="I89" s="10" t="n">
        <f aca="false">COUNTIF(TRIB!$E85:$P85,"&gt;0")</f>
        <v>6</v>
      </c>
      <c r="J89" s="2"/>
    </row>
    <row r="90" customFormat="false" ht="15" hidden="false" customHeight="false" outlineLevel="0" collapsed="false">
      <c r="A90" s="11" t="str">
        <f aca="false">TRIB!A86</f>
        <v>C85</v>
      </c>
      <c r="B90" s="11" t="str">
        <f aca="false">TRIB!D86</f>
        <v>B</v>
      </c>
      <c r="C90" s="4" t="str">
        <f aca="false">IF(COUNTIF(TRIB!$E86:$P86,"&gt;0")=0,"",INDEX(TRIB!$E$1:$P$1,SUMPRODUCT(MAX((TRIB!$E86:$P86&lt;&gt;"")*(COLUMN(TRIB!$E86:$P86)-COLUMN(TRIB!$E86)+1)))))</f>
        <v>7</v>
      </c>
      <c r="D90" s="10" t="n">
        <f aca="false">IFERROR(INDEX(PU!$E86:$P86,MATCH(C90,TRIB!$E$1:$P$1,0)),"")</f>
        <v>119.4464</v>
      </c>
      <c r="E90" s="4" t="str">
        <f aca="false">IFERROR(INDEX(ARCH!$E86:$P86,MATCH(C90,TRIB!$E$1:$P$1,0)),"")</f>
        <v>14x36</v>
      </c>
      <c r="F90" s="12" t="n">
        <f aca="false">IFERROR(INDEX(RHO_ARCH!$E86:$P86,MATCH(C90,TRIB!$E$1:$P$1,0)),"")</f>
        <v>-0.0845944785835496</v>
      </c>
      <c r="G90" s="4" t="str">
        <f aca="false">IFERROR(INDEX(STATUS!$E86:$P86,MATCH(C90,TRIB!$E$1:$P$1,0)),"")</f>
        <v>OK</v>
      </c>
      <c r="H90" s="4" t="str">
        <f aca="false">IFERROR(INDEX(RECOMMEND!$E86:$P86,MATCH(C90,TRIB!$E$1:$P$1,0)),"")</f>
        <v>14x24</v>
      </c>
      <c r="I90" s="10" t="n">
        <f aca="false">COUNTIF(TRIB!$E86:$P86,"&gt;0")</f>
        <v>6</v>
      </c>
      <c r="J90" s="2"/>
    </row>
    <row r="91" customFormat="false" ht="15" hidden="false" customHeight="false" outlineLevel="0" collapsed="false">
      <c r="A91" s="11" t="str">
        <f aca="false">TRIB!A87</f>
        <v>C86</v>
      </c>
      <c r="B91" s="11" t="str">
        <f aca="false">TRIB!D87</f>
        <v>B</v>
      </c>
      <c r="C91" s="4" t="str">
        <f aca="false">IF(COUNTIF(TRIB!$E87:$P87,"&gt;0")=0,"",INDEX(TRIB!$E$1:$P$1,SUMPRODUCT(MAX((TRIB!$E87:$P87&lt;&gt;"")*(COLUMN(TRIB!$E87:$P87)-COLUMN(TRIB!$E87)+1)))))</f>
        <v>9</v>
      </c>
      <c r="D91" s="10" t="n">
        <f aca="false">IFERROR(INDEX(PU!$E87:$P87,MATCH(C91,TRIB!$E$1:$P$1,0)),"")</f>
        <v>630.378</v>
      </c>
      <c r="E91" s="4" t="str">
        <f aca="false">IFERROR(INDEX(ARCH!$E87:$P87,MATCH(C91,TRIB!$E$1:$P$1,0)),"")</f>
        <v>14x36</v>
      </c>
      <c r="F91" s="12" t="n">
        <f aca="false">IFERROR(INDEX(RHO_ARCH!$E87:$P87,MATCH(C91,TRIB!$E$1:$P$1,0)),"")</f>
        <v>-0.0490839988790808</v>
      </c>
      <c r="G91" s="4" t="str">
        <f aca="false">IFERROR(INDEX(STATUS!$E87:$P87,MATCH(C91,TRIB!$E$1:$P$1,0)),"")</f>
        <v>OK</v>
      </c>
      <c r="H91" s="4" t="str">
        <f aca="false">IFERROR(INDEX(RECOMMEND!$E87:$P87,MATCH(C91,TRIB!$E$1:$P$1,0)),"")</f>
        <v>14x24</v>
      </c>
      <c r="I91" s="10" t="n">
        <f aca="false">COUNTIF(TRIB!$E87:$P87,"&gt;0")</f>
        <v>4</v>
      </c>
      <c r="J91" s="2"/>
    </row>
    <row r="92" customFormat="false" ht="15" hidden="false" customHeight="false" outlineLevel="0" collapsed="false">
      <c r="A92" s="11" t="str">
        <f aca="false">TRIB!A88</f>
        <v>C87</v>
      </c>
      <c r="B92" s="11" t="str">
        <f aca="false">TRIB!D88</f>
        <v>B</v>
      </c>
      <c r="C92" s="4" t="str">
        <f aca="false">IF(COUNTIF(TRIB!$E88:$P88,"&gt;0")=0,"",INDEX(TRIB!$E$1:$P$1,SUMPRODUCT(MAX((TRIB!$E88:$P88&lt;&gt;"")*(COLUMN(TRIB!$E88:$P88)-COLUMN(TRIB!$E88)+1)))))</f>
        <v>9</v>
      </c>
      <c r="D92" s="10" t="n">
        <f aca="false">IFERROR(INDEX(PU!$E88:$P88,MATCH(C92,TRIB!$E$1:$P$1,0)),"")</f>
        <v>595.34</v>
      </c>
      <c r="E92" s="4" t="str">
        <f aca="false">IFERROR(INDEX(ARCH!$E88:$P88,MATCH(C92,TRIB!$E$1:$P$1,0)),"")</f>
        <v>14x36</v>
      </c>
      <c r="F92" s="12" t="n">
        <f aca="false">IFERROR(INDEX(RHO_ARCH!$E88:$P88,MATCH(C92,TRIB!$E$1:$P$1,0)),"")</f>
        <v>-0.0515191901803924</v>
      </c>
      <c r="G92" s="4" t="str">
        <f aca="false">IFERROR(INDEX(STATUS!$E88:$P88,MATCH(C92,TRIB!$E$1:$P$1,0)),"")</f>
        <v>OK</v>
      </c>
      <c r="H92" s="4" t="str">
        <f aca="false">IFERROR(INDEX(RECOMMEND!$E88:$P88,MATCH(C92,TRIB!$E$1:$P$1,0)),"")</f>
        <v>14x24</v>
      </c>
      <c r="I92" s="10" t="n">
        <f aca="false">COUNTIF(TRIB!$E88:$P88,"&gt;0")</f>
        <v>4</v>
      </c>
      <c r="J92" s="2"/>
    </row>
    <row r="93" customFormat="false" ht="15" hidden="false" customHeight="false" outlineLevel="0" collapsed="false">
      <c r="A93" s="11" t="str">
        <f aca="false">TRIB!A89</f>
        <v>C88</v>
      </c>
      <c r="B93" s="11" t="str">
        <f aca="false">TRIB!D89</f>
        <v>B</v>
      </c>
      <c r="C93" s="4" t="str">
        <f aca="false">IF(COUNTIF(TRIB!$E89:$P89,"&gt;0")=0,"",INDEX(TRIB!$E$1:$P$1,SUMPRODUCT(MAX((TRIB!$E89:$P89&lt;&gt;"")*(COLUMN(TRIB!$E89:$P89)-COLUMN(TRIB!$E89)+1)))))</f>
        <v>7</v>
      </c>
      <c r="D93" s="10" t="n">
        <f aca="false">IFERROR(INDEX(PU!$E89:$P89,MATCH(C93,TRIB!$E$1:$P$1,0)),"")</f>
        <v>763.52</v>
      </c>
      <c r="E93" s="4" t="str">
        <f aca="false">IFERROR(INDEX(ARCH!$E89:$P89,MATCH(C93,TRIB!$E$1:$P$1,0)),"")</f>
        <v>14x36</v>
      </c>
      <c r="F93" s="12" t="n">
        <f aca="false">IFERROR(INDEX(RHO_ARCH!$E89:$P89,MATCH(C93,TRIB!$E$1:$P$1,0)),"")</f>
        <v>-0.0398304387375426</v>
      </c>
      <c r="G93" s="4" t="str">
        <f aca="false">IFERROR(INDEX(STATUS!$E89:$P89,MATCH(C93,TRIB!$E$1:$P$1,0)),"")</f>
        <v>OK</v>
      </c>
      <c r="H93" s="4" t="str">
        <f aca="false">IFERROR(INDEX(RECOMMEND!$E89:$P89,MATCH(C93,TRIB!$E$1:$P$1,0)),"")</f>
        <v>14x24</v>
      </c>
      <c r="I93" s="10" t="n">
        <f aca="false">COUNTIF(TRIB!$E89:$P89,"&gt;0")</f>
        <v>6</v>
      </c>
      <c r="J93" s="2"/>
    </row>
    <row r="94" customFormat="false" ht="15" hidden="false" customHeight="false" outlineLevel="0" collapsed="false">
      <c r="A94" s="11" t="str">
        <f aca="false">TRIB!A90</f>
        <v>C89</v>
      </c>
      <c r="B94" s="11" t="str">
        <f aca="false">TRIB!D90</f>
        <v>B</v>
      </c>
      <c r="C94" s="4" t="str">
        <f aca="false">IF(COUNTIF(TRIB!$E90:$P90,"&gt;0")=0,"",INDEX(TRIB!$E$1:$P$1,SUMPRODUCT(MAX((TRIB!$E90:$P90&lt;&gt;"")*(COLUMN(TRIB!$E90:$P90)-COLUMN(TRIB!$E90)+1)))))</f>
        <v>7</v>
      </c>
      <c r="D94" s="10" t="n">
        <f aca="false">IFERROR(INDEX(PU!$E90:$P90,MATCH(C94,TRIB!$E$1:$P$1,0)),"")</f>
        <v>106.6972</v>
      </c>
      <c r="E94" s="4" t="str">
        <f aca="false">IFERROR(INDEX(ARCH!$E90:$P90,MATCH(C94,TRIB!$E$1:$P$1,0)),"")</f>
        <v>14x36</v>
      </c>
      <c r="F94" s="12" t="n">
        <f aca="false">IFERROR(INDEX(RHO_ARCH!$E90:$P90,MATCH(C94,TRIB!$E$1:$P$1,0)),"")</f>
        <v>-0.0854805662865772</v>
      </c>
      <c r="G94" s="4" t="str">
        <f aca="false">IFERROR(INDEX(STATUS!$E90:$P90,MATCH(C94,TRIB!$E$1:$P$1,0)),"")</f>
        <v>OK</v>
      </c>
      <c r="H94" s="4" t="str">
        <f aca="false">IFERROR(INDEX(RECOMMEND!$E90:$P90,MATCH(C94,TRIB!$E$1:$P$1,0)),"")</f>
        <v>14x24</v>
      </c>
      <c r="I94" s="10" t="n">
        <f aca="false">COUNTIF(TRIB!$E90:$P90,"&gt;0")</f>
        <v>6</v>
      </c>
      <c r="J94" s="2"/>
    </row>
    <row r="95" customFormat="false" ht="15" hidden="false" customHeight="false" outlineLevel="0" collapsed="false">
      <c r="A95" s="11" t="str">
        <f aca="false">TRIB!A91</f>
        <v>C90</v>
      </c>
      <c r="B95" s="11" t="str">
        <f aca="false">TRIB!D91</f>
        <v>B</v>
      </c>
      <c r="C95" s="4" t="str">
        <f aca="false">IF(COUNTIF(TRIB!$E91:$P91,"&gt;0")=0,"",INDEX(TRIB!$E$1:$P$1,SUMPRODUCT(MAX((TRIB!$E91:$P91&lt;&gt;"")*(COLUMN(TRIB!$E91:$P91)-COLUMN(TRIB!$E91)+1)))))</f>
        <v>7</v>
      </c>
      <c r="D95" s="10" t="n">
        <f aca="false">IFERROR(INDEX(PU!$E91:$P91,MATCH(C95,TRIB!$E$1:$P$1,0)),"")</f>
        <v>742.7552</v>
      </c>
      <c r="E95" s="4" t="str">
        <f aca="false">IFERROR(INDEX(ARCH!$E91:$P91,MATCH(C95,TRIB!$E$1:$P$1,0)),"")</f>
        <v>14x36</v>
      </c>
      <c r="F95" s="12" t="n">
        <f aca="false">IFERROR(INDEX(RHO_ARCH!$E91:$P91,MATCH(C95,TRIB!$E$1:$P$1,0)),"")</f>
        <v>-0.0412736221479391</v>
      </c>
      <c r="G95" s="4" t="str">
        <f aca="false">IFERROR(INDEX(STATUS!$E91:$P91,MATCH(C95,TRIB!$E$1:$P$1,0)),"")</f>
        <v>OK</v>
      </c>
      <c r="H95" s="4" t="str">
        <f aca="false">IFERROR(INDEX(RECOMMEND!$E91:$P91,MATCH(C95,TRIB!$E$1:$P$1,0)),"")</f>
        <v>14x24</v>
      </c>
      <c r="I95" s="10" t="n">
        <f aca="false">COUNTIF(TRIB!$E91:$P91,"&gt;0")</f>
        <v>6</v>
      </c>
      <c r="J95" s="2"/>
    </row>
    <row r="96" customFormat="false" ht="15" hidden="false" customHeight="false" outlineLevel="0" collapsed="false">
      <c r="A96" s="11" t="str">
        <f aca="false">TRIB!A92</f>
        <v>C91</v>
      </c>
      <c r="B96" s="11" t="str">
        <f aca="false">TRIB!D92</f>
        <v>B</v>
      </c>
      <c r="C96" s="4" t="str">
        <f aca="false">IF(COUNTIF(TRIB!$E92:$P92,"&gt;0")=0,"",INDEX(TRIB!$E$1:$P$1,SUMPRODUCT(MAX((TRIB!$E92:$P92&lt;&gt;"")*(COLUMN(TRIB!$E92:$P92)-COLUMN(TRIB!$E92)+1)))))</f>
        <v>8</v>
      </c>
      <c r="D96" s="10" t="n">
        <f aca="false">IFERROR(INDEX(PU!$E92:$P92,MATCH(C96,TRIB!$E$1:$P$1,0)),"")</f>
        <v>822.7746</v>
      </c>
      <c r="E96" s="4" t="str">
        <f aca="false">IFERROR(INDEX(ARCH!$E92:$P92,MATCH(C96,TRIB!$E$1:$P$1,0)),"")</f>
        <v>14x36</v>
      </c>
      <c r="F96" s="12" t="n">
        <f aca="false">IFERROR(INDEX(RHO_ARCH!$E92:$P92,MATCH(C96,TRIB!$E$1:$P$1,0)),"")</f>
        <v>-0.0357121589703557</v>
      </c>
      <c r="G96" s="4" t="str">
        <f aca="false">IFERROR(INDEX(STATUS!$E92:$P92,MATCH(C96,TRIB!$E$1:$P$1,0)),"")</f>
        <v>OK</v>
      </c>
      <c r="H96" s="4" t="str">
        <f aca="false">IFERROR(INDEX(RECOMMEND!$E92:$P92,MATCH(C96,TRIB!$E$1:$P$1,0)),"")</f>
        <v>14x24</v>
      </c>
      <c r="I96" s="10" t="n">
        <f aca="false">COUNTIF(TRIB!$E92:$P92,"&gt;0")</f>
        <v>5</v>
      </c>
      <c r="J96" s="2"/>
    </row>
    <row r="97" customFormat="false" ht="15" hidden="false" customHeight="false" outlineLevel="0" collapsed="false">
      <c r="A97" s="11" t="str">
        <f aca="false">TRIB!A93</f>
        <v>C92</v>
      </c>
      <c r="B97" s="11" t="str">
        <f aca="false">TRIB!D93</f>
        <v>B</v>
      </c>
      <c r="C97" s="4" t="str">
        <f aca="false">IF(COUNTIF(TRIB!$E93:$P93,"&gt;0")=0,"",INDEX(TRIB!$E$1:$P$1,SUMPRODUCT(MAX((TRIB!$E93:$P93&lt;&gt;"")*(COLUMN(TRIB!$E93:$P93)-COLUMN(TRIB!$E93)+1)))))</f>
        <v>8</v>
      </c>
      <c r="D97" s="10" t="n">
        <f aca="false">IFERROR(INDEX(PU!$E93:$P93,MATCH(C97,TRIB!$E$1:$P$1,0)),"")</f>
        <v>822.6466</v>
      </c>
      <c r="E97" s="4" t="str">
        <f aca="false">IFERROR(INDEX(ARCH!$E93:$P93,MATCH(C97,TRIB!$E$1:$P$1,0)),"")</f>
        <v>14x36</v>
      </c>
      <c r="F97" s="12" t="n">
        <f aca="false">IFERROR(INDEX(RHO_ARCH!$E93:$P93,MATCH(C97,TRIB!$E$1:$P$1,0)),"")</f>
        <v>-0.0357210551541153</v>
      </c>
      <c r="G97" s="4" t="str">
        <f aca="false">IFERROR(INDEX(STATUS!$E93:$P93,MATCH(C97,TRIB!$E$1:$P$1,0)),"")</f>
        <v>OK</v>
      </c>
      <c r="H97" s="4" t="str">
        <f aca="false">IFERROR(INDEX(RECOMMEND!$E93:$P93,MATCH(C97,TRIB!$E$1:$P$1,0)),"")</f>
        <v>14x24</v>
      </c>
      <c r="I97" s="10" t="n">
        <f aca="false">COUNTIF(TRIB!$E93:$P93,"&gt;0")</f>
        <v>5</v>
      </c>
      <c r="J97" s="2"/>
    </row>
    <row r="98" customFormat="false" ht="15" hidden="false" customHeight="false" outlineLevel="0" collapsed="false">
      <c r="A98" s="11" t="str">
        <f aca="false">TRIB!A94</f>
        <v>C93</v>
      </c>
      <c r="B98" s="11" t="str">
        <f aca="false">TRIB!D94</f>
        <v>B</v>
      </c>
      <c r="C98" s="4" t="str">
        <f aca="false">IF(COUNTIF(TRIB!$E94:$P94,"&gt;0")=0,"",INDEX(TRIB!$E$1:$P$1,SUMPRODUCT(MAX((TRIB!$E94:$P94&lt;&gt;"")*(COLUMN(TRIB!$E94:$P94)-COLUMN(TRIB!$E94)+1)))))</f>
        <v>7</v>
      </c>
      <c r="D98" s="10" t="n">
        <f aca="false">IFERROR(INDEX(PU!$E94:$P94,MATCH(C98,TRIB!$E$1:$P$1,0)),"")</f>
        <v>299.9936</v>
      </c>
      <c r="E98" s="4" t="str">
        <f aca="false">IFERROR(INDEX(ARCH!$E94:$P94,MATCH(C98,TRIB!$E$1:$P$1,0)),"")</f>
        <v>14x36</v>
      </c>
      <c r="F98" s="12" t="n">
        <f aca="false">IFERROR(INDEX(RHO_ARCH!$E94:$P94,MATCH(C98,TRIB!$E$1:$P$1,0)),"")</f>
        <v>-0.0720461889860797</v>
      </c>
      <c r="G98" s="4" t="str">
        <f aca="false">IFERROR(INDEX(STATUS!$E94:$P94,MATCH(C98,TRIB!$E$1:$P$1,0)),"")</f>
        <v>OK</v>
      </c>
      <c r="H98" s="4" t="str">
        <f aca="false">IFERROR(INDEX(RECOMMEND!$E94:$P94,MATCH(C98,TRIB!$E$1:$P$1,0)),"")</f>
        <v>14x24</v>
      </c>
      <c r="I98" s="10" t="n">
        <f aca="false">COUNTIF(TRIB!$E94:$P94,"&gt;0")</f>
        <v>6</v>
      </c>
      <c r="J98" s="2"/>
    </row>
    <row r="99" customFormat="false" ht="15" hidden="false" customHeight="false" outlineLevel="0" collapsed="false">
      <c r="A99" s="11" t="str">
        <f aca="false">TRIB!A95</f>
        <v>C94</v>
      </c>
      <c r="B99" s="11" t="str">
        <f aca="false">TRIB!D95</f>
        <v>B</v>
      </c>
      <c r="C99" s="4" t="str">
        <f aca="false">IF(COUNTIF(TRIB!$E95:$P95,"&gt;0")=0,"",INDEX(TRIB!$E$1:$P$1,SUMPRODUCT(MAX((TRIB!$E95:$P95&lt;&gt;"")*(COLUMN(TRIB!$E95:$P95)-COLUMN(TRIB!$E95)+1)))))</f>
        <v>7</v>
      </c>
      <c r="D99" s="10" t="n">
        <f aca="false">IFERROR(INDEX(PU!$E95:$P95,MATCH(C99,TRIB!$E$1:$P$1,0)),"")</f>
        <v>661.91</v>
      </c>
      <c r="E99" s="4" t="str">
        <f aca="false">IFERROR(INDEX(ARCH!$E95:$P95,MATCH(C99,TRIB!$E$1:$P$1,0)),"")</f>
        <v>14x36</v>
      </c>
      <c r="F99" s="12" t="n">
        <f aca="false">IFERROR(INDEX(RHO_ARCH!$E95:$P95,MATCH(C99,TRIB!$E$1:$P$1,0)),"")</f>
        <v>-0.0468924796110588</v>
      </c>
      <c r="G99" s="4" t="str">
        <f aca="false">IFERROR(INDEX(STATUS!$E95:$P95,MATCH(C99,TRIB!$E$1:$P$1,0)),"")</f>
        <v>OK</v>
      </c>
      <c r="H99" s="4" t="str">
        <f aca="false">IFERROR(INDEX(RECOMMEND!$E95:$P95,MATCH(C99,TRIB!$E$1:$P$1,0)),"")</f>
        <v>14x24</v>
      </c>
      <c r="I99" s="10" t="n">
        <f aca="false">COUNTIF(TRIB!$E95:$P95,"&gt;0")</f>
        <v>6</v>
      </c>
      <c r="J99" s="2"/>
    </row>
    <row r="100" customFormat="false" ht="15" hidden="false" customHeight="false" outlineLevel="0" collapsed="false">
      <c r="A100" s="11" t="str">
        <f aca="false">TRIB!A96</f>
        <v>C95</v>
      </c>
      <c r="B100" s="11" t="str">
        <f aca="false">TRIB!D96</f>
        <v>B</v>
      </c>
      <c r="C100" s="4" t="str">
        <f aca="false">IF(COUNTIF(TRIB!$E96:$P96,"&gt;0")=0,"",INDEX(TRIB!$E$1:$P$1,SUMPRODUCT(MAX((TRIB!$E96:$P96&lt;&gt;"")*(COLUMN(TRIB!$E96:$P96)-COLUMN(TRIB!$E96)+1)))))</f>
        <v>8</v>
      </c>
      <c r="D100" s="10" t="n">
        <f aca="false">IFERROR(INDEX(PU!$E96:$P96,MATCH(C100,TRIB!$E$1:$P$1,0)),"")</f>
        <v>686.681</v>
      </c>
      <c r="E100" s="4" t="str">
        <f aca="false">IFERROR(INDEX(ARCH!$E96:$P96,MATCH(C100,TRIB!$E$1:$P$1,0)),"")</f>
        <v>14x36</v>
      </c>
      <c r="F100" s="12" t="n">
        <f aca="false">IFERROR(INDEX(RHO_ARCH!$E96:$P96,MATCH(C100,TRIB!$E$1:$P$1,0)),"")</f>
        <v>-0.0451708595492748</v>
      </c>
      <c r="G100" s="4" t="str">
        <f aca="false">IFERROR(INDEX(STATUS!$E96:$P96,MATCH(C100,TRIB!$E$1:$P$1,0)),"")</f>
        <v>OK</v>
      </c>
      <c r="H100" s="4" t="str">
        <f aca="false">IFERROR(INDEX(RECOMMEND!$E96:$P96,MATCH(C100,TRIB!$E$1:$P$1,0)),"")</f>
        <v>14x24</v>
      </c>
      <c r="I100" s="10" t="n">
        <f aca="false">COUNTIF(TRIB!$E96:$P96,"&gt;0")</f>
        <v>5</v>
      </c>
      <c r="J100" s="2"/>
    </row>
    <row r="101" customFormat="false" ht="15" hidden="false" customHeight="false" outlineLevel="0" collapsed="false">
      <c r="A101" s="11" t="str">
        <f aca="false">TRIB!A97</f>
        <v>C96</v>
      </c>
      <c r="B101" s="11" t="str">
        <f aca="false">TRIB!D97</f>
        <v>B</v>
      </c>
      <c r="C101" s="4" t="str">
        <f aca="false">IF(COUNTIF(TRIB!$E97:$P97,"&gt;0")=0,"",INDEX(TRIB!$E$1:$P$1,SUMPRODUCT(MAX((TRIB!$E97:$P97&lt;&gt;"")*(COLUMN(TRIB!$E97:$P97)-COLUMN(TRIB!$E97)+1)))))</f>
        <v>8</v>
      </c>
      <c r="D101" s="10" t="n">
        <f aca="false">IFERROR(INDEX(PU!$E97:$P97,MATCH(C101,TRIB!$E$1:$P$1,0)),"")</f>
        <v>735.3074</v>
      </c>
      <c r="E101" s="4" t="str">
        <f aca="false">IFERROR(INDEX(ARCH!$E97:$P97,MATCH(C101,TRIB!$E$1:$P$1,0)),"")</f>
        <v>14x36</v>
      </c>
      <c r="F101" s="12" t="n">
        <f aca="false">IFERROR(INDEX(RHO_ARCH!$E97:$P97,MATCH(C101,TRIB!$E$1:$P$1,0)),"")</f>
        <v>-0.041791254940162</v>
      </c>
      <c r="G101" s="4" t="str">
        <f aca="false">IFERROR(INDEX(STATUS!$E97:$P97,MATCH(C101,TRIB!$E$1:$P$1,0)),"")</f>
        <v>OK</v>
      </c>
      <c r="H101" s="4" t="str">
        <f aca="false">IFERROR(INDEX(RECOMMEND!$E97:$P97,MATCH(C101,TRIB!$E$1:$P$1,0)),"")</f>
        <v>14x24</v>
      </c>
      <c r="I101" s="10" t="n">
        <f aca="false">COUNTIF(TRIB!$E97:$P97,"&gt;0")</f>
        <v>5</v>
      </c>
      <c r="J101" s="2"/>
    </row>
    <row r="102" customFormat="false" ht="15" hidden="false" customHeight="false" outlineLevel="0" collapsed="false">
      <c r="A102" s="11" t="str">
        <f aca="false">TRIB!A98</f>
        <v>C97</v>
      </c>
      <c r="B102" s="11" t="str">
        <f aca="false">TRIB!D98</f>
        <v>B</v>
      </c>
      <c r="C102" s="4" t="str">
        <f aca="false">IF(COUNTIF(TRIB!$E98:$P98,"&gt;0")=0,"",INDEX(TRIB!$E$1:$P$1,SUMPRODUCT(MAX((TRIB!$E98:$P98&lt;&gt;"")*(COLUMN(TRIB!$E98:$P98)-COLUMN(TRIB!$E98)+1)))))</f>
        <v>8</v>
      </c>
      <c r="D102" s="10" t="n">
        <f aca="false">IFERROR(INDEX(PU!$E98:$P98,MATCH(C102,TRIB!$E$1:$P$1,0)),"")</f>
        <v>387.0594</v>
      </c>
      <c r="E102" s="4" t="str">
        <f aca="false">IFERROR(INDEX(ARCH!$E98:$P98,MATCH(C102,TRIB!$E$1:$P$1,0)),"")</f>
        <v>14x36</v>
      </c>
      <c r="F102" s="12" t="n">
        <f aca="false">IFERROR(INDEX(RHO_ARCH!$E98:$P98,MATCH(C102,TRIB!$E$1:$P$1,0)),"")</f>
        <v>-0.0659949908925319</v>
      </c>
      <c r="G102" s="4" t="str">
        <f aca="false">IFERROR(INDEX(STATUS!$E98:$P98,MATCH(C102,TRIB!$E$1:$P$1,0)),"")</f>
        <v>OK</v>
      </c>
      <c r="H102" s="4" t="str">
        <f aca="false">IFERROR(INDEX(RECOMMEND!$E98:$P98,MATCH(C102,TRIB!$E$1:$P$1,0)),"")</f>
        <v>14x24</v>
      </c>
      <c r="I102" s="10" t="n">
        <f aca="false">COUNTIF(TRIB!$E98:$P98,"&gt;0")</f>
        <v>5</v>
      </c>
      <c r="J102" s="2"/>
    </row>
    <row r="103" customFormat="false" ht="15" hidden="false" customHeight="false" outlineLevel="0" collapsed="false">
      <c r="A103" s="11" t="str">
        <f aca="false">TRIB!A99</f>
        <v>C98</v>
      </c>
      <c r="B103" s="11" t="str">
        <f aca="false">TRIB!D99</f>
        <v>B</v>
      </c>
      <c r="C103" s="4" t="str">
        <f aca="false">IF(COUNTIF(TRIB!$E99:$P99,"&gt;0")=0,"",INDEX(TRIB!$E$1:$P$1,SUMPRODUCT(MAX((TRIB!$E99:$P99&lt;&gt;"")*(COLUMN(TRIB!$E99:$P99)-COLUMN(TRIB!$E99)+1)))))</f>
        <v>8</v>
      </c>
      <c r="D103" s="10" t="n">
        <f aca="false">IFERROR(INDEX(PU!$E99:$P99,MATCH(C103,TRIB!$E$1:$P$1,0)),"")</f>
        <v>948.9726</v>
      </c>
      <c r="E103" s="4" t="str">
        <f aca="false">IFERROR(INDEX(ARCH!$E99:$P99,MATCH(C103,TRIB!$E$1:$P$1,0)),"")</f>
        <v>14x36</v>
      </c>
      <c r="F103" s="12" t="n">
        <f aca="false">IFERROR(INDEX(RHO_ARCH!$E99:$P99,MATCH(C103,TRIB!$E$1:$P$1,0)),"")</f>
        <v>-0.0269412167977742</v>
      </c>
      <c r="G103" s="4" t="str">
        <f aca="false">IFERROR(INDEX(STATUS!$E99:$P99,MATCH(C103,TRIB!$E$1:$P$1,0)),"")</f>
        <v>OK</v>
      </c>
      <c r="H103" s="4" t="str">
        <f aca="false">IFERROR(INDEX(RECOMMEND!$E99:$P99,MATCH(C103,TRIB!$E$1:$P$1,0)),"")</f>
        <v>14x24</v>
      </c>
      <c r="I103" s="10" t="n">
        <f aca="false">COUNTIF(TRIB!$E99:$P99,"&gt;0")</f>
        <v>5</v>
      </c>
      <c r="J103" s="2"/>
    </row>
    <row r="104" customFormat="false" ht="15" hidden="false" customHeight="false" outlineLevel="0" collapsed="false">
      <c r="A104" s="11" t="str">
        <f aca="false">TRIB!A100</f>
        <v>C99</v>
      </c>
      <c r="B104" s="11" t="str">
        <f aca="false">TRIB!D100</f>
        <v>B</v>
      </c>
      <c r="C104" s="4" t="str">
        <f aca="false">IF(COUNTIF(TRIB!$E100:$P100,"&gt;0")=0,"",INDEX(TRIB!$E$1:$P$1,SUMPRODUCT(MAX((TRIB!$E100:$P100&lt;&gt;"")*(COLUMN(TRIB!$E100:$P100)-COLUMN(TRIB!$E100)+1)))))</f>
        <v>8</v>
      </c>
      <c r="D104" s="10" t="n">
        <f aca="false">IFERROR(INDEX(PU!$E100:$P100,MATCH(C104,TRIB!$E$1:$P$1,0)),"")</f>
        <v>824.103</v>
      </c>
      <c r="E104" s="4" t="str">
        <f aca="false">IFERROR(INDEX(ARCH!$E100:$P100,MATCH(C104,TRIB!$E$1:$P$1,0)),"")</f>
        <v>14x36</v>
      </c>
      <c r="F104" s="12" t="n">
        <f aca="false">IFERROR(INDEX(RHO_ARCH!$E100:$P100,MATCH(C104,TRIB!$E$1:$P$1,0)),"")</f>
        <v>-0.0356198332632759</v>
      </c>
      <c r="G104" s="4" t="str">
        <f aca="false">IFERROR(INDEX(STATUS!$E100:$P100,MATCH(C104,TRIB!$E$1:$P$1,0)),"")</f>
        <v>OK</v>
      </c>
      <c r="H104" s="4" t="str">
        <f aca="false">IFERROR(INDEX(RECOMMEND!$E100:$P100,MATCH(C104,TRIB!$E$1:$P$1,0)),"")</f>
        <v>14x24</v>
      </c>
      <c r="I104" s="10" t="n">
        <f aca="false">COUNTIF(TRIB!$E100:$P100,"&gt;0")</f>
        <v>5</v>
      </c>
      <c r="J104" s="2"/>
    </row>
    <row r="105" customFormat="false" ht="15" hidden="false" customHeight="false" outlineLevel="0" collapsed="false">
      <c r="A105" s="11" t="str">
        <f aca="false">TRIB!A101</f>
        <v>C100</v>
      </c>
      <c r="B105" s="11" t="str">
        <f aca="false">TRIB!D101</f>
        <v>B</v>
      </c>
      <c r="C105" s="4" t="str">
        <f aca="false">IF(COUNTIF(TRIB!$E101:$P101,"&gt;0")=0,"",INDEX(TRIB!$E$1:$P$1,SUMPRODUCT(MAX((TRIB!$E101:$P101&lt;&gt;"")*(COLUMN(TRIB!$E101:$P101)-COLUMN(TRIB!$E101)+1)))))</f>
        <v>7</v>
      </c>
      <c r="D105" s="10" t="n">
        <f aca="false">IFERROR(INDEX(PU!$E101:$P101,MATCH(C105,TRIB!$E$1:$P$1,0)),"")</f>
        <v>726.4824</v>
      </c>
      <c r="E105" s="4" t="str">
        <f aca="false">IFERROR(INDEX(ARCH!$E101:$P101,MATCH(C105,TRIB!$E$1:$P$1,0)),"")</f>
        <v>14x36</v>
      </c>
      <c r="F105" s="12" t="n">
        <f aca="false">IFERROR(INDEX(RHO_ARCH!$E101:$P101,MATCH(C105,TRIB!$E$1:$P$1,0)),"")</f>
        <v>-0.0424046051095231</v>
      </c>
      <c r="G105" s="4" t="str">
        <f aca="false">IFERROR(INDEX(STATUS!$E101:$P101,MATCH(C105,TRIB!$E$1:$P$1,0)),"")</f>
        <v>OK</v>
      </c>
      <c r="H105" s="4" t="str">
        <f aca="false">IFERROR(INDEX(RECOMMEND!$E101:$P101,MATCH(C105,TRIB!$E$1:$P$1,0)),"")</f>
        <v>14x24</v>
      </c>
      <c r="I105" s="10" t="n">
        <f aca="false">COUNTIF(TRIB!$E101:$P101,"&gt;0")</f>
        <v>6</v>
      </c>
      <c r="J105" s="2"/>
    </row>
    <row r="106" customFormat="false" ht="15" hidden="false" customHeight="false" outlineLevel="0" collapsed="false">
      <c r="A106" s="11" t="str">
        <f aca="false">TRIB!A102</f>
        <v>C101</v>
      </c>
      <c r="B106" s="11" t="str">
        <f aca="false">TRIB!D102</f>
        <v>B</v>
      </c>
      <c r="C106" s="4" t="str">
        <f aca="false">IF(COUNTIF(TRIB!$E102:$P102,"&gt;0")=0,"",INDEX(TRIB!$E$1:$P$1,SUMPRODUCT(MAX((TRIB!$E102:$P102&lt;&gt;"")*(COLUMN(TRIB!$E102:$P102)-COLUMN(TRIB!$E102)+1)))))</f>
        <v>8</v>
      </c>
      <c r="D106" s="10" t="n">
        <f aca="false">IFERROR(INDEX(PU!$E102:$P102,MATCH(C106,TRIB!$E$1:$P$1,0)),"")</f>
        <v>510.9282</v>
      </c>
      <c r="E106" s="4" t="str">
        <f aca="false">IFERROR(INDEX(ARCH!$E102:$P102,MATCH(C106,TRIB!$E$1:$P$1,0)),"")</f>
        <v>14x36</v>
      </c>
      <c r="F106" s="12" t="n">
        <f aca="false">IFERROR(INDEX(RHO_ARCH!$E102:$P102,MATCH(C106,TRIB!$E$1:$P$1,0)),"")</f>
        <v>-0.0573859314638003</v>
      </c>
      <c r="G106" s="4" t="str">
        <f aca="false">IFERROR(INDEX(STATUS!$E102:$P102,MATCH(C106,TRIB!$E$1:$P$1,0)),"")</f>
        <v>OK</v>
      </c>
      <c r="H106" s="4" t="str">
        <f aca="false">IFERROR(INDEX(RECOMMEND!$E102:$P102,MATCH(C106,TRIB!$E$1:$P$1,0)),"")</f>
        <v>14x24</v>
      </c>
      <c r="I106" s="10" t="n">
        <f aca="false">COUNTIF(TRIB!$E102:$P102,"&gt;0")</f>
        <v>5</v>
      </c>
      <c r="J106" s="2"/>
    </row>
    <row r="107" customFormat="false" ht="15" hidden="false" customHeight="false" outlineLevel="0" collapsed="false">
      <c r="A107" s="11" t="str">
        <f aca="false">TRIB!A103</f>
        <v>C102</v>
      </c>
      <c r="B107" s="11" t="str">
        <f aca="false">TRIB!D103</f>
        <v>B</v>
      </c>
      <c r="C107" s="4" t="str">
        <f aca="false">IF(COUNTIF(TRIB!$E103:$P103,"&gt;0")=0,"",INDEX(TRIB!$E$1:$P$1,SUMPRODUCT(MAX((TRIB!$E103:$P103&lt;&gt;"")*(COLUMN(TRIB!$E103:$P103)-COLUMN(TRIB!$E103)+1)))))</f>
        <v>8</v>
      </c>
      <c r="D107" s="10" t="n">
        <f aca="false">IFERROR(INDEX(PU!$E103:$P103,MATCH(C107,TRIB!$E$1:$P$1,0)),"")</f>
        <v>710.697</v>
      </c>
      <c r="E107" s="4" t="str">
        <f aca="false">IFERROR(INDEX(ARCH!$E103:$P103,MATCH(C107,TRIB!$E$1:$P$1,0)),"")</f>
        <v>14x36</v>
      </c>
      <c r="F107" s="12" t="n">
        <f aca="false">IFERROR(INDEX(RHO_ARCH!$E103:$P103,MATCH(C107,TRIB!$E$1:$P$1,0)),"")</f>
        <v>-0.0435017130713852</v>
      </c>
      <c r="G107" s="4" t="str">
        <f aca="false">IFERROR(INDEX(STATUS!$E103:$P103,MATCH(C107,TRIB!$E$1:$P$1,0)),"")</f>
        <v>OK</v>
      </c>
      <c r="H107" s="4" t="str">
        <f aca="false">IFERROR(INDEX(RECOMMEND!$E103:$P103,MATCH(C107,TRIB!$E$1:$P$1,0)),"")</f>
        <v>14x24</v>
      </c>
      <c r="I107" s="10" t="n">
        <f aca="false">COUNTIF(TRIB!$E103:$P103,"&gt;0")</f>
        <v>5</v>
      </c>
      <c r="J107" s="2"/>
    </row>
    <row r="108" customFormat="false" ht="15" hidden="false" customHeight="false" outlineLevel="0" collapsed="false">
      <c r="A108" s="11" t="str">
        <f aca="false">TRIB!A104</f>
        <v>C103</v>
      </c>
      <c r="B108" s="11" t="str">
        <f aca="false">TRIB!D104</f>
        <v>B</v>
      </c>
      <c r="C108" s="4" t="str">
        <f aca="false">IF(COUNTIF(TRIB!$E104:$P104,"&gt;0")=0,"",INDEX(TRIB!$E$1:$P$1,SUMPRODUCT(MAX((TRIB!$E104:$P104&lt;&gt;"")*(COLUMN(TRIB!$E104:$P104)-COLUMN(TRIB!$E104)+1)))))</f>
        <v>8</v>
      </c>
      <c r="D108" s="10" t="n">
        <f aca="false">IFERROR(INDEX(PU!$E104:$P104,MATCH(C108,TRIB!$E$1:$P$1,0)),"")</f>
        <v>582.5226</v>
      </c>
      <c r="E108" s="4" t="str">
        <f aca="false">IFERROR(INDEX(ARCH!$E104:$P104,MATCH(C108,TRIB!$E$1:$P$1,0)),"")</f>
        <v>14x36</v>
      </c>
      <c r="F108" s="12" t="n">
        <f aca="false">IFERROR(INDEX(RHO_ARCH!$E104:$P104,MATCH(C108,TRIB!$E$1:$P$1,0)),"")</f>
        <v>-0.0524100178813293</v>
      </c>
      <c r="G108" s="4" t="str">
        <f aca="false">IFERROR(INDEX(STATUS!$E104:$P104,MATCH(C108,TRIB!$E$1:$P$1,0)),"")</f>
        <v>OK</v>
      </c>
      <c r="H108" s="4" t="str">
        <f aca="false">IFERROR(INDEX(RECOMMEND!$E104:$P104,MATCH(C108,TRIB!$E$1:$P$1,0)),"")</f>
        <v>14x24</v>
      </c>
      <c r="I108" s="10" t="n">
        <f aca="false">COUNTIF(TRIB!$E104:$P104,"&gt;0")</f>
        <v>5</v>
      </c>
      <c r="J108" s="2"/>
    </row>
    <row r="109" customFormat="false" ht="15" hidden="false" customHeight="false" outlineLevel="0" collapsed="false">
      <c r="A109" s="11" t="str">
        <f aca="false">TRIB!A105</f>
        <v>C104</v>
      </c>
      <c r="B109" s="11" t="str">
        <f aca="false">TRIB!D105</f>
        <v>B</v>
      </c>
      <c r="C109" s="4" t="str">
        <f aca="false">IF(COUNTIF(TRIB!$E105:$P105,"&gt;0")=0,"",INDEX(TRIB!$E$1:$P$1,SUMPRODUCT(MAX((TRIB!$E105:$P105&lt;&gt;"")*(COLUMN(TRIB!$E105:$P105)-COLUMN(TRIB!$E105)+1)))))</f>
        <v>8</v>
      </c>
      <c r="D109" s="10" t="n">
        <f aca="false">IFERROR(INDEX(PU!$E105:$P105,MATCH(C109,TRIB!$E$1:$P$1,0)),"")</f>
        <v>737.9446</v>
      </c>
      <c r="E109" s="4" t="str">
        <f aca="false">IFERROR(INDEX(ARCH!$E105:$P105,MATCH(C109,TRIB!$E$1:$P$1,0)),"")</f>
        <v>14x36</v>
      </c>
      <c r="F109" s="12" t="n">
        <f aca="false">IFERROR(INDEX(RHO_ARCH!$E105:$P105,MATCH(C109,TRIB!$E$1:$P$1,0)),"")</f>
        <v>-0.0416079657541406</v>
      </c>
      <c r="G109" s="4" t="str">
        <f aca="false">IFERROR(INDEX(STATUS!$E105:$P105,MATCH(C109,TRIB!$E$1:$P$1,0)),"")</f>
        <v>OK</v>
      </c>
      <c r="H109" s="4" t="str">
        <f aca="false">IFERROR(INDEX(RECOMMEND!$E105:$P105,MATCH(C109,TRIB!$E$1:$P$1,0)),"")</f>
        <v>14x24</v>
      </c>
      <c r="I109" s="10" t="n">
        <f aca="false">COUNTIF(TRIB!$E105:$P105,"&gt;0")</f>
        <v>5</v>
      </c>
      <c r="J109" s="2"/>
    </row>
    <row r="110" customFormat="false" ht="15" hidden="false" customHeight="false" outlineLevel="0" collapsed="false">
      <c r="A110" s="11" t="str">
        <f aca="false">TRIB!A106</f>
        <v>C105</v>
      </c>
      <c r="B110" s="11" t="str">
        <f aca="false">TRIB!D106</f>
        <v>B</v>
      </c>
      <c r="C110" s="4" t="str">
        <f aca="false">IF(COUNTIF(TRIB!$E106:$P106,"&gt;0")=0,"",INDEX(TRIB!$E$1:$P$1,SUMPRODUCT(MAX((TRIB!$E106:$P106&lt;&gt;"")*(COLUMN(TRIB!$E106:$P106)-COLUMN(TRIB!$E106)+1)))))</f>
        <v>8</v>
      </c>
      <c r="D110" s="10" t="n">
        <f aca="false">IFERROR(INDEX(PU!$E106:$P106,MATCH(C110,TRIB!$E$1:$P$1,0)),"")</f>
        <v>672.787</v>
      </c>
      <c r="E110" s="4" t="str">
        <f aca="false">IFERROR(INDEX(ARCH!$E106:$P106,MATCH(C110,TRIB!$E$1:$P$1,0)),"")</f>
        <v>14x36</v>
      </c>
      <c r="F110" s="12" t="n">
        <f aca="false">IFERROR(INDEX(RHO_ARCH!$E106:$P106,MATCH(C110,TRIB!$E$1:$P$1,0)),"")</f>
        <v>-0.0461365124958021</v>
      </c>
      <c r="G110" s="4" t="str">
        <f aca="false">IFERROR(INDEX(STATUS!$E106:$P106,MATCH(C110,TRIB!$E$1:$P$1,0)),"")</f>
        <v>OK</v>
      </c>
      <c r="H110" s="4" t="str">
        <f aca="false">IFERROR(INDEX(RECOMMEND!$E106:$P106,MATCH(C110,TRIB!$E$1:$P$1,0)),"")</f>
        <v>14x24</v>
      </c>
      <c r="I110" s="10" t="n">
        <f aca="false">COUNTIF(TRIB!$E106:$P106,"&gt;0")</f>
        <v>5</v>
      </c>
      <c r="J110" s="2"/>
    </row>
    <row r="111" customFormat="false" ht="15" hidden="false" customHeight="false" outlineLevel="0" collapsed="false">
      <c r="A111" s="11" t="str">
        <f aca="false">TRIB!A107</f>
        <v>C106</v>
      </c>
      <c r="B111" s="11" t="str">
        <f aca="false">TRIB!D107</f>
        <v>B</v>
      </c>
      <c r="C111" s="4" t="str">
        <f aca="false">IF(COUNTIF(TRIB!$E107:$P107,"&gt;0")=0,"",INDEX(TRIB!$E$1:$P$1,SUMPRODUCT(MAX((TRIB!$E107:$P107&lt;&gt;"")*(COLUMN(TRIB!$E107:$P107)-COLUMN(TRIB!$E107)+1)))))</f>
        <v>8</v>
      </c>
      <c r="D111" s="10" t="n">
        <f aca="false">IFERROR(INDEX(PU!$E107:$P107,MATCH(C111,TRIB!$E$1:$P$1,0)),"")</f>
        <v>497.3142</v>
      </c>
      <c r="E111" s="4" t="str">
        <f aca="false">IFERROR(INDEX(ARCH!$E107:$P107,MATCH(C111,TRIB!$E$1:$P$1,0)),"")</f>
        <v>14x36</v>
      </c>
      <c r="F111" s="12" t="n">
        <f aca="false">IFERROR(INDEX(RHO_ARCH!$E107:$P107,MATCH(C111,TRIB!$E$1:$P$1,0)),"")</f>
        <v>-0.0583321240083535</v>
      </c>
      <c r="G111" s="4" t="str">
        <f aca="false">IFERROR(INDEX(STATUS!$E107:$P107,MATCH(C111,TRIB!$E$1:$P$1,0)),"")</f>
        <v>OK</v>
      </c>
      <c r="H111" s="4" t="str">
        <f aca="false">IFERROR(INDEX(RECOMMEND!$E107:$P107,MATCH(C111,TRIB!$E$1:$P$1,0)),"")</f>
        <v>14x24</v>
      </c>
      <c r="I111" s="10" t="n">
        <f aca="false">COUNTIF(TRIB!$E107:$P107,"&gt;0")</f>
        <v>5</v>
      </c>
      <c r="J111" s="2"/>
    </row>
    <row r="112" customFormat="false" ht="15" hidden="false" customHeight="false" outlineLevel="0" collapsed="false">
      <c r="A112" s="11" t="str">
        <f aca="false">TRIB!A108</f>
        <v>C107</v>
      </c>
      <c r="B112" s="11" t="str">
        <f aca="false">TRIB!D108</f>
        <v>B</v>
      </c>
      <c r="C112" s="4" t="str">
        <f aca="false">IF(COUNTIF(TRIB!$E108:$P108,"&gt;0")=0,"",INDEX(TRIB!$E$1:$P$1,SUMPRODUCT(MAX((TRIB!$E108:$P108&lt;&gt;"")*(COLUMN(TRIB!$E108:$P108)-COLUMN(TRIB!$E108)+1)))))</f>
        <v>8</v>
      </c>
      <c r="D112" s="10" t="n">
        <f aca="false">IFERROR(INDEX(PU!$E108:$P108,MATCH(C112,TRIB!$E$1:$P$1,0)),"")</f>
        <v>196.0126</v>
      </c>
      <c r="E112" s="4" t="str">
        <f aca="false">IFERROR(INDEX(ARCH!$E108:$P108,MATCH(C112,TRIB!$E$1:$P$1,0)),"")</f>
        <v>14x36</v>
      </c>
      <c r="F112" s="12" t="n">
        <f aca="false">IFERROR(INDEX(RHO_ARCH!$E108:$P108,MATCH(C112,TRIB!$E$1:$P$1,0)),"")</f>
        <v>-0.0792730177634549</v>
      </c>
      <c r="G112" s="4" t="str">
        <f aca="false">IFERROR(INDEX(STATUS!$E108:$P108,MATCH(C112,TRIB!$E$1:$P$1,0)),"")</f>
        <v>OK</v>
      </c>
      <c r="H112" s="4" t="str">
        <f aca="false">IFERROR(INDEX(RECOMMEND!$E108:$P108,MATCH(C112,TRIB!$E$1:$P$1,0)),"")</f>
        <v>14x24</v>
      </c>
      <c r="I112" s="10" t="n">
        <f aca="false">COUNTIF(TRIB!$E108:$P108,"&gt;0")</f>
        <v>5</v>
      </c>
      <c r="J112" s="2"/>
    </row>
    <row r="113" customFormat="false" ht="15" hidden="false" customHeight="false" outlineLevel="0" collapsed="false">
      <c r="A113" s="11" t="str">
        <f aca="false">TRIB!A109</f>
        <v>C108</v>
      </c>
      <c r="B113" s="11" t="str">
        <f aca="false">TRIB!D109</f>
        <v>B</v>
      </c>
      <c r="C113" s="4" t="str">
        <f aca="false">IF(COUNTIF(TRIB!$E109:$P109,"&gt;0")=0,"",INDEX(TRIB!$E$1:$P$1,SUMPRODUCT(MAX((TRIB!$E109:$P109&lt;&gt;"")*(COLUMN(TRIB!$E109:$P109)-COLUMN(TRIB!$E109)+1)))))</f>
        <v>8</v>
      </c>
      <c r="D113" s="10" t="n">
        <f aca="false">IFERROR(INDEX(PU!$E109:$P109,MATCH(C113,TRIB!$E$1:$P$1,0)),"")</f>
        <v>269.3118</v>
      </c>
      <c r="E113" s="4" t="str">
        <f aca="false">IFERROR(INDEX(ARCH!$E109:$P109,MATCH(C113,TRIB!$E$1:$P$1,0)),"")</f>
        <v>14x36</v>
      </c>
      <c r="F113" s="12" t="n">
        <f aca="false">IFERROR(INDEX(RHO_ARCH!$E109:$P109,MATCH(C113,TRIB!$E$1:$P$1,0)),"")</f>
        <v>-0.0741786181335362</v>
      </c>
      <c r="G113" s="4" t="str">
        <f aca="false">IFERROR(INDEX(STATUS!$E109:$P109,MATCH(C113,TRIB!$E$1:$P$1,0)),"")</f>
        <v>OK</v>
      </c>
      <c r="H113" s="4" t="str">
        <f aca="false">IFERROR(INDEX(RECOMMEND!$E109:$P109,MATCH(C113,TRIB!$E$1:$P$1,0)),"")</f>
        <v>14x24</v>
      </c>
      <c r="I113" s="10" t="n">
        <f aca="false">COUNTIF(TRIB!$E109:$P109,"&gt;0")</f>
        <v>5</v>
      </c>
      <c r="J113" s="2"/>
    </row>
    <row r="114" customFormat="false" ht="15" hidden="false" customHeight="false" outlineLevel="0" collapsed="false">
      <c r="A114" s="11" t="str">
        <f aca="false">TRIB!A110</f>
        <v>C109</v>
      </c>
      <c r="B114" s="11" t="str">
        <f aca="false">TRIB!D110</f>
        <v>B</v>
      </c>
      <c r="C114" s="4" t="str">
        <f aca="false">IF(COUNTIF(TRIB!$E110:$P110,"&gt;0")=0,"",INDEX(TRIB!$E$1:$P$1,SUMPRODUCT(MAX((TRIB!$E110:$P110&lt;&gt;"")*(COLUMN(TRIB!$E110:$P110)-COLUMN(TRIB!$E110)+1)))))</f>
        <v>10</v>
      </c>
      <c r="D114" s="10" t="n">
        <f aca="false">IFERROR(INDEX(PU!$E110:$P110,MATCH(C114,TRIB!$E$1:$P$1,0)),"")</f>
        <v>169.271</v>
      </c>
      <c r="E114" s="4" t="str">
        <f aca="false">IFERROR(INDEX(ARCH!$E110:$P110,MATCH(C114,TRIB!$E$1:$P$1,0)),"")</f>
        <v>14x36</v>
      </c>
      <c r="F114" s="12" t="n">
        <f aca="false">IFERROR(INDEX(RHO_ARCH!$E110:$P110,MATCH(C114,TRIB!$E$1:$P$1,0)),"")</f>
        <v>-0.0811315973542749</v>
      </c>
      <c r="G114" s="4" t="str">
        <f aca="false">IFERROR(INDEX(STATUS!$E110:$P110,MATCH(C114,TRIB!$E$1:$P$1,0)),"")</f>
        <v>OK</v>
      </c>
      <c r="H114" s="4" t="str">
        <f aca="false">IFERROR(INDEX(RECOMMEND!$E110:$P110,MATCH(C114,TRIB!$E$1:$P$1,0)),"")</f>
        <v>14x24</v>
      </c>
      <c r="I114" s="10" t="n">
        <f aca="false">COUNTIF(TRIB!$E110:$P110,"&gt;0")</f>
        <v>3</v>
      </c>
      <c r="J114" s="2"/>
    </row>
    <row r="115" customFormat="false" ht="15" hidden="false" customHeight="false" outlineLevel="0" collapsed="false">
      <c r="A115" s="11" t="str">
        <f aca="false">TRIB!A111</f>
        <v>C110</v>
      </c>
      <c r="B115" s="11" t="str">
        <f aca="false">TRIB!D111</f>
        <v>B</v>
      </c>
      <c r="C115" s="4" t="str">
        <f aca="false">IF(COUNTIF(TRIB!$E111:$P111,"&gt;0")=0,"",INDEX(TRIB!$E$1:$P$1,SUMPRODUCT(MAX((TRIB!$E111:$P111&lt;&gt;"")*(COLUMN(TRIB!$E111:$P111)-COLUMN(TRIB!$E111)+1)))))</f>
        <v>10</v>
      </c>
      <c r="D115" s="10" t="n">
        <f aca="false">IFERROR(INDEX(PU!$E111:$P111,MATCH(C115,TRIB!$E$1:$P$1,0)),"")</f>
        <v>123.491</v>
      </c>
      <c r="E115" s="4" t="str">
        <f aca="false">IFERROR(INDEX(ARCH!$E111:$P111,MATCH(C115,TRIB!$E$1:$P$1,0)),"")</f>
        <v>14x36</v>
      </c>
      <c r="F115" s="12" t="n">
        <f aca="false">IFERROR(INDEX(RHO_ARCH!$E111:$P111,MATCH(C115,TRIB!$E$1:$P$1,0)),"")</f>
        <v>-0.0843133730770343</v>
      </c>
      <c r="G115" s="4" t="str">
        <f aca="false">IFERROR(INDEX(STATUS!$E111:$P111,MATCH(C115,TRIB!$E$1:$P$1,0)),"")</f>
        <v>OK</v>
      </c>
      <c r="H115" s="4" t="str">
        <f aca="false">IFERROR(INDEX(RECOMMEND!$E111:$P111,MATCH(C115,TRIB!$E$1:$P$1,0)),"")</f>
        <v>14x24</v>
      </c>
      <c r="I115" s="10" t="n">
        <f aca="false">COUNTIF(TRIB!$E111:$P111,"&gt;0")</f>
        <v>3</v>
      </c>
      <c r="J115" s="2"/>
    </row>
    <row r="116" customFormat="false" ht="15" hidden="false" customHeight="false" outlineLevel="0" collapsed="false">
      <c r="A116" s="11" t="str">
        <f aca="false">TRIB!A112</f>
        <v>C111</v>
      </c>
      <c r="B116" s="11" t="str">
        <f aca="false">TRIB!D112</f>
        <v>A</v>
      </c>
      <c r="C116" s="4" t="str">
        <f aca="false">IF(COUNTIF(TRIB!$E112:$P112,"&gt;0")=0,"",INDEX(TRIB!$E$1:$P$1,SUMPRODUCT(MAX((TRIB!$E112:$P112&lt;&gt;"")*(COLUMN(TRIB!$E112:$P112)-COLUMN(TRIB!$E112)+1)))))</f>
        <v>11</v>
      </c>
      <c r="D116" s="10" t="n">
        <f aca="false">IFERROR(INDEX(PU!$E112:$P112,MATCH(C116,TRIB!$E$1:$P$1,0)),"")</f>
        <v>89.405</v>
      </c>
      <c r="E116" s="4" t="str">
        <f aca="false">IFERROR(INDEX(ARCH!$E112:$P112,MATCH(C116,TRIB!$E$1:$P$1,0)),"")</f>
        <v>14x36</v>
      </c>
      <c r="F116" s="12" t="n">
        <f aca="false">IFERROR(INDEX(RHO_ARCH!$E112:$P112,MATCH(C116,TRIB!$E$1:$P$1,0)),"")</f>
        <v>-0.086682399011634</v>
      </c>
      <c r="G116" s="4" t="str">
        <f aca="false">IFERROR(INDEX(STATUS!$E112:$P112,MATCH(C116,TRIB!$E$1:$P$1,0)),"")</f>
        <v>OK</v>
      </c>
      <c r="H116" s="4" t="str">
        <f aca="false">IFERROR(INDEX(RECOMMEND!$E112:$P112,MATCH(C116,TRIB!$E$1:$P$1,0)),"")</f>
        <v>14x24</v>
      </c>
      <c r="I116" s="10" t="n">
        <f aca="false">COUNTIF(TRIB!$E112:$P112,"&gt;0")</f>
        <v>1</v>
      </c>
      <c r="J116" s="2"/>
    </row>
    <row r="117" customFormat="false" ht="15" hidden="false" customHeight="false" outlineLevel="0" collapsed="false">
      <c r="A117" s="11" t="str">
        <f aca="false">TRIB!A113</f>
        <v>C112</v>
      </c>
      <c r="B117" s="11" t="str">
        <f aca="false">TRIB!D113</f>
        <v>A</v>
      </c>
      <c r="C117" s="4" t="str">
        <f aca="false">IF(COUNTIF(TRIB!$E113:$P113,"&gt;0")=0,"",INDEX(TRIB!$E$1:$P$1,SUMPRODUCT(MAX((TRIB!$E113:$P113&lt;&gt;"")*(COLUMN(TRIB!$E113:$P113)-COLUMN(TRIB!$E113)+1)))))</f>
        <v>11</v>
      </c>
      <c r="D117" s="10" t="n">
        <f aca="false">IFERROR(INDEX(PU!$E113:$P113,MATCH(C117,TRIB!$E$1:$P$1,0)),"")</f>
        <v>141.5775</v>
      </c>
      <c r="E117" s="4" t="str">
        <f aca="false">IFERROR(INDEX(ARCH!$E113:$P113,MATCH(C117,TRIB!$E$1:$P$1,0)),"")</f>
        <v>22x38</v>
      </c>
      <c r="F117" s="12" t="n">
        <f aca="false">IFERROR(INDEX(RHO_ARCH!$E113:$P113,MATCH(C117,TRIB!$E$1:$P$1,0)),"")</f>
        <v>-0.086964022819286</v>
      </c>
      <c r="G117" s="4" t="str">
        <f aca="false">IFERROR(INDEX(STATUS!$E113:$P113,MATCH(C117,TRIB!$E$1:$P$1,0)),"")</f>
        <v>OK</v>
      </c>
      <c r="H117" s="4" t="str">
        <f aca="false">IFERROR(INDEX(RECOMMEND!$E113:$P113,MATCH(C117,TRIB!$E$1:$P$1,0)),"")</f>
        <v>18x18</v>
      </c>
      <c r="I117" s="10" t="n">
        <f aca="false">COUNTIF(TRIB!$E113:$P113,"&gt;0")</f>
        <v>1</v>
      </c>
      <c r="J117" s="2"/>
    </row>
    <row r="118" customFormat="false" ht="15" hidden="false" customHeight="false" outlineLevel="0" collapsed="false">
      <c r="A118" s="11" t="str">
        <f aca="false">TRIB!A114</f>
        <v>C113</v>
      </c>
      <c r="B118" s="11" t="str">
        <f aca="false">TRIB!D114</f>
        <v>B</v>
      </c>
      <c r="C118" s="4" t="str">
        <f aca="false">IF(COUNTIF(TRIB!$E114:$P114,"&gt;0")=0,"",INDEX(TRIB!$E$1:$P$1,SUMPRODUCT(MAX((TRIB!$E114:$P114&lt;&gt;"")*(COLUMN(TRIB!$E114:$P114)-COLUMN(TRIB!$E114)+1)))))</f>
        <v>11</v>
      </c>
      <c r="D118" s="10" t="n">
        <f aca="false">IFERROR(INDEX(PU!$E114:$P114,MATCH(C118,TRIB!$E$1:$P$1,0)),"")</f>
        <v>328.22</v>
      </c>
      <c r="E118" s="4" t="str">
        <f aca="false">IFERROR(INDEX(ARCH!$E114:$P114,MATCH(C118,TRIB!$E$1:$P$1,0)),"")</f>
        <v>14x36</v>
      </c>
      <c r="F118" s="12" t="n">
        <f aca="false">IFERROR(INDEX(RHO_ARCH!$E114:$P114,MATCH(C118,TRIB!$E$1:$P$1,0)),"")</f>
        <v>-0.0700844136636486</v>
      </c>
      <c r="G118" s="4" t="str">
        <f aca="false">IFERROR(INDEX(STATUS!$E114:$P114,MATCH(C118,TRIB!$E$1:$P$1,0)),"")</f>
        <v>OK</v>
      </c>
      <c r="H118" s="4" t="str">
        <f aca="false">IFERROR(INDEX(RECOMMEND!$E114:$P114,MATCH(C118,TRIB!$E$1:$P$1,0)),"")</f>
        <v>14x24</v>
      </c>
      <c r="I118" s="10" t="n">
        <f aca="false">COUNTIF(TRIB!$E114:$P114,"&gt;0")</f>
        <v>2</v>
      </c>
      <c r="J118" s="2"/>
    </row>
    <row r="119" customFormat="false" ht="15" hidden="false" customHeight="false" outlineLevel="0" collapsed="false">
      <c r="A119" s="11" t="str">
        <f aca="false">TRIB!A115</f>
        <v>C114</v>
      </c>
      <c r="B119" s="11" t="str">
        <f aca="false">TRIB!D115</f>
        <v>B</v>
      </c>
      <c r="C119" s="4" t="str">
        <f aca="false">IF(COUNTIF(TRIB!$E115:$P115,"&gt;0")=0,"",INDEX(TRIB!$E$1:$P$1,SUMPRODUCT(MAX((TRIB!$E115:$P115&lt;&gt;"")*(COLUMN(TRIB!$E115:$P115)-COLUMN(TRIB!$E115)+1)))))</f>
        <v>11</v>
      </c>
      <c r="D119" s="10" t="n">
        <f aca="false">IFERROR(INDEX(PU!$E115:$P115,MATCH(C119,TRIB!$E$1:$P$1,0)),"")</f>
        <v>324.74</v>
      </c>
      <c r="E119" s="4" t="str">
        <f aca="false">IFERROR(INDEX(ARCH!$E115:$P115,MATCH(C119,TRIB!$E$1:$P$1,0)),"")</f>
        <v>14x36</v>
      </c>
      <c r="F119" s="12" t="n">
        <f aca="false">IFERROR(INDEX(RHO_ARCH!$E115:$P115,MATCH(C119,TRIB!$E$1:$P$1,0)),"")</f>
        <v>-0.070326278659612</v>
      </c>
      <c r="G119" s="4" t="str">
        <f aca="false">IFERROR(INDEX(STATUS!$E115:$P115,MATCH(C119,TRIB!$E$1:$P$1,0)),"")</f>
        <v>OK</v>
      </c>
      <c r="H119" s="4" t="str">
        <f aca="false">IFERROR(INDEX(RECOMMEND!$E115:$P115,MATCH(C119,TRIB!$E$1:$P$1,0)),"")</f>
        <v>14x24</v>
      </c>
      <c r="I119" s="10" t="n">
        <f aca="false">COUNTIF(TRIB!$E115:$P115,"&gt;0")</f>
        <v>2</v>
      </c>
      <c r="J119" s="2"/>
    </row>
    <row r="120" customFormat="false" ht="15" hidden="false" customHeight="false" outlineLevel="0" collapsed="false">
      <c r="A120" s="11" t="str">
        <f aca="false">TRIB!A116</f>
        <v>C115</v>
      </c>
      <c r="B120" s="11" t="str">
        <f aca="false">TRIB!D116</f>
        <v>B</v>
      </c>
      <c r="C120" s="4" t="str">
        <f aca="false">IF(COUNTIF(TRIB!$E116:$P116,"&gt;0")=0,"",INDEX(TRIB!$E$1:$P$1,SUMPRODUCT(MAX((TRIB!$E116:$P116&lt;&gt;"")*(COLUMN(TRIB!$E116:$P116)-COLUMN(TRIB!$E116)+1)))))</f>
        <v>11</v>
      </c>
      <c r="D120" s="10" t="n">
        <f aca="false">IFERROR(INDEX(PU!$E116:$P116,MATCH(C120,TRIB!$E$1:$P$1,0)),"")</f>
        <v>350.84</v>
      </c>
      <c r="E120" s="4" t="str">
        <f aca="false">IFERROR(INDEX(ARCH!$E116:$P116,MATCH(C120,TRIB!$E$1:$P$1,0)),"")</f>
        <v>14x36</v>
      </c>
      <c r="F120" s="12" t="n">
        <f aca="false">IFERROR(INDEX(RHO_ARCH!$E116:$P116,MATCH(C120,TRIB!$E$1:$P$1,0)),"")</f>
        <v>-0.0685122911898868</v>
      </c>
      <c r="G120" s="4" t="str">
        <f aca="false">IFERROR(INDEX(STATUS!$E116:$P116,MATCH(C120,TRIB!$E$1:$P$1,0)),"")</f>
        <v>OK</v>
      </c>
      <c r="H120" s="4" t="str">
        <f aca="false">IFERROR(INDEX(RECOMMEND!$E116:$P116,MATCH(C120,TRIB!$E$1:$P$1,0)),"")</f>
        <v>14x24</v>
      </c>
      <c r="I120" s="10" t="n">
        <f aca="false">COUNTIF(TRIB!$E116:$P116,"&gt;0")</f>
        <v>2</v>
      </c>
      <c r="J120" s="2"/>
    </row>
    <row r="121" customFormat="false" ht="15" hidden="false" customHeight="false" outlineLevel="0" collapsed="false">
      <c r="A121" s="11" t="str">
        <f aca="false">TRIB!A117</f>
        <v>C116</v>
      </c>
      <c r="B121" s="11" t="str">
        <f aca="false">TRIB!D117</f>
        <v>B</v>
      </c>
      <c r="C121" s="4" t="str">
        <f aca="false">IF(COUNTIF(TRIB!$E117:$P117,"&gt;0")=0,"",INDEX(TRIB!$E$1:$P$1,SUMPRODUCT(MAX((TRIB!$E117:$P117&lt;&gt;"")*(COLUMN(TRIB!$E117:$P117)-COLUMN(TRIB!$E117)+1)))))</f>
        <v>11</v>
      </c>
      <c r="D121" s="10" t="n">
        <f aca="false">IFERROR(INDEX(PU!$E117:$P117,MATCH(C121,TRIB!$E$1:$P$1,0)),"")</f>
        <v>336.34</v>
      </c>
      <c r="E121" s="4" t="str">
        <f aca="false">IFERROR(INDEX(ARCH!$E117:$P117,MATCH(C121,TRIB!$E$1:$P$1,0)),"")</f>
        <v>14x36</v>
      </c>
      <c r="F121" s="12" t="n">
        <f aca="false">IFERROR(INDEX(RHO_ARCH!$E117:$P117,MATCH(C121,TRIB!$E$1:$P$1,0)),"")</f>
        <v>-0.0695200620064008</v>
      </c>
      <c r="G121" s="4" t="str">
        <f aca="false">IFERROR(INDEX(STATUS!$E117:$P117,MATCH(C121,TRIB!$E$1:$P$1,0)),"")</f>
        <v>OK</v>
      </c>
      <c r="H121" s="4" t="str">
        <f aca="false">IFERROR(INDEX(RECOMMEND!$E117:$P117,MATCH(C121,TRIB!$E$1:$P$1,0)),"")</f>
        <v>14x24</v>
      </c>
      <c r="I121" s="10" t="n">
        <f aca="false">COUNTIF(TRIB!$E117:$P117,"&gt;0")</f>
        <v>2</v>
      </c>
      <c r="J121" s="2"/>
    </row>
    <row r="122" customFormat="false" ht="15" hidden="false" customHeight="false" outlineLevel="0" collapsed="false">
      <c r="A122" s="11" t="str">
        <f aca="false">TRIB!A118</f>
        <v>C117</v>
      </c>
      <c r="B122" s="11" t="str">
        <f aca="false">TRIB!D118</f>
        <v>B</v>
      </c>
      <c r="C122" s="4" t="str">
        <f aca="false">IF(COUNTIF(TRIB!$E118:$P118,"&gt;0")=0,"",INDEX(TRIB!$E$1:$P$1,SUMPRODUCT(MAX((TRIB!$E118:$P118&lt;&gt;"")*(COLUMN(TRIB!$E118:$P118)-COLUMN(TRIB!$E118)+1)))))</f>
        <v>11</v>
      </c>
      <c r="D122" s="10" t="n">
        <f aca="false">IFERROR(INDEX(PU!$E118:$P118,MATCH(C122,TRIB!$E$1:$P$1,0)),"")</f>
        <v>149.58</v>
      </c>
      <c r="E122" s="4" t="str">
        <f aca="false">IFERROR(INDEX(ARCH!$E118:$P118,MATCH(C122,TRIB!$E$1:$P$1,0)),"")</f>
        <v>14x36</v>
      </c>
      <c r="F122" s="12" t="n">
        <f aca="false">IFERROR(INDEX(RHO_ARCH!$E118:$P118,MATCH(C122,TRIB!$E$1:$P$1,0)),"")</f>
        <v>-0.0825001501231009</v>
      </c>
      <c r="G122" s="4" t="str">
        <f aca="false">IFERROR(INDEX(STATUS!$E118:$P118,MATCH(C122,TRIB!$E$1:$P$1,0)),"")</f>
        <v>OK</v>
      </c>
      <c r="H122" s="4" t="str">
        <f aca="false">IFERROR(INDEX(RECOMMEND!$E118:$P118,MATCH(C122,TRIB!$E$1:$P$1,0)),"")</f>
        <v>14x24</v>
      </c>
      <c r="I122" s="10" t="n">
        <f aca="false">COUNTIF(TRIB!$E118:$P118,"&gt;0")</f>
        <v>2</v>
      </c>
      <c r="J122" s="2"/>
    </row>
    <row r="123" customFormat="false" ht="15" hidden="false" customHeight="false" outlineLevel="0" collapsed="false">
      <c r="A123" s="11" t="str">
        <f aca="false">TRIB!A119</f>
        <v>7_UNLABELED_100</v>
      </c>
      <c r="B123" s="11" t="str">
        <f aca="false">TRIB!D119</f>
        <v>A</v>
      </c>
      <c r="C123" s="4" t="str">
        <f aca="false">IF(COUNTIF(TRIB!$E119:$P119,"&gt;0")=0,"",INDEX(TRIB!$E$1:$P$1,SUMPRODUCT(MAX((TRIB!$E119:$P119&lt;&gt;"")*(COLUMN(TRIB!$E119:$P119)-COLUMN(TRIB!$E119)+1)))))</f>
        <v/>
      </c>
      <c r="D123" s="10" t="str">
        <f aca="false">IFERROR(INDEX(PU!$E119:$P119,MATCH(C123,TRIB!$E$1:$P$1,0)),"")</f>
        <v/>
      </c>
      <c r="E123" s="4" t="str">
        <f aca="false">IFERROR(INDEX(ARCH!$E119:$P119,MATCH(C123,TRIB!$E$1:$P$1,0)),"")</f>
        <v/>
      </c>
      <c r="F123" s="12" t="str">
        <f aca="false">IFERROR(INDEX(RHO_ARCH!$E119:$P119,MATCH(C123,TRIB!$E$1:$P$1,0)),"")</f>
        <v/>
      </c>
      <c r="G123" s="4" t="str">
        <f aca="false">IFERROR(INDEX(STATUS!$E119:$P119,MATCH(C123,TRIB!$E$1:$P$1,0)),"")</f>
        <v/>
      </c>
      <c r="H123" s="4" t="str">
        <f aca="false">IFERROR(INDEX(RECOMMEND!$E119:$P119,MATCH(C123,TRIB!$E$1:$P$1,0)),"")</f>
        <v/>
      </c>
      <c r="I123" s="10" t="n">
        <f aca="false">COUNTIF(TRIB!$E119:$P119,"&gt;0")</f>
        <v>0</v>
      </c>
      <c r="J123" s="2" t="s">
        <v>107</v>
      </c>
    </row>
    <row r="124" customFormat="false" ht="15" hidden="false" customHeight="false" outlineLevel="0" collapsed="false">
      <c r="A124" s="11" t="str">
        <f aca="false">TRIB!A120</f>
        <v>7_UNLABELED_101</v>
      </c>
      <c r="B124" s="11" t="str">
        <f aca="false">TRIB!D120</f>
        <v>A</v>
      </c>
      <c r="C124" s="4" t="str">
        <f aca="false">IF(COUNTIF(TRIB!$E120:$P120,"&gt;0")=0,"",INDEX(TRIB!$E$1:$P$1,SUMPRODUCT(MAX((TRIB!$E120:$P120&lt;&gt;"")*(COLUMN(TRIB!$E120:$P120)-COLUMN(TRIB!$E120)+1)))))</f>
        <v>7</v>
      </c>
      <c r="D124" s="10" t="n">
        <f aca="false">IFERROR(INDEX(PU!$E120:$P120,MATCH(C124,TRIB!$E$1:$P$1,0)),"")</f>
        <v>24.179</v>
      </c>
      <c r="E124" s="4" t="str">
        <f aca="false">IFERROR(INDEX(ARCH!$E120:$P120,MATCH(C124,TRIB!$E$1:$P$1,0)),"")</f>
        <v>14x36</v>
      </c>
      <c r="F124" s="12" t="n">
        <f aca="false">IFERROR(INDEX(RHO_ARCH!$E120:$P120,MATCH(C124,TRIB!$E$1:$P$1,0)),"")</f>
        <v>-0.091215699651492</v>
      </c>
      <c r="G124" s="4" t="str">
        <f aca="false">IFERROR(INDEX(STATUS!$E120:$P120,MATCH(C124,TRIB!$E$1:$P$1,0)),"")</f>
        <v>OK</v>
      </c>
      <c r="H124" s="4" t="str">
        <f aca="false">IFERROR(INDEX(RECOMMEND!$E120:$P120,MATCH(C124,TRIB!$E$1:$P$1,0)),"")</f>
        <v>14x24</v>
      </c>
      <c r="I124" s="10" t="n">
        <f aca="false">COUNTIF(TRIB!$E120:$P120,"&gt;0")</f>
        <v>1</v>
      </c>
      <c r="J124" s="2" t="s">
        <v>107</v>
      </c>
    </row>
    <row r="125" customFormat="false" ht="15" hidden="false" customHeight="false" outlineLevel="0" collapsed="false">
      <c r="A125" s="11" t="str">
        <f aca="false">TRIB!A121</f>
        <v>7_UNLABELED_102</v>
      </c>
      <c r="B125" s="11" t="str">
        <f aca="false">TRIB!D121</f>
        <v>A</v>
      </c>
      <c r="C125" s="4" t="str">
        <f aca="false">IF(COUNTIF(TRIB!$E121:$P121,"&gt;0")=0,"",INDEX(TRIB!$E$1:$P$1,SUMPRODUCT(MAX((TRIB!$E121:$P121&lt;&gt;"")*(COLUMN(TRIB!$E121:$P121)-COLUMN(TRIB!$E121)+1)))))</f>
        <v/>
      </c>
      <c r="D125" s="10" t="str">
        <f aca="false">IFERROR(INDEX(PU!$E121:$P121,MATCH(C125,TRIB!$E$1:$P$1,0)),"")</f>
        <v/>
      </c>
      <c r="E125" s="4" t="str">
        <f aca="false">IFERROR(INDEX(ARCH!$E121:$P121,MATCH(C125,TRIB!$E$1:$P$1,0)),"")</f>
        <v/>
      </c>
      <c r="F125" s="12" t="str">
        <f aca="false">IFERROR(INDEX(RHO_ARCH!$E121:$P121,MATCH(C125,TRIB!$E$1:$P$1,0)),"")</f>
        <v/>
      </c>
      <c r="G125" s="4" t="str">
        <f aca="false">IFERROR(INDEX(STATUS!$E121:$P121,MATCH(C125,TRIB!$E$1:$P$1,0)),"")</f>
        <v/>
      </c>
      <c r="H125" s="4" t="str">
        <f aca="false">IFERROR(INDEX(RECOMMEND!$E121:$P121,MATCH(C125,TRIB!$E$1:$P$1,0)),"")</f>
        <v/>
      </c>
      <c r="I125" s="10" t="n">
        <f aca="false">COUNTIF(TRIB!$E121:$P121,"&gt;0")</f>
        <v>0</v>
      </c>
      <c r="J125" s="2" t="s">
        <v>107</v>
      </c>
    </row>
    <row r="126" customFormat="false" ht="15" hidden="false" customHeight="false" outlineLevel="0" collapsed="false">
      <c r="A126" s="11" t="str">
        <f aca="false">TRIB!A122</f>
        <v>7_UNLABELED_103</v>
      </c>
      <c r="B126" s="11" t="str">
        <f aca="false">TRIB!D122</f>
        <v>A</v>
      </c>
      <c r="C126" s="4" t="str">
        <f aca="false">IF(COUNTIF(TRIB!$E122:$P122,"&gt;0")=0,"",INDEX(TRIB!$E$1:$P$1,SUMPRODUCT(MAX((TRIB!$E122:$P122&lt;&gt;"")*(COLUMN(TRIB!$E122:$P122)-COLUMN(TRIB!$E122)+1)))))</f>
        <v/>
      </c>
      <c r="D126" s="10" t="str">
        <f aca="false">IFERROR(INDEX(PU!$E122:$P122,MATCH(C126,TRIB!$E$1:$P$1,0)),"")</f>
        <v/>
      </c>
      <c r="E126" s="4" t="str">
        <f aca="false">IFERROR(INDEX(ARCH!$E122:$P122,MATCH(C126,TRIB!$E$1:$P$1,0)),"")</f>
        <v/>
      </c>
      <c r="F126" s="12" t="str">
        <f aca="false">IFERROR(INDEX(RHO_ARCH!$E122:$P122,MATCH(C126,TRIB!$E$1:$P$1,0)),"")</f>
        <v/>
      </c>
      <c r="G126" s="4" t="str">
        <f aca="false">IFERROR(INDEX(STATUS!$E122:$P122,MATCH(C126,TRIB!$E$1:$P$1,0)),"")</f>
        <v/>
      </c>
      <c r="H126" s="4" t="str">
        <f aca="false">IFERROR(INDEX(RECOMMEND!$E122:$P122,MATCH(C126,TRIB!$E$1:$P$1,0)),"")</f>
        <v/>
      </c>
      <c r="I126" s="10" t="n">
        <f aca="false">COUNTIF(TRIB!$E122:$P122,"&gt;0")</f>
        <v>0</v>
      </c>
      <c r="J126" s="2" t="s">
        <v>107</v>
      </c>
    </row>
    <row r="127" customFormat="false" ht="15" hidden="false" customHeight="false" outlineLevel="0" collapsed="false">
      <c r="A127" s="11" t="str">
        <f aca="false">TRIB!A123</f>
        <v>7_UNLABELED_90</v>
      </c>
      <c r="B127" s="11" t="str">
        <f aca="false">TRIB!D123</f>
        <v>A</v>
      </c>
      <c r="C127" s="4" t="str">
        <f aca="false">IF(COUNTIF(TRIB!$E123:$P123,"&gt;0")=0,"",INDEX(TRIB!$E$1:$P$1,SUMPRODUCT(MAX((TRIB!$E123:$P123&lt;&gt;"")*(COLUMN(TRIB!$E123:$P123)-COLUMN(TRIB!$E123)+1)))))</f>
        <v/>
      </c>
      <c r="D127" s="10" t="str">
        <f aca="false">IFERROR(INDEX(PU!$E123:$P123,MATCH(C127,TRIB!$E$1:$P$1,0)),"")</f>
        <v/>
      </c>
      <c r="E127" s="4" t="str">
        <f aca="false">IFERROR(INDEX(ARCH!$E123:$P123,MATCH(C127,TRIB!$E$1:$P$1,0)),"")</f>
        <v/>
      </c>
      <c r="F127" s="12" t="str">
        <f aca="false">IFERROR(INDEX(RHO_ARCH!$E123:$P123,MATCH(C127,TRIB!$E$1:$P$1,0)),"")</f>
        <v/>
      </c>
      <c r="G127" s="4" t="str">
        <f aca="false">IFERROR(INDEX(STATUS!$E123:$P123,MATCH(C127,TRIB!$E$1:$P$1,0)),"")</f>
        <v/>
      </c>
      <c r="H127" s="4" t="str">
        <f aca="false">IFERROR(INDEX(RECOMMEND!$E123:$P123,MATCH(C127,TRIB!$E$1:$P$1,0)),"")</f>
        <v/>
      </c>
      <c r="I127" s="10" t="n">
        <f aca="false">COUNTIF(TRIB!$E123:$P123,"&gt;0")</f>
        <v>0</v>
      </c>
      <c r="J127" s="2" t="s">
        <v>107</v>
      </c>
    </row>
    <row r="128" customFormat="false" ht="15" hidden="false" customHeight="false" outlineLevel="0" collapsed="false">
      <c r="A128" s="11" t="str">
        <f aca="false">TRIB!A124</f>
        <v>7_UNLABELED_91</v>
      </c>
      <c r="B128" s="11" t="str">
        <f aca="false">TRIB!D124</f>
        <v>A</v>
      </c>
      <c r="C128" s="4" t="str">
        <f aca="false">IF(COUNTIF(TRIB!$E124:$P124,"&gt;0")=0,"",INDEX(TRIB!$E$1:$P$1,SUMPRODUCT(MAX((TRIB!$E124:$P124&lt;&gt;"")*(COLUMN(TRIB!$E124:$P124)-COLUMN(TRIB!$E124)+1)))))</f>
        <v>7</v>
      </c>
      <c r="D128" s="10" t="n">
        <f aca="false">IFERROR(INDEX(PU!$E124:$P124,MATCH(C128,TRIB!$E$1:$P$1,0)),"")</f>
        <v>41.5333387491734</v>
      </c>
      <c r="E128" s="4" t="str">
        <f aca="false">IFERROR(INDEX(ARCH!$E124:$P124,MATCH(C128,TRIB!$E$1:$P$1,0)),"")</f>
        <v>14x36</v>
      </c>
      <c r="F128" s="12" t="n">
        <f aca="false">IFERROR(INDEX(RHO_ARCH!$E124:$P124,MATCH(C128,TRIB!$E$1:$P$1,0)),"")</f>
        <v>-0.09000954819416</v>
      </c>
      <c r="G128" s="4" t="str">
        <f aca="false">IFERROR(INDEX(STATUS!$E124:$P124,MATCH(C128,TRIB!$E$1:$P$1,0)),"")</f>
        <v>OK</v>
      </c>
      <c r="H128" s="4" t="str">
        <f aca="false">IFERROR(INDEX(RECOMMEND!$E124:$P124,MATCH(C128,TRIB!$E$1:$P$1,0)),"")</f>
        <v>14x24</v>
      </c>
      <c r="I128" s="10" t="n">
        <f aca="false">COUNTIF(TRIB!$E124:$P124,"&gt;0")</f>
        <v>1</v>
      </c>
      <c r="J128" s="2" t="s">
        <v>107</v>
      </c>
    </row>
    <row r="129" customFormat="false" ht="15" hidden="false" customHeight="false" outlineLevel="0" collapsed="false">
      <c r="A129" s="11" t="str">
        <f aca="false">TRIB!A125</f>
        <v>7_UNLABELED_92</v>
      </c>
      <c r="B129" s="11" t="str">
        <f aca="false">TRIB!D125</f>
        <v>A</v>
      </c>
      <c r="C129" s="4" t="str">
        <f aca="false">IF(COUNTIF(TRIB!$E125:$P125,"&gt;0")=0,"",INDEX(TRIB!$E$1:$P$1,SUMPRODUCT(MAX((TRIB!$E125:$P125&lt;&gt;"")*(COLUMN(TRIB!$E125:$P125)-COLUMN(TRIB!$E125)+1)))))</f>
        <v/>
      </c>
      <c r="D129" s="10" t="str">
        <f aca="false">IFERROR(INDEX(PU!$E125:$P125,MATCH(C129,TRIB!$E$1:$P$1,0)),"")</f>
        <v/>
      </c>
      <c r="E129" s="4" t="str">
        <f aca="false">IFERROR(INDEX(ARCH!$E125:$P125,MATCH(C129,TRIB!$E$1:$P$1,0)),"")</f>
        <v/>
      </c>
      <c r="F129" s="12" t="str">
        <f aca="false">IFERROR(INDEX(RHO_ARCH!$E125:$P125,MATCH(C129,TRIB!$E$1:$P$1,0)),"")</f>
        <v/>
      </c>
      <c r="G129" s="4" t="str">
        <f aca="false">IFERROR(INDEX(STATUS!$E125:$P125,MATCH(C129,TRIB!$E$1:$P$1,0)),"")</f>
        <v/>
      </c>
      <c r="H129" s="4" t="str">
        <f aca="false">IFERROR(INDEX(RECOMMEND!$E125:$P125,MATCH(C129,TRIB!$E$1:$P$1,0)),"")</f>
        <v/>
      </c>
      <c r="I129" s="10" t="n">
        <f aca="false">COUNTIF(TRIB!$E125:$P125,"&gt;0")</f>
        <v>0</v>
      </c>
      <c r="J129" s="2" t="s">
        <v>107</v>
      </c>
    </row>
    <row r="130" customFormat="false" ht="15" hidden="false" customHeight="false" outlineLevel="0" collapsed="false">
      <c r="A130" s="11" t="str">
        <f aca="false">TRIB!A126</f>
        <v>7_UNLABELED_93</v>
      </c>
      <c r="B130" s="11" t="str">
        <f aca="false">TRIB!D126</f>
        <v>A</v>
      </c>
      <c r="C130" s="4" t="str">
        <f aca="false">IF(COUNTIF(TRIB!$E126:$P126,"&gt;0")=0,"",INDEX(TRIB!$E$1:$P$1,SUMPRODUCT(MAX((TRIB!$E126:$P126&lt;&gt;"")*(COLUMN(TRIB!$E126:$P126)-COLUMN(TRIB!$E126)+1)))))</f>
        <v/>
      </c>
      <c r="D130" s="10" t="str">
        <f aca="false">IFERROR(INDEX(PU!$E126:$P126,MATCH(C130,TRIB!$E$1:$P$1,0)),"")</f>
        <v/>
      </c>
      <c r="E130" s="4" t="str">
        <f aca="false">IFERROR(INDEX(ARCH!$E126:$P126,MATCH(C130,TRIB!$E$1:$P$1,0)),"")</f>
        <v/>
      </c>
      <c r="F130" s="12" t="str">
        <f aca="false">IFERROR(INDEX(RHO_ARCH!$E126:$P126,MATCH(C130,TRIB!$E$1:$P$1,0)),"")</f>
        <v/>
      </c>
      <c r="G130" s="4" t="str">
        <f aca="false">IFERROR(INDEX(STATUS!$E126:$P126,MATCH(C130,TRIB!$E$1:$P$1,0)),"")</f>
        <v/>
      </c>
      <c r="H130" s="4" t="str">
        <f aca="false">IFERROR(INDEX(RECOMMEND!$E126:$P126,MATCH(C130,TRIB!$E$1:$P$1,0)),"")</f>
        <v/>
      </c>
      <c r="I130" s="10" t="n">
        <f aca="false">COUNTIF(TRIB!$E126:$P126,"&gt;0")</f>
        <v>0</v>
      </c>
      <c r="J130" s="2" t="s">
        <v>107</v>
      </c>
    </row>
    <row r="131" customFormat="false" ht="15" hidden="false" customHeight="false" outlineLevel="0" collapsed="false">
      <c r="A131" s="11" t="str">
        <f aca="false">TRIB!A127</f>
        <v>7_UNLABELED_94</v>
      </c>
      <c r="B131" s="11" t="str">
        <f aca="false">TRIB!D127</f>
        <v>A</v>
      </c>
      <c r="C131" s="4" t="str">
        <f aca="false">IF(COUNTIF(TRIB!$E127:$P127,"&gt;0")=0,"",INDEX(TRIB!$E$1:$P$1,SUMPRODUCT(MAX((TRIB!$E127:$P127&lt;&gt;"")*(COLUMN(TRIB!$E127:$P127)-COLUMN(TRIB!$E127)+1)))))</f>
        <v>7</v>
      </c>
      <c r="D131" s="10" t="n">
        <f aca="false">IFERROR(INDEX(PU!$E127:$P127,MATCH(C131,TRIB!$E$1:$P$1,0)),"")</f>
        <v>28.879</v>
      </c>
      <c r="E131" s="4" t="str">
        <f aca="false">IFERROR(INDEX(ARCH!$E127:$P127,MATCH(C131,TRIB!$E$1:$P$1,0)),"")</f>
        <v>14x36</v>
      </c>
      <c r="F131" s="12" t="n">
        <f aca="false">IFERROR(INDEX(RHO_ARCH!$E127:$P127,MATCH(C131,TRIB!$E$1:$P$1,0)),"")</f>
        <v>-0.0908890429040702</v>
      </c>
      <c r="G131" s="4" t="str">
        <f aca="false">IFERROR(INDEX(STATUS!$E127:$P127,MATCH(C131,TRIB!$E$1:$P$1,0)),"")</f>
        <v>OK</v>
      </c>
      <c r="H131" s="4" t="str">
        <f aca="false">IFERROR(INDEX(RECOMMEND!$E127:$P127,MATCH(C131,TRIB!$E$1:$P$1,0)),"")</f>
        <v>14x24</v>
      </c>
      <c r="I131" s="10" t="n">
        <f aca="false">COUNTIF(TRIB!$E127:$P127,"&gt;0")</f>
        <v>1</v>
      </c>
      <c r="J131" s="2" t="s">
        <v>107</v>
      </c>
    </row>
    <row r="132" customFormat="false" ht="15" hidden="false" customHeight="false" outlineLevel="0" collapsed="false">
      <c r="A132" s="11" t="str">
        <f aca="false">TRIB!A128</f>
        <v>7_UNLABELED_95</v>
      </c>
      <c r="B132" s="11" t="str">
        <f aca="false">TRIB!D128</f>
        <v>A</v>
      </c>
      <c r="C132" s="4" t="str">
        <f aca="false">IF(COUNTIF(TRIB!$E128:$P128,"&gt;0")=0,"",INDEX(TRIB!$E$1:$P$1,SUMPRODUCT(MAX((TRIB!$E128:$P128&lt;&gt;"")*(COLUMN(TRIB!$E128:$P128)-COLUMN(TRIB!$E128)+1)))))</f>
        <v/>
      </c>
      <c r="D132" s="10" t="str">
        <f aca="false">IFERROR(INDEX(PU!$E128:$P128,MATCH(C132,TRIB!$E$1:$P$1,0)),"")</f>
        <v/>
      </c>
      <c r="E132" s="4" t="str">
        <f aca="false">IFERROR(INDEX(ARCH!$E128:$P128,MATCH(C132,TRIB!$E$1:$P$1,0)),"")</f>
        <v/>
      </c>
      <c r="F132" s="12" t="str">
        <f aca="false">IFERROR(INDEX(RHO_ARCH!$E128:$P128,MATCH(C132,TRIB!$E$1:$P$1,0)),"")</f>
        <v/>
      </c>
      <c r="G132" s="4" t="str">
        <f aca="false">IFERROR(INDEX(STATUS!$E128:$P128,MATCH(C132,TRIB!$E$1:$P$1,0)),"")</f>
        <v/>
      </c>
      <c r="H132" s="4" t="str">
        <f aca="false">IFERROR(INDEX(RECOMMEND!$E128:$P128,MATCH(C132,TRIB!$E$1:$P$1,0)),"")</f>
        <v/>
      </c>
      <c r="I132" s="10" t="n">
        <f aca="false">COUNTIF(TRIB!$E128:$P128,"&gt;0")</f>
        <v>0</v>
      </c>
      <c r="J132" s="2" t="s">
        <v>107</v>
      </c>
    </row>
    <row r="133" customFormat="false" ht="15" hidden="false" customHeight="false" outlineLevel="0" collapsed="false">
      <c r="A133" s="11" t="str">
        <f aca="false">TRIB!A129</f>
        <v>7_UNLABELED_96</v>
      </c>
      <c r="B133" s="11" t="str">
        <f aca="false">TRIB!D129</f>
        <v>A</v>
      </c>
      <c r="C133" s="4" t="str">
        <f aca="false">IF(COUNTIF(TRIB!$E129:$P129,"&gt;0")=0,"",INDEX(TRIB!$E$1:$P$1,SUMPRODUCT(MAX((TRIB!$E129:$P129&lt;&gt;"")*(COLUMN(TRIB!$E129:$P129)-COLUMN(TRIB!$E129)+1)))))</f>
        <v/>
      </c>
      <c r="D133" s="10" t="str">
        <f aca="false">IFERROR(INDEX(PU!$E129:$P129,MATCH(C133,TRIB!$E$1:$P$1,0)),"")</f>
        <v/>
      </c>
      <c r="E133" s="4" t="str">
        <f aca="false">IFERROR(INDEX(ARCH!$E129:$P129,MATCH(C133,TRIB!$E$1:$P$1,0)),"")</f>
        <v/>
      </c>
      <c r="F133" s="12" t="str">
        <f aca="false">IFERROR(INDEX(RHO_ARCH!$E129:$P129,MATCH(C133,TRIB!$E$1:$P$1,0)),"")</f>
        <v/>
      </c>
      <c r="G133" s="4" t="str">
        <f aca="false">IFERROR(INDEX(STATUS!$E129:$P129,MATCH(C133,TRIB!$E$1:$P$1,0)),"")</f>
        <v/>
      </c>
      <c r="H133" s="4" t="str">
        <f aca="false">IFERROR(INDEX(RECOMMEND!$E129:$P129,MATCH(C133,TRIB!$E$1:$P$1,0)),"")</f>
        <v/>
      </c>
      <c r="I133" s="10" t="n">
        <f aca="false">COUNTIF(TRIB!$E129:$P129,"&gt;0")</f>
        <v>0</v>
      </c>
      <c r="J133" s="2" t="s">
        <v>107</v>
      </c>
    </row>
    <row r="134" customFormat="false" ht="15" hidden="false" customHeight="false" outlineLevel="0" collapsed="false">
      <c r="A134" s="11" t="str">
        <f aca="false">TRIB!A130</f>
        <v>7_UNLABELED_97</v>
      </c>
      <c r="B134" s="11" t="str">
        <f aca="false">TRIB!D130</f>
        <v>A</v>
      </c>
      <c r="C134" s="4" t="str">
        <f aca="false">IF(COUNTIF(TRIB!$E130:$P130,"&gt;0")=0,"",INDEX(TRIB!$E$1:$P$1,SUMPRODUCT(MAX((TRIB!$E130:$P130&lt;&gt;"")*(COLUMN(TRIB!$E130:$P130)-COLUMN(TRIB!$E130)+1)))))</f>
        <v>7</v>
      </c>
      <c r="D134" s="10" t="n">
        <f aca="false">IFERROR(INDEX(PU!$E130:$P130,MATCH(C134,TRIB!$E$1:$P$1,0)),"")</f>
        <v>37.9184575230765</v>
      </c>
      <c r="E134" s="4" t="str">
        <f aca="false">IFERROR(INDEX(ARCH!$E130:$P130,MATCH(C134,TRIB!$E$1:$P$1,0)),"")</f>
        <v>14x36</v>
      </c>
      <c r="F134" s="12" t="n">
        <f aca="false">IFERROR(INDEX(RHO_ARCH!$E130:$P130,MATCH(C134,TRIB!$E$1:$P$1,0)),"")</f>
        <v>-0.0902607876289754</v>
      </c>
      <c r="G134" s="4" t="str">
        <f aca="false">IFERROR(INDEX(STATUS!$E130:$P130,MATCH(C134,TRIB!$E$1:$P$1,0)),"")</f>
        <v>OK</v>
      </c>
      <c r="H134" s="4" t="str">
        <f aca="false">IFERROR(INDEX(RECOMMEND!$E130:$P130,MATCH(C134,TRIB!$E$1:$P$1,0)),"")</f>
        <v>14x24</v>
      </c>
      <c r="I134" s="10" t="n">
        <f aca="false">COUNTIF(TRIB!$E130:$P130,"&gt;0")</f>
        <v>1</v>
      </c>
      <c r="J134" s="2" t="s">
        <v>107</v>
      </c>
    </row>
    <row r="135" customFormat="false" ht="15" hidden="false" customHeight="false" outlineLevel="0" collapsed="false">
      <c r="A135" s="11" t="str">
        <f aca="false">TRIB!A131</f>
        <v>7_UNLABELED_98</v>
      </c>
      <c r="B135" s="11" t="str">
        <f aca="false">TRIB!D131</f>
        <v>A</v>
      </c>
      <c r="C135" s="4" t="str">
        <f aca="false">IF(COUNTIF(TRIB!$E131:$P131,"&gt;0")=0,"",INDEX(TRIB!$E$1:$P$1,SUMPRODUCT(MAX((TRIB!$E131:$P131&lt;&gt;"")*(COLUMN(TRIB!$E131:$P131)-COLUMN(TRIB!$E131)+1)))))</f>
        <v/>
      </c>
      <c r="D135" s="10" t="str">
        <f aca="false">IFERROR(INDEX(PU!$E131:$P131,MATCH(C135,TRIB!$E$1:$P$1,0)),"")</f>
        <v/>
      </c>
      <c r="E135" s="4" t="str">
        <f aca="false">IFERROR(INDEX(ARCH!$E131:$P131,MATCH(C135,TRIB!$E$1:$P$1,0)),"")</f>
        <v/>
      </c>
      <c r="F135" s="12" t="str">
        <f aca="false">IFERROR(INDEX(RHO_ARCH!$E131:$P131,MATCH(C135,TRIB!$E$1:$P$1,0)),"")</f>
        <v/>
      </c>
      <c r="G135" s="4" t="str">
        <f aca="false">IFERROR(INDEX(STATUS!$E131:$P131,MATCH(C135,TRIB!$E$1:$P$1,0)),"")</f>
        <v/>
      </c>
      <c r="H135" s="4" t="str">
        <f aca="false">IFERROR(INDEX(RECOMMEND!$E131:$P131,MATCH(C135,TRIB!$E$1:$P$1,0)),"")</f>
        <v/>
      </c>
      <c r="I135" s="10" t="n">
        <f aca="false">COUNTIF(TRIB!$E131:$P131,"&gt;0")</f>
        <v>0</v>
      </c>
      <c r="J135" s="2" t="s">
        <v>107</v>
      </c>
    </row>
    <row r="136" customFormat="false" ht="15" hidden="false" customHeight="false" outlineLevel="0" collapsed="false">
      <c r="A136" s="11" t="str">
        <f aca="false">TRIB!A132</f>
        <v>7_UNLABELED_99</v>
      </c>
      <c r="B136" s="11" t="str">
        <f aca="false">TRIB!D132</f>
        <v>A</v>
      </c>
      <c r="C136" s="4" t="str">
        <f aca="false">IF(COUNTIF(TRIB!$E132:$P132,"&gt;0")=0,"",INDEX(TRIB!$E$1:$P$1,SUMPRODUCT(MAX((TRIB!$E132:$P132&lt;&gt;"")*(COLUMN(TRIB!$E132:$P132)-COLUMN(TRIB!$E132)+1)))))</f>
        <v/>
      </c>
      <c r="D136" s="10" t="str">
        <f aca="false">IFERROR(INDEX(PU!$E132:$P132,MATCH(C136,TRIB!$E$1:$P$1,0)),"")</f>
        <v/>
      </c>
      <c r="E136" s="4" t="str">
        <f aca="false">IFERROR(INDEX(ARCH!$E132:$P132,MATCH(C136,TRIB!$E$1:$P$1,0)),"")</f>
        <v/>
      </c>
      <c r="F136" s="12" t="str">
        <f aca="false">IFERROR(INDEX(RHO_ARCH!$E132:$P132,MATCH(C136,TRIB!$E$1:$P$1,0)),"")</f>
        <v/>
      </c>
      <c r="G136" s="4" t="str">
        <f aca="false">IFERROR(INDEX(STATUS!$E132:$P132,MATCH(C136,TRIB!$E$1:$P$1,0)),"")</f>
        <v/>
      </c>
      <c r="H136" s="4" t="str">
        <f aca="false">IFERROR(INDEX(RECOMMEND!$E132:$P132,MATCH(C136,TRIB!$E$1:$P$1,0)),"")</f>
        <v/>
      </c>
      <c r="I136" s="10" t="n">
        <f aca="false">COUNTIF(TRIB!$E132:$P132,"&gt;0")</f>
        <v>0</v>
      </c>
      <c r="J136" s="2" t="s">
        <v>107</v>
      </c>
    </row>
    <row r="137" customFormat="false" ht="15" hidden="false" customHeight="false" outlineLevel="0" collapsed="false">
      <c r="A137" s="11" t="str">
        <f aca="false">TRIB!A133</f>
        <v>8_UNLABELED_106</v>
      </c>
      <c r="B137" s="11" t="str">
        <f aca="false">TRIB!D133</f>
        <v>A</v>
      </c>
      <c r="C137" s="4" t="str">
        <f aca="false">IF(COUNTIF(TRIB!$E133:$P133,"&gt;0")=0,"",INDEX(TRIB!$E$1:$P$1,SUMPRODUCT(MAX((TRIB!$E133:$P133&lt;&gt;"")*(COLUMN(TRIB!$E133:$P133)-COLUMN(TRIB!$E133)+1)))))</f>
        <v>8</v>
      </c>
      <c r="D137" s="10" t="n">
        <f aca="false">IFERROR(INDEX(PU!$E133:$P133,MATCH(C137,TRIB!$E$1:$P$1,0)),"")</f>
        <v>31.607</v>
      </c>
      <c r="E137" s="4" t="str">
        <f aca="false">IFERROR(INDEX(ARCH!$E133:$P133,MATCH(C137,TRIB!$E$1:$P$1,0)),"")</f>
        <v>14x36</v>
      </c>
      <c r="F137" s="12" t="n">
        <f aca="false">IFERROR(INDEX(RHO_ARCH!$E133:$P133,MATCH(C137,TRIB!$E$1:$P$1,0)),"")</f>
        <v>-0.0906994429876944</v>
      </c>
      <c r="G137" s="4" t="str">
        <f aca="false">IFERROR(INDEX(STATUS!$E133:$P133,MATCH(C137,TRIB!$E$1:$P$1,0)),"")</f>
        <v>OK</v>
      </c>
      <c r="H137" s="4" t="str">
        <f aca="false">IFERROR(INDEX(RECOMMEND!$E133:$P133,MATCH(C137,TRIB!$E$1:$P$1,0)),"")</f>
        <v>14x24</v>
      </c>
      <c r="I137" s="10" t="n">
        <f aca="false">COUNTIF(TRIB!$E133:$P133,"&gt;0")</f>
        <v>1</v>
      </c>
      <c r="J137" s="2" t="s">
        <v>107</v>
      </c>
    </row>
    <row r="138" customFormat="false" ht="15" hidden="false" customHeight="false" outlineLevel="0" collapsed="false">
      <c r="A138" s="11" t="str">
        <f aca="false">TRIB!A134</f>
        <v>8_UNLABELED_107</v>
      </c>
      <c r="B138" s="11" t="str">
        <f aca="false">TRIB!D134</f>
        <v>A</v>
      </c>
      <c r="C138" s="4" t="str">
        <f aca="false">IF(COUNTIF(TRIB!$E134:$P134,"&gt;0")=0,"",INDEX(TRIB!$E$1:$P$1,SUMPRODUCT(MAX((TRIB!$E134:$P134&lt;&gt;"")*(COLUMN(TRIB!$E134:$P134)-COLUMN(TRIB!$E134)+1)))))</f>
        <v>8</v>
      </c>
      <c r="D138" s="10" t="n">
        <f aca="false">IFERROR(INDEX(PU!$E134:$P134,MATCH(C138,TRIB!$E$1:$P$1,0)),"")</f>
        <v>31.787</v>
      </c>
      <c r="E138" s="4" t="str">
        <f aca="false">IFERROR(INDEX(ARCH!$E134:$P134,MATCH(C138,TRIB!$E$1:$P$1,0)),"")</f>
        <v>14x36</v>
      </c>
      <c r="F138" s="12" t="n">
        <f aca="false">IFERROR(INDEX(RHO_ARCH!$E134:$P134,MATCH(C138,TRIB!$E$1:$P$1,0)),"")</f>
        <v>-0.0906869327292825</v>
      </c>
      <c r="G138" s="4" t="str">
        <f aca="false">IFERROR(INDEX(STATUS!$E134:$P134,MATCH(C138,TRIB!$E$1:$P$1,0)),"")</f>
        <v>OK</v>
      </c>
      <c r="H138" s="4" t="str">
        <f aca="false">IFERROR(INDEX(RECOMMEND!$E134:$P134,MATCH(C138,TRIB!$E$1:$P$1,0)),"")</f>
        <v>14x24</v>
      </c>
      <c r="I138" s="10" t="n">
        <f aca="false">COUNTIF(TRIB!$E134:$P134,"&gt;0")</f>
        <v>1</v>
      </c>
      <c r="J138" s="2" t="s">
        <v>107</v>
      </c>
    </row>
    <row r="140" customFormat="false" ht="15" hidden="false" customHeight="false" outlineLevel="0" collapsed="false">
      <c r="A140" s="3" t="s">
        <v>108</v>
      </c>
    </row>
    <row r="141" customFormat="false" ht="15" hidden="false" customHeight="false" outlineLevel="0" collapsed="false">
      <c r="A141" s="4" t="s">
        <v>109</v>
      </c>
      <c r="B141" s="10" t="n">
        <f aca="false">COUNTIF($G$6:$G$138,"OK")</f>
        <v>122</v>
      </c>
    </row>
    <row r="142" customFormat="false" ht="15" hidden="false" customHeight="false" outlineLevel="0" collapsed="false">
      <c r="A142" s="4" t="s">
        <v>110</v>
      </c>
      <c r="B142" s="10" t="n">
        <f aca="false">COUNTIF($G$6:$G$138,"HEAVY")</f>
        <v>1</v>
      </c>
    </row>
    <row r="143" customFormat="false" ht="15" hidden="false" customHeight="false" outlineLevel="0" collapsed="false">
      <c r="A143" s="4" t="s">
        <v>111</v>
      </c>
      <c r="B143" s="10" t="n">
        <f aca="false">COUNTIF($G$6:$G$138,"NG")</f>
        <v>0</v>
      </c>
    </row>
    <row r="145" customFormat="false" ht="15" hidden="false" customHeight="false" outlineLevel="0" collapsed="false">
      <c r="A145" s="3" t="s">
        <v>112</v>
      </c>
    </row>
    <row r="146" customFormat="false" ht="15" hidden="false" customHeight="false" outlineLevel="0" collapsed="false">
      <c r="A146" s="7" t="s">
        <v>99</v>
      </c>
      <c r="B146" s="7" t="s">
        <v>43</v>
      </c>
      <c r="C146" s="7" t="s">
        <v>44</v>
      </c>
      <c r="D146" s="7" t="s">
        <v>51</v>
      </c>
      <c r="E146" s="7" t="s">
        <v>55</v>
      </c>
      <c r="F146" s="7" t="s">
        <v>58</v>
      </c>
      <c r="G146" s="7" t="s">
        <v>59</v>
      </c>
      <c r="H146" s="7" t="s">
        <v>60</v>
      </c>
      <c r="I146" s="7" t="s">
        <v>62</v>
      </c>
      <c r="J146" s="7" t="s">
        <v>63</v>
      </c>
      <c r="K146" s="7" t="s">
        <v>64</v>
      </c>
      <c r="L146" s="7" t="s">
        <v>66</v>
      </c>
      <c r="M146" s="7" t="s">
        <v>67</v>
      </c>
    </row>
    <row r="147" customFormat="false" ht="15" hidden="false" customHeight="false" outlineLevel="0" collapsed="false">
      <c r="A147" s="3" t="s">
        <v>76</v>
      </c>
      <c r="B147" s="13" t="n">
        <f aca="false">COUNTIF(RECOMMEND!E$2:E$134,$A147)</f>
        <v>64</v>
      </c>
      <c r="C147" s="13" t="n">
        <f aca="false">COUNTIF(RECOMMEND!F$2:F$134,$A147)</f>
        <v>113</v>
      </c>
      <c r="D147" s="13" t="n">
        <f aca="false">COUNTIF(RECOMMEND!G$2:G$134,$A147)</f>
        <v>108</v>
      </c>
      <c r="E147" s="13" t="n">
        <f aca="false">COUNTIF(RECOMMEND!H$2:H$134,$A147)</f>
        <v>106</v>
      </c>
      <c r="F147" s="13" t="n">
        <f aca="false">COUNTIF(RECOMMEND!I$2:I$134,$A147)</f>
        <v>106</v>
      </c>
      <c r="G147" s="13" t="n">
        <f aca="false">COUNTIF(RECOMMEND!J$2:J$134,$A147)</f>
        <v>103</v>
      </c>
      <c r="H147" s="13" t="n">
        <f aca="false">COUNTIF(RECOMMEND!K$2:K$134,$A147)</f>
        <v>60</v>
      </c>
      <c r="I147" s="13" t="n">
        <f aca="false">COUNTIF(RECOMMEND!L$2:L$134,$A147)</f>
        <v>60</v>
      </c>
      <c r="J147" s="13" t="n">
        <f aca="false">COUNTIF(RECOMMEND!M$2:M$134,$A147)</f>
        <v>60</v>
      </c>
      <c r="K147" s="13" t="n">
        <f aca="false">COUNTIF(RECOMMEND!N$2:N$134,$A147)</f>
        <v>60</v>
      </c>
      <c r="L147" s="13" t="n">
        <f aca="false">COUNTIF(RECOMMEND!O$2:O$134,$A147)</f>
        <v>57</v>
      </c>
      <c r="M147" s="13" t="n">
        <f aca="false">COUNTIF(RECOMMEND!P$2:P$134,$A147)</f>
        <v>55</v>
      </c>
    </row>
    <row r="148" customFormat="false" ht="15" hidden="false" customHeight="false" outlineLevel="0" collapsed="false">
      <c r="A148" s="3" t="s">
        <v>78</v>
      </c>
      <c r="B148" s="13" t="n">
        <f aca="false">COUNTIF(RECOMMEND!E$2:E$134,$A148)</f>
        <v>0</v>
      </c>
      <c r="C148" s="13" t="n">
        <f aca="false">COUNTIF(RECOMMEND!F$2:F$134,$A148)</f>
        <v>0</v>
      </c>
      <c r="D148" s="13" t="n">
        <f aca="false">COUNTIF(RECOMMEND!G$2:G$134,$A148)</f>
        <v>0</v>
      </c>
      <c r="E148" s="13" t="n">
        <f aca="false">COUNTIF(RECOMMEND!H$2:H$134,$A148)</f>
        <v>0</v>
      </c>
      <c r="F148" s="13" t="n">
        <f aca="false">COUNTIF(RECOMMEND!I$2:I$134,$A148)</f>
        <v>0</v>
      </c>
      <c r="G148" s="13" t="n">
        <f aca="false">COUNTIF(RECOMMEND!J$2:J$134,$A148)</f>
        <v>0</v>
      </c>
      <c r="H148" s="13" t="n">
        <f aca="false">COUNTIF(RECOMMEND!K$2:K$134,$A148)</f>
        <v>0</v>
      </c>
      <c r="I148" s="13" t="n">
        <f aca="false">COUNTIF(RECOMMEND!L$2:L$134,$A148)</f>
        <v>0</v>
      </c>
      <c r="J148" s="13" t="n">
        <f aca="false">COUNTIF(RECOMMEND!M$2:M$134,$A148)</f>
        <v>0</v>
      </c>
      <c r="K148" s="13" t="n">
        <f aca="false">COUNTIF(RECOMMEND!N$2:N$134,$A148)</f>
        <v>0</v>
      </c>
      <c r="L148" s="13" t="n">
        <f aca="false">COUNTIF(RECOMMEND!O$2:O$134,$A148)</f>
        <v>3</v>
      </c>
      <c r="M148" s="13" t="n">
        <f aca="false">COUNTIF(RECOMMEND!P$2:P$134,$A148)</f>
        <v>5</v>
      </c>
    </row>
    <row r="149" customFormat="false" ht="15" hidden="false" customHeight="false" outlineLevel="0" collapsed="false">
      <c r="A149" s="3" t="s">
        <v>80</v>
      </c>
      <c r="B149" s="13" t="n">
        <f aca="false">COUNTIF(RECOMMEND!E$2:E$134,$A149)</f>
        <v>0</v>
      </c>
      <c r="C149" s="13" t="n">
        <f aca="false">COUNTIF(RECOMMEND!F$2:F$134,$A149)</f>
        <v>0</v>
      </c>
      <c r="D149" s="13" t="n">
        <f aca="false">COUNTIF(RECOMMEND!G$2:G$134,$A149)</f>
        <v>0</v>
      </c>
      <c r="E149" s="13" t="n">
        <f aca="false">COUNTIF(RECOMMEND!H$2:H$134,$A149)</f>
        <v>0</v>
      </c>
      <c r="F149" s="13" t="n">
        <f aca="false">COUNTIF(RECOMMEND!I$2:I$134,$A149)</f>
        <v>0</v>
      </c>
      <c r="G149" s="13" t="n">
        <f aca="false">COUNTIF(RECOMMEND!J$2:J$134,$A149)</f>
        <v>0</v>
      </c>
      <c r="H149" s="13" t="n">
        <f aca="false">COUNTIF(RECOMMEND!K$2:K$134,$A149)</f>
        <v>0</v>
      </c>
      <c r="I149" s="13" t="n">
        <f aca="false">COUNTIF(RECOMMEND!L$2:L$134,$A149)</f>
        <v>0</v>
      </c>
      <c r="J149" s="13" t="n">
        <f aca="false">COUNTIF(RECOMMEND!M$2:M$134,$A149)</f>
        <v>0</v>
      </c>
      <c r="K149" s="13" t="n">
        <f aca="false">COUNTIF(RECOMMEND!N$2:N$134,$A149)</f>
        <v>0</v>
      </c>
      <c r="L149" s="13" t="n">
        <f aca="false">COUNTIF(RECOMMEND!O$2:O$134,$A149)</f>
        <v>0</v>
      </c>
      <c r="M149" s="13" t="n">
        <f aca="false">COUNTIF(RECOMMEND!P$2:P$134,$A149)</f>
        <v>0</v>
      </c>
    </row>
    <row r="150" customFormat="false" ht="15" hidden="false" customHeight="false" outlineLevel="0" collapsed="false">
      <c r="A150" s="3" t="s">
        <v>82</v>
      </c>
      <c r="B150" s="13" t="n">
        <f aca="false">COUNTIF(RECOMMEND!E$2:E$134,$A150)</f>
        <v>0</v>
      </c>
      <c r="C150" s="13" t="n">
        <f aca="false">COUNTIF(RECOMMEND!F$2:F$134,$A150)</f>
        <v>0</v>
      </c>
      <c r="D150" s="13" t="n">
        <f aca="false">COUNTIF(RECOMMEND!G$2:G$134,$A150)</f>
        <v>0</v>
      </c>
      <c r="E150" s="13" t="n">
        <f aca="false">COUNTIF(RECOMMEND!H$2:H$134,$A150)</f>
        <v>0</v>
      </c>
      <c r="F150" s="13" t="n">
        <f aca="false">COUNTIF(RECOMMEND!I$2:I$134,$A150)</f>
        <v>0</v>
      </c>
      <c r="G150" s="13" t="n">
        <f aca="false">COUNTIF(RECOMMEND!J$2:J$134,$A150)</f>
        <v>0</v>
      </c>
      <c r="H150" s="13" t="n">
        <f aca="false">COUNTIF(RECOMMEND!K$2:K$134,$A150)</f>
        <v>0</v>
      </c>
      <c r="I150" s="13" t="n">
        <f aca="false">COUNTIF(RECOMMEND!L$2:L$134,$A150)</f>
        <v>0</v>
      </c>
      <c r="J150" s="13" t="n">
        <f aca="false">COUNTIF(RECOMMEND!M$2:M$134,$A150)</f>
        <v>0</v>
      </c>
      <c r="K150" s="13" t="n">
        <f aca="false">COUNTIF(RECOMMEND!N$2:N$134,$A150)</f>
        <v>0</v>
      </c>
      <c r="L150" s="13" t="n">
        <f aca="false">COUNTIF(RECOMMEND!O$2:O$134,$A150)</f>
        <v>0</v>
      </c>
      <c r="M150" s="13" t="n">
        <f aca="false">COUNTIF(RECOMMEND!P$2:P$134,$A150)</f>
        <v>0</v>
      </c>
    </row>
    <row r="151" customFormat="false" ht="15" hidden="false" customHeight="false" outlineLevel="0" collapsed="false">
      <c r="A151" s="3" t="s">
        <v>84</v>
      </c>
      <c r="B151" s="13" t="n">
        <f aca="false">COUNTIF(RECOMMEND!E$2:E$134,$A151)</f>
        <v>0</v>
      </c>
      <c r="C151" s="13" t="n">
        <f aca="false">COUNTIF(RECOMMEND!F$2:F$134,$A151)</f>
        <v>0</v>
      </c>
      <c r="D151" s="13" t="n">
        <f aca="false">COUNTIF(RECOMMEND!G$2:G$134,$A151)</f>
        <v>0</v>
      </c>
      <c r="E151" s="13" t="n">
        <f aca="false">COUNTIF(RECOMMEND!H$2:H$134,$A151)</f>
        <v>0</v>
      </c>
      <c r="F151" s="13" t="n">
        <f aca="false">COUNTIF(RECOMMEND!I$2:I$134,$A151)</f>
        <v>0</v>
      </c>
      <c r="G151" s="13" t="n">
        <f aca="false">COUNTIF(RECOMMEND!J$2:J$134,$A151)</f>
        <v>0</v>
      </c>
      <c r="H151" s="13" t="n">
        <f aca="false">COUNTIF(RECOMMEND!K$2:K$134,$A151)</f>
        <v>0</v>
      </c>
      <c r="I151" s="13" t="n">
        <f aca="false">COUNTIF(RECOMMEND!L$2:L$134,$A151)</f>
        <v>0</v>
      </c>
      <c r="J151" s="13" t="n">
        <f aca="false">COUNTIF(RECOMMEND!M$2:M$134,$A151)</f>
        <v>0</v>
      </c>
      <c r="K151" s="13" t="n">
        <f aca="false">COUNTIF(RECOMMEND!N$2:N$134,$A151)</f>
        <v>0</v>
      </c>
      <c r="L151" s="13" t="n">
        <f aca="false">COUNTIF(RECOMMEND!O$2:O$134,$A151)</f>
        <v>0</v>
      </c>
      <c r="M151" s="13" t="n">
        <f aca="false">COUNTIF(RECOMMEND!P$2:P$134,$A151)</f>
        <v>0</v>
      </c>
    </row>
    <row r="152" customFormat="false" ht="15" hidden="false" customHeight="false" outlineLevel="0" collapsed="false">
      <c r="A152" s="3" t="s">
        <v>86</v>
      </c>
      <c r="B152" s="13" t="n">
        <f aca="false">COUNTIF(RECOMMEND!E$2:E$134,$A152)</f>
        <v>0</v>
      </c>
      <c r="C152" s="13" t="n">
        <f aca="false">COUNTIF(RECOMMEND!F$2:F$134,$A152)</f>
        <v>0</v>
      </c>
      <c r="D152" s="13" t="n">
        <f aca="false">COUNTIF(RECOMMEND!G$2:G$134,$A152)</f>
        <v>0</v>
      </c>
      <c r="E152" s="13" t="n">
        <f aca="false">COUNTIF(RECOMMEND!H$2:H$134,$A152)</f>
        <v>0</v>
      </c>
      <c r="F152" s="13" t="n">
        <f aca="false">COUNTIF(RECOMMEND!I$2:I$134,$A152)</f>
        <v>0</v>
      </c>
      <c r="G152" s="13" t="n">
        <f aca="false">COUNTIF(RECOMMEND!J$2:J$134,$A152)</f>
        <v>0</v>
      </c>
      <c r="H152" s="13" t="n">
        <f aca="false">COUNTIF(RECOMMEND!K$2:K$134,$A152)</f>
        <v>0</v>
      </c>
      <c r="I152" s="13" t="n">
        <f aca="false">COUNTIF(RECOMMEND!L$2:L$134,$A152)</f>
        <v>0</v>
      </c>
      <c r="J152" s="13" t="n">
        <f aca="false">COUNTIF(RECOMMEND!M$2:M$134,$A152)</f>
        <v>0</v>
      </c>
      <c r="K152" s="13" t="n">
        <f aca="false">COUNTIF(RECOMMEND!N$2:N$134,$A152)</f>
        <v>0</v>
      </c>
      <c r="L152" s="13" t="n">
        <f aca="false">COUNTIF(RECOMMEND!O$2:O$134,$A152)</f>
        <v>0</v>
      </c>
      <c r="M152" s="13" t="n">
        <f aca="false">COUNTIF(RECOMMEND!P$2:P$134,$A152)</f>
        <v>0</v>
      </c>
    </row>
    <row r="153" customFormat="false" ht="15" hidden="false" customHeight="false" outlineLevel="0" collapsed="false">
      <c r="A153" s="3" t="s">
        <v>88</v>
      </c>
      <c r="B153" s="13" t="n">
        <f aca="false">COUNTIF(RECOMMEND!E$2:E$134,$A153)</f>
        <v>0</v>
      </c>
      <c r="C153" s="13" t="n">
        <f aca="false">COUNTIF(RECOMMEND!F$2:F$134,$A153)</f>
        <v>0</v>
      </c>
      <c r="D153" s="13" t="n">
        <f aca="false">COUNTIF(RECOMMEND!G$2:G$134,$A153)</f>
        <v>0</v>
      </c>
      <c r="E153" s="13" t="n">
        <f aca="false">COUNTIF(RECOMMEND!H$2:H$134,$A153)</f>
        <v>0</v>
      </c>
      <c r="F153" s="13" t="n">
        <f aca="false">COUNTIF(RECOMMEND!I$2:I$134,$A153)</f>
        <v>0</v>
      </c>
      <c r="G153" s="13" t="n">
        <f aca="false">COUNTIF(RECOMMEND!J$2:J$134,$A153)</f>
        <v>0</v>
      </c>
      <c r="H153" s="13" t="n">
        <f aca="false">COUNTIF(RECOMMEND!K$2:K$134,$A153)</f>
        <v>0</v>
      </c>
      <c r="I153" s="13" t="n">
        <f aca="false">COUNTIF(RECOMMEND!L$2:L$134,$A153)</f>
        <v>0</v>
      </c>
      <c r="J153" s="13" t="n">
        <f aca="false">COUNTIF(RECOMMEND!M$2:M$134,$A153)</f>
        <v>0</v>
      </c>
      <c r="K153" s="13" t="n">
        <f aca="false">COUNTIF(RECOMMEND!N$2:N$134,$A153)</f>
        <v>0</v>
      </c>
      <c r="L153" s="13" t="n">
        <f aca="false">COUNTIF(RECOMMEND!O$2:O$134,$A153)</f>
        <v>0</v>
      </c>
      <c r="M153" s="13" t="n">
        <f aca="false">COUNTIF(RECOMMEND!P$2:P$134,$A153)</f>
        <v>0</v>
      </c>
    </row>
    <row r="154" customFormat="false" ht="15" hidden="false" customHeight="false" outlineLevel="0" collapsed="false">
      <c r="A154" s="3" t="s">
        <v>90</v>
      </c>
      <c r="B154" s="13" t="n">
        <f aca="false">COUNTIF(RECOMMEND!E$2:E$134,$A154)</f>
        <v>0</v>
      </c>
      <c r="C154" s="13" t="n">
        <f aca="false">COUNTIF(RECOMMEND!F$2:F$134,$A154)</f>
        <v>0</v>
      </c>
      <c r="D154" s="13" t="n">
        <f aca="false">COUNTIF(RECOMMEND!G$2:G$134,$A154)</f>
        <v>0</v>
      </c>
      <c r="E154" s="13" t="n">
        <f aca="false">COUNTIF(RECOMMEND!H$2:H$134,$A154)</f>
        <v>0</v>
      </c>
      <c r="F154" s="13" t="n">
        <f aca="false">COUNTIF(RECOMMEND!I$2:I$134,$A154)</f>
        <v>0</v>
      </c>
      <c r="G154" s="13" t="n">
        <f aca="false">COUNTIF(RECOMMEND!J$2:J$134,$A154)</f>
        <v>0</v>
      </c>
      <c r="H154" s="13" t="n">
        <f aca="false">COUNTIF(RECOMMEND!K$2:K$134,$A154)</f>
        <v>0</v>
      </c>
      <c r="I154" s="13" t="n">
        <f aca="false">COUNTIF(RECOMMEND!L$2:L$134,$A154)</f>
        <v>0</v>
      </c>
      <c r="J154" s="13" t="n">
        <f aca="false">COUNTIF(RECOMMEND!M$2:M$134,$A154)</f>
        <v>0</v>
      </c>
      <c r="K154" s="13" t="n">
        <f aca="false">COUNTIF(RECOMMEND!N$2:N$134,$A154)</f>
        <v>0</v>
      </c>
      <c r="L154" s="13" t="n">
        <f aca="false">COUNTIF(RECOMMEND!O$2:O$134,$A154)</f>
        <v>0</v>
      </c>
      <c r="M154" s="13" t="n">
        <f aca="false">COUNTIF(RECOMMEND!P$2:P$134,$A154)</f>
        <v>0</v>
      </c>
    </row>
    <row r="155" customFormat="false" ht="15" hidden="false" customHeight="false" outlineLevel="0" collapsed="false">
      <c r="A155" s="3" t="s">
        <v>92</v>
      </c>
      <c r="B155" s="13" t="n">
        <f aca="false">COUNTIF(RECOMMEND!E$2:E$134,$A155)</f>
        <v>0</v>
      </c>
      <c r="C155" s="13" t="n">
        <f aca="false">COUNTIF(RECOMMEND!F$2:F$134,$A155)</f>
        <v>0</v>
      </c>
      <c r="D155" s="13" t="n">
        <f aca="false">COUNTIF(RECOMMEND!G$2:G$134,$A155)</f>
        <v>0</v>
      </c>
      <c r="E155" s="13" t="n">
        <f aca="false">COUNTIF(RECOMMEND!H$2:H$134,$A155)</f>
        <v>0</v>
      </c>
      <c r="F155" s="13" t="n">
        <f aca="false">COUNTIF(RECOMMEND!I$2:I$134,$A155)</f>
        <v>0</v>
      </c>
      <c r="G155" s="13" t="n">
        <f aca="false">COUNTIF(RECOMMEND!J$2:J$134,$A155)</f>
        <v>0</v>
      </c>
      <c r="H155" s="13" t="n">
        <f aca="false">COUNTIF(RECOMMEND!K$2:K$134,$A155)</f>
        <v>0</v>
      </c>
      <c r="I155" s="13" t="n">
        <f aca="false">COUNTIF(RECOMMEND!L$2:L$134,$A155)</f>
        <v>0</v>
      </c>
      <c r="J155" s="13" t="n">
        <f aca="false">COUNTIF(RECOMMEND!M$2:M$134,$A155)</f>
        <v>0</v>
      </c>
      <c r="K155" s="13" t="n">
        <f aca="false">COUNTIF(RECOMMEND!N$2:N$134,$A155)</f>
        <v>0</v>
      </c>
      <c r="L155" s="13" t="n">
        <f aca="false">COUNTIF(RECOMMEND!O$2:O$134,$A155)</f>
        <v>0</v>
      </c>
      <c r="M155" s="13" t="n">
        <f aca="false">COUNTIF(RECOMMEND!P$2:P$134,$A155)</f>
        <v>0</v>
      </c>
    </row>
    <row r="156" customFormat="false" ht="15" hidden="false" customHeight="false" outlineLevel="0" collapsed="false">
      <c r="A156" s="3" t="s">
        <v>77</v>
      </c>
      <c r="B156" s="13" t="n">
        <f aca="false">COUNTIF(RECOMMEND!E$2:E$134,$A156)</f>
        <v>0</v>
      </c>
      <c r="C156" s="13" t="n">
        <f aca="false">COUNTIF(RECOMMEND!F$2:F$134,$A156)</f>
        <v>2</v>
      </c>
      <c r="D156" s="13" t="n">
        <f aca="false">COUNTIF(RECOMMEND!G$2:G$134,$A156)</f>
        <v>2</v>
      </c>
      <c r="E156" s="13" t="n">
        <f aca="false">COUNTIF(RECOMMEND!H$2:H$134,$A156)</f>
        <v>2</v>
      </c>
      <c r="F156" s="13" t="n">
        <f aca="false">COUNTIF(RECOMMEND!I$2:I$134,$A156)</f>
        <v>2</v>
      </c>
      <c r="G156" s="13" t="n">
        <f aca="false">COUNTIF(RECOMMEND!J$2:J$134,$A156)</f>
        <v>2</v>
      </c>
      <c r="H156" s="13" t="n">
        <f aca="false">COUNTIF(RECOMMEND!K$2:K$134,$A156)</f>
        <v>2</v>
      </c>
      <c r="I156" s="13" t="n">
        <f aca="false">COUNTIF(RECOMMEND!L$2:L$134,$A156)</f>
        <v>2</v>
      </c>
      <c r="J156" s="13" t="n">
        <f aca="false">COUNTIF(RECOMMEND!M$2:M$134,$A156)</f>
        <v>2</v>
      </c>
      <c r="K156" s="13" t="n">
        <f aca="false">COUNTIF(RECOMMEND!N$2:N$134,$A156)</f>
        <v>2</v>
      </c>
      <c r="L156" s="13" t="n">
        <f aca="false">COUNTIF(RECOMMEND!O$2:O$134,$A156)</f>
        <v>2</v>
      </c>
      <c r="M156" s="13" t="n">
        <f aca="false">COUNTIF(RECOMMEND!P$2:P$134,$A156)</f>
        <v>2</v>
      </c>
    </row>
    <row r="157" customFormat="false" ht="15" hidden="false" customHeight="false" outlineLevel="0" collapsed="false">
      <c r="A157" s="3" t="s">
        <v>79</v>
      </c>
      <c r="B157" s="13" t="n">
        <f aca="false">COUNTIF(RECOMMEND!E$2:E$134,$A157)</f>
        <v>0</v>
      </c>
      <c r="C157" s="13" t="n">
        <f aca="false">COUNTIF(RECOMMEND!F$2:F$134,$A157)</f>
        <v>0</v>
      </c>
      <c r="D157" s="13" t="n">
        <f aca="false">COUNTIF(RECOMMEND!G$2:G$134,$A157)</f>
        <v>0</v>
      </c>
      <c r="E157" s="13" t="n">
        <f aca="false">COUNTIF(RECOMMEND!H$2:H$134,$A157)</f>
        <v>0</v>
      </c>
      <c r="F157" s="13" t="n">
        <f aca="false">COUNTIF(RECOMMEND!I$2:I$134,$A157)</f>
        <v>0</v>
      </c>
      <c r="G157" s="13" t="n">
        <f aca="false">COUNTIF(RECOMMEND!J$2:J$134,$A157)</f>
        <v>0</v>
      </c>
      <c r="H157" s="13" t="n">
        <f aca="false">COUNTIF(RECOMMEND!K$2:K$134,$A157)</f>
        <v>0</v>
      </c>
      <c r="I157" s="13" t="n">
        <f aca="false">COUNTIF(RECOMMEND!L$2:L$134,$A157)</f>
        <v>0</v>
      </c>
      <c r="J157" s="13" t="n">
        <f aca="false">COUNTIF(RECOMMEND!M$2:M$134,$A157)</f>
        <v>0</v>
      </c>
      <c r="K157" s="13" t="n">
        <f aca="false">COUNTIF(RECOMMEND!N$2:N$134,$A157)</f>
        <v>0</v>
      </c>
      <c r="L157" s="13" t="n">
        <f aca="false">COUNTIF(RECOMMEND!O$2:O$134,$A157)</f>
        <v>0</v>
      </c>
      <c r="M157" s="13" t="n">
        <f aca="false">COUNTIF(RECOMMEND!P$2:P$134,$A157)</f>
        <v>0</v>
      </c>
    </row>
    <row r="158" customFormat="false" ht="15" hidden="false" customHeight="false" outlineLevel="0" collapsed="false">
      <c r="A158" s="3" t="s">
        <v>81</v>
      </c>
      <c r="B158" s="13" t="n">
        <f aca="false">COUNTIF(RECOMMEND!E$2:E$134,$A158)</f>
        <v>0</v>
      </c>
      <c r="C158" s="13" t="n">
        <f aca="false">COUNTIF(RECOMMEND!F$2:F$134,$A158)</f>
        <v>0</v>
      </c>
      <c r="D158" s="13" t="n">
        <f aca="false">COUNTIF(RECOMMEND!G$2:G$134,$A158)</f>
        <v>0</v>
      </c>
      <c r="E158" s="13" t="n">
        <f aca="false">COUNTIF(RECOMMEND!H$2:H$134,$A158)</f>
        <v>0</v>
      </c>
      <c r="F158" s="13" t="n">
        <f aca="false">COUNTIF(RECOMMEND!I$2:I$134,$A158)</f>
        <v>0</v>
      </c>
      <c r="G158" s="13" t="n">
        <f aca="false">COUNTIF(RECOMMEND!J$2:J$134,$A158)</f>
        <v>0</v>
      </c>
      <c r="H158" s="13" t="n">
        <f aca="false">COUNTIF(RECOMMEND!K$2:K$134,$A158)</f>
        <v>0</v>
      </c>
      <c r="I158" s="13" t="n">
        <f aca="false">COUNTIF(RECOMMEND!L$2:L$134,$A158)</f>
        <v>0</v>
      </c>
      <c r="J158" s="13" t="n">
        <f aca="false">COUNTIF(RECOMMEND!M$2:M$134,$A158)</f>
        <v>0</v>
      </c>
      <c r="K158" s="13" t="n">
        <f aca="false">COUNTIF(RECOMMEND!N$2:N$134,$A158)</f>
        <v>0</v>
      </c>
      <c r="L158" s="13" t="n">
        <f aca="false">COUNTIF(RECOMMEND!O$2:O$134,$A158)</f>
        <v>0</v>
      </c>
      <c r="M158" s="13" t="n">
        <f aca="false">COUNTIF(RECOMMEND!P$2:P$134,$A158)</f>
        <v>0</v>
      </c>
    </row>
    <row r="159" customFormat="false" ht="15" hidden="false" customHeight="false" outlineLevel="0" collapsed="false">
      <c r="A159" s="3" t="s">
        <v>83</v>
      </c>
      <c r="B159" s="13" t="n">
        <f aca="false">COUNTIF(RECOMMEND!E$2:E$134,$A159)</f>
        <v>0</v>
      </c>
      <c r="C159" s="13" t="n">
        <f aca="false">COUNTIF(RECOMMEND!F$2:F$134,$A159)</f>
        <v>0</v>
      </c>
      <c r="D159" s="13" t="n">
        <f aca="false">COUNTIF(RECOMMEND!G$2:G$134,$A159)</f>
        <v>0</v>
      </c>
      <c r="E159" s="13" t="n">
        <f aca="false">COUNTIF(RECOMMEND!H$2:H$134,$A159)</f>
        <v>0</v>
      </c>
      <c r="F159" s="13" t="n">
        <f aca="false">COUNTIF(RECOMMEND!I$2:I$134,$A159)</f>
        <v>0</v>
      </c>
      <c r="G159" s="13" t="n">
        <f aca="false">COUNTIF(RECOMMEND!J$2:J$134,$A159)</f>
        <v>0</v>
      </c>
      <c r="H159" s="13" t="n">
        <f aca="false">COUNTIF(RECOMMEND!K$2:K$134,$A159)</f>
        <v>0</v>
      </c>
      <c r="I159" s="13" t="n">
        <f aca="false">COUNTIF(RECOMMEND!L$2:L$134,$A159)</f>
        <v>0</v>
      </c>
      <c r="J159" s="13" t="n">
        <f aca="false">COUNTIF(RECOMMEND!M$2:M$134,$A159)</f>
        <v>0</v>
      </c>
      <c r="K159" s="13" t="n">
        <f aca="false">COUNTIF(RECOMMEND!N$2:N$134,$A159)</f>
        <v>0</v>
      </c>
      <c r="L159" s="13" t="n">
        <f aca="false">COUNTIF(RECOMMEND!O$2:O$134,$A159)</f>
        <v>0</v>
      </c>
      <c r="M159" s="13" t="n">
        <f aca="false">COUNTIF(RECOMMEND!P$2:P$134,$A159)</f>
        <v>0</v>
      </c>
    </row>
    <row r="160" customFormat="false" ht="15" hidden="false" customHeight="false" outlineLevel="0" collapsed="false">
      <c r="A160" s="3" t="s">
        <v>85</v>
      </c>
      <c r="B160" s="13" t="n">
        <f aca="false">COUNTIF(RECOMMEND!E$2:E$134,$A160)</f>
        <v>0</v>
      </c>
      <c r="C160" s="13" t="n">
        <f aca="false">COUNTIF(RECOMMEND!F$2:F$134,$A160)</f>
        <v>0</v>
      </c>
      <c r="D160" s="13" t="n">
        <f aca="false">COUNTIF(RECOMMEND!G$2:G$134,$A160)</f>
        <v>0</v>
      </c>
      <c r="E160" s="13" t="n">
        <f aca="false">COUNTIF(RECOMMEND!H$2:H$134,$A160)</f>
        <v>0</v>
      </c>
      <c r="F160" s="13" t="n">
        <f aca="false">COUNTIF(RECOMMEND!I$2:I$134,$A160)</f>
        <v>0</v>
      </c>
      <c r="G160" s="13" t="n">
        <f aca="false">COUNTIF(RECOMMEND!J$2:J$134,$A160)</f>
        <v>0</v>
      </c>
      <c r="H160" s="13" t="n">
        <f aca="false">COUNTIF(RECOMMEND!K$2:K$134,$A160)</f>
        <v>0</v>
      </c>
      <c r="I160" s="13" t="n">
        <f aca="false">COUNTIF(RECOMMEND!L$2:L$134,$A160)</f>
        <v>0</v>
      </c>
      <c r="J160" s="13" t="n">
        <f aca="false">COUNTIF(RECOMMEND!M$2:M$134,$A160)</f>
        <v>0</v>
      </c>
      <c r="K160" s="13" t="n">
        <f aca="false">COUNTIF(RECOMMEND!N$2:N$134,$A160)</f>
        <v>0</v>
      </c>
      <c r="L160" s="13" t="n">
        <f aca="false">COUNTIF(RECOMMEND!O$2:O$134,$A160)</f>
        <v>0</v>
      </c>
      <c r="M160" s="13" t="n">
        <f aca="false">COUNTIF(RECOMMEND!P$2:P$134,$A160)</f>
        <v>0</v>
      </c>
    </row>
    <row r="161" customFormat="false" ht="15" hidden="false" customHeight="false" outlineLevel="0" collapsed="false">
      <c r="A161" s="3" t="s">
        <v>87</v>
      </c>
      <c r="B161" s="13" t="n">
        <f aca="false">COUNTIF(RECOMMEND!E$2:E$134,$A161)</f>
        <v>0</v>
      </c>
      <c r="C161" s="13" t="n">
        <f aca="false">COUNTIF(RECOMMEND!F$2:F$134,$A161)</f>
        <v>0</v>
      </c>
      <c r="D161" s="13" t="n">
        <f aca="false">COUNTIF(RECOMMEND!G$2:G$134,$A161)</f>
        <v>0</v>
      </c>
      <c r="E161" s="13" t="n">
        <f aca="false">COUNTIF(RECOMMEND!H$2:H$134,$A161)</f>
        <v>0</v>
      </c>
      <c r="F161" s="13" t="n">
        <f aca="false">COUNTIF(RECOMMEND!I$2:I$134,$A161)</f>
        <v>0</v>
      </c>
      <c r="G161" s="13" t="n">
        <f aca="false">COUNTIF(RECOMMEND!J$2:J$134,$A161)</f>
        <v>0</v>
      </c>
      <c r="H161" s="13" t="n">
        <f aca="false">COUNTIF(RECOMMEND!K$2:K$134,$A161)</f>
        <v>0</v>
      </c>
      <c r="I161" s="13" t="n">
        <f aca="false">COUNTIF(RECOMMEND!L$2:L$134,$A161)</f>
        <v>0</v>
      </c>
      <c r="J161" s="13" t="n">
        <f aca="false">COUNTIF(RECOMMEND!M$2:M$134,$A161)</f>
        <v>0</v>
      </c>
      <c r="K161" s="13" t="n">
        <f aca="false">COUNTIF(RECOMMEND!N$2:N$134,$A161)</f>
        <v>0</v>
      </c>
      <c r="L161" s="13" t="n">
        <f aca="false">COUNTIF(RECOMMEND!O$2:O$134,$A161)</f>
        <v>0</v>
      </c>
      <c r="M161" s="13" t="n">
        <f aca="false">COUNTIF(RECOMMEND!P$2:P$134,$A161)</f>
        <v>0</v>
      </c>
    </row>
    <row r="162" customFormat="false" ht="15" hidden="false" customHeight="false" outlineLevel="0" collapsed="false">
      <c r="A162" s="3" t="s">
        <v>89</v>
      </c>
      <c r="B162" s="13" t="n">
        <f aca="false">COUNTIF(RECOMMEND!E$2:E$134,$A162)</f>
        <v>0</v>
      </c>
      <c r="C162" s="13" t="n">
        <f aca="false">COUNTIF(RECOMMEND!F$2:F$134,$A162)</f>
        <v>0</v>
      </c>
      <c r="D162" s="13" t="n">
        <f aca="false">COUNTIF(RECOMMEND!G$2:G$134,$A162)</f>
        <v>0</v>
      </c>
      <c r="E162" s="13" t="n">
        <f aca="false">COUNTIF(RECOMMEND!H$2:H$134,$A162)</f>
        <v>0</v>
      </c>
      <c r="F162" s="13" t="n">
        <f aca="false">COUNTIF(RECOMMEND!I$2:I$134,$A162)</f>
        <v>0</v>
      </c>
      <c r="G162" s="13" t="n">
        <f aca="false">COUNTIF(RECOMMEND!J$2:J$134,$A162)</f>
        <v>0</v>
      </c>
      <c r="H162" s="13" t="n">
        <f aca="false">COUNTIF(RECOMMEND!K$2:K$134,$A162)</f>
        <v>0</v>
      </c>
      <c r="I162" s="13" t="n">
        <f aca="false">COUNTIF(RECOMMEND!L$2:L$134,$A162)</f>
        <v>0</v>
      </c>
      <c r="J162" s="13" t="n">
        <f aca="false">COUNTIF(RECOMMEND!M$2:M$134,$A162)</f>
        <v>0</v>
      </c>
      <c r="K162" s="13" t="n">
        <f aca="false">COUNTIF(RECOMMEND!N$2:N$134,$A162)</f>
        <v>0</v>
      </c>
      <c r="L162" s="13" t="n">
        <f aca="false">COUNTIF(RECOMMEND!O$2:O$134,$A162)</f>
        <v>0</v>
      </c>
      <c r="M162" s="13" t="n">
        <f aca="false">COUNTIF(RECOMMEND!P$2:P$134,$A162)</f>
        <v>0</v>
      </c>
    </row>
    <row r="163" customFormat="false" ht="15" hidden="false" customHeight="false" outlineLevel="0" collapsed="false">
      <c r="A163" s="3" t="s">
        <v>91</v>
      </c>
      <c r="B163" s="13" t="n">
        <f aca="false">COUNTIF(RECOMMEND!E$2:E$134,$A163)</f>
        <v>0</v>
      </c>
      <c r="C163" s="13" t="n">
        <f aca="false">COUNTIF(RECOMMEND!F$2:F$134,$A163)</f>
        <v>0</v>
      </c>
      <c r="D163" s="13" t="n">
        <f aca="false">COUNTIF(RECOMMEND!G$2:G$134,$A163)</f>
        <v>0</v>
      </c>
      <c r="E163" s="13" t="n">
        <f aca="false">COUNTIF(RECOMMEND!H$2:H$134,$A163)</f>
        <v>0</v>
      </c>
      <c r="F163" s="13" t="n">
        <f aca="false">COUNTIF(RECOMMEND!I$2:I$134,$A163)</f>
        <v>0</v>
      </c>
      <c r="G163" s="13" t="n">
        <f aca="false">COUNTIF(RECOMMEND!J$2:J$134,$A163)</f>
        <v>0</v>
      </c>
      <c r="H163" s="13" t="n">
        <f aca="false">COUNTIF(RECOMMEND!K$2:K$134,$A163)</f>
        <v>0</v>
      </c>
      <c r="I163" s="13" t="n">
        <f aca="false">COUNTIF(RECOMMEND!L$2:L$134,$A163)</f>
        <v>0</v>
      </c>
      <c r="J163" s="13" t="n">
        <f aca="false">COUNTIF(RECOMMEND!M$2:M$134,$A163)</f>
        <v>0</v>
      </c>
      <c r="K163" s="13" t="n">
        <f aca="false">COUNTIF(RECOMMEND!N$2:N$134,$A163)</f>
        <v>0</v>
      </c>
      <c r="L163" s="13" t="n">
        <f aca="false">COUNTIF(RECOMMEND!O$2:O$134,$A163)</f>
        <v>0</v>
      </c>
      <c r="M163" s="13" t="n">
        <f aca="false">COUNTIF(RECOMMEND!P$2:P$134,$A163)</f>
        <v>0</v>
      </c>
    </row>
    <row r="164" customFormat="false" ht="15" hidden="false" customHeight="false" outlineLevel="0" collapsed="false">
      <c r="A164" s="3" t="s">
        <v>93</v>
      </c>
      <c r="B164" s="13" t="n">
        <f aca="false">COUNTIF(RECOMMEND!E$2:E$134,$A164)</f>
        <v>0</v>
      </c>
      <c r="C164" s="13" t="n">
        <f aca="false">COUNTIF(RECOMMEND!F$2:F$134,$A164)</f>
        <v>0</v>
      </c>
      <c r="D164" s="13" t="n">
        <f aca="false">COUNTIF(RECOMMEND!G$2:G$134,$A164)</f>
        <v>0</v>
      </c>
      <c r="E164" s="13" t="n">
        <f aca="false">COUNTIF(RECOMMEND!H$2:H$134,$A164)</f>
        <v>0</v>
      </c>
      <c r="F164" s="13" t="n">
        <f aca="false">COUNTIF(RECOMMEND!I$2:I$134,$A164)</f>
        <v>0</v>
      </c>
      <c r="G164" s="13" t="n">
        <f aca="false">COUNTIF(RECOMMEND!J$2:J$134,$A164)</f>
        <v>0</v>
      </c>
      <c r="H164" s="13" t="n">
        <f aca="false">COUNTIF(RECOMMEND!K$2:K$134,$A164)</f>
        <v>0</v>
      </c>
      <c r="I164" s="13" t="n">
        <f aca="false">COUNTIF(RECOMMEND!L$2:L$134,$A164)</f>
        <v>0</v>
      </c>
      <c r="J164" s="13" t="n">
        <f aca="false">COUNTIF(RECOMMEND!M$2:M$134,$A164)</f>
        <v>0</v>
      </c>
      <c r="K164" s="13" t="n">
        <f aca="false">COUNTIF(RECOMMEND!N$2:N$134,$A164)</f>
        <v>0</v>
      </c>
      <c r="L164" s="13" t="n">
        <f aca="false">COUNTIF(RECOMMEND!O$2:O$134,$A164)</f>
        <v>0</v>
      </c>
      <c r="M164" s="13" t="n">
        <f aca="false">COUNTIF(RECOMMEND!P$2:P$134,$A164)</f>
        <v>0</v>
      </c>
    </row>
    <row r="165" customFormat="false" ht="15" hidden="false" customHeight="false" outlineLevel="0" collapsed="false">
      <c r="A165" s="3" t="s">
        <v>113</v>
      </c>
      <c r="B165" s="13" t="n">
        <f aca="false">COUNTIF(RECOMMEND!E$2:E$134,"LARGER")</f>
        <v>0</v>
      </c>
      <c r="C165" s="13" t="n">
        <f aca="false">COUNTIF(RECOMMEND!F$2:F$134,"LARGER")</f>
        <v>0</v>
      </c>
      <c r="D165" s="13" t="n">
        <f aca="false">COUNTIF(RECOMMEND!G$2:G$134,"LARGER")</f>
        <v>0</v>
      </c>
      <c r="E165" s="13" t="n">
        <f aca="false">COUNTIF(RECOMMEND!H$2:H$134,"LARGER")</f>
        <v>0</v>
      </c>
      <c r="F165" s="13" t="n">
        <f aca="false">COUNTIF(RECOMMEND!I$2:I$134,"LARGER")</f>
        <v>0</v>
      </c>
      <c r="G165" s="13" t="n">
        <f aca="false">COUNTIF(RECOMMEND!J$2:J$134,"LARGER")</f>
        <v>0</v>
      </c>
      <c r="H165" s="13" t="n">
        <f aca="false">COUNTIF(RECOMMEND!K$2:K$134,"LARGER")</f>
        <v>0</v>
      </c>
      <c r="I165" s="13" t="n">
        <f aca="false">COUNTIF(RECOMMEND!L$2:L$134,"LARGER")</f>
        <v>0</v>
      </c>
      <c r="J165" s="13" t="n">
        <f aca="false">COUNTIF(RECOMMEND!M$2:M$134,"LARGER")</f>
        <v>0</v>
      </c>
      <c r="K165" s="13" t="n">
        <f aca="false">COUNTIF(RECOMMEND!N$2:N$134,"LARGER")</f>
        <v>0</v>
      </c>
      <c r="L165" s="13" t="n">
        <f aca="false">COUNTIF(RECOMMEND!O$2:O$134,"LARGER")</f>
        <v>0</v>
      </c>
      <c r="M165" s="13" t="n">
        <f aca="false">COUNTIF(RECOMMEND!P$2:P$134,"LARGER")</f>
        <v>0</v>
      </c>
    </row>
    <row r="167" customFormat="false" ht="15" hidden="false" customHeight="false" outlineLevel="0" collapsed="false">
      <c r="A167" s="3" t="s">
        <v>114</v>
      </c>
      <c r="B167" s="7" t="s">
        <v>43</v>
      </c>
      <c r="C167" s="7" t="s">
        <v>44</v>
      </c>
      <c r="D167" s="7" t="s">
        <v>51</v>
      </c>
      <c r="E167" s="7" t="s">
        <v>55</v>
      </c>
      <c r="F167" s="7" t="s">
        <v>58</v>
      </c>
      <c r="G167" s="7" t="s">
        <v>59</v>
      </c>
      <c r="H167" s="7" t="s">
        <v>60</v>
      </c>
      <c r="I167" s="7" t="s">
        <v>62</v>
      </c>
      <c r="J167" s="7" t="s">
        <v>63</v>
      </c>
      <c r="K167" s="7" t="s">
        <v>64</v>
      </c>
      <c r="L167" s="7" t="s">
        <v>66</v>
      </c>
      <c r="M167" s="7" t="s">
        <v>67</v>
      </c>
    </row>
    <row r="168" customFormat="false" ht="15" hidden="false" customHeight="false" outlineLevel="0" collapsed="false">
      <c r="B168" s="10" t="n">
        <f aca="false">MAX(PU!E$2:E$134)</f>
        <v>186.795</v>
      </c>
      <c r="C168" s="10" t="n">
        <f aca="false">MAX(PU!F$2:F$134)</f>
        <v>460.46</v>
      </c>
      <c r="D168" s="10" t="n">
        <f aca="false">MAX(PU!G$2:G$134)</f>
        <v>650.221</v>
      </c>
      <c r="E168" s="10" t="n">
        <f aca="false">MAX(PU!H$2:H$134)</f>
        <v>808.416</v>
      </c>
      <c r="F168" s="10" t="n">
        <f aca="false">MAX(PU!I$2:I$134)</f>
        <v>948.9726</v>
      </c>
      <c r="G168" s="10" t="n">
        <f aca="false">MAX(PU!J$2:J$134)</f>
        <v>1047.5324</v>
      </c>
      <c r="H168" s="10" t="n">
        <f aca="false">MAX(PU!K$2:K$134)</f>
        <v>1047.5324</v>
      </c>
      <c r="I168" s="10" t="n">
        <f aca="false">MAX(PU!L$2:L$134)</f>
        <v>1047.5324</v>
      </c>
      <c r="J168" s="10" t="n">
        <f aca="false">MAX(PU!M$2:M$134)</f>
        <v>1047.5324</v>
      </c>
      <c r="K168" s="10" t="n">
        <f aca="false">MAX(PU!N$2:N$134)</f>
        <v>1081.205</v>
      </c>
      <c r="L168" s="10" t="n">
        <f aca="false">MAX(PU!O$2:O$134)</f>
        <v>1191.276</v>
      </c>
      <c r="M168" s="10" t="n">
        <f aca="false">MAX(PU!P$2:P$134)</f>
        <v>1302.292</v>
      </c>
    </row>
    <row r="170" customFormat="false" ht="15" hidden="false" customHeight="false" outlineLevel="0" collapsed="false">
      <c r="A170" s="3" t="s">
        <v>115</v>
      </c>
    </row>
    <row r="171" customFormat="false" ht="15" hidden="false" customHeight="false" outlineLevel="0" collapsed="false">
      <c r="A171" s="2" t="s">
        <v>116</v>
      </c>
    </row>
    <row r="172" customFormat="false" ht="15" hidden="false" customHeight="false" outlineLevel="0" collapsed="false">
      <c r="A172" s="2" t="s">
        <v>117</v>
      </c>
    </row>
    <row r="173" customFormat="false" ht="15" hidden="false" customHeight="false" outlineLevel="0" collapsed="false">
      <c r="A173" s="2" t="s">
        <v>118</v>
      </c>
    </row>
    <row r="174" customFormat="false" ht="15" hidden="false" customHeight="false" outlineLevel="0" collapsed="false">
      <c r="A174" s="2" t="s">
        <v>119</v>
      </c>
    </row>
    <row r="175" customFormat="false" ht="15" hidden="false" customHeight="false" outlineLevel="0" collapsed="false">
      <c r="A175" s="2" t="s">
        <v>120</v>
      </c>
    </row>
    <row r="176" customFormat="false" ht="15" hidden="false" customHeight="false" outlineLevel="0" collapsed="false">
      <c r="A176" s="2" t="s">
        <v>121</v>
      </c>
    </row>
  </sheetData>
  <conditionalFormatting sqref="G6:G138">
    <cfRule type="cellIs" priority="2" operator="equal" aboveAverage="0" equalAverage="0" bottom="0" percent="0" rank="0" text="" dxfId="0">
      <formula>"NG"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124</v>
      </c>
    </row>
    <row r="2" customFormat="false" ht="15" hidden="false" customHeight="false" outlineLevel="0" collapsed="false">
      <c r="A2" s="3" t="s">
        <v>125</v>
      </c>
      <c r="B2" s="10" t="n">
        <v>283.700520638876</v>
      </c>
      <c r="C2" s="10" t="n">
        <v>569.166970355175</v>
      </c>
      <c r="D2" s="4" t="str">
        <f aca="false">IF(B2="","A",IF(B2&gt;=INPUTS!$B$17,"B","A"))</f>
        <v>A</v>
      </c>
      <c r="E2" s="10" t="str">
        <f aca="false">IF(AND(INPUTS!$E$24=1,$D2="B",TRIB!F2&lt;&gt;""),TRIB!F2,"")</f>
        <v/>
      </c>
      <c r="F2" s="10" t="n">
        <v>328</v>
      </c>
      <c r="G2" s="10" t="n">
        <v>163</v>
      </c>
      <c r="H2" s="10" t="n">
        <v>162</v>
      </c>
      <c r="I2" s="10" t="n">
        <v>162</v>
      </c>
      <c r="J2" s="10" t="n">
        <v>163</v>
      </c>
      <c r="K2" s="10" t="n">
        <v>154</v>
      </c>
      <c r="L2" s="10" t="n">
        <v>154</v>
      </c>
      <c r="M2" s="10" t="n">
        <v>154</v>
      </c>
      <c r="N2" s="10" t="n">
        <f aca="false">IF(AND(INPUTS!$E$33=1,TRIB!M2&lt;&gt;""),TRIB!M2,"")</f>
        <v>154</v>
      </c>
      <c r="O2" s="10" t="n">
        <f aca="false">IF(AND(INPUTS!$E$34=1,TRIB!M2&lt;&gt;""),TRIB!M2,"")</f>
        <v>154</v>
      </c>
      <c r="P2" s="10" t="n">
        <f aca="false">IF(AND(INPUTS!$E$35=1,TRIB!M2&lt;&gt;""),TRIB!M2,"")</f>
        <v>154</v>
      </c>
    </row>
    <row r="3" customFormat="false" ht="15" hidden="false" customHeight="false" outlineLevel="0" collapsed="false">
      <c r="A3" s="3" t="s">
        <v>126</v>
      </c>
      <c r="B3" s="10" t="n">
        <v>283.569135676749</v>
      </c>
      <c r="C3" s="10" t="n">
        <v>554.064361928097</v>
      </c>
      <c r="D3" s="4" t="str">
        <f aca="false">IF(B3="","A",IF(B3&gt;=INPUTS!$B$17,"B","A"))</f>
        <v>A</v>
      </c>
      <c r="E3" s="10" t="str">
        <f aca="false">IF(AND(INPUTS!$E$24=1,$D3="B",TRIB!F3&lt;&gt;""),TRIB!F3,"")</f>
        <v/>
      </c>
      <c r="F3" s="10"/>
      <c r="G3" s="10" t="n">
        <v>300</v>
      </c>
      <c r="H3" s="10" t="n">
        <v>299</v>
      </c>
      <c r="I3" s="10" t="n">
        <v>299</v>
      </c>
      <c r="J3" s="10" t="n">
        <v>299</v>
      </c>
      <c r="K3" s="10" t="n">
        <v>299</v>
      </c>
      <c r="L3" s="10" t="n">
        <v>299</v>
      </c>
      <c r="M3" s="10" t="n">
        <v>299</v>
      </c>
      <c r="N3" s="10" t="n">
        <f aca="false">IF(AND(INPUTS!$E$33=1,TRIB!M3&lt;&gt;""),TRIB!M3,"")</f>
        <v>299</v>
      </c>
      <c r="O3" s="10" t="n">
        <f aca="false">IF(AND(INPUTS!$E$34=1,TRIB!M3&lt;&gt;""),TRIB!M3,"")</f>
        <v>299</v>
      </c>
      <c r="P3" s="10" t="n">
        <f aca="false">IF(AND(INPUTS!$E$35=1,TRIB!M3&lt;&gt;""),TRIB!M3,"")</f>
        <v>299</v>
      </c>
    </row>
    <row r="4" customFormat="false" ht="15" hidden="false" customHeight="false" outlineLevel="0" collapsed="false">
      <c r="A4" s="3" t="s">
        <v>127</v>
      </c>
      <c r="B4" s="10" t="n">
        <v>302.327357601837</v>
      </c>
      <c r="C4" s="10" t="n">
        <v>538.834725681955</v>
      </c>
      <c r="D4" s="4" t="str">
        <f aca="false">IF(B4="","A",IF(B4&gt;=INPUTS!$B$17,"B","A"))</f>
        <v>A</v>
      </c>
      <c r="E4" s="10" t="str">
        <f aca="false">IF(AND(INPUTS!$E$24=1,$D4="B",TRIB!F4&lt;&gt;""),TRIB!F4,"")</f>
        <v/>
      </c>
      <c r="F4" s="10" t="n">
        <v>294</v>
      </c>
      <c r="G4" s="10" t="n">
        <v>287</v>
      </c>
      <c r="H4" s="10" t="n">
        <v>275</v>
      </c>
      <c r="I4" s="10" t="n">
        <v>275</v>
      </c>
      <c r="J4" s="10" t="n">
        <v>275</v>
      </c>
      <c r="K4" s="10" t="n">
        <v>275</v>
      </c>
      <c r="L4" s="10" t="n">
        <v>277</v>
      </c>
      <c r="M4" s="10" t="n">
        <v>277</v>
      </c>
      <c r="N4" s="10" t="n">
        <f aca="false">IF(AND(INPUTS!$E$33=1,TRIB!M4&lt;&gt;""),TRIB!M4,"")</f>
        <v>277</v>
      </c>
      <c r="O4" s="10" t="n">
        <f aca="false">IF(AND(INPUTS!$E$34=1,TRIB!M4&lt;&gt;""),TRIB!M4,"")</f>
        <v>277</v>
      </c>
      <c r="P4" s="10" t="n">
        <f aca="false">IF(AND(INPUTS!$E$35=1,TRIB!M4&lt;&gt;""),TRIB!M4,"")</f>
        <v>277</v>
      </c>
    </row>
    <row r="5" customFormat="false" ht="15" hidden="false" customHeight="false" outlineLevel="0" collapsed="false">
      <c r="A5" s="3" t="s">
        <v>128</v>
      </c>
      <c r="B5" s="10" t="n">
        <v>301.530201266095</v>
      </c>
      <c r="C5" s="10" t="n">
        <v>560.062271860155</v>
      </c>
      <c r="D5" s="4" t="str">
        <f aca="false">IF(B5="","A",IF(B5&gt;=INPUTS!$B$17,"B","A"))</f>
        <v>A</v>
      </c>
      <c r="E5" s="10" t="str">
        <f aca="false">IF(AND(INPUTS!$E$24=1,$D5="B",TRIB!F5&lt;&gt;""),TRIB!F5,"")</f>
        <v/>
      </c>
      <c r="F5" s="10" t="n">
        <v>351</v>
      </c>
      <c r="G5" s="10" t="n">
        <v>282</v>
      </c>
      <c r="H5" s="10" t="n">
        <v>282</v>
      </c>
      <c r="I5" s="10" t="n">
        <v>282</v>
      </c>
      <c r="J5" s="10" t="n">
        <v>282</v>
      </c>
      <c r="K5" s="10" t="n">
        <v>282</v>
      </c>
      <c r="L5" s="10" t="n">
        <v>282</v>
      </c>
      <c r="M5" s="10" t="n">
        <v>282</v>
      </c>
      <c r="N5" s="10" t="n">
        <f aca="false">IF(AND(INPUTS!$E$33=1,TRIB!M5&lt;&gt;""),TRIB!M5,"")</f>
        <v>282</v>
      </c>
      <c r="O5" s="10" t="n">
        <f aca="false">IF(AND(INPUTS!$E$34=1,TRIB!M5&lt;&gt;""),TRIB!M5,"")</f>
        <v>282</v>
      </c>
      <c r="P5" s="10" t="n">
        <f aca="false">IF(AND(INPUTS!$E$35=1,TRIB!M5&lt;&gt;""),TRIB!M5,"")</f>
        <v>282</v>
      </c>
    </row>
    <row r="6" customFormat="false" ht="15" hidden="false" customHeight="false" outlineLevel="0" collapsed="false">
      <c r="A6" s="3" t="s">
        <v>129</v>
      </c>
      <c r="B6" s="10" t="n">
        <v>311.639417739706</v>
      </c>
      <c r="C6" s="10" t="n">
        <v>569.166970355175</v>
      </c>
      <c r="D6" s="4" t="str">
        <f aca="false">IF(B6="","A",IF(B6&gt;=INPUTS!$B$17,"B","A"))</f>
        <v>A</v>
      </c>
      <c r="E6" s="10" t="str">
        <f aca="false">IF(AND(INPUTS!$E$24=1,$D6="B",TRIB!F6&lt;&gt;""),TRIB!F6,"")</f>
        <v/>
      </c>
      <c r="F6" s="10" t="n">
        <v>96</v>
      </c>
      <c r="G6" s="10" t="n">
        <v>104</v>
      </c>
      <c r="H6" s="10" t="n">
        <v>104</v>
      </c>
      <c r="I6" s="10" t="n">
        <v>104</v>
      </c>
      <c r="J6" s="10" t="n">
        <v>104</v>
      </c>
      <c r="K6" s="10" t="n">
        <v>99</v>
      </c>
      <c r="L6" s="10" t="n">
        <v>99</v>
      </c>
      <c r="M6" s="10" t="n">
        <v>99</v>
      </c>
      <c r="N6" s="10" t="n">
        <f aca="false">IF(AND(INPUTS!$E$33=1,TRIB!M6&lt;&gt;""),TRIB!M6,"")</f>
        <v>99</v>
      </c>
      <c r="O6" s="10" t="n">
        <f aca="false">IF(AND(INPUTS!$E$34=1,TRIB!M6&lt;&gt;""),TRIB!M6,"")</f>
        <v>99</v>
      </c>
      <c r="P6" s="10" t="n">
        <f aca="false">IF(AND(INPUTS!$E$35=1,TRIB!M6&lt;&gt;""),TRIB!M6,"")</f>
        <v>99</v>
      </c>
    </row>
    <row r="7" customFormat="false" ht="15" hidden="false" customHeight="false" outlineLevel="0" collapsed="false">
      <c r="A7" s="3" t="s">
        <v>130</v>
      </c>
      <c r="B7" s="10" t="n">
        <v>313.932954037243</v>
      </c>
      <c r="C7" s="10" t="n">
        <v>553.648859599293</v>
      </c>
      <c r="D7" s="4" t="str">
        <f aca="false">IF(B7="","A",IF(B7&gt;=INPUTS!$B$17,"B","A"))</f>
        <v>A</v>
      </c>
      <c r="E7" s="10" t="str">
        <f aca="false">IF(AND(INPUTS!$E$24=1,$D7="B",TRIB!F7&lt;&gt;""),TRIB!F7,"")</f>
        <v/>
      </c>
      <c r="F7" s="10" t="n">
        <v>216</v>
      </c>
      <c r="G7" s="10" t="n">
        <v>216</v>
      </c>
      <c r="H7" s="10" t="n">
        <v>216</v>
      </c>
      <c r="I7" s="10" t="n">
        <v>216</v>
      </c>
      <c r="J7" s="10" t="n">
        <v>216</v>
      </c>
      <c r="K7" s="10" t="n">
        <v>215</v>
      </c>
      <c r="L7" s="10" t="n">
        <v>215</v>
      </c>
      <c r="M7" s="10" t="n">
        <v>215</v>
      </c>
      <c r="N7" s="10" t="n">
        <f aca="false">IF(AND(INPUTS!$E$33=1,TRIB!M7&lt;&gt;""),TRIB!M7,"")</f>
        <v>215</v>
      </c>
      <c r="O7" s="10" t="n">
        <f aca="false">IF(AND(INPUTS!$E$34=1,TRIB!M7&lt;&gt;""),TRIB!M7,"")</f>
        <v>215</v>
      </c>
      <c r="P7" s="10" t="n">
        <f aca="false">IF(AND(INPUTS!$E$35=1,TRIB!M7&lt;&gt;""),TRIB!M7,"")</f>
        <v>215</v>
      </c>
    </row>
    <row r="8" customFormat="false" ht="15" hidden="false" customHeight="false" outlineLevel="0" collapsed="false">
      <c r="A8" s="3" t="s">
        <v>131</v>
      </c>
      <c r="B8" s="10" t="n">
        <v>336.335092340588</v>
      </c>
      <c r="C8" s="10" t="n">
        <v>514.662637876091</v>
      </c>
      <c r="D8" s="4" t="str">
        <f aca="false">IF(B8="","A",IF(B8&gt;=INPUTS!$B$17,"B","A"))</f>
        <v>A</v>
      </c>
      <c r="E8" s="10" t="str">
        <f aca="false">IF(AND(INPUTS!$E$24=1,$D8="B",TRIB!F8&lt;&gt;""),TRIB!F8,"")</f>
        <v/>
      </c>
      <c r="F8" s="10" t="n">
        <v>381</v>
      </c>
      <c r="G8" s="10" t="n">
        <v>407</v>
      </c>
      <c r="H8" s="10" t="n">
        <v>407</v>
      </c>
      <c r="I8" s="10" t="n">
        <v>407</v>
      </c>
      <c r="J8" s="10" t="n">
        <v>407</v>
      </c>
      <c r="K8" s="10" t="n">
        <v>407</v>
      </c>
      <c r="L8" s="10" t="n">
        <v>407</v>
      </c>
      <c r="M8" s="10" t="n">
        <v>407</v>
      </c>
      <c r="N8" s="10" t="n">
        <f aca="false">IF(AND(INPUTS!$E$33=1,TRIB!M8&lt;&gt;""),TRIB!M8,"")</f>
        <v>407</v>
      </c>
      <c r="O8" s="10" t="n">
        <f aca="false">IF(AND(INPUTS!$E$34=1,TRIB!M8&lt;&gt;""),TRIB!M8,"")</f>
        <v>407</v>
      </c>
      <c r="P8" s="10" t="n">
        <f aca="false">IF(AND(INPUTS!$E$35=1,TRIB!M8&lt;&gt;""),TRIB!M8,"")</f>
        <v>407</v>
      </c>
    </row>
    <row r="9" customFormat="false" ht="15" hidden="false" customHeight="false" outlineLevel="0" collapsed="false">
      <c r="A9" s="3" t="s">
        <v>132</v>
      </c>
      <c r="B9" s="10" t="n">
        <v>346.652085376436</v>
      </c>
      <c r="C9" s="10" t="n">
        <v>529.372238235893</v>
      </c>
      <c r="D9" s="4" t="str">
        <f aca="false">IF(B9="","A",IF(B9&gt;=INPUTS!$B$17,"B","A"))</f>
        <v>A</v>
      </c>
      <c r="E9" s="10" t="str">
        <f aca="false">IF(AND(INPUTS!$E$24=1,$D9="B",TRIB!F9&lt;&gt;""),TRIB!F9,"")</f>
        <v/>
      </c>
      <c r="F9" s="10" t="n">
        <v>438</v>
      </c>
      <c r="G9" s="10" t="n">
        <v>438</v>
      </c>
      <c r="H9" s="10" t="n">
        <v>438</v>
      </c>
      <c r="I9" s="10" t="n">
        <v>438</v>
      </c>
      <c r="J9" s="10" t="n">
        <v>438</v>
      </c>
      <c r="K9" s="10" t="n">
        <v>438</v>
      </c>
      <c r="L9" s="10" t="n">
        <v>438</v>
      </c>
      <c r="M9" s="10" t="n">
        <v>438</v>
      </c>
      <c r="N9" s="10" t="n">
        <f aca="false">IF(AND(INPUTS!$E$33=1,TRIB!M9&lt;&gt;""),TRIB!M9,"")</f>
        <v>438</v>
      </c>
      <c r="O9" s="10" t="n">
        <f aca="false">IF(AND(INPUTS!$E$34=1,TRIB!M9&lt;&gt;""),TRIB!M9,"")</f>
        <v>438</v>
      </c>
      <c r="P9" s="10" t="n">
        <f aca="false">IF(AND(INPUTS!$E$35=1,TRIB!M9&lt;&gt;""),TRIB!M9,"")</f>
        <v>438</v>
      </c>
    </row>
    <row r="10" customFormat="false" ht="15" hidden="false" customHeight="false" outlineLevel="0" collapsed="false">
      <c r="A10" s="3" t="s">
        <v>133</v>
      </c>
      <c r="B10" s="10" t="n">
        <v>356.108116505892</v>
      </c>
      <c r="C10" s="10" t="n">
        <v>546.093045043377</v>
      </c>
      <c r="D10" s="4" t="str">
        <f aca="false">IF(B10="","A",IF(B10&gt;=INPUTS!$B$17,"B","A"))</f>
        <v>A</v>
      </c>
      <c r="E10" s="10" t="str">
        <f aca="false">IF(AND(INPUTS!$E$24=1,$D10="B",TRIB!F10&lt;&gt;""),TRIB!F10,"")</f>
        <v/>
      </c>
      <c r="F10" s="10" t="n">
        <v>468</v>
      </c>
      <c r="G10" s="10" t="n">
        <v>468</v>
      </c>
      <c r="H10" s="10" t="n">
        <v>468</v>
      </c>
      <c r="I10" s="10" t="n">
        <v>468</v>
      </c>
      <c r="J10" s="10" t="n">
        <v>468</v>
      </c>
      <c r="K10" s="10" t="n">
        <v>468</v>
      </c>
      <c r="L10" s="10" t="n">
        <v>468</v>
      </c>
      <c r="M10" s="10" t="n">
        <v>468</v>
      </c>
      <c r="N10" s="10" t="n">
        <f aca="false">IF(AND(INPUTS!$E$33=1,TRIB!M10&lt;&gt;""),TRIB!M10,"")</f>
        <v>468</v>
      </c>
      <c r="O10" s="10" t="n">
        <f aca="false">IF(AND(INPUTS!$E$34=1,TRIB!M10&lt;&gt;""),TRIB!M10,"")</f>
        <v>468</v>
      </c>
      <c r="P10" s="10" t="n">
        <f aca="false">IF(AND(INPUTS!$E$35=1,TRIB!M10&lt;&gt;""),TRIB!M10,"")</f>
        <v>468</v>
      </c>
    </row>
    <row r="11" customFormat="false" ht="15" hidden="false" customHeight="false" outlineLevel="0" collapsed="false">
      <c r="A11" s="3" t="s">
        <v>134</v>
      </c>
      <c r="B11" s="10" t="n">
        <v>357.425956292715</v>
      </c>
      <c r="C11" s="10" t="n">
        <v>500.438492419326</v>
      </c>
      <c r="D11" s="4" t="str">
        <f aca="false">IF(B11="","A",IF(B11&gt;=INPUTS!$B$17,"B","A"))</f>
        <v>A</v>
      </c>
      <c r="E11" s="10" t="str">
        <f aca="false">IF(AND(INPUTS!$E$24=1,$D11="B",TRIB!F11&lt;&gt;""),TRIB!F11,"")</f>
        <v/>
      </c>
      <c r="F11" s="10" t="n">
        <v>390</v>
      </c>
      <c r="G11" s="10" t="n">
        <v>418</v>
      </c>
      <c r="H11" s="10" t="n">
        <v>418</v>
      </c>
      <c r="I11" s="10" t="n">
        <v>418</v>
      </c>
      <c r="J11" s="10" t="n">
        <v>418</v>
      </c>
      <c r="K11" s="10" t="n">
        <v>418</v>
      </c>
      <c r="L11" s="10" t="n">
        <v>418</v>
      </c>
      <c r="M11" s="10" t="n">
        <v>418</v>
      </c>
      <c r="N11" s="10" t="n">
        <f aca="false">IF(AND(INPUTS!$E$33=1,TRIB!M11&lt;&gt;""),TRIB!M11,"")</f>
        <v>418</v>
      </c>
      <c r="O11" s="10" t="n">
        <f aca="false">IF(AND(INPUTS!$E$34=1,TRIB!M11&lt;&gt;""),TRIB!M11,"")</f>
        <v>418</v>
      </c>
      <c r="P11" s="10" t="n">
        <f aca="false">IF(AND(INPUTS!$E$35=1,TRIB!M11&lt;&gt;""),TRIB!M11,"")</f>
        <v>418</v>
      </c>
    </row>
    <row r="12" customFormat="false" ht="15" hidden="false" customHeight="false" outlineLevel="0" collapsed="false">
      <c r="A12" s="3" t="s">
        <v>135</v>
      </c>
      <c r="B12" s="10" t="n">
        <v>363.126755392121</v>
      </c>
      <c r="C12" s="10" t="n">
        <v>569.166970355174</v>
      </c>
      <c r="D12" s="4" t="str">
        <f aca="false">IF(B12="","A",IF(B12&gt;=INPUTS!$B$17,"B","A"))</f>
        <v>A</v>
      </c>
      <c r="E12" s="10" t="str">
        <f aca="false">IF(AND(INPUTS!$E$24=1,$D12="B",TRIB!F12&lt;&gt;""),TRIB!F12,"")</f>
        <v/>
      </c>
      <c r="F12" s="10" t="n">
        <v>115</v>
      </c>
      <c r="G12" s="10" t="n">
        <v>115</v>
      </c>
      <c r="H12" s="10" t="n">
        <v>115</v>
      </c>
      <c r="I12" s="10" t="n">
        <v>115</v>
      </c>
      <c r="J12" s="10" t="n">
        <v>115</v>
      </c>
      <c r="K12" s="10" t="n">
        <v>104</v>
      </c>
      <c r="L12" s="10" t="n">
        <v>104</v>
      </c>
      <c r="M12" s="10" t="n">
        <v>104</v>
      </c>
      <c r="N12" s="10" t="n">
        <f aca="false">IF(AND(INPUTS!$E$33=1,TRIB!M12&lt;&gt;""),TRIB!M12,"")</f>
        <v>104</v>
      </c>
      <c r="O12" s="10" t="n">
        <f aca="false">IF(AND(INPUTS!$E$34=1,TRIB!M12&lt;&gt;""),TRIB!M12,"")</f>
        <v>104</v>
      </c>
      <c r="P12" s="10" t="n">
        <f aca="false">IF(AND(INPUTS!$E$35=1,TRIB!M12&lt;&gt;""),TRIB!M12,"")</f>
        <v>104</v>
      </c>
    </row>
    <row r="13" customFormat="false" ht="15" hidden="false" customHeight="false" outlineLevel="0" collapsed="false">
      <c r="A13" s="3" t="s">
        <v>136</v>
      </c>
      <c r="B13" s="10" t="n">
        <v>366.752767471686</v>
      </c>
      <c r="C13" s="10" t="n">
        <v>517.319297596602</v>
      </c>
      <c r="D13" s="4" t="str">
        <f aca="false">IF(B13="","A",IF(B13&gt;=INPUTS!$B$17,"B","A"))</f>
        <v>A</v>
      </c>
      <c r="E13" s="10" t="str">
        <f aca="false">IF(AND(INPUTS!$E$24=1,$D13="B",TRIB!F13&lt;&gt;""),TRIB!F13,"")</f>
        <v/>
      </c>
      <c r="F13" s="10" t="n">
        <v>474</v>
      </c>
      <c r="G13" s="10" t="n">
        <v>474</v>
      </c>
      <c r="H13" s="10" t="n">
        <v>474</v>
      </c>
      <c r="I13" s="10" t="n">
        <v>474</v>
      </c>
      <c r="J13" s="10" t="n">
        <v>474</v>
      </c>
      <c r="K13" s="10" t="n">
        <v>474</v>
      </c>
      <c r="L13" s="10" t="n">
        <v>474</v>
      </c>
      <c r="M13" s="10" t="n">
        <v>474</v>
      </c>
      <c r="N13" s="10" t="n">
        <f aca="false">IF(AND(INPUTS!$E$33=1,TRIB!M13&lt;&gt;""),TRIB!M13,"")</f>
        <v>474</v>
      </c>
      <c r="O13" s="10" t="n">
        <f aca="false">IF(AND(INPUTS!$E$34=1,TRIB!M13&lt;&gt;""),TRIB!M13,"")</f>
        <v>474</v>
      </c>
      <c r="P13" s="10" t="n">
        <f aca="false">IF(AND(INPUTS!$E$35=1,TRIB!M13&lt;&gt;""),TRIB!M13,"")</f>
        <v>474</v>
      </c>
    </row>
    <row r="14" customFormat="false" ht="15" hidden="false" customHeight="false" outlineLevel="0" collapsed="false">
      <c r="A14" s="3" t="s">
        <v>137</v>
      </c>
      <c r="B14" s="10" t="n">
        <v>369.207302537249</v>
      </c>
      <c r="C14" s="10" t="n">
        <v>565.39678569998</v>
      </c>
      <c r="D14" s="4" t="str">
        <f aca="false">IF(B14="","A",IF(B14&gt;=INPUTS!$B$17,"B","A"))</f>
        <v>A</v>
      </c>
      <c r="E14" s="10" t="str">
        <f aca="false">IF(AND(INPUTS!$E$24=1,$D14="B",TRIB!F14&lt;&gt;""),TRIB!F14,"")</f>
        <v/>
      </c>
      <c r="F14" s="10" t="n">
        <v>292</v>
      </c>
      <c r="G14" s="10" t="n">
        <v>292</v>
      </c>
      <c r="H14" s="10" t="n">
        <v>292</v>
      </c>
      <c r="I14" s="10" t="n">
        <v>292</v>
      </c>
      <c r="J14" s="10" t="n">
        <v>292</v>
      </c>
      <c r="K14" s="10" t="n">
        <v>282</v>
      </c>
      <c r="L14" s="10" t="n">
        <v>282</v>
      </c>
      <c r="M14" s="10" t="n">
        <v>282</v>
      </c>
      <c r="N14" s="10" t="n">
        <f aca="false">IF(AND(INPUTS!$E$33=1,TRIB!M14&lt;&gt;""),TRIB!M14,"")</f>
        <v>282</v>
      </c>
      <c r="O14" s="10" t="n">
        <f aca="false">IF(AND(INPUTS!$E$34=1,TRIB!M14&lt;&gt;""),TRIB!M14,"")</f>
        <v>282</v>
      </c>
      <c r="P14" s="10" t="n">
        <f aca="false">IF(AND(INPUTS!$E$35=1,TRIB!M14&lt;&gt;""),TRIB!M14,"")</f>
        <v>282</v>
      </c>
    </row>
    <row r="15" customFormat="false" ht="15" hidden="false" customHeight="false" outlineLevel="0" collapsed="false">
      <c r="A15" s="3" t="s">
        <v>138</v>
      </c>
      <c r="B15" s="10" t="n">
        <v>379.786724399702</v>
      </c>
      <c r="C15" s="10" t="n">
        <v>488.140412810069</v>
      </c>
      <c r="D15" s="4" t="str">
        <f aca="false">IF(B15="","A",IF(B15&gt;=INPUTS!$B$17,"B","A"))</f>
        <v>A</v>
      </c>
      <c r="E15" s="10" t="str">
        <f aca="false">IF(AND(INPUTS!$E$24=1,$D15="B",TRIB!F15&lt;&gt;""),TRIB!F15,"")</f>
        <v/>
      </c>
      <c r="F15" s="10" t="n">
        <v>284</v>
      </c>
      <c r="G15" s="10" t="n">
        <v>263</v>
      </c>
      <c r="H15" s="10" t="n">
        <v>263</v>
      </c>
      <c r="I15" s="10" t="n">
        <v>263</v>
      </c>
      <c r="J15" s="10" t="n">
        <v>263</v>
      </c>
      <c r="K15" s="10" t="n">
        <v>263</v>
      </c>
      <c r="L15" s="10" t="n">
        <v>263</v>
      </c>
      <c r="M15" s="10" t="n">
        <v>263</v>
      </c>
      <c r="N15" s="10" t="n">
        <f aca="false">IF(AND(INPUTS!$E$33=1,TRIB!M15&lt;&gt;""),TRIB!M15,"")</f>
        <v>263</v>
      </c>
      <c r="O15" s="10" t="n">
        <f aca="false">IF(AND(INPUTS!$E$34=1,TRIB!M15&lt;&gt;""),TRIB!M15,"")</f>
        <v>263</v>
      </c>
      <c r="P15" s="10" t="n">
        <f aca="false">IF(AND(INPUTS!$E$35=1,TRIB!M15&lt;&gt;""),TRIB!M15,"")</f>
        <v>263</v>
      </c>
    </row>
    <row r="16" customFormat="false" ht="15" hidden="false" customHeight="false" outlineLevel="0" collapsed="false">
      <c r="A16" s="3" t="s">
        <v>139</v>
      </c>
      <c r="B16" s="10" t="n">
        <v>386.330742976847</v>
      </c>
      <c r="C16" s="10" t="n">
        <v>500.060834953388</v>
      </c>
      <c r="D16" s="4" t="str">
        <f aca="false">IF(B16="","A",IF(B16&gt;=INPUTS!$B$17,"B","A"))</f>
        <v>A</v>
      </c>
      <c r="E16" s="10" t="str">
        <f aca="false">IF(AND(INPUTS!$E$24=1,$D16="B",TRIB!F16&lt;&gt;""),TRIB!F16,"")</f>
        <v/>
      </c>
      <c r="F16" s="10" t="n">
        <v>355</v>
      </c>
      <c r="G16" s="10" t="n">
        <v>355</v>
      </c>
      <c r="H16" s="10" t="n">
        <v>355</v>
      </c>
      <c r="I16" s="10" t="n">
        <v>355</v>
      </c>
      <c r="J16" s="10" t="n">
        <v>355</v>
      </c>
      <c r="K16" s="10" t="n">
        <v>355</v>
      </c>
      <c r="L16" s="10" t="n">
        <v>355</v>
      </c>
      <c r="M16" s="10" t="n">
        <v>355</v>
      </c>
      <c r="N16" s="10" t="n">
        <f aca="false">IF(AND(INPUTS!$E$33=1,TRIB!M16&lt;&gt;""),TRIB!M16,"")</f>
        <v>355</v>
      </c>
      <c r="O16" s="10" t="n">
        <f aca="false">IF(AND(INPUTS!$E$34=1,TRIB!M16&lt;&gt;""),TRIB!M16,"")</f>
        <v>355</v>
      </c>
      <c r="P16" s="10" t="n">
        <f aca="false">IF(AND(INPUTS!$E$35=1,TRIB!M16&lt;&gt;""),TRIB!M16,"")</f>
        <v>355</v>
      </c>
    </row>
    <row r="17" customFormat="false" ht="15" hidden="false" customHeight="false" outlineLevel="0" collapsed="false">
      <c r="A17" s="3" t="s">
        <v>140</v>
      </c>
      <c r="B17" s="10" t="n">
        <v>391.081899120041</v>
      </c>
      <c r="C17" s="10" t="n">
        <v>483.592898305903</v>
      </c>
      <c r="D17" s="4" t="str">
        <f aca="false">IF(B17="","A",IF(B17&gt;=INPUTS!$B$17,"B","A"))</f>
        <v>A</v>
      </c>
      <c r="E17" s="10" t="str">
        <f aca="false">IF(AND(INPUTS!$E$24=1,$D17="B",TRIB!F17&lt;&gt;""),TRIB!F17,"")</f>
        <v/>
      </c>
      <c r="F17" s="10" t="n">
        <v>253</v>
      </c>
      <c r="G17" s="10" t="n">
        <v>308</v>
      </c>
      <c r="H17" s="10" t="n">
        <v>308</v>
      </c>
      <c r="I17" s="10" t="n">
        <v>308</v>
      </c>
      <c r="J17" s="10" t="n">
        <v>308</v>
      </c>
      <c r="K17" s="10" t="n">
        <v>308</v>
      </c>
      <c r="L17" s="10" t="n">
        <v>308</v>
      </c>
      <c r="M17" s="10" t="n">
        <v>308</v>
      </c>
      <c r="N17" s="10" t="n">
        <f aca="false">IF(AND(INPUTS!$E$33=1,TRIB!M17&lt;&gt;""),TRIB!M17,"")</f>
        <v>308</v>
      </c>
      <c r="O17" s="10" t="n">
        <f aca="false">IF(AND(INPUTS!$E$34=1,TRIB!M17&lt;&gt;""),TRIB!M17,"")</f>
        <v>308</v>
      </c>
      <c r="P17" s="10" t="n">
        <f aca="false">IF(AND(INPUTS!$E$35=1,TRIB!M17&lt;&gt;""),TRIB!M17,"")</f>
        <v>308</v>
      </c>
    </row>
    <row r="18" customFormat="false" ht="15" hidden="false" customHeight="false" outlineLevel="0" collapsed="false">
      <c r="A18" s="3" t="s">
        <v>141</v>
      </c>
      <c r="B18" s="10" t="n">
        <v>398.967170608449</v>
      </c>
      <c r="C18" s="10" t="n">
        <v>501.197239212386</v>
      </c>
      <c r="D18" s="4" t="str">
        <f aca="false">IF(B18="","A",IF(B18&gt;=INPUTS!$B$17,"B","A"))</f>
        <v>A</v>
      </c>
      <c r="E18" s="10" t="str">
        <f aca="false">IF(AND(INPUTS!$E$24=1,$D18="B",TRIB!F18&lt;&gt;""),TRIB!F18,"")</f>
        <v/>
      </c>
      <c r="F18" s="10" t="n">
        <v>368</v>
      </c>
      <c r="G18" s="10" t="n">
        <v>368</v>
      </c>
      <c r="H18" s="10" t="n">
        <v>368</v>
      </c>
      <c r="I18" s="10" t="n">
        <v>368</v>
      </c>
      <c r="J18" s="10" t="n">
        <v>368</v>
      </c>
      <c r="K18" s="10" t="n">
        <v>368</v>
      </c>
      <c r="L18" s="10" t="n">
        <v>368</v>
      </c>
      <c r="M18" s="10" t="n">
        <v>368</v>
      </c>
      <c r="N18" s="10" t="n">
        <f aca="false">IF(AND(INPUTS!$E$33=1,TRIB!M18&lt;&gt;""),TRIB!M18,"")</f>
        <v>368</v>
      </c>
      <c r="O18" s="10" t="n">
        <f aca="false">IF(AND(INPUTS!$E$34=1,TRIB!M18&lt;&gt;""),TRIB!M18,"")</f>
        <v>368</v>
      </c>
      <c r="P18" s="10" t="n">
        <f aca="false">IF(AND(INPUTS!$E$35=1,TRIB!M18&lt;&gt;""),TRIB!M18,"")</f>
        <v>368</v>
      </c>
    </row>
    <row r="19" customFormat="false" ht="15" hidden="false" customHeight="false" outlineLevel="0" collapsed="false">
      <c r="A19" s="3" t="s">
        <v>142</v>
      </c>
      <c r="B19" s="10" t="n">
        <v>403.378362240773</v>
      </c>
      <c r="C19" s="10" t="n">
        <v>519.696519141971</v>
      </c>
      <c r="D19" s="4" t="str">
        <f aca="false">IF(B19="","A",IF(B19&gt;=INPUTS!$B$17,"B","A"))</f>
        <v>A</v>
      </c>
      <c r="E19" s="10" t="str">
        <f aca="false">IF(AND(INPUTS!$E$24=1,$D19="B",TRIB!F19&lt;&gt;""),TRIB!F19,"")</f>
        <v/>
      </c>
      <c r="F19" s="10" t="n">
        <v>562</v>
      </c>
      <c r="G19" s="10" t="n">
        <v>562</v>
      </c>
      <c r="H19" s="10" t="n">
        <v>562</v>
      </c>
      <c r="I19" s="10" t="n">
        <v>562</v>
      </c>
      <c r="J19" s="10" t="n">
        <v>562</v>
      </c>
      <c r="K19" s="10" t="n">
        <v>562</v>
      </c>
      <c r="L19" s="10" t="n">
        <v>562</v>
      </c>
      <c r="M19" s="10" t="n">
        <v>562</v>
      </c>
      <c r="N19" s="10" t="n">
        <f aca="false">IF(AND(INPUTS!$E$33=1,TRIB!M19&lt;&gt;""),TRIB!M19,"")</f>
        <v>562</v>
      </c>
      <c r="O19" s="10" t="n">
        <f aca="false">IF(AND(INPUTS!$E$34=1,TRIB!M19&lt;&gt;""),TRIB!M19,"")</f>
        <v>562</v>
      </c>
      <c r="P19" s="10" t="n">
        <f aca="false">IF(AND(INPUTS!$E$35=1,TRIB!M19&lt;&gt;""),TRIB!M19,"")</f>
        <v>562</v>
      </c>
    </row>
    <row r="20" customFormat="false" ht="15" hidden="false" customHeight="false" outlineLevel="0" collapsed="false">
      <c r="A20" s="3" t="s">
        <v>143</v>
      </c>
      <c r="B20" s="10" t="n">
        <v>403.562103449705</v>
      </c>
      <c r="C20" s="10" t="n">
        <v>550.923874342351</v>
      </c>
      <c r="D20" s="4" t="str">
        <f aca="false">IF(B20="","A",IF(B20&gt;=INPUTS!$B$17,"B","A"))</f>
        <v>A</v>
      </c>
      <c r="E20" s="10" t="str">
        <f aca="false">IF(AND(INPUTS!$E$24=1,$D20="B",TRIB!F20&lt;&gt;""),TRIB!F20,"")</f>
        <v/>
      </c>
      <c r="F20" s="10" t="n">
        <v>133</v>
      </c>
      <c r="G20" s="10" t="n">
        <v>141</v>
      </c>
      <c r="H20" s="10" t="n">
        <v>141</v>
      </c>
      <c r="I20" s="10" t="n">
        <v>141</v>
      </c>
      <c r="J20" s="10" t="n">
        <v>141</v>
      </c>
      <c r="K20" s="10" t="n">
        <v>135</v>
      </c>
      <c r="L20" s="10" t="n">
        <v>135</v>
      </c>
      <c r="M20" s="10" t="n">
        <v>135</v>
      </c>
      <c r="N20" s="10" t="n">
        <f aca="false">IF(AND(INPUTS!$E$33=1,TRIB!M20&lt;&gt;""),TRIB!M20,"")</f>
        <v>135</v>
      </c>
      <c r="O20" s="10" t="n">
        <f aca="false">IF(AND(INPUTS!$E$34=1,TRIB!M20&lt;&gt;""),TRIB!M20,"")</f>
        <v>135</v>
      </c>
      <c r="P20" s="10" t="n">
        <f aca="false">IF(AND(INPUTS!$E$35=1,TRIB!M20&lt;&gt;""),TRIB!M20,"")</f>
        <v>135</v>
      </c>
    </row>
    <row r="21" customFormat="false" ht="15" hidden="false" customHeight="false" outlineLevel="0" collapsed="false">
      <c r="A21" s="3" t="s">
        <v>144</v>
      </c>
      <c r="B21" s="10" t="n">
        <v>413.15488516594</v>
      </c>
      <c r="C21" s="10" t="n">
        <v>540.713613547328</v>
      </c>
      <c r="D21" s="4" t="str">
        <f aca="false">IF(B21="","A",IF(B21&gt;=INPUTS!$B$17,"B","A"))</f>
        <v>A</v>
      </c>
      <c r="E21" s="10" t="str">
        <f aca="false">IF(AND(INPUTS!$E$24=1,$D21="B",TRIB!F21&lt;&gt;""),TRIB!F21,"")</f>
        <v/>
      </c>
      <c r="F21" s="10" t="n">
        <v>417</v>
      </c>
      <c r="G21" s="10" t="n">
        <v>420</v>
      </c>
      <c r="H21" s="10" t="n">
        <v>420</v>
      </c>
      <c r="I21" s="10" t="n">
        <v>420</v>
      </c>
      <c r="J21" s="10" t="n">
        <v>420</v>
      </c>
      <c r="K21" s="10" t="n">
        <v>416</v>
      </c>
      <c r="L21" s="10" t="n">
        <v>416</v>
      </c>
      <c r="M21" s="10" t="n">
        <v>416</v>
      </c>
      <c r="N21" s="10" t="n">
        <f aca="false">IF(AND(INPUTS!$E$33=1,TRIB!M21&lt;&gt;""),TRIB!M21,"")</f>
        <v>416</v>
      </c>
      <c r="O21" s="10" t="n">
        <f aca="false">IF(AND(INPUTS!$E$34=1,TRIB!M21&lt;&gt;""),TRIB!M21,"")</f>
        <v>416</v>
      </c>
      <c r="P21" s="10" t="n">
        <f aca="false">IF(AND(INPUTS!$E$35=1,TRIB!M21&lt;&gt;""),TRIB!M21,"")</f>
        <v>416</v>
      </c>
    </row>
    <row r="22" customFormat="false" ht="15" hidden="false" customHeight="false" outlineLevel="0" collapsed="false">
      <c r="A22" s="3" t="s">
        <v>145</v>
      </c>
      <c r="B22" s="10" t="n">
        <v>415.101289599471</v>
      </c>
      <c r="C22" s="10" t="n">
        <v>475.247274199036</v>
      </c>
      <c r="D22" s="4" t="str">
        <f aca="false">IF(B22="","A",IF(B22&gt;=INPUTS!$B$17,"B","A"))</f>
        <v>A</v>
      </c>
      <c r="E22" s="10" t="str">
        <f aca="false">IF(AND(INPUTS!$E$24=1,$D22="B",TRIB!F22&lt;&gt;""),TRIB!F22,"")</f>
        <v/>
      </c>
      <c r="F22" s="10" t="n">
        <v>377</v>
      </c>
      <c r="G22" s="10" t="n">
        <v>420</v>
      </c>
      <c r="H22" s="10" t="n">
        <v>420</v>
      </c>
      <c r="I22" s="10" t="n">
        <v>420</v>
      </c>
      <c r="J22" s="10" t="n">
        <v>420</v>
      </c>
      <c r="K22" s="10" t="n">
        <v>420</v>
      </c>
      <c r="L22" s="10" t="n">
        <v>420</v>
      </c>
      <c r="M22" s="10" t="n">
        <v>420</v>
      </c>
      <c r="N22" s="10" t="n">
        <f aca="false">IF(AND(INPUTS!$E$33=1,TRIB!M22&lt;&gt;""),TRIB!M22,"")</f>
        <v>420</v>
      </c>
      <c r="O22" s="10" t="n">
        <f aca="false">IF(AND(INPUTS!$E$34=1,TRIB!M22&lt;&gt;""),TRIB!M22,"")</f>
        <v>420</v>
      </c>
      <c r="P22" s="10" t="n">
        <f aca="false">IF(AND(INPUTS!$E$35=1,TRIB!M22&lt;&gt;""),TRIB!M22,"")</f>
        <v>420</v>
      </c>
    </row>
    <row r="23" customFormat="false" ht="15" hidden="false" customHeight="false" outlineLevel="0" collapsed="false">
      <c r="A23" s="3" t="s">
        <v>146</v>
      </c>
      <c r="B23" s="10" t="n">
        <v>421.569071360984</v>
      </c>
      <c r="C23" s="10" t="n">
        <v>491.719219426679</v>
      </c>
      <c r="D23" s="4" t="str">
        <f aca="false">IF(B23="","A",IF(B23&gt;=INPUTS!$B$17,"B","A"))</f>
        <v>A</v>
      </c>
      <c r="E23" s="10" t="str">
        <f aca="false">IF(AND(INPUTS!$E$24=1,$D23="B",TRIB!F23&lt;&gt;""),TRIB!F23,"")</f>
        <v/>
      </c>
      <c r="F23" s="10" t="n">
        <v>449</v>
      </c>
      <c r="G23" s="10" t="n">
        <v>449</v>
      </c>
      <c r="H23" s="10" t="n">
        <v>449</v>
      </c>
      <c r="I23" s="10" t="n">
        <v>449</v>
      </c>
      <c r="J23" s="10" t="n">
        <v>449</v>
      </c>
      <c r="K23" s="10" t="n">
        <v>449</v>
      </c>
      <c r="L23" s="10" t="n">
        <v>449</v>
      </c>
      <c r="M23" s="10" t="n">
        <v>449</v>
      </c>
      <c r="N23" s="10" t="n">
        <f aca="false">IF(AND(INPUTS!$E$33=1,TRIB!M23&lt;&gt;""),TRIB!M23,"")</f>
        <v>449</v>
      </c>
      <c r="O23" s="10" t="n">
        <f aca="false">IF(AND(INPUTS!$E$34=1,TRIB!M23&lt;&gt;""),TRIB!M23,"")</f>
        <v>449</v>
      </c>
      <c r="P23" s="10" t="n">
        <f aca="false">IF(AND(INPUTS!$E$35=1,TRIB!M23&lt;&gt;""),TRIB!M23,"")</f>
        <v>449</v>
      </c>
    </row>
    <row r="24" customFormat="false" ht="15" hidden="false" customHeight="false" outlineLevel="0" collapsed="false">
      <c r="A24" s="3" t="s">
        <v>147</v>
      </c>
      <c r="B24" s="10" t="n">
        <v>429.699526458131</v>
      </c>
      <c r="C24" s="10" t="n">
        <v>509.042394133207</v>
      </c>
      <c r="D24" s="4" t="str">
        <f aca="false">IF(B24="","A",IF(B24&gt;=INPUTS!$B$17,"B","A"))</f>
        <v>A</v>
      </c>
      <c r="E24" s="10" t="str">
        <f aca="false">IF(AND(INPUTS!$E$24=1,$D24="B",TRIB!F24&lt;&gt;""),TRIB!F24,"")</f>
        <v/>
      </c>
      <c r="F24" s="10" t="n">
        <v>333</v>
      </c>
      <c r="G24" s="10" t="n">
        <v>333</v>
      </c>
      <c r="H24" s="10" t="n">
        <v>333</v>
      </c>
      <c r="I24" s="10" t="n">
        <v>333</v>
      </c>
      <c r="J24" s="10" t="n">
        <v>333</v>
      </c>
      <c r="K24" s="10" t="n">
        <v>333</v>
      </c>
      <c r="L24" s="10" t="n">
        <v>333</v>
      </c>
      <c r="M24" s="10" t="n">
        <v>333</v>
      </c>
      <c r="N24" s="10" t="n">
        <f aca="false">IF(AND(INPUTS!$E$33=1,TRIB!M24&lt;&gt;""),TRIB!M24,"")</f>
        <v>333</v>
      </c>
      <c r="O24" s="10" t="n">
        <f aca="false">IF(AND(INPUTS!$E$34=1,TRIB!M24&lt;&gt;""),TRIB!M24,"")</f>
        <v>333</v>
      </c>
      <c r="P24" s="10" t="n">
        <f aca="false">IF(AND(INPUTS!$E$35=1,TRIB!M24&lt;&gt;""),TRIB!M24,"")</f>
        <v>333</v>
      </c>
    </row>
    <row r="25" customFormat="false" ht="15" hidden="false" customHeight="false" outlineLevel="0" collapsed="false">
      <c r="A25" s="3" t="s">
        <v>148</v>
      </c>
      <c r="B25" s="10" t="n">
        <v>434.30381475572</v>
      </c>
      <c r="C25" s="10" t="n">
        <v>520.776281527092</v>
      </c>
      <c r="D25" s="4" t="str">
        <f aca="false">IF(B25="","A",IF(B25&gt;=INPUTS!$B$17,"B","A"))</f>
        <v>A</v>
      </c>
      <c r="E25" s="10" t="str">
        <f aca="false">IF(AND(INPUTS!$E$24=1,$D25="B",TRIB!F25&lt;&gt;""),TRIB!F25,"")</f>
        <v/>
      </c>
      <c r="F25" s="10" t="n">
        <v>309</v>
      </c>
      <c r="G25" s="10" t="n">
        <v>309</v>
      </c>
      <c r="H25" s="10" t="n">
        <v>309</v>
      </c>
      <c r="I25" s="10" t="n">
        <v>309</v>
      </c>
      <c r="J25" s="10" t="n">
        <v>309</v>
      </c>
      <c r="K25" s="10" t="n">
        <v>309</v>
      </c>
      <c r="L25" s="10" t="n">
        <v>309</v>
      </c>
      <c r="M25" s="10" t="n">
        <v>309</v>
      </c>
      <c r="N25" s="10" t="n">
        <f aca="false">IF(AND(INPUTS!$E$33=1,TRIB!M25&lt;&gt;""),TRIB!M25,"")</f>
        <v>309</v>
      </c>
      <c r="O25" s="10" t="n">
        <f aca="false">IF(AND(INPUTS!$E$34=1,TRIB!M25&lt;&gt;""),TRIB!M25,"")</f>
        <v>309</v>
      </c>
      <c r="P25" s="10" t="n">
        <f aca="false">IF(AND(INPUTS!$E$35=1,TRIB!M25&lt;&gt;""),TRIB!M25,"")</f>
        <v>309</v>
      </c>
    </row>
    <row r="26" customFormat="false" ht="15" hidden="false" customHeight="false" outlineLevel="0" collapsed="false">
      <c r="A26" s="3" t="s">
        <v>149</v>
      </c>
      <c r="B26" s="10" t="n">
        <v>439.112650026245</v>
      </c>
      <c r="C26" s="10" t="n">
        <v>466.886855256388</v>
      </c>
      <c r="D26" s="4" t="str">
        <f aca="false">IF(B26="","A",IF(B26&gt;=INPUTS!$B$17,"B","A"))</f>
        <v>A</v>
      </c>
      <c r="E26" s="10" t="str">
        <f aca="false">IF(AND(INPUTS!$E$24=1,$D26="B",TRIB!F26&lt;&gt;""),TRIB!F26,"")</f>
        <v/>
      </c>
      <c r="F26" s="10" t="n">
        <v>358</v>
      </c>
      <c r="G26" s="10" t="n">
        <v>420</v>
      </c>
      <c r="H26" s="10" t="n">
        <v>420</v>
      </c>
      <c r="I26" s="10" t="n">
        <v>420</v>
      </c>
      <c r="J26" s="10" t="n">
        <v>420</v>
      </c>
      <c r="K26" s="10" t="n">
        <v>420</v>
      </c>
      <c r="L26" s="10" t="n">
        <v>420</v>
      </c>
      <c r="M26" s="10" t="n">
        <v>420</v>
      </c>
      <c r="N26" s="10" t="n">
        <f aca="false">IF(AND(INPUTS!$E$33=1,TRIB!M26&lt;&gt;""),TRIB!M26,"")</f>
        <v>420</v>
      </c>
      <c r="O26" s="10" t="n">
        <f aca="false">IF(AND(INPUTS!$E$34=1,TRIB!M26&lt;&gt;""),TRIB!M26,"")</f>
        <v>420</v>
      </c>
      <c r="P26" s="10" t="n">
        <f aca="false">IF(AND(INPUTS!$E$35=1,TRIB!M26&lt;&gt;""),TRIB!M26,"")</f>
        <v>420</v>
      </c>
    </row>
    <row r="27" customFormat="false" ht="15" hidden="false" customHeight="false" outlineLevel="0" collapsed="false">
      <c r="A27" s="3" t="s">
        <v>150</v>
      </c>
      <c r="B27" s="10" t="n">
        <v>439.610822630543</v>
      </c>
      <c r="C27" s="10" t="n">
        <v>536.314206597045</v>
      </c>
      <c r="D27" s="4" t="str">
        <f aca="false">IF(B27="","A",IF(B27&gt;=INPUTS!$B$17,"B","A"))</f>
        <v>A</v>
      </c>
      <c r="E27" s="10" t="str">
        <f aca="false">IF(AND(INPUTS!$E$24=1,$D27="B",TRIB!F27&lt;&gt;""),TRIB!F27,"")</f>
        <v/>
      </c>
      <c r="F27" s="10" t="n">
        <v>188</v>
      </c>
      <c r="G27" s="10" t="n">
        <v>188</v>
      </c>
      <c r="H27" s="10" t="n">
        <v>188</v>
      </c>
      <c r="I27" s="10" t="n">
        <v>188</v>
      </c>
      <c r="J27" s="10" t="n">
        <v>188</v>
      </c>
      <c r="K27" s="10" t="n">
        <v>173</v>
      </c>
      <c r="L27" s="10" t="n">
        <v>173</v>
      </c>
      <c r="M27" s="10" t="n">
        <v>173</v>
      </c>
      <c r="N27" s="10" t="n">
        <f aca="false">IF(AND(INPUTS!$E$33=1,TRIB!M27&lt;&gt;""),TRIB!M27,"")</f>
        <v>173</v>
      </c>
      <c r="O27" s="10" t="n">
        <f aca="false">IF(AND(INPUTS!$E$34=1,TRIB!M27&lt;&gt;""),TRIB!M27,"")</f>
        <v>173</v>
      </c>
      <c r="P27" s="10" t="n">
        <f aca="false">IF(AND(INPUTS!$E$35=1,TRIB!M27&lt;&gt;""),TRIB!M27,"")</f>
        <v>173</v>
      </c>
    </row>
    <row r="28" customFormat="false" ht="15" hidden="false" customHeight="false" outlineLevel="0" collapsed="false">
      <c r="A28" s="3" t="s">
        <v>151</v>
      </c>
      <c r="B28" s="10" t="n">
        <v>442.901948096155</v>
      </c>
      <c r="C28" s="10" t="n">
        <v>505.266721245976</v>
      </c>
      <c r="D28" s="4" t="str">
        <f aca="false">IF(B28="","A",IF(B28&gt;=INPUTS!$B$17,"B","A"))</f>
        <v>A</v>
      </c>
      <c r="E28" s="10" t="str">
        <f aca="false">IF(AND(INPUTS!$E$24=1,$D28="B",TRIB!F28&lt;&gt;""),TRIB!F28,"")</f>
        <v/>
      </c>
      <c r="F28" s="10" t="n">
        <v>322</v>
      </c>
      <c r="G28" s="10" t="n">
        <v>322</v>
      </c>
      <c r="H28" s="10" t="n">
        <v>322</v>
      </c>
      <c r="I28" s="10" t="n">
        <v>322</v>
      </c>
      <c r="J28" s="10" t="n">
        <v>322</v>
      </c>
      <c r="K28" s="10" t="n">
        <v>322</v>
      </c>
      <c r="L28" s="10" t="n">
        <v>322</v>
      </c>
      <c r="M28" s="10" t="n">
        <v>322</v>
      </c>
      <c r="N28" s="10" t="n">
        <f aca="false">IF(AND(INPUTS!$E$33=1,TRIB!M28&lt;&gt;""),TRIB!M28,"")</f>
        <v>322</v>
      </c>
      <c r="O28" s="10" t="n">
        <f aca="false">IF(AND(INPUTS!$E$34=1,TRIB!M28&lt;&gt;""),TRIB!M28,"")</f>
        <v>322</v>
      </c>
      <c r="P28" s="10" t="n">
        <f aca="false">IF(AND(INPUTS!$E$35=1,TRIB!M28&lt;&gt;""),TRIB!M28,"")</f>
        <v>322</v>
      </c>
    </row>
    <row r="29" customFormat="false" ht="15" hidden="false" customHeight="false" outlineLevel="0" collapsed="false">
      <c r="A29" s="3" t="s">
        <v>152</v>
      </c>
      <c r="B29" s="10" t="n">
        <v>444.003746627616</v>
      </c>
      <c r="C29" s="10" t="n">
        <v>485.347183980339</v>
      </c>
      <c r="D29" s="4" t="str">
        <f aca="false">IF(B29="","A",IF(B29&gt;=INPUTS!$B$17,"B","A"))</f>
        <v>A</v>
      </c>
      <c r="E29" s="10" t="str">
        <f aca="false">IF(AND(INPUTS!$E$24=1,$D29="B",TRIB!F29&lt;&gt;""),TRIB!F29,"")</f>
        <v/>
      </c>
      <c r="F29" s="10" t="n">
        <v>466</v>
      </c>
      <c r="G29" s="10" t="n">
        <v>470</v>
      </c>
      <c r="H29" s="10" t="n">
        <v>470</v>
      </c>
      <c r="I29" s="10" t="n">
        <v>470</v>
      </c>
      <c r="J29" s="10" t="n">
        <v>470</v>
      </c>
      <c r="K29" s="10" t="n">
        <v>470</v>
      </c>
      <c r="L29" s="10" t="n">
        <v>470</v>
      </c>
      <c r="M29" s="10" t="n">
        <v>470</v>
      </c>
      <c r="N29" s="10" t="n">
        <f aca="false">IF(AND(INPUTS!$E$33=1,TRIB!M29&lt;&gt;""),TRIB!M29,"")</f>
        <v>470</v>
      </c>
      <c r="O29" s="10" t="n">
        <f aca="false">IF(AND(INPUTS!$E$34=1,TRIB!M29&lt;&gt;""),TRIB!M29,"")</f>
        <v>470</v>
      </c>
      <c r="P29" s="10" t="n">
        <f aca="false">IF(AND(INPUTS!$E$35=1,TRIB!M29&lt;&gt;""),TRIB!M29,"")</f>
        <v>470</v>
      </c>
    </row>
    <row r="30" customFormat="false" ht="15" hidden="false" customHeight="false" outlineLevel="0" collapsed="false">
      <c r="A30" s="3" t="s">
        <v>153</v>
      </c>
      <c r="B30" s="10" t="n">
        <v>447.500290923169</v>
      </c>
      <c r="C30" s="10" t="n">
        <v>517.032284223865</v>
      </c>
      <c r="D30" s="4" t="str">
        <f aca="false">IF(B30="","A",IF(B30&gt;=INPUTS!$B$17,"B","A"))</f>
        <v>A</v>
      </c>
      <c r="E30" s="10" t="str">
        <f aca="false">IF(AND(INPUTS!$E$24=1,$D30="B",TRIB!F30&lt;&gt;""),TRIB!F30,"")</f>
        <v/>
      </c>
      <c r="F30" s="10" t="n">
        <v>274</v>
      </c>
      <c r="G30" s="10" t="n">
        <v>274</v>
      </c>
      <c r="H30" s="10" t="n">
        <v>274</v>
      </c>
      <c r="I30" s="10" t="n">
        <v>274</v>
      </c>
      <c r="J30" s="10" t="n">
        <v>274</v>
      </c>
      <c r="K30" s="10" t="n">
        <v>274</v>
      </c>
      <c r="L30" s="10" t="n">
        <v>274</v>
      </c>
      <c r="M30" s="10" t="n">
        <v>274</v>
      </c>
      <c r="N30" s="10" t="n">
        <f aca="false">IF(AND(INPUTS!$E$33=1,TRIB!M30&lt;&gt;""),TRIB!M30,"")</f>
        <v>274</v>
      </c>
      <c r="O30" s="10" t="n">
        <f aca="false">IF(AND(INPUTS!$E$34=1,TRIB!M30&lt;&gt;""),TRIB!M30,"")</f>
        <v>274</v>
      </c>
      <c r="P30" s="10" t="n">
        <f aca="false">IF(AND(INPUTS!$E$35=1,TRIB!M30&lt;&gt;""),TRIB!M30,"")</f>
        <v>274</v>
      </c>
    </row>
    <row r="31" customFormat="false" ht="15" hidden="false" customHeight="false" outlineLevel="0" collapsed="false">
      <c r="A31" s="3" t="s">
        <v>154</v>
      </c>
      <c r="B31" s="10" t="n">
        <v>450.729807652345</v>
      </c>
      <c r="C31" s="10" t="n">
        <v>532.560776417186</v>
      </c>
      <c r="D31" s="4" t="str">
        <f aca="false">IF(B31="","A",IF(B31&gt;=INPUTS!$B$17,"B","A"))</f>
        <v>A</v>
      </c>
      <c r="E31" s="10" t="str">
        <f aca="false">IF(AND(INPUTS!$E$24=1,$D31="B",TRIB!F31&lt;&gt;""),TRIB!F31,"")</f>
        <v/>
      </c>
      <c r="F31" s="10" t="n">
        <v>173</v>
      </c>
      <c r="G31" s="10" t="n">
        <v>173</v>
      </c>
      <c r="H31" s="10" t="n">
        <v>173</v>
      </c>
      <c r="I31" s="10" t="n">
        <v>173</v>
      </c>
      <c r="J31" s="10" t="n">
        <v>173</v>
      </c>
      <c r="K31" s="10" t="n">
        <v>159</v>
      </c>
      <c r="L31" s="10" t="n">
        <v>159</v>
      </c>
      <c r="M31" s="10" t="n">
        <v>159</v>
      </c>
      <c r="N31" s="10" t="n">
        <f aca="false">IF(AND(INPUTS!$E$33=1,TRIB!M31&lt;&gt;""),TRIB!M31,"")</f>
        <v>159</v>
      </c>
      <c r="O31" s="10" t="n">
        <f aca="false">IF(AND(INPUTS!$E$34=1,TRIB!M31&lt;&gt;""),TRIB!M31,"")</f>
        <v>159</v>
      </c>
      <c r="P31" s="10" t="n">
        <f aca="false">IF(AND(INPUTS!$E$35=1,TRIB!M31&lt;&gt;""),TRIB!M31,"")</f>
        <v>159</v>
      </c>
    </row>
    <row r="32" customFormat="false" ht="15" hidden="false" customHeight="false" outlineLevel="0" collapsed="false">
      <c r="A32" s="3" t="s">
        <v>155</v>
      </c>
      <c r="B32" s="10" t="n">
        <v>464.091976654075</v>
      </c>
      <c r="C32" s="10" t="n">
        <v>462.190351092403</v>
      </c>
      <c r="D32" s="4" t="str">
        <f aca="false">IF(B32="","A",IF(B32&gt;=INPUTS!$B$17,"B","A"))</f>
        <v>A</v>
      </c>
      <c r="E32" s="10" t="str">
        <f aca="false">IF(AND(INPUTS!$E$24=1,$D32="B",TRIB!F32&lt;&gt;""),TRIB!F32,"")</f>
        <v/>
      </c>
      <c r="F32" s="10" t="n">
        <v>247</v>
      </c>
      <c r="G32" s="10" t="n">
        <v>435</v>
      </c>
      <c r="H32" s="10" t="n">
        <v>435</v>
      </c>
      <c r="I32" s="10" t="n">
        <v>435</v>
      </c>
      <c r="J32" s="10" t="n">
        <v>435</v>
      </c>
      <c r="K32" s="10" t="n">
        <v>435</v>
      </c>
      <c r="L32" s="10" t="n">
        <v>435</v>
      </c>
      <c r="M32" s="10" t="n">
        <v>435</v>
      </c>
      <c r="N32" s="10" t="n">
        <f aca="false">IF(AND(INPUTS!$E$33=1,TRIB!M32&lt;&gt;""),TRIB!M32,"")</f>
        <v>435</v>
      </c>
      <c r="O32" s="10" t="n">
        <f aca="false">IF(AND(INPUTS!$E$34=1,TRIB!M32&lt;&gt;""),TRIB!M32,"")</f>
        <v>435</v>
      </c>
      <c r="P32" s="10" t="n">
        <f aca="false">IF(AND(INPUTS!$E$35=1,TRIB!M32&lt;&gt;""),TRIB!M32,"")</f>
        <v>435</v>
      </c>
    </row>
    <row r="33" customFormat="false" ht="15" hidden="false" customHeight="false" outlineLevel="0" collapsed="false">
      <c r="A33" s="3" t="s">
        <v>156</v>
      </c>
      <c r="B33" s="10" t="n">
        <v>468.133374393292</v>
      </c>
      <c r="C33" s="10" t="n">
        <v>479.181381941061</v>
      </c>
      <c r="D33" s="4" t="str">
        <f aca="false">IF(B33="","A",IF(B33&gt;=INPUTS!$B$17,"B","A"))</f>
        <v>A</v>
      </c>
      <c r="E33" s="10" t="str">
        <f aca="false">IF(AND(INPUTS!$E$24=1,$D33="B",TRIB!F33&lt;&gt;""),TRIB!F33,"")</f>
        <v/>
      </c>
      <c r="F33" s="10" t="n">
        <v>231</v>
      </c>
      <c r="G33" s="10" t="n">
        <v>444</v>
      </c>
      <c r="H33" s="10" t="n">
        <v>444</v>
      </c>
      <c r="I33" s="10" t="n">
        <v>444</v>
      </c>
      <c r="J33" s="10" t="n">
        <v>444</v>
      </c>
      <c r="K33" s="10" t="n">
        <v>444</v>
      </c>
      <c r="L33" s="10" t="n">
        <v>444</v>
      </c>
      <c r="M33" s="10" t="n">
        <v>444</v>
      </c>
      <c r="N33" s="10" t="n">
        <f aca="false">IF(AND(INPUTS!$E$33=1,TRIB!M33&lt;&gt;""),TRIB!M33,"")</f>
        <v>444</v>
      </c>
      <c r="O33" s="10" t="n">
        <f aca="false">IF(AND(INPUTS!$E$34=1,TRIB!M33&lt;&gt;""),TRIB!M33,"")</f>
        <v>444</v>
      </c>
      <c r="P33" s="10" t="n">
        <f aca="false">IF(AND(INPUTS!$E$35=1,TRIB!M33&lt;&gt;""),TRIB!M33,"")</f>
        <v>444</v>
      </c>
    </row>
    <row r="34" customFormat="false" ht="15" hidden="false" customHeight="false" outlineLevel="0" collapsed="false">
      <c r="A34" s="3" t="s">
        <v>157</v>
      </c>
      <c r="B34" s="10" t="n">
        <v>489.064813258663</v>
      </c>
      <c r="C34" s="10" t="n">
        <v>457.476430215064</v>
      </c>
      <c r="D34" s="4" t="str">
        <f aca="false">IF(B34="","A",IF(B34&gt;=INPUTS!$B$17,"B","A"))</f>
        <v>A</v>
      </c>
      <c r="E34" s="10" t="str">
        <f aca="false">IF(AND(INPUTS!$E$24=1,$D34="B",TRIB!F34&lt;&gt;""),TRIB!F34,"")</f>
        <v/>
      </c>
      <c r="F34" s="10" t="n">
        <v>199</v>
      </c>
      <c r="G34" s="10" t="n">
        <v>308</v>
      </c>
      <c r="H34" s="10" t="n">
        <v>271</v>
      </c>
      <c r="I34" s="10" t="n">
        <v>271</v>
      </c>
      <c r="J34" s="10" t="n">
        <v>271</v>
      </c>
      <c r="K34" s="10" t="n">
        <v>271</v>
      </c>
      <c r="L34" s="10" t="n">
        <v>271</v>
      </c>
      <c r="M34" s="10" t="n">
        <v>271</v>
      </c>
      <c r="N34" s="10" t="n">
        <f aca="false">IF(AND(INPUTS!$E$33=1,TRIB!M34&lt;&gt;""),TRIB!M34,"")</f>
        <v>271</v>
      </c>
      <c r="O34" s="10" t="n">
        <f aca="false">IF(AND(INPUTS!$E$34=1,TRIB!M34&lt;&gt;""),TRIB!M34,"")</f>
        <v>271</v>
      </c>
      <c r="P34" s="10" t="n">
        <f aca="false">IF(AND(INPUTS!$E$35=1,TRIB!M34&lt;&gt;""),TRIB!M34,"")</f>
        <v>271</v>
      </c>
    </row>
    <row r="35" customFormat="false" ht="15" hidden="false" customHeight="false" outlineLevel="0" collapsed="false">
      <c r="A35" s="3" t="s">
        <v>158</v>
      </c>
      <c r="B35" s="10" t="n">
        <v>490.930720265349</v>
      </c>
      <c r="C35" s="10" t="n">
        <v>476.67578860481</v>
      </c>
      <c r="D35" s="4" t="str">
        <f aca="false">IF(B35="","A",IF(B35&gt;=INPUTS!$B$17,"B","A"))</f>
        <v>A</v>
      </c>
      <c r="E35" s="10" t="str">
        <f aca="false">IF(AND(INPUTS!$E$24=1,$D35="B",TRIB!F35&lt;&gt;""),TRIB!F35,"")</f>
        <v/>
      </c>
      <c r="F35" s="10"/>
      <c r="G35" s="10" t="n">
        <v>415</v>
      </c>
      <c r="H35" s="10" t="n">
        <v>415</v>
      </c>
      <c r="I35" s="10" t="n">
        <v>415</v>
      </c>
      <c r="J35" s="10" t="n">
        <v>415</v>
      </c>
      <c r="K35" s="10" t="n">
        <v>415</v>
      </c>
      <c r="L35" s="10" t="n">
        <v>415</v>
      </c>
      <c r="M35" s="10" t="n">
        <v>415</v>
      </c>
      <c r="N35" s="10" t="n">
        <f aca="false">IF(AND(INPUTS!$E$33=1,TRIB!M35&lt;&gt;""),TRIB!M35,"")</f>
        <v>415</v>
      </c>
      <c r="O35" s="10" t="n">
        <f aca="false">IF(AND(INPUTS!$E$34=1,TRIB!M35&lt;&gt;""),TRIB!M35,"")</f>
        <v>415</v>
      </c>
      <c r="P35" s="10" t="n">
        <f aca="false">IF(AND(INPUTS!$E$35=1,TRIB!M35&lt;&gt;""),TRIB!M35,"")</f>
        <v>415</v>
      </c>
    </row>
    <row r="36" customFormat="false" ht="15" hidden="false" customHeight="false" outlineLevel="0" collapsed="false">
      <c r="A36" s="3" t="s">
        <v>159</v>
      </c>
      <c r="B36" s="10" t="n">
        <v>496.475747191993</v>
      </c>
      <c r="C36" s="10" t="n">
        <v>499.586718623376</v>
      </c>
      <c r="D36" s="4" t="str">
        <f aca="false">IF(B36="","A",IF(B36&gt;=INPUTS!$B$17,"B","A"))</f>
        <v>A</v>
      </c>
      <c r="E36" s="10" t="str">
        <f aca="false">IF(AND(INPUTS!$E$24=1,$D36="B",TRIB!F36&lt;&gt;""),TRIB!F36,"")</f>
        <v/>
      </c>
      <c r="F36" s="10" t="n">
        <v>612</v>
      </c>
      <c r="G36" s="10" t="n">
        <v>610</v>
      </c>
      <c r="H36" s="10" t="n">
        <v>610</v>
      </c>
      <c r="I36" s="10" t="n">
        <v>610</v>
      </c>
      <c r="J36" s="10" t="n">
        <v>610</v>
      </c>
      <c r="K36" s="10" t="n">
        <v>610</v>
      </c>
      <c r="L36" s="10" t="n">
        <v>610</v>
      </c>
      <c r="M36" s="10" t="n">
        <v>610</v>
      </c>
      <c r="N36" s="10" t="n">
        <f aca="false">IF(AND(INPUTS!$E$33=1,TRIB!M36&lt;&gt;""),TRIB!M36,"")</f>
        <v>610</v>
      </c>
      <c r="O36" s="10" t="n">
        <f aca="false">IF(AND(INPUTS!$E$34=1,TRIB!M36&lt;&gt;""),TRIB!M36,"")</f>
        <v>610</v>
      </c>
      <c r="P36" s="10" t="n">
        <f aca="false">IF(AND(INPUTS!$E$35=1,TRIB!M36&lt;&gt;""),TRIB!M36,"")</f>
        <v>610</v>
      </c>
    </row>
    <row r="37" customFormat="false" ht="15" hidden="false" customHeight="false" outlineLevel="0" collapsed="false">
      <c r="A37" s="3" t="s">
        <v>160</v>
      </c>
      <c r="B37" s="10" t="n">
        <v>498.867599731709</v>
      </c>
      <c r="C37" s="10" t="n">
        <v>523.199104377706</v>
      </c>
      <c r="D37" s="4" t="str">
        <f aca="false">IF(B37="","A",IF(B37&gt;=INPUTS!$B$17,"B","A"))</f>
        <v>A</v>
      </c>
      <c r="E37" s="10" t="str">
        <f aca="false">IF(AND(INPUTS!$E$24=1,$D37="B",TRIB!F37&lt;&gt;""),TRIB!F37,"")</f>
        <v/>
      </c>
      <c r="F37" s="10" t="n">
        <v>276</v>
      </c>
      <c r="G37" s="10" t="n">
        <v>285</v>
      </c>
      <c r="H37" s="10" t="n">
        <v>285</v>
      </c>
      <c r="I37" s="10" t="n">
        <v>285</v>
      </c>
      <c r="J37" s="10" t="n">
        <v>285</v>
      </c>
      <c r="K37" s="10" t="n">
        <v>276</v>
      </c>
      <c r="L37" s="10" t="n">
        <v>276</v>
      </c>
      <c r="M37" s="10" t="n">
        <v>276</v>
      </c>
      <c r="N37" s="10" t="n">
        <f aca="false">IF(AND(INPUTS!$E$33=1,TRIB!M37&lt;&gt;""),TRIB!M37,"")</f>
        <v>276</v>
      </c>
      <c r="O37" s="10" t="n">
        <f aca="false">IF(AND(INPUTS!$E$34=1,TRIB!M37&lt;&gt;""),TRIB!M37,"")</f>
        <v>276</v>
      </c>
      <c r="P37" s="10" t="n">
        <f aca="false">IF(AND(INPUTS!$E$35=1,TRIB!M37&lt;&gt;""),TRIB!M37,"")</f>
        <v>276</v>
      </c>
    </row>
    <row r="38" customFormat="false" ht="15" hidden="false" customHeight="false" outlineLevel="0" collapsed="false">
      <c r="A38" s="3" t="s">
        <v>161</v>
      </c>
      <c r="B38" s="10" t="n">
        <v>501.100007090652</v>
      </c>
      <c r="C38" s="10" t="n">
        <v>455.784984527775</v>
      </c>
      <c r="D38" s="4" t="str">
        <f aca="false">IF(B38="","A",IF(B38&gt;=INPUTS!$B$17,"B","A"))</f>
        <v>A</v>
      </c>
      <c r="E38" s="10" t="str">
        <f aca="false">IF(AND(INPUTS!$E$24=1,$D38="B",TRIB!F38&lt;&gt;""),TRIB!F38,"")</f>
        <v/>
      </c>
      <c r="F38" s="10" t="n">
        <v>158</v>
      </c>
      <c r="G38" s="10" t="n">
        <v>264</v>
      </c>
      <c r="H38" s="10" t="n">
        <v>236</v>
      </c>
      <c r="I38" s="10" t="n">
        <v>236</v>
      </c>
      <c r="J38" s="10" t="n">
        <v>236</v>
      </c>
      <c r="K38" s="10" t="n">
        <v>236</v>
      </c>
      <c r="L38" s="10" t="n">
        <v>236</v>
      </c>
      <c r="M38" s="10" t="n">
        <v>236</v>
      </c>
      <c r="N38" s="10" t="n">
        <f aca="false">IF(AND(INPUTS!$E$33=1,TRIB!M38&lt;&gt;""),TRIB!M38,"")</f>
        <v>236</v>
      </c>
      <c r="O38" s="10" t="n">
        <f aca="false">IF(AND(INPUTS!$E$34=1,TRIB!M38&lt;&gt;""),TRIB!M38,"")</f>
        <v>236</v>
      </c>
      <c r="P38" s="10" t="n">
        <f aca="false">IF(AND(INPUTS!$E$35=1,TRIB!M38&lt;&gt;""),TRIB!M38,"")</f>
        <v>236</v>
      </c>
    </row>
    <row r="39" customFormat="false" ht="15" hidden="false" customHeight="false" outlineLevel="0" collapsed="false">
      <c r="A39" s="3" t="s">
        <v>162</v>
      </c>
      <c r="B39" s="10" t="n">
        <v>501.912797574455</v>
      </c>
      <c r="C39" s="10" t="n">
        <v>469.059694401306</v>
      </c>
      <c r="D39" s="4" t="str">
        <f aca="false">IF(B39="","A",IF(B39&gt;=INPUTS!$B$17,"B","A"))</f>
        <v>A</v>
      </c>
      <c r="E39" s="10" t="str">
        <f aca="false">IF(AND(INPUTS!$E$24=1,$D39="B",TRIB!F39&lt;&gt;""),TRIB!F39,"")</f>
        <v/>
      </c>
      <c r="F39" s="10" t="n">
        <v>357</v>
      </c>
      <c r="G39" s="10" t="n">
        <v>360</v>
      </c>
      <c r="H39" s="10" t="n">
        <v>360</v>
      </c>
      <c r="I39" s="10" t="n">
        <v>360</v>
      </c>
      <c r="J39" s="10" t="n">
        <v>360</v>
      </c>
      <c r="K39" s="10" t="n">
        <v>360</v>
      </c>
      <c r="L39" s="10" t="n">
        <v>360</v>
      </c>
      <c r="M39" s="10" t="n">
        <v>360</v>
      </c>
      <c r="N39" s="10" t="n">
        <f aca="false">IF(AND(INPUTS!$E$33=1,TRIB!M39&lt;&gt;""),TRIB!M39,"")</f>
        <v>360</v>
      </c>
      <c r="O39" s="10" t="n">
        <f aca="false">IF(AND(INPUTS!$E$34=1,TRIB!M39&lt;&gt;""),TRIB!M39,"")</f>
        <v>360</v>
      </c>
      <c r="P39" s="10" t="n">
        <f aca="false">IF(AND(INPUTS!$E$35=1,TRIB!M39&lt;&gt;""),TRIB!M39,"")</f>
        <v>360</v>
      </c>
    </row>
    <row r="40" customFormat="false" ht="15" hidden="false" customHeight="false" outlineLevel="0" collapsed="false">
      <c r="A40" s="3" t="s">
        <v>163</v>
      </c>
      <c r="B40" s="10" t="n">
        <v>512.945975726731</v>
      </c>
      <c r="C40" s="10" t="n">
        <v>551.273309501714</v>
      </c>
      <c r="D40" s="4" t="str">
        <f aca="false">IF(B40="","A",IF(B40&gt;=INPUTS!$B$17,"B","A"))</f>
        <v>A</v>
      </c>
      <c r="E40" s="10" t="str">
        <f aca="false">IF(AND(INPUTS!$E$24=1,$D40="B",TRIB!F40&lt;&gt;""),TRIB!F40,"")</f>
        <v/>
      </c>
      <c r="F40" s="10" t="n">
        <v>112</v>
      </c>
      <c r="G40" s="10" t="n">
        <v>126</v>
      </c>
      <c r="H40" s="10" t="n">
        <v>126</v>
      </c>
      <c r="I40" s="10" t="n">
        <v>126</v>
      </c>
      <c r="J40" s="10" t="n">
        <v>126</v>
      </c>
      <c r="K40" s="10" t="n">
        <v>112</v>
      </c>
      <c r="L40" s="10" t="n">
        <v>111</v>
      </c>
      <c r="M40" s="10" t="n">
        <v>111</v>
      </c>
      <c r="N40" s="10" t="n">
        <f aca="false">IF(AND(INPUTS!$E$33=1,TRIB!M40&lt;&gt;""),TRIB!M40,"")</f>
        <v>111</v>
      </c>
      <c r="O40" s="10" t="n">
        <f aca="false">IF(AND(INPUTS!$E$34=1,TRIB!M40&lt;&gt;""),TRIB!M40,"")</f>
        <v>111</v>
      </c>
      <c r="P40" s="10" t="n">
        <f aca="false">IF(AND(INPUTS!$E$35=1,TRIB!M40&lt;&gt;""),TRIB!M40,"")</f>
        <v>111</v>
      </c>
    </row>
    <row r="41" customFormat="false" ht="15" hidden="false" customHeight="false" outlineLevel="0" collapsed="false">
      <c r="A41" s="3" t="s">
        <v>164</v>
      </c>
      <c r="B41" s="10" t="n">
        <v>512.945975726731</v>
      </c>
      <c r="C41" s="10" t="n">
        <v>565.465344378737</v>
      </c>
      <c r="D41" s="4" t="str">
        <f aca="false">IF(B41="","A",IF(B41&gt;=INPUTS!$B$17,"B","A"))</f>
        <v>A</v>
      </c>
      <c r="E41" s="10" t="str">
        <f aca="false">IF(AND(INPUTS!$E$24=1,$D41="B",TRIB!F41&lt;&gt;""),TRIB!F41,"")</f>
        <v/>
      </c>
      <c r="F41" s="10" t="n">
        <v>116</v>
      </c>
      <c r="G41" s="10" t="n">
        <v>129</v>
      </c>
      <c r="H41" s="10" t="n">
        <v>398</v>
      </c>
      <c r="I41" s="10" t="n">
        <v>131</v>
      </c>
      <c r="J41" s="10" t="n">
        <v>130</v>
      </c>
      <c r="K41" s="10" t="n">
        <v>114</v>
      </c>
      <c r="L41" s="10" t="n">
        <v>115</v>
      </c>
      <c r="M41" s="10" t="n">
        <v>115</v>
      </c>
      <c r="N41" s="10" t="n">
        <f aca="false">IF(AND(INPUTS!$E$33=1,TRIB!M41&lt;&gt;""),TRIB!M41,"")</f>
        <v>115</v>
      </c>
      <c r="O41" s="10" t="n">
        <f aca="false">IF(AND(INPUTS!$E$34=1,TRIB!M41&lt;&gt;""),TRIB!M41,"")</f>
        <v>115</v>
      </c>
      <c r="P41" s="10" t="n">
        <f aca="false">IF(AND(INPUTS!$E$35=1,TRIB!M41&lt;&gt;""),TRIB!M41,"")</f>
        <v>115</v>
      </c>
    </row>
    <row r="42" customFormat="false" ht="15" hidden="false" customHeight="false" outlineLevel="0" collapsed="false">
      <c r="A42" s="3" t="s">
        <v>165</v>
      </c>
      <c r="B42" s="10" t="n">
        <v>517.141671396972</v>
      </c>
      <c r="C42" s="10" t="n">
        <v>521.431988473852</v>
      </c>
      <c r="D42" s="4" t="str">
        <f aca="false">IF(B42="","A",IF(B42&gt;=INPUTS!$B$17,"B","A"))</f>
        <v>A</v>
      </c>
      <c r="E42" s="10" t="str">
        <f aca="false">IF(AND(INPUTS!$E$24=1,$D42="B",TRIB!F42&lt;&gt;""),TRIB!F42,"")</f>
        <v/>
      </c>
      <c r="F42" s="10" t="n">
        <v>192</v>
      </c>
      <c r="G42" s="10" t="n">
        <v>192</v>
      </c>
      <c r="H42" s="10" t="n">
        <v>192</v>
      </c>
      <c r="I42" s="10" t="n">
        <v>192</v>
      </c>
      <c r="J42" s="10" t="n">
        <v>192</v>
      </c>
      <c r="K42" s="10" t="n">
        <v>193</v>
      </c>
      <c r="L42" s="10" t="n">
        <v>193</v>
      </c>
      <c r="M42" s="10" t="n">
        <v>193</v>
      </c>
      <c r="N42" s="10" t="n">
        <f aca="false">IF(AND(INPUTS!$E$33=1,TRIB!M42&lt;&gt;""),TRIB!M42,"")</f>
        <v>193</v>
      </c>
      <c r="O42" s="10" t="n">
        <f aca="false">IF(AND(INPUTS!$E$34=1,TRIB!M42&lt;&gt;""),TRIB!M42,"")</f>
        <v>193</v>
      </c>
      <c r="P42" s="10" t="n">
        <f aca="false">IF(AND(INPUTS!$E$35=1,TRIB!M42&lt;&gt;""),TRIB!M42,"")</f>
        <v>193</v>
      </c>
    </row>
    <row r="43" customFormat="false" ht="15" hidden="false" customHeight="false" outlineLevel="0" collapsed="false">
      <c r="A43" s="3" t="s">
        <v>166</v>
      </c>
      <c r="B43" s="10" t="n">
        <v>519.925142393398</v>
      </c>
      <c r="C43" s="10" t="n">
        <v>534.549866654836</v>
      </c>
      <c r="D43" s="4" t="str">
        <f aca="false">IF(B43="","A",IF(B43&gt;=INPUTS!$B$17,"B","A"))</f>
        <v>A</v>
      </c>
      <c r="E43" s="10" t="str">
        <f aca="false">IF(AND(INPUTS!$E$24=1,$D43="B",TRIB!F43&lt;&gt;""),TRIB!F43,"")</f>
        <v/>
      </c>
      <c r="F43" s="10" t="n">
        <v>169</v>
      </c>
      <c r="G43" s="10" t="n">
        <v>175</v>
      </c>
      <c r="H43" s="10" t="n">
        <v>175</v>
      </c>
      <c r="I43" s="10" t="n">
        <v>175</v>
      </c>
      <c r="J43" s="10" t="n">
        <v>175</v>
      </c>
      <c r="K43" s="10" t="n">
        <v>168</v>
      </c>
      <c r="L43" s="10" t="n">
        <v>168</v>
      </c>
      <c r="M43" s="10" t="n">
        <v>168</v>
      </c>
      <c r="N43" s="10" t="n">
        <f aca="false">IF(AND(INPUTS!$E$33=1,TRIB!M43&lt;&gt;""),TRIB!M43,"")</f>
        <v>168</v>
      </c>
      <c r="O43" s="10" t="n">
        <f aca="false">IF(AND(INPUTS!$E$34=1,TRIB!M43&lt;&gt;""),TRIB!M43,"")</f>
        <v>168</v>
      </c>
      <c r="P43" s="10" t="n">
        <f aca="false">IF(AND(INPUTS!$E$35=1,TRIB!M43&lt;&gt;""),TRIB!M43,"")</f>
        <v>168</v>
      </c>
    </row>
    <row r="44" customFormat="false" ht="15" hidden="false" customHeight="false" outlineLevel="0" collapsed="false">
      <c r="A44" s="3" t="s">
        <v>167</v>
      </c>
      <c r="B44" s="10" t="n">
        <v>522.703916395439</v>
      </c>
      <c r="C44" s="10" t="n">
        <v>491.496817307443</v>
      </c>
      <c r="D44" s="4" t="str">
        <f aca="false">IF(B44="","A",IF(B44&gt;=INPUTS!$B$17,"B","A"))</f>
        <v>A</v>
      </c>
      <c r="E44" s="10" t="str">
        <f aca="false">IF(AND(INPUTS!$E$24=1,$D44="B",TRIB!F44&lt;&gt;""),TRIB!F44,"")</f>
        <v/>
      </c>
      <c r="F44" s="10" t="n">
        <v>485</v>
      </c>
      <c r="G44" s="10" t="n">
        <v>485</v>
      </c>
      <c r="H44" s="10" t="n">
        <v>485</v>
      </c>
      <c r="I44" s="10" t="n">
        <v>485</v>
      </c>
      <c r="J44" s="10" t="n">
        <v>486</v>
      </c>
      <c r="K44" s="10" t="n">
        <v>486</v>
      </c>
      <c r="L44" s="10" t="n">
        <v>486</v>
      </c>
      <c r="M44" s="10" t="n">
        <v>486</v>
      </c>
      <c r="N44" s="10" t="n">
        <f aca="false">IF(AND(INPUTS!$E$33=1,TRIB!M44&lt;&gt;""),TRIB!M44,"")</f>
        <v>486</v>
      </c>
      <c r="O44" s="10" t="n">
        <f aca="false">IF(AND(INPUTS!$E$34=1,TRIB!M44&lt;&gt;""),TRIB!M44,"")</f>
        <v>486</v>
      </c>
      <c r="P44" s="10" t="n">
        <f aca="false">IF(AND(INPUTS!$E$35=1,TRIB!M44&lt;&gt;""),TRIB!M44,"")</f>
        <v>486</v>
      </c>
    </row>
    <row r="45" customFormat="false" ht="15" hidden="false" customHeight="false" outlineLevel="0" collapsed="false">
      <c r="A45" s="3" t="s">
        <v>168</v>
      </c>
      <c r="B45" s="10" t="n">
        <v>525.787249728772</v>
      </c>
      <c r="C45" s="10" t="n">
        <v>512.240728040346</v>
      </c>
      <c r="D45" s="4" t="str">
        <f aca="false">IF(B45="","A",IF(B45&gt;=INPUTS!$B$17,"B","A"))</f>
        <v>A</v>
      </c>
      <c r="E45" s="10" t="str">
        <f aca="false">IF(AND(INPUTS!$E$24=1,$D45="B",TRIB!F45&lt;&gt;""),TRIB!F45,"")</f>
        <v/>
      </c>
      <c r="F45" s="10" t="n">
        <v>224</v>
      </c>
      <c r="G45" s="10" t="n">
        <v>224</v>
      </c>
      <c r="H45" s="10" t="n">
        <v>224</v>
      </c>
      <c r="I45" s="10" t="n">
        <v>224</v>
      </c>
      <c r="J45" s="10" t="n">
        <v>224</v>
      </c>
      <c r="K45" s="10" t="n">
        <v>224</v>
      </c>
      <c r="L45" s="10" t="n">
        <v>224</v>
      </c>
      <c r="M45" s="10" t="n">
        <v>224</v>
      </c>
      <c r="N45" s="10" t="n">
        <f aca="false">IF(AND(INPUTS!$E$33=1,TRIB!M45&lt;&gt;""),TRIB!M45,"")</f>
        <v>224</v>
      </c>
      <c r="O45" s="10" t="n">
        <f aca="false">IF(AND(INPUTS!$E$34=1,TRIB!M45&lt;&gt;""),TRIB!M45,"")</f>
        <v>224</v>
      </c>
      <c r="P45" s="10" t="n">
        <f aca="false">IF(AND(INPUTS!$E$35=1,TRIB!M45&lt;&gt;""),TRIB!M45,"")</f>
        <v>224</v>
      </c>
    </row>
    <row r="46" customFormat="false" ht="15" hidden="false" customHeight="false" outlineLevel="0" collapsed="false">
      <c r="A46" s="3" t="s">
        <v>169</v>
      </c>
      <c r="B46" s="10" t="n">
        <v>526.596657568213</v>
      </c>
      <c r="C46" s="10" t="n">
        <v>452.936916195128</v>
      </c>
      <c r="D46" s="4" t="str">
        <f aca="false">IF(B46="","A",IF(B46&gt;=INPUTS!$B$17,"B","A"))</f>
        <v>A</v>
      </c>
      <c r="E46" s="10" t="str">
        <f aca="false">IF(AND(INPUTS!$E$24=1,$D46="B",TRIB!F46&lt;&gt;""),TRIB!F46,"")</f>
        <v/>
      </c>
      <c r="F46" s="10" t="n">
        <v>139</v>
      </c>
      <c r="G46" s="10" t="n">
        <v>245</v>
      </c>
      <c r="H46" s="10" t="n">
        <v>244</v>
      </c>
      <c r="I46" s="10" t="n">
        <v>244</v>
      </c>
      <c r="J46" s="10" t="n">
        <v>244</v>
      </c>
      <c r="K46" s="10" t="n">
        <v>244</v>
      </c>
      <c r="L46" s="10" t="n">
        <v>244</v>
      </c>
      <c r="M46" s="10" t="n">
        <v>244</v>
      </c>
      <c r="N46" s="10" t="n">
        <f aca="false">IF(AND(INPUTS!$E$33=1,TRIB!M46&lt;&gt;""),TRIB!M46,"")</f>
        <v>244</v>
      </c>
      <c r="O46" s="10" t="n">
        <f aca="false">IF(AND(INPUTS!$E$34=1,TRIB!M46&lt;&gt;""),TRIB!M46,"")</f>
        <v>244</v>
      </c>
      <c r="P46" s="10" t="n">
        <f aca="false">IF(AND(INPUTS!$E$35=1,TRIB!M46&lt;&gt;""),TRIB!M46,"")</f>
        <v>244</v>
      </c>
    </row>
    <row r="47" customFormat="false" ht="15" hidden="false" customHeight="false" outlineLevel="0" collapsed="false">
      <c r="A47" s="3" t="s">
        <v>170</v>
      </c>
      <c r="B47" s="10" t="n">
        <v>526.596657568213</v>
      </c>
      <c r="C47" s="10" t="n">
        <v>468.196463576925</v>
      </c>
      <c r="D47" s="4" t="str">
        <f aca="false">IF(B47="","A",IF(B47&gt;=INPUTS!$B$17,"B","A"))</f>
        <v>A</v>
      </c>
      <c r="E47" s="10" t="str">
        <f aca="false">IF(AND(INPUTS!$E$24=1,$D47="B",TRIB!F47&lt;&gt;""),TRIB!F47,"")</f>
        <v/>
      </c>
      <c r="F47" s="10" t="n">
        <v>474</v>
      </c>
      <c r="G47" s="10" t="n">
        <v>474</v>
      </c>
      <c r="H47" s="10" t="n">
        <v>474</v>
      </c>
      <c r="I47" s="10" t="n">
        <v>474</v>
      </c>
      <c r="J47" s="10" t="n">
        <v>475</v>
      </c>
      <c r="K47" s="10" t="n">
        <v>475</v>
      </c>
      <c r="L47" s="10" t="n">
        <v>475</v>
      </c>
      <c r="M47" s="10" t="n">
        <v>475</v>
      </c>
      <c r="N47" s="10" t="n">
        <f aca="false">IF(AND(INPUTS!$E$33=1,TRIB!M47&lt;&gt;""),TRIB!M47,"")</f>
        <v>475</v>
      </c>
      <c r="O47" s="10" t="n">
        <f aca="false">IF(AND(INPUTS!$E$34=1,TRIB!M47&lt;&gt;""),TRIB!M47,"")</f>
        <v>475</v>
      </c>
      <c r="P47" s="10" t="n">
        <f aca="false">IF(AND(INPUTS!$E$35=1,TRIB!M47&lt;&gt;""),TRIB!M47,"")</f>
        <v>475</v>
      </c>
    </row>
    <row r="48" customFormat="false" ht="15" hidden="false" customHeight="false" outlineLevel="0" collapsed="false">
      <c r="A48" s="3" t="s">
        <v>171</v>
      </c>
      <c r="B48" s="10" t="n">
        <v>527.885992119061</v>
      </c>
      <c r="C48" s="10" t="n">
        <v>521.343185605585</v>
      </c>
      <c r="D48" s="4" t="str">
        <f aca="false">IF(B48="","A",IF(B48&gt;=INPUTS!$B$17,"B","A"))</f>
        <v>A</v>
      </c>
      <c r="E48" s="10" t="str">
        <f aca="false">IF(AND(INPUTS!$E$24=1,$D48="B",TRIB!F48&lt;&gt;""),TRIB!F48,"")</f>
        <v/>
      </c>
      <c r="F48" s="10" t="n">
        <v>208</v>
      </c>
      <c r="G48" s="10" t="n">
        <v>208</v>
      </c>
      <c r="H48" s="10" t="n">
        <v>208</v>
      </c>
      <c r="I48" s="10" t="n">
        <v>208</v>
      </c>
      <c r="J48" s="10" t="n">
        <v>208</v>
      </c>
      <c r="K48" s="10" t="n">
        <v>208</v>
      </c>
      <c r="L48" s="10" t="n">
        <v>208</v>
      </c>
      <c r="M48" s="10" t="n">
        <v>208</v>
      </c>
      <c r="N48" s="10" t="n">
        <f aca="false">IF(AND(INPUTS!$E$33=1,TRIB!M48&lt;&gt;""),TRIB!M48,"")</f>
        <v>208</v>
      </c>
      <c r="O48" s="10" t="n">
        <f aca="false">IF(AND(INPUTS!$E$34=1,TRIB!M48&lt;&gt;""),TRIB!M48,"")</f>
        <v>208</v>
      </c>
      <c r="P48" s="10" t="n">
        <f aca="false">IF(AND(INPUTS!$E$35=1,TRIB!M48&lt;&gt;""),TRIB!M48,"")</f>
        <v>208</v>
      </c>
    </row>
    <row r="49" customFormat="false" ht="15" hidden="false" customHeight="false" outlineLevel="0" collapsed="false">
      <c r="A49" s="3" t="s">
        <v>172</v>
      </c>
      <c r="B49" s="10" t="n">
        <v>533.518219627271</v>
      </c>
      <c r="C49" s="10" t="n">
        <v>549.184767835048</v>
      </c>
      <c r="D49" s="4" t="str">
        <f aca="false">IF(B49="","A",IF(B49&gt;=INPUTS!$B$17,"B","A"))</f>
        <v>A</v>
      </c>
      <c r="E49" s="10" t="str">
        <f aca="false">IF(AND(INPUTS!$E$24=1,$D49="B",TRIB!F49&lt;&gt;""),TRIB!F49,"")</f>
        <v/>
      </c>
      <c r="F49" s="10" t="n">
        <v>273</v>
      </c>
      <c r="G49" s="10" t="n">
        <v>273</v>
      </c>
      <c r="H49" s="10" t="n">
        <v>273</v>
      </c>
      <c r="I49" s="10" t="n">
        <v>273</v>
      </c>
      <c r="J49" s="10" t="n">
        <v>274</v>
      </c>
      <c r="K49" s="10" t="n">
        <v>274</v>
      </c>
      <c r="L49" s="10" t="n">
        <v>274</v>
      </c>
      <c r="M49" s="10" t="n">
        <v>274</v>
      </c>
      <c r="N49" s="10" t="n">
        <f aca="false">IF(AND(INPUTS!$E$33=1,TRIB!M49&lt;&gt;""),TRIB!M49,"")</f>
        <v>274</v>
      </c>
      <c r="O49" s="10" t="n">
        <f aca="false">IF(AND(INPUTS!$E$34=1,TRIB!M49&lt;&gt;""),TRIB!M49,"")</f>
        <v>274</v>
      </c>
      <c r="P49" s="10" t="n">
        <f aca="false">IF(AND(INPUTS!$E$35=1,TRIB!M49&lt;&gt;""),TRIB!M49,"")</f>
        <v>274</v>
      </c>
    </row>
    <row r="50" customFormat="false" ht="15" hidden="false" customHeight="false" outlineLevel="0" collapsed="false">
      <c r="A50" s="3" t="s">
        <v>173</v>
      </c>
      <c r="B50" s="10" t="n">
        <v>533.518219627271</v>
      </c>
      <c r="C50" s="10" t="n">
        <v>565.590344378737</v>
      </c>
      <c r="D50" s="4" t="str">
        <f aca="false">IF(B50="","A",IF(B50&gt;=INPUTS!$B$17,"B","A"))</f>
        <v>A</v>
      </c>
      <c r="E50" s="10" t="str">
        <f aca="false">IF(AND(INPUTS!$E$24=1,$D50="B",TRIB!F50&lt;&gt;""),TRIB!F50,"")</f>
        <v/>
      </c>
      <c r="F50" s="10" t="n">
        <v>184</v>
      </c>
      <c r="G50" s="10" t="n">
        <v>182</v>
      </c>
      <c r="H50" s="10" t="n">
        <v>819</v>
      </c>
      <c r="I50" s="10" t="n">
        <v>181</v>
      </c>
      <c r="J50" s="10" t="n">
        <v>180</v>
      </c>
      <c r="K50" s="10" t="n">
        <v>177</v>
      </c>
      <c r="L50" s="10" t="n">
        <v>179</v>
      </c>
      <c r="M50" s="10" t="n">
        <v>179</v>
      </c>
      <c r="N50" s="10" t="n">
        <f aca="false">IF(AND(INPUTS!$E$33=1,TRIB!M50&lt;&gt;""),TRIB!M50,"")</f>
        <v>179</v>
      </c>
      <c r="O50" s="10" t="n">
        <f aca="false">IF(AND(INPUTS!$E$34=1,TRIB!M50&lt;&gt;""),TRIB!M50,"")</f>
        <v>179</v>
      </c>
      <c r="P50" s="10" t="n">
        <f aca="false">IF(AND(INPUTS!$E$35=1,TRIB!M50&lt;&gt;""),TRIB!M50,"")</f>
        <v>179</v>
      </c>
    </row>
    <row r="51" customFormat="false" ht="15" hidden="false" customHeight="false" outlineLevel="0" collapsed="false">
      <c r="A51" s="3" t="s">
        <v>174</v>
      </c>
      <c r="B51" s="10" t="n">
        <v>536.164969095825</v>
      </c>
      <c r="C51" s="10" t="n">
        <v>508.157394707013</v>
      </c>
      <c r="D51" s="4" t="str">
        <f aca="false">IF(B51="","A",IF(B51&gt;=INPUTS!$B$17,"B","A"))</f>
        <v>A</v>
      </c>
      <c r="E51" s="10" t="str">
        <f aca="false">IF(AND(INPUTS!$E$24=1,$D51="B",TRIB!F51&lt;&gt;""),TRIB!F51,"")</f>
        <v/>
      </c>
      <c r="F51" s="10" t="n">
        <v>88</v>
      </c>
      <c r="G51" s="10" t="n">
        <v>88</v>
      </c>
      <c r="H51" s="10" t="n">
        <v>88</v>
      </c>
      <c r="I51" s="10" t="n">
        <v>88</v>
      </c>
      <c r="J51" s="10" t="n">
        <v>85</v>
      </c>
      <c r="K51" s="10" t="n">
        <v>85</v>
      </c>
      <c r="L51" s="10" t="n">
        <v>85</v>
      </c>
      <c r="M51" s="10" t="n">
        <v>85</v>
      </c>
      <c r="N51" s="10" t="n">
        <f aca="false">IF(AND(INPUTS!$E$33=1,TRIB!M51&lt;&gt;""),TRIB!M51,"")</f>
        <v>85</v>
      </c>
      <c r="O51" s="10" t="n">
        <f aca="false">IF(AND(INPUTS!$E$34=1,TRIB!M51&lt;&gt;""),TRIB!M51,"")</f>
        <v>85</v>
      </c>
      <c r="P51" s="10" t="n">
        <f aca="false">IF(AND(INPUTS!$E$35=1,TRIB!M51&lt;&gt;""),TRIB!M51,"")</f>
        <v>85</v>
      </c>
    </row>
    <row r="52" customFormat="false" ht="15" hidden="false" customHeight="false" outlineLevel="0" collapsed="false">
      <c r="A52" s="3" t="s">
        <v>175</v>
      </c>
      <c r="B52" s="10" t="n">
        <v>537.544574235033</v>
      </c>
      <c r="C52" s="10" t="n">
        <v>451.103582861795</v>
      </c>
      <c r="D52" s="4" t="str">
        <f aca="false">IF(B52="","A",IF(B52&gt;=INPUTS!$B$17,"B","A"))</f>
        <v>A</v>
      </c>
      <c r="E52" s="10" t="str">
        <f aca="false">IF(AND(INPUTS!$E$24=1,$D52="B",TRIB!F52&lt;&gt;""),TRIB!F52,"")</f>
        <v/>
      </c>
      <c r="F52" s="10" t="n">
        <v>156</v>
      </c>
      <c r="G52" s="10" t="n">
        <v>235</v>
      </c>
      <c r="H52" s="10" t="n">
        <v>235</v>
      </c>
      <c r="I52" s="10" t="n">
        <v>235</v>
      </c>
      <c r="J52" s="10" t="n">
        <v>235</v>
      </c>
      <c r="K52" s="10" t="n">
        <v>235</v>
      </c>
      <c r="L52" s="10" t="n">
        <v>235</v>
      </c>
      <c r="M52" s="10" t="n">
        <v>235</v>
      </c>
      <c r="N52" s="10" t="n">
        <f aca="false">IF(AND(INPUTS!$E$33=1,TRIB!M52&lt;&gt;""),TRIB!M52,"")</f>
        <v>235</v>
      </c>
      <c r="O52" s="10" t="n">
        <f aca="false">IF(AND(INPUTS!$E$34=1,TRIB!M52&lt;&gt;""),TRIB!M52,"")</f>
        <v>235</v>
      </c>
      <c r="P52" s="10" t="n">
        <f aca="false">IF(AND(INPUTS!$E$35=1,TRIB!M52&lt;&gt;""),TRIB!M52,"")</f>
        <v>235</v>
      </c>
    </row>
    <row r="53" customFormat="false" ht="15" hidden="false" customHeight="false" outlineLevel="0" collapsed="false">
      <c r="A53" s="3" t="s">
        <v>176</v>
      </c>
      <c r="B53" s="10" t="n">
        <v>544.813826153216</v>
      </c>
      <c r="C53" s="10" t="n">
        <v>533.773824988171</v>
      </c>
      <c r="D53" s="4" t="str">
        <f aca="false">IF(B53="","A",IF(B53&gt;=INPUTS!$B$17,"B","A"))</f>
        <v>B</v>
      </c>
      <c r="E53" s="10" t="n">
        <f aca="false">IF(AND(INPUTS!$E$24=1,$D53="B",TRIB!F53&lt;&gt;""),TRIB!F53,"")</f>
        <v>450</v>
      </c>
      <c r="F53" s="10" t="n">
        <v>450</v>
      </c>
      <c r="G53" s="10" t="n">
        <v>361</v>
      </c>
      <c r="H53" s="10" t="n">
        <v>361</v>
      </c>
      <c r="I53" s="10" t="n">
        <v>361</v>
      </c>
      <c r="J53" s="10" t="n">
        <v>355</v>
      </c>
      <c r="K53" s="10" t="n">
        <v>355</v>
      </c>
      <c r="L53" s="10" t="n">
        <v>355</v>
      </c>
      <c r="M53" s="10" t="n">
        <v>355</v>
      </c>
      <c r="N53" s="10" t="n">
        <f aca="false">IF(AND(INPUTS!$E$33=1,TRIB!M53&lt;&gt;""),TRIB!M53,"")</f>
        <v>355</v>
      </c>
      <c r="O53" s="10" t="n">
        <f aca="false">IF(AND(INPUTS!$E$34=1,TRIB!M53&lt;&gt;""),TRIB!M53,"")</f>
        <v>355</v>
      </c>
      <c r="P53" s="10" t="n">
        <f aca="false">IF(AND(INPUTS!$E$35=1,TRIB!M53&lt;&gt;""),TRIB!M53,"")</f>
        <v>355</v>
      </c>
    </row>
    <row r="54" customFormat="false" ht="15" hidden="false" customHeight="false" outlineLevel="0" collapsed="false">
      <c r="A54" s="3" t="s">
        <v>177</v>
      </c>
      <c r="B54" s="10" t="n">
        <v>553.97652940283</v>
      </c>
      <c r="C54" s="10" t="n">
        <v>451.103582861795</v>
      </c>
      <c r="D54" s="4" t="str">
        <f aca="false">IF(B54="","A",IF(B54&gt;=INPUTS!$B$17,"B","A"))</f>
        <v>B</v>
      </c>
      <c r="E54" s="10" t="n">
        <f aca="false">IF(AND(INPUTS!$E$24=1,$D54="B",TRIB!F54&lt;&gt;""),TRIB!F54,"")</f>
        <v>121</v>
      </c>
      <c r="F54" s="10" t="n">
        <v>121</v>
      </c>
      <c r="G54" s="10" t="n">
        <v>199</v>
      </c>
      <c r="H54" s="10" t="n">
        <v>199</v>
      </c>
      <c r="I54" s="10" t="n">
        <v>199</v>
      </c>
      <c r="J54" s="10" t="n">
        <v>199</v>
      </c>
      <c r="K54" s="10" t="n">
        <v>199</v>
      </c>
      <c r="L54" s="10" t="n">
        <v>199</v>
      </c>
      <c r="M54" s="10" t="n">
        <v>199</v>
      </c>
      <c r="N54" s="10" t="n">
        <f aca="false">IF(AND(INPUTS!$E$33=1,TRIB!M54&lt;&gt;""),TRIB!M54,"")</f>
        <v>199</v>
      </c>
      <c r="O54" s="10" t="n">
        <f aca="false">IF(AND(INPUTS!$E$34=1,TRIB!M54&lt;&gt;""),TRIB!M54,"")</f>
        <v>199</v>
      </c>
      <c r="P54" s="10" t="n">
        <f aca="false">IF(AND(INPUTS!$E$35=1,TRIB!M54&lt;&gt;""),TRIB!M54,"")</f>
        <v>199</v>
      </c>
    </row>
    <row r="55" customFormat="false" ht="15" hidden="false" customHeight="false" outlineLevel="0" collapsed="false">
      <c r="A55" s="3" t="s">
        <v>178</v>
      </c>
      <c r="B55" s="10" t="n">
        <v>554.08073191287</v>
      </c>
      <c r="C55" s="10" t="n">
        <v>467.015789151914</v>
      </c>
      <c r="D55" s="4" t="str">
        <f aca="false">IF(B55="","A",IF(B55&gt;=INPUTS!$B$17,"B","A"))</f>
        <v>B</v>
      </c>
      <c r="E55" s="10" t="n">
        <f aca="false">IF(AND(INPUTS!$E$24=1,$D55="B",TRIB!F55&lt;&gt;""),TRIB!F55,"")</f>
        <v>416</v>
      </c>
      <c r="F55" s="10" t="n">
        <v>416</v>
      </c>
      <c r="G55" s="10" t="n">
        <v>414</v>
      </c>
      <c r="H55" s="10" t="n">
        <v>414</v>
      </c>
      <c r="I55" s="10" t="n">
        <v>414</v>
      </c>
      <c r="J55" s="10" t="n">
        <v>414</v>
      </c>
      <c r="K55" s="10" t="n">
        <v>414</v>
      </c>
      <c r="L55" s="10" t="n">
        <v>414</v>
      </c>
      <c r="M55" s="10" t="n">
        <v>414</v>
      </c>
      <c r="N55" s="10" t="n">
        <f aca="false">IF(AND(INPUTS!$E$33=1,TRIB!M55&lt;&gt;""),TRIB!M55,"")</f>
        <v>414</v>
      </c>
      <c r="O55" s="10" t="n">
        <f aca="false">IF(AND(INPUTS!$E$34=1,TRIB!M55&lt;&gt;""),TRIB!M55,"")</f>
        <v>414</v>
      </c>
      <c r="P55" s="10" t="n">
        <f aca="false">IF(AND(INPUTS!$E$35=1,TRIB!M55&lt;&gt;""),TRIB!M55,"")</f>
        <v>414</v>
      </c>
    </row>
    <row r="56" customFormat="false" ht="15" hidden="false" customHeight="false" outlineLevel="0" collapsed="false">
      <c r="A56" s="3" t="s">
        <v>179</v>
      </c>
      <c r="B56" s="10" t="n">
        <v>555.284209699792</v>
      </c>
      <c r="C56" s="10" t="n">
        <v>565.465344378737</v>
      </c>
      <c r="D56" s="4" t="str">
        <f aca="false">IF(B56="","A",IF(B56&gt;=INPUTS!$B$17,"B","A"))</f>
        <v>B</v>
      </c>
      <c r="E56" s="10" t="n">
        <f aca="false">IF(AND(INPUTS!$E$24=1,$D56="B",TRIB!F56&lt;&gt;""),TRIB!F56,"")</f>
        <v>226</v>
      </c>
      <c r="F56" s="10" t="n">
        <v>226</v>
      </c>
      <c r="G56" s="10" t="n">
        <v>176</v>
      </c>
      <c r="H56" s="10" t="n">
        <v>224</v>
      </c>
      <c r="I56" s="10" t="n">
        <v>78</v>
      </c>
      <c r="J56" s="10" t="n">
        <v>77</v>
      </c>
      <c r="K56" s="10" t="n">
        <v>71</v>
      </c>
      <c r="L56" s="10" t="n">
        <v>73</v>
      </c>
      <c r="M56" s="10" t="n">
        <v>73</v>
      </c>
      <c r="N56" s="10" t="n">
        <f aca="false">IF(AND(INPUTS!$E$33=1,TRIB!M56&lt;&gt;""),TRIB!M56,"")</f>
        <v>73</v>
      </c>
      <c r="O56" s="10" t="n">
        <f aca="false">IF(AND(INPUTS!$E$34=1,TRIB!M56&lt;&gt;""),TRIB!M56,"")</f>
        <v>73</v>
      </c>
      <c r="P56" s="10" t="n">
        <f aca="false">IF(AND(INPUTS!$E$35=1,TRIB!M56&lt;&gt;""),TRIB!M56,"")</f>
        <v>73</v>
      </c>
    </row>
    <row r="57" customFormat="false" ht="15" hidden="false" customHeight="false" outlineLevel="0" collapsed="false">
      <c r="A57" s="3" t="s">
        <v>180</v>
      </c>
      <c r="B57" s="10" t="n">
        <v>564.481870502447</v>
      </c>
      <c r="C57" s="10" t="n">
        <v>565.590344378737</v>
      </c>
      <c r="D57" s="4" t="str">
        <f aca="false">IF(B57="","A",IF(B57&gt;=INPUTS!$B$17,"B","A"))</f>
        <v>B</v>
      </c>
      <c r="E57" s="10" t="n">
        <f aca="false">IF(AND(INPUTS!$E$24=1,$D57="B",TRIB!F57&lt;&gt;""),TRIB!F57,"")</f>
        <v>322</v>
      </c>
      <c r="F57" s="10" t="n">
        <v>322</v>
      </c>
      <c r="G57" s="10" t="n">
        <v>25</v>
      </c>
      <c r="H57" s="10" t="n">
        <v>24</v>
      </c>
      <c r="I57" s="10" t="n">
        <v>24</v>
      </c>
      <c r="J57" s="10" t="n">
        <v>124</v>
      </c>
      <c r="K57" s="10" t="n">
        <v>24</v>
      </c>
      <c r="L57" s="10" t="n">
        <v>24</v>
      </c>
      <c r="M57" s="10" t="n">
        <v>24</v>
      </c>
      <c r="N57" s="10" t="n">
        <f aca="false">IF(AND(INPUTS!$E$33=1,TRIB!M57&lt;&gt;""),TRIB!M57,"")</f>
        <v>24</v>
      </c>
      <c r="O57" s="10" t="n">
        <f aca="false">IF(AND(INPUTS!$E$34=1,TRIB!M57&lt;&gt;""),TRIB!M57,"")</f>
        <v>24</v>
      </c>
      <c r="P57" s="10" t="n">
        <f aca="false">IF(AND(INPUTS!$E$35=1,TRIB!M57&lt;&gt;""),TRIB!M57,"")</f>
        <v>24</v>
      </c>
    </row>
    <row r="58" customFormat="false" ht="15" hidden="false" customHeight="false" outlineLevel="0" collapsed="false">
      <c r="A58" s="3" t="s">
        <v>181</v>
      </c>
      <c r="B58" s="10" t="n">
        <v>564.507743559513</v>
      </c>
      <c r="C58" s="10" t="n">
        <v>452.936916195128</v>
      </c>
      <c r="D58" s="4" t="str">
        <f aca="false">IF(B58="","A",IF(B58&gt;=INPUTS!$B$17,"B","A"))</f>
        <v>B</v>
      </c>
      <c r="E58" s="10" t="n">
        <f aca="false">IF(AND(INPUTS!$E$24=1,$D58="B",TRIB!F58&lt;&gt;""),TRIB!F58,"")</f>
        <v>236</v>
      </c>
      <c r="F58" s="10" t="n">
        <v>236</v>
      </c>
      <c r="G58" s="10" t="n">
        <v>254</v>
      </c>
      <c r="H58" s="10" t="n">
        <v>312</v>
      </c>
      <c r="I58" s="10" t="n">
        <v>312</v>
      </c>
      <c r="J58" s="10" t="n">
        <v>311</v>
      </c>
      <c r="K58" s="10" t="n">
        <v>311</v>
      </c>
      <c r="L58" s="10" t="n">
        <v>311</v>
      </c>
      <c r="M58" s="10" t="n">
        <v>311</v>
      </c>
      <c r="N58" s="10" t="n">
        <f aca="false">IF(AND(INPUTS!$E$33=1,TRIB!M58&lt;&gt;""),TRIB!M58,"")</f>
        <v>311</v>
      </c>
      <c r="O58" s="10" t="n">
        <f aca="false">IF(AND(INPUTS!$E$34=1,TRIB!M58&lt;&gt;""),TRIB!M58,"")</f>
        <v>311</v>
      </c>
      <c r="P58" s="10" t="n">
        <f aca="false">IF(AND(INPUTS!$E$35=1,TRIB!M58&lt;&gt;""),TRIB!M58,"")</f>
        <v>311</v>
      </c>
    </row>
    <row r="59" customFormat="false" ht="15" hidden="false" customHeight="false" outlineLevel="0" collapsed="false">
      <c r="A59" s="3" t="s">
        <v>182</v>
      </c>
      <c r="B59" s="10" t="n">
        <v>564.507743559513</v>
      </c>
      <c r="C59" s="10" t="n">
        <v>483.232921910255</v>
      </c>
      <c r="D59" s="4" t="str">
        <f aca="false">IF(B59="","A",IF(B59&gt;=INPUTS!$B$17,"B","A"))</f>
        <v>B</v>
      </c>
      <c r="E59" s="10" t="n">
        <f aca="false">IF(AND(INPUTS!$E$24=1,$D59="B",TRIB!F59&lt;&gt;""),TRIB!F59,"")</f>
        <v>353</v>
      </c>
      <c r="F59" s="10" t="n">
        <v>353</v>
      </c>
      <c r="G59" s="10" t="n">
        <v>188</v>
      </c>
      <c r="H59" s="10" t="n">
        <v>188</v>
      </c>
      <c r="I59" s="10" t="n">
        <v>188</v>
      </c>
      <c r="J59" s="10" t="n">
        <v>181</v>
      </c>
      <c r="K59" s="10" t="n">
        <v>181</v>
      </c>
      <c r="L59" s="10" t="n">
        <v>181</v>
      </c>
      <c r="M59" s="10" t="n">
        <v>181</v>
      </c>
      <c r="N59" s="10" t="n">
        <f aca="false">IF(AND(INPUTS!$E$33=1,TRIB!M59&lt;&gt;""),TRIB!M59,"")</f>
        <v>181</v>
      </c>
      <c r="O59" s="10" t="n">
        <f aca="false">IF(AND(INPUTS!$E$34=1,TRIB!M59&lt;&gt;""),TRIB!M59,"")</f>
        <v>181</v>
      </c>
      <c r="P59" s="10" t="n">
        <f aca="false">IF(AND(INPUTS!$E$35=1,TRIB!M59&lt;&gt;""),TRIB!M59,"")</f>
        <v>181</v>
      </c>
    </row>
    <row r="60" customFormat="false" ht="15" hidden="false" customHeight="false" outlineLevel="0" collapsed="false">
      <c r="A60" s="3" t="s">
        <v>183</v>
      </c>
      <c r="B60" s="10" t="n">
        <v>564.56520383578</v>
      </c>
      <c r="C60" s="10" t="n">
        <v>548.545556537692</v>
      </c>
      <c r="D60" s="4" t="str">
        <f aca="false">IF(B60="","A",IF(B60&gt;=INPUTS!$B$17,"B","A"))</f>
        <v>B</v>
      </c>
      <c r="E60" s="10" t="n">
        <f aca="false">IF(AND(INPUTS!$E$24=1,$D60="B",TRIB!F60&lt;&gt;""),TRIB!F60,"")</f>
        <v>360</v>
      </c>
      <c r="F60" s="10" t="n">
        <v>360</v>
      </c>
      <c r="G60" s="10" t="n">
        <v>18</v>
      </c>
      <c r="H60" s="10" t="n">
        <v>18</v>
      </c>
      <c r="I60" s="10" t="n">
        <v>18</v>
      </c>
      <c r="J60" s="10" t="n">
        <v>13</v>
      </c>
      <c r="K60" s="10" t="n">
        <v>12</v>
      </c>
      <c r="L60" s="10" t="n">
        <v>12</v>
      </c>
      <c r="M60" s="10" t="n">
        <v>12</v>
      </c>
      <c r="N60" s="10" t="n">
        <f aca="false">IF(AND(INPUTS!$E$33=1,TRIB!M60&lt;&gt;""),TRIB!M60,"")</f>
        <v>12</v>
      </c>
      <c r="O60" s="10" t="n">
        <f aca="false">IF(AND(INPUTS!$E$34=1,TRIB!M60&lt;&gt;""),TRIB!M60,"")</f>
        <v>12</v>
      </c>
      <c r="P60" s="10" t="n">
        <f aca="false">IF(AND(INPUTS!$E$35=1,TRIB!M60&lt;&gt;""),TRIB!M60,"")</f>
        <v>12</v>
      </c>
    </row>
    <row r="61" customFormat="false" ht="15" hidden="false" customHeight="false" outlineLevel="0" collapsed="false">
      <c r="A61" s="3" t="s">
        <v>184</v>
      </c>
      <c r="B61" s="10" t="n">
        <v>586.054635839488</v>
      </c>
      <c r="C61" s="10" t="n">
        <v>452.936916195128</v>
      </c>
      <c r="D61" s="4" t="str">
        <f aca="false">IF(B61="","A",IF(B61&gt;=INPUTS!$B$17,"B","A"))</f>
        <v>B</v>
      </c>
      <c r="E61" s="10" t="n">
        <f aca="false">IF(AND(INPUTS!$E$24=1,$D61="B",TRIB!F61&lt;&gt;""),TRIB!F61,"")</f>
        <v>368</v>
      </c>
      <c r="F61" s="10" t="n">
        <v>368</v>
      </c>
      <c r="G61" s="10" t="n">
        <v>344</v>
      </c>
      <c r="H61" s="10" t="n">
        <v>405</v>
      </c>
      <c r="I61" s="10" t="n">
        <v>405</v>
      </c>
      <c r="J61" s="10" t="n">
        <v>405</v>
      </c>
      <c r="K61" s="10" t="n">
        <v>405</v>
      </c>
      <c r="L61" s="10" t="n">
        <v>405</v>
      </c>
      <c r="M61" s="10" t="n">
        <v>405</v>
      </c>
      <c r="N61" s="10" t="n">
        <f aca="false">IF(AND(INPUTS!$E$33=1,TRIB!M61&lt;&gt;""),TRIB!M61,"")</f>
        <v>405</v>
      </c>
      <c r="O61" s="10" t="n">
        <f aca="false">IF(AND(INPUTS!$E$34=1,TRIB!M61&lt;&gt;""),TRIB!M61,"")</f>
        <v>405</v>
      </c>
      <c r="P61" s="10" t="n">
        <f aca="false">IF(AND(INPUTS!$E$35=1,TRIB!M61&lt;&gt;""),TRIB!M61,"")</f>
        <v>405</v>
      </c>
    </row>
    <row r="62" customFormat="false" ht="15" hidden="false" customHeight="false" outlineLevel="0" collapsed="false">
      <c r="A62" s="3" t="s">
        <v>185</v>
      </c>
      <c r="B62" s="10" t="n">
        <v>612.721302506155</v>
      </c>
      <c r="C62" s="10" t="n">
        <v>452.936916195128</v>
      </c>
      <c r="D62" s="4" t="str">
        <f aca="false">IF(B62="","A",IF(B62&gt;=INPUTS!$B$17,"B","A"))</f>
        <v>B</v>
      </c>
      <c r="E62" s="10" t="n">
        <f aca="false">IF(AND(INPUTS!$E$24=1,$D62="B",TRIB!F62&lt;&gt;""),TRIB!F62,"")</f>
        <v>373</v>
      </c>
      <c r="F62" s="10" t="n">
        <v>373</v>
      </c>
      <c r="G62" s="10" t="n">
        <v>349</v>
      </c>
      <c r="H62" s="10" t="n">
        <v>407</v>
      </c>
      <c r="I62" s="10" t="n">
        <v>407</v>
      </c>
      <c r="J62" s="10" t="n">
        <v>407</v>
      </c>
      <c r="K62" s="10" t="n">
        <v>400</v>
      </c>
      <c r="L62" s="10" t="n">
        <v>476</v>
      </c>
      <c r="M62" s="10" t="n">
        <v>476</v>
      </c>
      <c r="N62" s="10" t="n">
        <f aca="false">IF(AND(INPUTS!$E$33=1,TRIB!M62&lt;&gt;""),TRIB!M62,"")</f>
        <v>476</v>
      </c>
      <c r="O62" s="10" t="n">
        <f aca="false">IF(AND(INPUTS!$E$34=1,TRIB!M62&lt;&gt;""),TRIB!M62,"")</f>
        <v>476</v>
      </c>
      <c r="P62" s="10" t="n">
        <f aca="false">IF(AND(INPUTS!$E$35=1,TRIB!M62&lt;&gt;""),TRIB!M62,"")</f>
        <v>476</v>
      </c>
    </row>
    <row r="63" customFormat="false" ht="15" hidden="false" customHeight="false" outlineLevel="0" collapsed="false">
      <c r="A63" s="3" t="s">
        <v>186</v>
      </c>
      <c r="B63" s="10" t="n">
        <v>634.920990801595</v>
      </c>
      <c r="C63" s="10" t="n">
        <v>452.936916195128</v>
      </c>
      <c r="D63" s="4" t="str">
        <f aca="false">IF(B63="","A",IF(B63&gt;=INPUTS!$B$17,"B","A"))</f>
        <v>B</v>
      </c>
      <c r="E63" s="10" t="n">
        <f aca="false">IF(AND(INPUTS!$E$24=1,$D63="B",TRIB!F63&lt;&gt;""),TRIB!F63,"")</f>
        <v>257</v>
      </c>
      <c r="F63" s="10" t="n">
        <v>257</v>
      </c>
      <c r="G63" s="10" t="n">
        <v>247</v>
      </c>
      <c r="H63" s="10" t="n">
        <v>342</v>
      </c>
      <c r="I63" s="10" t="n">
        <v>342</v>
      </c>
      <c r="J63" s="10" t="n">
        <v>342</v>
      </c>
      <c r="K63" s="10" t="n">
        <v>317</v>
      </c>
      <c r="L63" s="10" t="n">
        <v>89</v>
      </c>
      <c r="M63" s="10" t="n">
        <v>89</v>
      </c>
      <c r="N63" s="10" t="n">
        <f aca="false">IF(AND(INPUTS!$E$33=1,TRIB!M63&lt;&gt;""),TRIB!M63,"")</f>
        <v>89</v>
      </c>
      <c r="O63" s="10" t="n">
        <f aca="false">IF(AND(INPUTS!$E$34=1,TRIB!M63&lt;&gt;""),TRIB!M63,"")</f>
        <v>89</v>
      </c>
      <c r="P63" s="10" t="n">
        <f aca="false">IF(AND(INPUTS!$E$35=1,TRIB!M63&lt;&gt;""),TRIB!M63,"")</f>
        <v>89</v>
      </c>
    </row>
    <row r="64" customFormat="false" ht="15" hidden="false" customHeight="false" outlineLevel="0" collapsed="false">
      <c r="A64" s="3" t="s">
        <v>187</v>
      </c>
      <c r="B64" s="10" t="n">
        <v>582.981870502447</v>
      </c>
      <c r="C64" s="10" t="n">
        <v>1885.93938281787</v>
      </c>
      <c r="D64" s="4" t="str">
        <f aca="false">IF(B64="","A",IF(B64&gt;=INPUTS!$B$17,"B","A"))</f>
        <v>B</v>
      </c>
      <c r="E64" s="10" t="n">
        <f aca="false">IF(AND(INPUTS!$E$24=1,$D64="B",TRIB!F64&lt;&gt;""),TRIB!F64,"")</f>
        <v>770</v>
      </c>
      <c r="F64" s="10" t="n">
        <v>770</v>
      </c>
      <c r="G64" s="10" t="n">
        <v>539</v>
      </c>
      <c r="H64" s="10" t="n">
        <v>539</v>
      </c>
      <c r="I64" s="10" t="n">
        <v>539</v>
      </c>
      <c r="J64" s="10" t="n">
        <v>553</v>
      </c>
      <c r="K64" s="10"/>
      <c r="L64" s="10"/>
      <c r="M64" s="10"/>
      <c r="N64" s="10" t="str">
        <f aca="false">IF(AND(INPUTS!$E$33=1,TRIB!M64&lt;&gt;""),TRIB!M64,"")</f>
        <v/>
      </c>
      <c r="O64" s="10" t="str">
        <f aca="false">IF(AND(INPUTS!$E$34=1,TRIB!M64&lt;&gt;""),TRIB!M64,"")</f>
        <v/>
      </c>
      <c r="P64" s="10" t="str">
        <f aca="false">IF(AND(INPUTS!$E$35=1,TRIB!M64&lt;&gt;""),TRIB!M64,"")</f>
        <v/>
      </c>
    </row>
    <row r="65" customFormat="false" ht="15" hidden="false" customHeight="false" outlineLevel="0" collapsed="false">
      <c r="A65" s="3" t="s">
        <v>188</v>
      </c>
      <c r="B65" s="10" t="n">
        <v>582.981870502447</v>
      </c>
      <c r="C65" s="10" t="n">
        <v>1919.10604948454</v>
      </c>
      <c r="D65" s="4" t="str">
        <f aca="false">IF(B65="","A",IF(B65&gt;=INPUTS!$B$17,"B","A"))</f>
        <v>B</v>
      </c>
      <c r="E65" s="10" t="n">
        <f aca="false">IF(AND(INPUTS!$E$24=1,$D65="B",TRIB!F65&lt;&gt;""),TRIB!F65,"")</f>
        <v>611</v>
      </c>
      <c r="F65" s="10" t="n">
        <v>611</v>
      </c>
      <c r="G65" s="10" t="n">
        <v>550</v>
      </c>
      <c r="H65" s="10" t="n">
        <v>551</v>
      </c>
      <c r="I65" s="10" t="n">
        <v>551</v>
      </c>
      <c r="J65" s="10" t="n">
        <v>569</v>
      </c>
      <c r="K65" s="10"/>
      <c r="L65" s="10"/>
      <c r="M65" s="10"/>
      <c r="N65" s="10" t="str">
        <f aca="false">IF(AND(INPUTS!$E$33=1,TRIB!M65&lt;&gt;""),TRIB!M65,"")</f>
        <v/>
      </c>
      <c r="O65" s="10" t="str">
        <f aca="false">IF(AND(INPUTS!$E$34=1,TRIB!M65&lt;&gt;""),TRIB!M65,"")</f>
        <v/>
      </c>
      <c r="P65" s="10" t="str">
        <f aca="false">IF(AND(INPUTS!$E$35=1,TRIB!M65&lt;&gt;""),TRIB!M65,"")</f>
        <v/>
      </c>
    </row>
    <row r="66" customFormat="false" ht="15" hidden="false" customHeight="false" outlineLevel="0" collapsed="false">
      <c r="A66" s="3" t="s">
        <v>189</v>
      </c>
      <c r="B66" s="10" t="n">
        <v>582.981870502447</v>
      </c>
      <c r="C66" s="10" t="n">
        <v>1945.7727161512</v>
      </c>
      <c r="D66" s="4" t="str">
        <f aca="false">IF(B66="","A",IF(B66&gt;=INPUTS!$B$17,"B","A"))</f>
        <v>B</v>
      </c>
      <c r="E66" s="10" t="n">
        <f aca="false">IF(AND(INPUTS!$E$24=1,$D66="B",TRIB!F66&lt;&gt;""),TRIB!F66,"")</f>
        <v>399</v>
      </c>
      <c r="F66" s="10" t="n">
        <v>399</v>
      </c>
      <c r="G66" s="10" t="n">
        <v>339</v>
      </c>
      <c r="H66" s="10" t="n">
        <v>347</v>
      </c>
      <c r="I66" s="10" t="n">
        <v>347</v>
      </c>
      <c r="J66" s="10" t="n">
        <v>703</v>
      </c>
      <c r="K66" s="10"/>
      <c r="L66" s="10"/>
      <c r="M66" s="10"/>
      <c r="N66" s="10" t="str">
        <f aca="false">IF(AND(INPUTS!$E$33=1,TRIB!M66&lt;&gt;""),TRIB!M66,"")</f>
        <v/>
      </c>
      <c r="O66" s="10" t="str">
        <f aca="false">IF(AND(INPUTS!$E$34=1,TRIB!M66&lt;&gt;""),TRIB!M66,"")</f>
        <v/>
      </c>
      <c r="P66" s="10" t="str">
        <f aca="false">IF(AND(INPUTS!$E$35=1,TRIB!M66&lt;&gt;""),TRIB!M66,"")</f>
        <v/>
      </c>
    </row>
    <row r="67" customFormat="false" ht="15" hidden="false" customHeight="false" outlineLevel="0" collapsed="false">
      <c r="A67" s="3" t="s">
        <v>190</v>
      </c>
      <c r="B67" s="10" t="n">
        <v>586.054635839488</v>
      </c>
      <c r="C67" s="10" t="n">
        <v>1860.77331074306</v>
      </c>
      <c r="D67" s="4" t="str">
        <f aca="false">IF(B67="","A",IF(B67&gt;=INPUTS!$B$17,"B","A"))</f>
        <v>B</v>
      </c>
      <c r="E67" s="10" t="n">
        <f aca="false">IF(AND(INPUTS!$E$24=1,$D67="B",TRIB!F67&lt;&gt;""),TRIB!F67,"")</f>
        <v>567</v>
      </c>
      <c r="F67" s="10" t="n">
        <v>567</v>
      </c>
      <c r="G67" s="10" t="n">
        <v>402</v>
      </c>
      <c r="H67" s="10" t="n">
        <v>402</v>
      </c>
      <c r="I67" s="10" t="n">
        <v>402</v>
      </c>
      <c r="J67" s="10" t="n">
        <v>396</v>
      </c>
      <c r="K67" s="10"/>
      <c r="L67" s="10"/>
      <c r="M67" s="10"/>
      <c r="N67" s="10" t="str">
        <f aca="false">IF(AND(INPUTS!$E$33=1,TRIB!M67&lt;&gt;""),TRIB!M67,"")</f>
        <v/>
      </c>
      <c r="O67" s="10" t="str">
        <f aca="false">IF(AND(INPUTS!$E$34=1,TRIB!M67&lt;&gt;""),TRIB!M67,"")</f>
        <v/>
      </c>
      <c r="P67" s="10" t="str">
        <f aca="false">IF(AND(INPUTS!$E$35=1,TRIB!M67&lt;&gt;""),TRIB!M67,"")</f>
        <v/>
      </c>
    </row>
    <row r="68" customFormat="false" ht="15" hidden="false" customHeight="false" outlineLevel="0" collapsed="false">
      <c r="A68" s="3" t="s">
        <v>191</v>
      </c>
      <c r="B68" s="10" t="n">
        <v>608.221302506176</v>
      </c>
      <c r="C68" s="10" t="n">
        <v>1888.78198508235</v>
      </c>
      <c r="D68" s="4" t="str">
        <f aca="false">IF(B68="","A",IF(B68&gt;=INPUTS!$B$17,"B","A"))</f>
        <v>B</v>
      </c>
      <c r="E68" s="10" t="n">
        <f aca="false">IF(AND(INPUTS!$E$24=1,$D68="B",TRIB!F68&lt;&gt;""),TRIB!F68,"")</f>
        <v>738</v>
      </c>
      <c r="F68" s="10" t="n">
        <v>738</v>
      </c>
      <c r="G68" s="10" t="n">
        <v>520</v>
      </c>
      <c r="H68" s="10" t="n">
        <v>520</v>
      </c>
      <c r="I68" s="10" t="n">
        <v>520</v>
      </c>
      <c r="J68" s="10" t="n">
        <v>770</v>
      </c>
      <c r="K68" s="10"/>
      <c r="L68" s="10"/>
      <c r="M68" s="10"/>
      <c r="N68" s="10" t="str">
        <f aca="false">IF(AND(INPUTS!$E$33=1,TRIB!M68&lt;&gt;""),TRIB!M68,"")</f>
        <v/>
      </c>
      <c r="O68" s="10" t="str">
        <f aca="false">IF(AND(INPUTS!$E$34=1,TRIB!M68&lt;&gt;""),TRIB!M68,"")</f>
        <v/>
      </c>
      <c r="P68" s="10" t="str">
        <f aca="false">IF(AND(INPUTS!$E$35=1,TRIB!M68&lt;&gt;""),TRIB!M68,"")</f>
        <v/>
      </c>
    </row>
    <row r="69" customFormat="false" ht="15" hidden="false" customHeight="false" outlineLevel="0" collapsed="false">
      <c r="A69" s="3" t="s">
        <v>192</v>
      </c>
      <c r="B69" s="10" t="n">
        <v>608.221302506175</v>
      </c>
      <c r="C69" s="10" t="n">
        <v>1919.78198508235</v>
      </c>
      <c r="D69" s="4" t="str">
        <f aca="false">IF(B69="","A",IF(B69&gt;=INPUTS!$B$17,"B","A"))</f>
        <v>B</v>
      </c>
      <c r="E69" s="10" t="n">
        <f aca="false">IF(AND(INPUTS!$E$24=1,$D69="B",TRIB!F69&lt;&gt;""),TRIB!F69,"")</f>
        <v>750</v>
      </c>
      <c r="F69" s="10" t="n">
        <v>750</v>
      </c>
      <c r="G69" s="10" t="n">
        <v>555</v>
      </c>
      <c r="H69" s="10" t="n">
        <v>555</v>
      </c>
      <c r="I69" s="10" t="n">
        <v>555</v>
      </c>
      <c r="J69" s="10" t="n">
        <v>757</v>
      </c>
      <c r="K69" s="10"/>
      <c r="L69" s="10"/>
      <c r="M69" s="10"/>
      <c r="N69" s="10" t="str">
        <f aca="false">IF(AND(INPUTS!$E$33=1,TRIB!M69&lt;&gt;""),TRIB!M69,"")</f>
        <v/>
      </c>
      <c r="O69" s="10" t="str">
        <f aca="false">IF(AND(INPUTS!$E$34=1,TRIB!M69&lt;&gt;""),TRIB!M69,"")</f>
        <v/>
      </c>
      <c r="P69" s="10" t="str">
        <f aca="false">IF(AND(INPUTS!$E$35=1,TRIB!M69&lt;&gt;""),TRIB!M69,"")</f>
        <v/>
      </c>
    </row>
    <row r="70" customFormat="false" ht="15" hidden="false" customHeight="false" outlineLevel="0" collapsed="false">
      <c r="A70" s="3" t="s">
        <v>193</v>
      </c>
      <c r="B70" s="10" t="n">
        <v>608.221302506175</v>
      </c>
      <c r="C70" s="10" t="n">
        <v>1946.94772662427</v>
      </c>
      <c r="D70" s="4" t="str">
        <f aca="false">IF(B70="","A",IF(B70&gt;=INPUTS!$B$17,"B","A"))</f>
        <v>B</v>
      </c>
      <c r="E70" s="10" t="n">
        <f aca="false">IF(AND(INPUTS!$E$24=1,$D70="B",TRIB!F70&lt;&gt;""),TRIB!F70,"")</f>
        <v>373</v>
      </c>
      <c r="F70" s="10" t="n">
        <v>373</v>
      </c>
      <c r="G70" s="10" t="n">
        <v>373</v>
      </c>
      <c r="H70" s="10" t="n">
        <v>373</v>
      </c>
      <c r="I70" s="10" t="n">
        <v>373</v>
      </c>
      <c r="J70" s="10" t="n">
        <v>672</v>
      </c>
      <c r="K70" s="10"/>
      <c r="L70" s="10"/>
      <c r="M70" s="10"/>
      <c r="N70" s="10" t="str">
        <f aca="false">IF(AND(INPUTS!$E$33=1,TRIB!M70&lt;&gt;""),TRIB!M70,"")</f>
        <v/>
      </c>
      <c r="O70" s="10" t="str">
        <f aca="false">IF(AND(INPUTS!$E$34=1,TRIB!M70&lt;&gt;""),TRIB!M70,"")</f>
        <v/>
      </c>
      <c r="P70" s="10" t="str">
        <f aca="false">IF(AND(INPUTS!$E$35=1,TRIB!M70&lt;&gt;""),TRIB!M70,"")</f>
        <v/>
      </c>
    </row>
    <row r="71" customFormat="false" ht="15" hidden="false" customHeight="false" outlineLevel="0" collapsed="false">
      <c r="A71" s="3" t="s">
        <v>194</v>
      </c>
      <c r="B71" s="10" t="n">
        <v>612.721302506155</v>
      </c>
      <c r="C71" s="10" t="n">
        <v>1860.77331074306</v>
      </c>
      <c r="D71" s="4" t="str">
        <f aca="false">IF(B71="","A",IF(B71&gt;=INPUTS!$B$17,"B","A"))</f>
        <v>B</v>
      </c>
      <c r="E71" s="10" t="n">
        <f aca="false">IF(AND(INPUTS!$E$24=1,$D71="B",TRIB!F71&lt;&gt;""),TRIB!F71,"")</f>
        <v>548</v>
      </c>
      <c r="F71" s="10" t="n">
        <v>548</v>
      </c>
      <c r="G71" s="10" t="n">
        <v>508</v>
      </c>
      <c r="H71" s="10" t="n">
        <v>508</v>
      </c>
      <c r="I71" s="10" t="n">
        <v>508</v>
      </c>
      <c r="J71" s="10" t="n">
        <v>503</v>
      </c>
      <c r="K71" s="10"/>
      <c r="L71" s="10"/>
      <c r="M71" s="10"/>
      <c r="N71" s="10" t="str">
        <f aca="false">IF(AND(INPUTS!$E$33=1,TRIB!M71&lt;&gt;""),TRIB!M71,"")</f>
        <v/>
      </c>
      <c r="O71" s="10" t="str">
        <f aca="false">IF(AND(INPUTS!$E$34=1,TRIB!M71&lt;&gt;""),TRIB!M71,"")</f>
        <v/>
      </c>
      <c r="P71" s="10" t="str">
        <f aca="false">IF(AND(INPUTS!$E$35=1,TRIB!M71&lt;&gt;""),TRIB!M71,"")</f>
        <v/>
      </c>
    </row>
    <row r="72" customFormat="false" ht="15" hidden="false" customHeight="false" outlineLevel="0" collapsed="false">
      <c r="A72" s="3" t="s">
        <v>195</v>
      </c>
      <c r="B72" s="10" t="n">
        <v>634.887969172822</v>
      </c>
      <c r="C72" s="10" t="n">
        <v>1860.77331074306</v>
      </c>
      <c r="D72" s="4" t="str">
        <f aca="false">IF(B72="","A",IF(B72&gt;=INPUTS!$B$17,"B","A"))</f>
        <v>B</v>
      </c>
      <c r="E72" s="10" t="n">
        <f aca="false">IF(AND(INPUTS!$E$24=1,$D72="B",TRIB!F72&lt;&gt;""),TRIB!F72,"")</f>
        <v>515</v>
      </c>
      <c r="F72" s="10" t="n">
        <v>515</v>
      </c>
      <c r="G72" s="10" t="n">
        <v>506</v>
      </c>
      <c r="H72" s="10" t="n">
        <v>506</v>
      </c>
      <c r="I72" s="10" t="n">
        <v>506</v>
      </c>
      <c r="J72" s="10" t="n">
        <v>500</v>
      </c>
      <c r="K72" s="10"/>
      <c r="L72" s="10"/>
      <c r="M72" s="10"/>
      <c r="N72" s="10" t="str">
        <f aca="false">IF(AND(INPUTS!$E$33=1,TRIB!M72&lt;&gt;""),TRIB!M72,"")</f>
        <v/>
      </c>
      <c r="O72" s="10" t="str">
        <f aca="false">IF(AND(INPUTS!$E$34=1,TRIB!M72&lt;&gt;""),TRIB!M72,"")</f>
        <v/>
      </c>
      <c r="P72" s="10" t="str">
        <f aca="false">IF(AND(INPUTS!$E$35=1,TRIB!M72&lt;&gt;""),TRIB!M72,"")</f>
        <v/>
      </c>
    </row>
    <row r="73" customFormat="false" ht="15" hidden="false" customHeight="false" outlineLevel="0" collapsed="false">
      <c r="A73" s="3" t="s">
        <v>196</v>
      </c>
      <c r="B73" s="10" t="n">
        <v>634.887969172843</v>
      </c>
      <c r="C73" s="10" t="n">
        <v>1888.78198508235</v>
      </c>
      <c r="D73" s="4" t="str">
        <f aca="false">IF(B73="","A",IF(B73&gt;=INPUTS!$B$17,"B","A"))</f>
        <v>B</v>
      </c>
      <c r="E73" s="10" t="n">
        <f aca="false">IF(AND(INPUTS!$E$24=1,$D73="B",TRIB!F73&lt;&gt;""),TRIB!F73,"")</f>
        <v>75</v>
      </c>
      <c r="F73" s="10" t="n">
        <v>75</v>
      </c>
      <c r="G73" s="10" t="n">
        <v>501</v>
      </c>
      <c r="H73" s="10" t="n">
        <v>501</v>
      </c>
      <c r="I73" s="10" t="n">
        <v>501</v>
      </c>
      <c r="J73" s="10" t="n">
        <v>558</v>
      </c>
      <c r="K73" s="10"/>
      <c r="L73" s="10"/>
      <c r="M73" s="10"/>
      <c r="N73" s="10" t="str">
        <f aca="false">IF(AND(INPUTS!$E$33=1,TRIB!M73&lt;&gt;""),TRIB!M73,"")</f>
        <v/>
      </c>
      <c r="O73" s="10" t="str">
        <f aca="false">IF(AND(INPUTS!$E$34=1,TRIB!M73&lt;&gt;""),TRIB!M73,"")</f>
        <v/>
      </c>
      <c r="P73" s="10" t="str">
        <f aca="false">IF(AND(INPUTS!$E$35=1,TRIB!M73&lt;&gt;""),TRIB!M73,"")</f>
        <v/>
      </c>
    </row>
    <row r="74" customFormat="false" ht="15" hidden="false" customHeight="false" outlineLevel="0" collapsed="false">
      <c r="A74" s="3" t="s">
        <v>197</v>
      </c>
      <c r="B74" s="10" t="n">
        <v>634.887969172842</v>
      </c>
      <c r="C74" s="10" t="n">
        <v>1919.78198508235</v>
      </c>
      <c r="D74" s="4" t="str">
        <f aca="false">IF(B74="","A",IF(B74&gt;=INPUTS!$B$17,"B","A"))</f>
        <v>B</v>
      </c>
      <c r="E74" s="10" t="n">
        <f aca="false">IF(AND(INPUTS!$E$24=1,$D74="B",TRIB!F74&lt;&gt;""),TRIB!F74,"")</f>
        <v>561</v>
      </c>
      <c r="F74" s="10" t="n">
        <v>561</v>
      </c>
      <c r="G74" s="10" t="n">
        <v>533</v>
      </c>
      <c r="H74" s="10" t="n">
        <v>533</v>
      </c>
      <c r="I74" s="10" t="n">
        <v>533</v>
      </c>
      <c r="J74" s="10" t="n">
        <v>588</v>
      </c>
      <c r="K74" s="10"/>
      <c r="L74" s="10"/>
      <c r="M74" s="10"/>
      <c r="N74" s="10" t="str">
        <f aca="false">IF(AND(INPUTS!$E$33=1,TRIB!M74&lt;&gt;""),TRIB!M74,"")</f>
        <v/>
      </c>
      <c r="O74" s="10" t="str">
        <f aca="false">IF(AND(INPUTS!$E$34=1,TRIB!M74&lt;&gt;""),TRIB!M74,"")</f>
        <v/>
      </c>
      <c r="P74" s="10" t="str">
        <f aca="false">IF(AND(INPUTS!$E$35=1,TRIB!M74&lt;&gt;""),TRIB!M74,"")</f>
        <v/>
      </c>
    </row>
    <row r="75" customFormat="false" ht="15" hidden="false" customHeight="false" outlineLevel="0" collapsed="false">
      <c r="A75" s="3" t="s">
        <v>198</v>
      </c>
      <c r="B75" s="10" t="n">
        <v>634.887969172841</v>
      </c>
      <c r="C75" s="10" t="n">
        <v>1946.79147662427</v>
      </c>
      <c r="D75" s="4" t="str">
        <f aca="false">IF(B75="","A",IF(B75&gt;=INPUTS!$B$17,"B","A"))</f>
        <v>B</v>
      </c>
      <c r="E75" s="10" t="n">
        <f aca="false">IF(AND(INPUTS!$E$24=1,$D75="B",TRIB!F75&lt;&gt;""),TRIB!F75,"")</f>
        <v>512</v>
      </c>
      <c r="F75" s="10" t="n">
        <v>512</v>
      </c>
      <c r="G75" s="10" t="n">
        <v>512</v>
      </c>
      <c r="H75" s="10" t="n">
        <v>512</v>
      </c>
      <c r="I75" s="10" t="n">
        <v>512</v>
      </c>
      <c r="J75" s="10" t="n">
        <v>822</v>
      </c>
      <c r="K75" s="10"/>
      <c r="L75" s="10"/>
      <c r="M75" s="10"/>
      <c r="N75" s="10" t="str">
        <f aca="false">IF(AND(INPUTS!$E$33=1,TRIB!M75&lt;&gt;""),TRIB!M75,"")</f>
        <v/>
      </c>
      <c r="O75" s="10" t="str">
        <f aca="false">IF(AND(INPUTS!$E$34=1,TRIB!M75&lt;&gt;""),TRIB!M75,"")</f>
        <v/>
      </c>
      <c r="P75" s="10" t="str">
        <f aca="false">IF(AND(INPUTS!$E$35=1,TRIB!M75&lt;&gt;""),TRIB!M75,"")</f>
        <v/>
      </c>
    </row>
    <row r="76" customFormat="false" ht="15" hidden="false" customHeight="false" outlineLevel="0" collapsed="false">
      <c r="A76" s="3" t="s">
        <v>199</v>
      </c>
      <c r="B76" s="10" t="n">
        <v>636.721302506176</v>
      </c>
      <c r="C76" s="10" t="n">
        <v>1901.78198508235</v>
      </c>
      <c r="D76" s="4" t="str">
        <f aca="false">IF(B76="","A",IF(B76&gt;=INPUTS!$B$17,"B","A"))</f>
        <v>B</v>
      </c>
      <c r="E76" s="10" t="n">
        <f aca="false">IF(AND(INPUTS!$E$24=1,$D76="B",TRIB!F76&lt;&gt;""),TRIB!F76,"")</f>
        <v>39</v>
      </c>
      <c r="F76" s="10" t="n">
        <v>39</v>
      </c>
      <c r="G76" s="10" t="n">
        <v>25</v>
      </c>
      <c r="H76" s="10" t="n">
        <v>25</v>
      </c>
      <c r="I76" s="10" t="n">
        <v>25</v>
      </c>
      <c r="J76" s="10" t="n">
        <v>453</v>
      </c>
      <c r="K76" s="10"/>
      <c r="L76" s="10"/>
      <c r="M76" s="10"/>
      <c r="N76" s="10" t="str">
        <f aca="false">IF(AND(INPUTS!$E$33=1,TRIB!M76&lt;&gt;""),TRIB!M76,"")</f>
        <v/>
      </c>
      <c r="O76" s="10" t="str">
        <f aca="false">IF(AND(INPUTS!$E$34=1,TRIB!M76&lt;&gt;""),TRIB!M76,"")</f>
        <v/>
      </c>
      <c r="P76" s="10" t="str">
        <f aca="false">IF(AND(INPUTS!$E$35=1,TRIB!M76&lt;&gt;""),TRIB!M76,"")</f>
        <v/>
      </c>
    </row>
    <row r="77" customFormat="false" ht="15" hidden="false" customHeight="false" outlineLevel="0" collapsed="false">
      <c r="A77" s="3" t="s">
        <v>200</v>
      </c>
      <c r="B77" s="10" t="n">
        <v>646.461010303047</v>
      </c>
      <c r="C77" s="10" t="n">
        <v>1816.93691619513</v>
      </c>
      <c r="D77" s="4" t="str">
        <f aca="false">IF(B77="","A",IF(B77&gt;=INPUTS!$B$17,"B","A"))</f>
        <v>B</v>
      </c>
      <c r="E77" s="10" t="n">
        <f aca="false">IF(AND(INPUTS!$E$24=1,$D77="B",TRIB!F77&lt;&gt;""),TRIB!F77,"")</f>
        <v>306</v>
      </c>
      <c r="F77" s="10" t="n">
        <v>306</v>
      </c>
      <c r="G77" s="10" t="n">
        <v>252</v>
      </c>
      <c r="H77" s="10" t="n">
        <v>349</v>
      </c>
      <c r="I77" s="10" t="n">
        <v>349</v>
      </c>
      <c r="J77" s="10" t="n">
        <v>348</v>
      </c>
      <c r="K77" s="10"/>
      <c r="L77" s="10"/>
      <c r="M77" s="10"/>
      <c r="N77" s="10" t="str">
        <f aca="false">IF(AND(INPUTS!$E$33=1,TRIB!M77&lt;&gt;""),TRIB!M77,"")</f>
        <v/>
      </c>
      <c r="O77" s="10" t="str">
        <f aca="false">IF(AND(INPUTS!$E$34=1,TRIB!M77&lt;&gt;""),TRIB!M77,"")</f>
        <v/>
      </c>
      <c r="P77" s="10" t="str">
        <f aca="false">IF(AND(INPUTS!$E$35=1,TRIB!M77&lt;&gt;""),TRIB!M77,"")</f>
        <v/>
      </c>
    </row>
    <row r="78" customFormat="false" ht="15" hidden="false" customHeight="false" outlineLevel="0" collapsed="false">
      <c r="A78" s="3" t="s">
        <v>201</v>
      </c>
      <c r="B78" s="10" t="n">
        <v>661.496053470644</v>
      </c>
      <c r="C78" s="10" t="n">
        <v>1860.77331074306</v>
      </c>
      <c r="D78" s="4" t="str">
        <f aca="false">IF(B78="","A",IF(B78&gt;=INPUTS!$B$17,"B","A"))</f>
        <v>B</v>
      </c>
      <c r="E78" s="10" t="n">
        <f aca="false">IF(AND(INPUTS!$E$24=1,$D78="B",TRIB!F78&lt;&gt;""),TRIB!F78,"")</f>
        <v>629</v>
      </c>
      <c r="F78" s="10" t="n">
        <v>629</v>
      </c>
      <c r="G78" s="10" t="n">
        <v>545</v>
      </c>
      <c r="H78" s="10" t="n">
        <v>545</v>
      </c>
      <c r="I78" s="10" t="n">
        <v>545</v>
      </c>
      <c r="J78" s="10" t="n">
        <v>539</v>
      </c>
      <c r="K78" s="10"/>
      <c r="L78" s="10"/>
      <c r="M78" s="10"/>
      <c r="N78" s="10" t="str">
        <f aca="false">IF(AND(INPUTS!$E$33=1,TRIB!M78&lt;&gt;""),TRIB!M78,"")</f>
        <v/>
      </c>
      <c r="O78" s="10" t="str">
        <f aca="false">IF(AND(INPUTS!$E$34=1,TRIB!M78&lt;&gt;""),TRIB!M78,"")</f>
        <v/>
      </c>
      <c r="P78" s="10" t="str">
        <f aca="false">IF(AND(INPUTS!$E$35=1,TRIB!M78&lt;&gt;""),TRIB!M78,"")</f>
        <v/>
      </c>
    </row>
    <row r="79" customFormat="false" ht="15" hidden="false" customHeight="false" outlineLevel="0" collapsed="false">
      <c r="A79" s="3" t="s">
        <v>202</v>
      </c>
      <c r="B79" s="10" t="n">
        <v>661.496053470665</v>
      </c>
      <c r="C79" s="10" t="n">
        <v>1888.78198508235</v>
      </c>
      <c r="D79" s="4" t="str">
        <f aca="false">IF(B79="","A",IF(B79&gt;=INPUTS!$B$17,"B","A"))</f>
        <v>B</v>
      </c>
      <c r="E79" s="10" t="n">
        <f aca="false">IF(AND(INPUTS!$E$24=1,$D79="B",TRIB!F79&lt;&gt;""),TRIB!F79,"")</f>
        <v>506</v>
      </c>
      <c r="F79" s="10" t="n">
        <v>506</v>
      </c>
      <c r="G79" s="10" t="n">
        <v>511</v>
      </c>
      <c r="H79" s="10" t="n">
        <v>511</v>
      </c>
      <c r="I79" s="10" t="n">
        <v>511</v>
      </c>
      <c r="J79" s="10" t="n">
        <v>558</v>
      </c>
      <c r="K79" s="10"/>
      <c r="L79" s="10"/>
      <c r="M79" s="10"/>
      <c r="N79" s="10" t="str">
        <f aca="false">IF(AND(INPUTS!$E$33=1,TRIB!M79&lt;&gt;""),TRIB!M79,"")</f>
        <v/>
      </c>
      <c r="O79" s="10" t="str">
        <f aca="false">IF(AND(INPUTS!$E$34=1,TRIB!M79&lt;&gt;""),TRIB!M79,"")</f>
        <v/>
      </c>
      <c r="P79" s="10" t="str">
        <f aca="false">IF(AND(INPUTS!$E$35=1,TRIB!M79&lt;&gt;""),TRIB!M79,"")</f>
        <v/>
      </c>
    </row>
    <row r="80" customFormat="false" ht="15" hidden="false" customHeight="false" outlineLevel="0" collapsed="false">
      <c r="A80" s="3" t="s">
        <v>203</v>
      </c>
      <c r="B80" s="10" t="n">
        <v>661.496053470664</v>
      </c>
      <c r="C80" s="10" t="n">
        <v>1919.78198508235</v>
      </c>
      <c r="D80" s="4" t="str">
        <f aca="false">IF(B80="","A",IF(B80&gt;=INPUTS!$B$17,"B","A"))</f>
        <v>B</v>
      </c>
      <c r="E80" s="10" t="n">
        <f aca="false">IF(AND(INPUTS!$E$24=1,$D80="B",TRIB!F80&lt;&gt;""),TRIB!F80,"")</f>
        <v>532</v>
      </c>
      <c r="F80" s="10" t="n">
        <v>532</v>
      </c>
      <c r="G80" s="10" t="n">
        <v>532</v>
      </c>
      <c r="H80" s="10" t="n">
        <v>532</v>
      </c>
      <c r="I80" s="10" t="n">
        <v>532</v>
      </c>
      <c r="J80" s="10" t="n">
        <v>587</v>
      </c>
      <c r="K80" s="10"/>
      <c r="L80" s="10"/>
      <c r="M80" s="10"/>
      <c r="N80" s="10" t="str">
        <f aca="false">IF(AND(INPUTS!$E$33=1,TRIB!M80&lt;&gt;""),TRIB!M80,"")</f>
        <v/>
      </c>
      <c r="O80" s="10" t="str">
        <f aca="false">IF(AND(INPUTS!$E$34=1,TRIB!M80&lt;&gt;""),TRIB!M80,"")</f>
        <v/>
      </c>
      <c r="P80" s="10" t="str">
        <f aca="false">IF(AND(INPUTS!$E$35=1,TRIB!M80&lt;&gt;""),TRIB!M80,"")</f>
        <v/>
      </c>
    </row>
    <row r="81" customFormat="false" ht="15" hidden="false" customHeight="false" outlineLevel="0" collapsed="false">
      <c r="A81" s="3" t="s">
        <v>204</v>
      </c>
      <c r="B81" s="10" t="n">
        <v>661.496053470663</v>
      </c>
      <c r="C81" s="10" t="n">
        <v>1946.79147662427</v>
      </c>
      <c r="D81" s="4" t="str">
        <f aca="false">IF(B81="","A",IF(B81&gt;=INPUTS!$B$17,"B","A"))</f>
        <v>B</v>
      </c>
      <c r="E81" s="10" t="n">
        <f aca="false">IF(AND(INPUTS!$E$24=1,$D81="B",TRIB!F81&lt;&gt;""),TRIB!F81,"")</f>
        <v>532</v>
      </c>
      <c r="F81" s="10" t="n">
        <v>532</v>
      </c>
      <c r="G81" s="10" t="n">
        <v>532</v>
      </c>
      <c r="H81" s="10" t="n">
        <v>532</v>
      </c>
      <c r="I81" s="10" t="n">
        <v>532</v>
      </c>
      <c r="J81" s="10" t="n">
        <v>821</v>
      </c>
      <c r="K81" s="10"/>
      <c r="L81" s="10"/>
      <c r="M81" s="10"/>
      <c r="N81" s="10" t="str">
        <f aca="false">IF(AND(INPUTS!$E$33=1,TRIB!M81&lt;&gt;""),TRIB!M81,"")</f>
        <v/>
      </c>
      <c r="O81" s="10" t="str">
        <f aca="false">IF(AND(INPUTS!$E$34=1,TRIB!M81&lt;&gt;""),TRIB!M81,"")</f>
        <v/>
      </c>
      <c r="P81" s="10" t="str">
        <f aca="false">IF(AND(INPUTS!$E$35=1,TRIB!M81&lt;&gt;""),TRIB!M81,"")</f>
        <v/>
      </c>
    </row>
    <row r="82" customFormat="false" ht="15" hidden="false" customHeight="false" outlineLevel="0" collapsed="false">
      <c r="A82" s="3" t="s">
        <v>205</v>
      </c>
      <c r="B82" s="10" t="n">
        <v>663.329386803998</v>
      </c>
      <c r="C82" s="10" t="n">
        <v>1901.78198508235</v>
      </c>
      <c r="D82" s="4" t="str">
        <f aca="false">IF(B82="","A",IF(B82&gt;=INPUTS!$B$17,"B","A"))</f>
        <v>B</v>
      </c>
      <c r="E82" s="10" t="n">
        <f aca="false">IF(AND(INPUTS!$E$24=1,$D82="B",TRIB!F82&lt;&gt;""),TRIB!F82,"")</f>
        <v>36</v>
      </c>
      <c r="F82" s="10" t="n">
        <v>36</v>
      </c>
      <c r="G82" s="10" t="n">
        <v>36</v>
      </c>
      <c r="H82" s="10" t="n">
        <v>36</v>
      </c>
      <c r="I82" s="10" t="n">
        <v>36</v>
      </c>
      <c r="J82" s="10" t="n">
        <v>406</v>
      </c>
      <c r="K82" s="10"/>
      <c r="L82" s="10"/>
      <c r="M82" s="10"/>
      <c r="N82" s="10" t="str">
        <f aca="false">IF(AND(INPUTS!$E$33=1,TRIB!M82&lt;&gt;""),TRIB!M82,"")</f>
        <v/>
      </c>
      <c r="O82" s="10" t="str">
        <f aca="false">IF(AND(INPUTS!$E$34=1,TRIB!M82&lt;&gt;""),TRIB!M82,"")</f>
        <v/>
      </c>
      <c r="P82" s="10" t="str">
        <f aca="false">IF(AND(INPUTS!$E$35=1,TRIB!M82&lt;&gt;""),TRIB!M82,"")</f>
        <v/>
      </c>
    </row>
    <row r="83" customFormat="false" ht="15" hidden="false" customHeight="false" outlineLevel="0" collapsed="false">
      <c r="A83" s="3" t="s">
        <v>206</v>
      </c>
      <c r="B83" s="10" t="n">
        <v>669.377547683784</v>
      </c>
      <c r="C83" s="10" t="n">
        <v>1816.93691619513</v>
      </c>
      <c r="D83" s="4" t="str">
        <f aca="false">IF(B83="","A",IF(B83&gt;=INPUTS!$B$17,"B","A"))</f>
        <v>B</v>
      </c>
      <c r="E83" s="10" t="n">
        <f aca="false">IF(AND(INPUTS!$E$24=1,$D83="B",TRIB!F83&lt;&gt;""),TRIB!F83,"")</f>
        <v>388</v>
      </c>
      <c r="F83" s="10" t="n">
        <v>388</v>
      </c>
      <c r="G83" s="10" t="n">
        <v>356</v>
      </c>
      <c r="H83" s="10" t="n">
        <v>422</v>
      </c>
      <c r="I83" s="10" t="n">
        <v>422</v>
      </c>
      <c r="J83" s="10" t="n">
        <v>334</v>
      </c>
      <c r="K83" s="10"/>
      <c r="L83" s="10"/>
      <c r="M83" s="10"/>
      <c r="N83" s="10" t="str">
        <f aca="false">IF(AND(INPUTS!$E$33=1,TRIB!M83&lt;&gt;""),TRIB!M83,"")</f>
        <v/>
      </c>
      <c r="O83" s="10" t="str">
        <f aca="false">IF(AND(INPUTS!$E$34=1,TRIB!M83&lt;&gt;""),TRIB!M83,"")</f>
        <v/>
      </c>
      <c r="P83" s="10" t="str">
        <f aca="false">IF(AND(INPUTS!$E$35=1,TRIB!M83&lt;&gt;""),TRIB!M83,"")</f>
        <v/>
      </c>
    </row>
    <row r="84" customFormat="false" ht="15" hidden="false" customHeight="false" outlineLevel="0" collapsed="false">
      <c r="A84" s="3" t="s">
        <v>207</v>
      </c>
      <c r="B84" s="10" t="n">
        <v>688.104137768467</v>
      </c>
      <c r="C84" s="10" t="n">
        <v>1860.77331074306</v>
      </c>
      <c r="D84" s="4" t="str">
        <f aca="false">IF(B84="","A",IF(B84&gt;=INPUTS!$B$17,"B","A"))</f>
        <v>B</v>
      </c>
      <c r="E84" s="10" t="n">
        <f aca="false">IF(AND(INPUTS!$E$24=1,$D84="B",TRIB!F84&lt;&gt;""),TRIB!F84,"")</f>
        <v>71</v>
      </c>
      <c r="F84" s="10" t="n">
        <v>71</v>
      </c>
      <c r="G84" s="10" t="n">
        <v>548</v>
      </c>
      <c r="H84" s="10" t="n">
        <v>548</v>
      </c>
      <c r="I84" s="10" t="n">
        <v>549</v>
      </c>
      <c r="J84" s="10" t="n">
        <v>607</v>
      </c>
      <c r="K84" s="10"/>
      <c r="L84" s="10"/>
      <c r="M84" s="10"/>
      <c r="N84" s="10" t="str">
        <f aca="false">IF(AND(INPUTS!$E$33=1,TRIB!M84&lt;&gt;""),TRIB!M84,"")</f>
        <v/>
      </c>
      <c r="O84" s="10" t="str">
        <f aca="false">IF(AND(INPUTS!$E$34=1,TRIB!M84&lt;&gt;""),TRIB!M84,"")</f>
        <v/>
      </c>
      <c r="P84" s="10" t="str">
        <f aca="false">IF(AND(INPUTS!$E$35=1,TRIB!M84&lt;&gt;""),TRIB!M84,"")</f>
        <v/>
      </c>
    </row>
    <row r="85" customFormat="false" ht="15" hidden="false" customHeight="false" outlineLevel="0" collapsed="false">
      <c r="A85" s="3" t="s">
        <v>208</v>
      </c>
      <c r="B85" s="10" t="n">
        <v>688.104137768488</v>
      </c>
      <c r="C85" s="10" t="n">
        <v>1888.78198508235</v>
      </c>
      <c r="D85" s="4" t="str">
        <f aca="false">IF(B85="","A",IF(B85&gt;=INPUTS!$B$17,"B","A"))</f>
        <v>B</v>
      </c>
      <c r="E85" s="10" t="n">
        <f aca="false">IF(AND(INPUTS!$E$24=1,$D85="B",TRIB!F85&lt;&gt;""),TRIB!F85,"")</f>
        <v>461</v>
      </c>
      <c r="F85" s="10" t="n">
        <v>461</v>
      </c>
      <c r="G85" s="10" t="n">
        <v>503</v>
      </c>
      <c r="H85" s="10" t="n">
        <v>503</v>
      </c>
      <c r="I85" s="10" t="n">
        <v>503</v>
      </c>
      <c r="J85" s="10" t="n">
        <v>548</v>
      </c>
      <c r="K85" s="10"/>
      <c r="L85" s="10"/>
      <c r="M85" s="10"/>
      <c r="N85" s="10" t="str">
        <f aca="false">IF(AND(INPUTS!$E$33=1,TRIB!M85&lt;&gt;""),TRIB!M85,"")</f>
        <v/>
      </c>
      <c r="O85" s="10" t="str">
        <f aca="false">IF(AND(INPUTS!$E$34=1,TRIB!M85&lt;&gt;""),TRIB!M85,"")</f>
        <v/>
      </c>
      <c r="P85" s="10" t="str">
        <f aca="false">IF(AND(INPUTS!$E$35=1,TRIB!M85&lt;&gt;""),TRIB!M85,"")</f>
        <v/>
      </c>
    </row>
    <row r="86" customFormat="false" ht="15" hidden="false" customHeight="false" outlineLevel="0" collapsed="false">
      <c r="A86" s="3" t="s">
        <v>209</v>
      </c>
      <c r="B86" s="10" t="n">
        <v>689.020804435154</v>
      </c>
      <c r="C86" s="10" t="n">
        <v>1901.78198508235</v>
      </c>
      <c r="D86" s="4" t="str">
        <f aca="false">IF(B86="","A",IF(B86&gt;=INPUTS!$B$17,"B","A"))</f>
        <v>B</v>
      </c>
      <c r="E86" s="10" t="n">
        <f aca="false">IF(AND(INPUTS!$E$24=1,$D86="B",TRIB!F86&lt;&gt;""),TRIB!F86,"")</f>
        <v>26</v>
      </c>
      <c r="F86" s="10" t="n">
        <v>26</v>
      </c>
      <c r="G86" s="10" t="n">
        <v>26</v>
      </c>
      <c r="H86" s="10" t="n">
        <v>26</v>
      </c>
      <c r="I86" s="10" t="n">
        <v>20</v>
      </c>
      <c r="J86" s="10" t="n">
        <v>196</v>
      </c>
      <c r="K86" s="10"/>
      <c r="L86" s="10"/>
      <c r="M86" s="10"/>
      <c r="N86" s="10" t="str">
        <f aca="false">IF(AND(INPUTS!$E$33=1,TRIB!M86&lt;&gt;""),TRIB!M86,"")</f>
        <v/>
      </c>
      <c r="O86" s="10" t="str">
        <f aca="false">IF(AND(INPUTS!$E$34=1,TRIB!M86&lt;&gt;""),TRIB!M86,"")</f>
        <v/>
      </c>
      <c r="P86" s="10" t="str">
        <f aca="false">IF(AND(INPUTS!$E$35=1,TRIB!M86&lt;&gt;""),TRIB!M86,"")</f>
        <v/>
      </c>
    </row>
    <row r="87" customFormat="false" ht="15" hidden="false" customHeight="false" outlineLevel="0" collapsed="false">
      <c r="A87" s="3" t="s">
        <v>210</v>
      </c>
      <c r="B87" s="10" t="n">
        <v>688.104137768487</v>
      </c>
      <c r="C87" s="10" t="n">
        <v>3283.78198508235</v>
      </c>
      <c r="D87" s="4" t="str">
        <f aca="false">IF(B87="","A",IF(B87&gt;=INPUTS!$B$17,"B","A"))</f>
        <v>B</v>
      </c>
      <c r="E87" s="10" t="n">
        <f aca="false">IF(AND(INPUTS!$E$24=1,$D87="B",TRIB!F87&lt;&gt;""),TRIB!F87,"")</f>
        <v>532</v>
      </c>
      <c r="F87" s="10" t="n">
        <v>532</v>
      </c>
      <c r="G87" s="10" t="n">
        <v>532</v>
      </c>
      <c r="H87" s="10" t="n">
        <v>532</v>
      </c>
      <c r="I87" s="10"/>
      <c r="J87" s="10"/>
      <c r="K87" s="10"/>
      <c r="L87" s="10"/>
      <c r="M87" s="10"/>
      <c r="N87" s="10" t="str">
        <f aca="false">IF(AND(INPUTS!$E$33=1,TRIB!M87&lt;&gt;""),TRIB!M87,"")</f>
        <v/>
      </c>
      <c r="O87" s="10" t="str">
        <f aca="false">IF(AND(INPUTS!$E$34=1,TRIB!M87&lt;&gt;""),TRIB!M87,"")</f>
        <v/>
      </c>
      <c r="P87" s="10" t="str">
        <f aca="false">IF(AND(INPUTS!$E$35=1,TRIB!M87&lt;&gt;""),TRIB!M87,"")</f>
        <v/>
      </c>
    </row>
    <row r="88" customFormat="false" ht="15" hidden="false" customHeight="false" outlineLevel="0" collapsed="false">
      <c r="A88" s="3" t="s">
        <v>211</v>
      </c>
      <c r="B88" s="10" t="n">
        <v>688.104137768486</v>
      </c>
      <c r="C88" s="10" t="n">
        <v>3310.79147662427</v>
      </c>
      <c r="D88" s="4" t="str">
        <f aca="false">IF(B88="","A",IF(B88&gt;=INPUTS!$B$17,"B","A"))</f>
        <v>B</v>
      </c>
      <c r="E88" s="10" t="n">
        <f aca="false">IF(AND(INPUTS!$E$24=1,$D88="B",TRIB!F88&lt;&gt;""),TRIB!F88,"")</f>
        <v>532</v>
      </c>
      <c r="F88" s="10" t="n">
        <v>532</v>
      </c>
      <c r="G88" s="10" t="n">
        <v>455</v>
      </c>
      <c r="H88" s="10" t="n">
        <v>452</v>
      </c>
      <c r="I88" s="10"/>
      <c r="J88" s="10"/>
      <c r="K88" s="10"/>
      <c r="L88" s="10"/>
      <c r="M88" s="10"/>
      <c r="N88" s="10" t="str">
        <f aca="false">IF(AND(INPUTS!$E$33=1,TRIB!M88&lt;&gt;""),TRIB!M88,"")</f>
        <v/>
      </c>
      <c r="O88" s="10" t="str">
        <f aca="false">IF(AND(INPUTS!$E$34=1,TRIB!M88&lt;&gt;""),TRIB!M88,"")</f>
        <v/>
      </c>
      <c r="P88" s="10" t="str">
        <f aca="false">IF(AND(INPUTS!$E$35=1,TRIB!M88&lt;&gt;""),TRIB!M88,"")</f>
        <v/>
      </c>
    </row>
    <row r="89" customFormat="false" ht="15" hidden="false" customHeight="false" outlineLevel="0" collapsed="false">
      <c r="A89" s="3" t="s">
        <v>212</v>
      </c>
      <c r="B89" s="10" t="n">
        <v>696.550421746338</v>
      </c>
      <c r="C89" s="10" t="n">
        <v>1816.93691619513</v>
      </c>
      <c r="D89" s="4" t="str">
        <f aca="false">IF(B89="","A",IF(B89&gt;=INPUTS!$B$17,"B","A"))</f>
        <v>B</v>
      </c>
      <c r="E89" s="10" t="n">
        <f aca="false">IF(AND(INPUTS!$E$24=1,$D89="B",TRIB!F89&lt;&gt;""),TRIB!F89,"")</f>
        <v>565</v>
      </c>
      <c r="F89" s="10" t="n">
        <v>565</v>
      </c>
      <c r="G89" s="10" t="n">
        <v>354</v>
      </c>
      <c r="H89" s="10" t="n">
        <v>422</v>
      </c>
      <c r="I89" s="10" t="n">
        <v>422</v>
      </c>
      <c r="J89" s="10" t="n">
        <v>376</v>
      </c>
      <c r="K89" s="10"/>
      <c r="L89" s="10"/>
      <c r="M89" s="10"/>
      <c r="N89" s="10" t="str">
        <f aca="false">IF(AND(INPUTS!$E$33=1,TRIB!M89&lt;&gt;""),TRIB!M89,"")</f>
        <v/>
      </c>
      <c r="O89" s="10" t="str">
        <f aca="false">IF(AND(INPUTS!$E$34=1,TRIB!M89&lt;&gt;""),TRIB!M89,"")</f>
        <v/>
      </c>
      <c r="P89" s="10" t="str">
        <f aca="false">IF(AND(INPUTS!$E$35=1,TRIB!M89&lt;&gt;""),TRIB!M89,"")</f>
        <v/>
      </c>
    </row>
    <row r="90" customFormat="false" ht="15" hidden="false" customHeight="false" outlineLevel="0" collapsed="false">
      <c r="A90" s="3" t="s">
        <v>213</v>
      </c>
      <c r="B90" s="10" t="n">
        <v>707.716971065027</v>
      </c>
      <c r="C90" s="10" t="n">
        <v>1901.78198508235</v>
      </c>
      <c r="D90" s="4" t="str">
        <f aca="false">IF(B90="","A",IF(B90&gt;=INPUTS!$B$17,"B","A"))</f>
        <v>B</v>
      </c>
      <c r="E90" s="10" t="n">
        <f aca="false">IF(AND(INPUTS!$E$24=1,$D90="B",TRIB!F90&lt;&gt;""),TRIB!F90,"")</f>
        <v>21</v>
      </c>
      <c r="F90" s="10" t="n">
        <v>21</v>
      </c>
      <c r="G90" s="10" t="n">
        <v>21</v>
      </c>
      <c r="H90" s="10" t="n">
        <v>21</v>
      </c>
      <c r="I90" s="10" t="n">
        <v>21</v>
      </c>
      <c r="J90" s="10" t="n">
        <v>164</v>
      </c>
      <c r="K90" s="10"/>
      <c r="L90" s="10"/>
      <c r="M90" s="10"/>
      <c r="N90" s="10" t="str">
        <f aca="false">IF(AND(INPUTS!$E$33=1,TRIB!M90&lt;&gt;""),TRIB!M90,"")</f>
        <v/>
      </c>
      <c r="O90" s="10" t="str">
        <f aca="false">IF(AND(INPUTS!$E$34=1,TRIB!M90&lt;&gt;""),TRIB!M90,"")</f>
        <v/>
      </c>
      <c r="P90" s="10" t="str">
        <f aca="false">IF(AND(INPUTS!$E$35=1,TRIB!M90&lt;&gt;""),TRIB!M90,"")</f>
        <v/>
      </c>
    </row>
    <row r="91" customFormat="false" ht="15" hidden="false" customHeight="false" outlineLevel="0" collapsed="false">
      <c r="A91" s="3" t="s">
        <v>214</v>
      </c>
      <c r="B91" s="10" t="n">
        <v>714.74352061146</v>
      </c>
      <c r="C91" s="10" t="n">
        <v>1888.78198508235</v>
      </c>
      <c r="D91" s="4" t="str">
        <f aca="false">IF(B91="","A",IF(B91&gt;=INPUTS!$B$17,"B","A"))</f>
        <v>B</v>
      </c>
      <c r="E91" s="10" t="n">
        <f aca="false">IF(AND(INPUTS!$E$24=1,$D91="B",TRIB!F91&lt;&gt;""),TRIB!F91,"")</f>
        <v>461</v>
      </c>
      <c r="F91" s="10" t="n">
        <v>461</v>
      </c>
      <c r="G91" s="10" t="n">
        <v>482</v>
      </c>
      <c r="H91" s="10" t="n">
        <v>482</v>
      </c>
      <c r="I91" s="10" t="n">
        <v>484</v>
      </c>
      <c r="J91" s="10" t="n">
        <v>335</v>
      </c>
      <c r="K91" s="10"/>
      <c r="L91" s="10"/>
      <c r="M91" s="10"/>
      <c r="N91" s="10" t="str">
        <f aca="false">IF(AND(INPUTS!$E$33=1,TRIB!M91&lt;&gt;""),TRIB!M91,"")</f>
        <v/>
      </c>
      <c r="O91" s="10" t="str">
        <f aca="false">IF(AND(INPUTS!$E$34=1,TRIB!M91&lt;&gt;""),TRIB!M91,"")</f>
        <v/>
      </c>
      <c r="P91" s="10" t="str">
        <f aca="false">IF(AND(INPUTS!$E$35=1,TRIB!M91&lt;&gt;""),TRIB!M91,"")</f>
        <v/>
      </c>
    </row>
    <row r="92" customFormat="false" ht="15" hidden="false" customHeight="false" outlineLevel="0" collapsed="false">
      <c r="A92" s="3" t="s">
        <v>215</v>
      </c>
      <c r="B92" s="10" t="n">
        <v>714.743520611458</v>
      </c>
      <c r="C92" s="10" t="n">
        <v>2601.78198508235</v>
      </c>
      <c r="D92" s="4" t="str">
        <f aca="false">IF(B92="","A",IF(B92&gt;=INPUTS!$B$17,"B","A"))</f>
        <v>B</v>
      </c>
      <c r="E92" s="10" t="n">
        <f aca="false">IF(AND(INPUTS!$E$24=1,$D92="B",TRIB!F92&lt;&gt;""),TRIB!F92,"")</f>
        <v>594</v>
      </c>
      <c r="F92" s="10" t="n">
        <v>594</v>
      </c>
      <c r="G92" s="10" t="n">
        <v>594</v>
      </c>
      <c r="H92" s="10" t="n">
        <v>594</v>
      </c>
      <c r="I92" s="10" t="n">
        <v>594</v>
      </c>
      <c r="J92" s="10"/>
      <c r="K92" s="10"/>
      <c r="L92" s="10"/>
      <c r="M92" s="10"/>
      <c r="N92" s="10" t="str">
        <f aca="false">IF(AND(INPUTS!$E$33=1,TRIB!M92&lt;&gt;""),TRIB!M92,"")</f>
        <v/>
      </c>
      <c r="O92" s="10" t="str">
        <f aca="false">IF(AND(INPUTS!$E$34=1,TRIB!M92&lt;&gt;""),TRIB!M92,"")</f>
        <v/>
      </c>
      <c r="P92" s="10" t="str">
        <f aca="false">IF(AND(INPUTS!$E$35=1,TRIB!M92&lt;&gt;""),TRIB!M92,"")</f>
        <v/>
      </c>
    </row>
    <row r="93" customFormat="false" ht="15" hidden="false" customHeight="false" outlineLevel="0" collapsed="false">
      <c r="A93" s="3" t="s">
        <v>216</v>
      </c>
      <c r="B93" s="10" t="n">
        <v>714.743520611457</v>
      </c>
      <c r="C93" s="10" t="n">
        <v>2628.79147662427</v>
      </c>
      <c r="D93" s="4" t="str">
        <f aca="false">IF(B93="","A",IF(B93&gt;=INPUTS!$B$17,"B","A"))</f>
        <v>B</v>
      </c>
      <c r="E93" s="10" t="n">
        <f aca="false">IF(AND(INPUTS!$E$24=1,$D93="B",TRIB!F93&lt;&gt;""),TRIB!F93,"")</f>
        <v>594</v>
      </c>
      <c r="F93" s="10" t="n">
        <v>594</v>
      </c>
      <c r="G93" s="10" t="n">
        <v>592</v>
      </c>
      <c r="H93" s="10" t="n">
        <v>594</v>
      </c>
      <c r="I93" s="10" t="n">
        <v>594</v>
      </c>
      <c r="J93" s="10"/>
      <c r="K93" s="10"/>
      <c r="L93" s="10"/>
      <c r="M93" s="10"/>
      <c r="N93" s="10" t="str">
        <f aca="false">IF(AND(INPUTS!$E$33=1,TRIB!M93&lt;&gt;""),TRIB!M93,"")</f>
        <v/>
      </c>
      <c r="O93" s="10" t="str">
        <f aca="false">IF(AND(INPUTS!$E$34=1,TRIB!M93&lt;&gt;""),TRIB!M93,"")</f>
        <v/>
      </c>
      <c r="P93" s="10" t="str">
        <f aca="false">IF(AND(INPUTS!$E$35=1,TRIB!M93&lt;&gt;""),TRIB!M93,"")</f>
        <v/>
      </c>
    </row>
    <row r="94" customFormat="false" ht="15" hidden="false" customHeight="false" outlineLevel="0" collapsed="false">
      <c r="A94" s="3" t="s">
        <v>217</v>
      </c>
      <c r="B94" s="10" t="n">
        <v>715.314974199117</v>
      </c>
      <c r="C94" s="10" t="n">
        <v>1860.77331074306</v>
      </c>
      <c r="D94" s="4" t="str">
        <f aca="false">IF(B94="","A",IF(B94&gt;=INPUTS!$B$17,"B","A"))</f>
        <v>B</v>
      </c>
      <c r="E94" s="10" t="n">
        <f aca="false">IF(AND(INPUTS!$E$24=1,$D94="B",TRIB!F94&lt;&gt;""),TRIB!F94,"")</f>
        <v>7</v>
      </c>
      <c r="F94" s="10" t="n">
        <v>7</v>
      </c>
      <c r="G94" s="10" t="n">
        <v>92</v>
      </c>
      <c r="H94" s="10" t="n">
        <v>92</v>
      </c>
      <c r="I94" s="10" t="n">
        <v>114</v>
      </c>
      <c r="J94" s="10" t="n">
        <v>842</v>
      </c>
      <c r="K94" s="10"/>
      <c r="L94" s="10"/>
      <c r="M94" s="10"/>
      <c r="N94" s="10" t="str">
        <f aca="false">IF(AND(INPUTS!$E$33=1,TRIB!M94&lt;&gt;""),TRIB!M94,"")</f>
        <v/>
      </c>
      <c r="O94" s="10" t="str">
        <f aca="false">IF(AND(INPUTS!$E$34=1,TRIB!M94&lt;&gt;""),TRIB!M94,"")</f>
        <v/>
      </c>
      <c r="P94" s="10" t="str">
        <f aca="false">IF(AND(INPUTS!$E$35=1,TRIB!M94&lt;&gt;""),TRIB!M94,"")</f>
        <v/>
      </c>
    </row>
    <row r="95" customFormat="false" ht="15" hidden="false" customHeight="false" outlineLevel="0" collapsed="false">
      <c r="A95" s="3" t="s">
        <v>218</v>
      </c>
      <c r="B95" s="10" t="n">
        <v>719.466959127074</v>
      </c>
      <c r="C95" s="10" t="n">
        <v>1816.93691619513</v>
      </c>
      <c r="D95" s="4" t="str">
        <f aca="false">IF(B95="","A",IF(B95&gt;=INPUTS!$B$17,"B","A"))</f>
        <v>B</v>
      </c>
      <c r="E95" s="10" t="n">
        <f aca="false">IF(AND(INPUTS!$E$24=1,$D95="B",TRIB!F95&lt;&gt;""),TRIB!F95,"")</f>
        <v>388</v>
      </c>
      <c r="F95" s="10" t="n">
        <v>388</v>
      </c>
      <c r="G95" s="10" t="n">
        <v>251</v>
      </c>
      <c r="H95" s="10" t="n">
        <v>318</v>
      </c>
      <c r="I95" s="10" t="n">
        <v>318</v>
      </c>
      <c r="J95" s="10" t="n">
        <v>769</v>
      </c>
      <c r="K95" s="10"/>
      <c r="L95" s="10"/>
      <c r="M95" s="10"/>
      <c r="N95" s="10" t="str">
        <f aca="false">IF(AND(INPUTS!$E$33=1,TRIB!M95&lt;&gt;""),TRIB!M95,"")</f>
        <v/>
      </c>
      <c r="O95" s="10" t="str">
        <f aca="false">IF(AND(INPUTS!$E$34=1,TRIB!M95&lt;&gt;""),TRIB!M95,"")</f>
        <v/>
      </c>
      <c r="P95" s="10" t="str">
        <f aca="false">IF(AND(INPUTS!$E$35=1,TRIB!M95&lt;&gt;""),TRIB!M95,"")</f>
        <v/>
      </c>
    </row>
    <row r="96" customFormat="false" ht="15" hidden="false" customHeight="false" outlineLevel="0" collapsed="false">
      <c r="A96" s="3" t="s">
        <v>219</v>
      </c>
      <c r="B96" s="10" t="n">
        <v>747.840960762616</v>
      </c>
      <c r="C96" s="10" t="n">
        <v>2542.77331074306</v>
      </c>
      <c r="D96" s="4" t="str">
        <f aca="false">IF(B96="","A",IF(B96&gt;=INPUTS!$B$17,"B","A"))</f>
        <v>B</v>
      </c>
      <c r="E96" s="10" t="n">
        <f aca="false">IF(AND(INPUTS!$E$24=1,$D96="B",TRIB!F96&lt;&gt;""),TRIB!F96,"")</f>
        <v>578</v>
      </c>
      <c r="F96" s="10" t="n">
        <v>578</v>
      </c>
      <c r="G96" s="10" t="n">
        <v>424</v>
      </c>
      <c r="H96" s="10" t="n">
        <v>424</v>
      </c>
      <c r="I96" s="10" t="n">
        <v>426</v>
      </c>
      <c r="J96" s="10"/>
      <c r="K96" s="10"/>
      <c r="L96" s="10"/>
      <c r="M96" s="10"/>
      <c r="N96" s="10" t="str">
        <f aca="false">IF(AND(INPUTS!$E$33=1,TRIB!M96&lt;&gt;""),TRIB!M96,"")</f>
        <v/>
      </c>
      <c r="O96" s="10" t="str">
        <f aca="false">IF(AND(INPUTS!$E$34=1,TRIB!M96&lt;&gt;""),TRIB!M96,"")</f>
        <v/>
      </c>
      <c r="P96" s="10" t="str">
        <f aca="false">IF(AND(INPUTS!$E$35=1,TRIB!M96&lt;&gt;""),TRIB!M96,"")</f>
        <v/>
      </c>
    </row>
    <row r="97" customFormat="false" ht="15" hidden="false" customHeight="false" outlineLevel="0" collapsed="false">
      <c r="A97" s="3" t="s">
        <v>220</v>
      </c>
      <c r="B97" s="10" t="n">
        <v>747.910187278126</v>
      </c>
      <c r="C97" s="10" t="n">
        <v>2570.78198508235</v>
      </c>
      <c r="D97" s="4" t="str">
        <f aca="false">IF(B97="","A",IF(B97&gt;=INPUTS!$B$17,"B","A"))</f>
        <v>B</v>
      </c>
      <c r="E97" s="10" t="n">
        <f aca="false">IF(AND(INPUTS!$E$24=1,$D97="B",TRIB!F97&lt;&gt;""),TRIB!F97,"")</f>
        <v>528</v>
      </c>
      <c r="F97" s="10" t="n">
        <v>528</v>
      </c>
      <c r="G97" s="10" t="n">
        <v>528</v>
      </c>
      <c r="H97" s="10" t="n">
        <v>528</v>
      </c>
      <c r="I97" s="10" t="n">
        <v>529</v>
      </c>
      <c r="J97" s="10"/>
      <c r="K97" s="10"/>
      <c r="L97" s="10"/>
      <c r="M97" s="10"/>
      <c r="N97" s="10" t="str">
        <f aca="false">IF(AND(INPUTS!$E$33=1,TRIB!M97&lt;&gt;""),TRIB!M97,"")</f>
        <v/>
      </c>
      <c r="O97" s="10" t="str">
        <f aca="false">IF(AND(INPUTS!$E$34=1,TRIB!M97&lt;&gt;""),TRIB!M97,"")</f>
        <v/>
      </c>
      <c r="P97" s="10" t="str">
        <f aca="false">IF(AND(INPUTS!$E$35=1,TRIB!M97&lt;&gt;""),TRIB!M97,"")</f>
        <v/>
      </c>
    </row>
    <row r="98" customFormat="false" ht="15" hidden="false" customHeight="false" outlineLevel="0" collapsed="false">
      <c r="A98" s="3" t="s">
        <v>221</v>
      </c>
      <c r="B98" s="10" t="n">
        <v>748.973266105522</v>
      </c>
      <c r="C98" s="10" t="n">
        <v>2583.78198508235</v>
      </c>
      <c r="D98" s="4" t="str">
        <f aca="false">IF(B98="","A",IF(B98&gt;=INPUTS!$B$17,"B","A"))</f>
        <v>B</v>
      </c>
      <c r="E98" s="10" t="n">
        <f aca="false">IF(AND(INPUTS!$E$24=1,$D98="B",TRIB!F98&lt;&gt;""),TRIB!F98,"")</f>
        <v>266</v>
      </c>
      <c r="F98" s="10" t="n">
        <v>266</v>
      </c>
      <c r="G98" s="10" t="n">
        <v>266</v>
      </c>
      <c r="H98" s="10" t="n">
        <v>266</v>
      </c>
      <c r="I98" s="10" t="n">
        <v>266</v>
      </c>
      <c r="J98" s="10"/>
      <c r="K98" s="10"/>
      <c r="L98" s="10"/>
      <c r="M98" s="10"/>
      <c r="N98" s="10" t="str">
        <f aca="false">IF(AND(INPUTS!$E$33=1,TRIB!M98&lt;&gt;""),TRIB!M98,"")</f>
        <v/>
      </c>
      <c r="O98" s="10" t="str">
        <f aca="false">IF(AND(INPUTS!$E$34=1,TRIB!M98&lt;&gt;""),TRIB!M98,"")</f>
        <v/>
      </c>
      <c r="P98" s="10" t="str">
        <f aca="false">IF(AND(INPUTS!$E$35=1,TRIB!M98&lt;&gt;""),TRIB!M98,"")</f>
        <v/>
      </c>
    </row>
    <row r="99" customFormat="false" ht="15" hidden="false" customHeight="false" outlineLevel="0" collapsed="false">
      <c r="A99" s="3" t="s">
        <v>222</v>
      </c>
      <c r="B99" s="10" t="n">
        <v>749.88290345443</v>
      </c>
      <c r="C99" s="10" t="n">
        <v>2601.78198508235</v>
      </c>
      <c r="D99" s="4" t="str">
        <f aca="false">IF(B99="","A",IF(B99&gt;=INPUTS!$B$17,"B","A"))</f>
        <v>B</v>
      </c>
      <c r="E99" s="10" t="n">
        <f aca="false">IF(AND(INPUTS!$E$24=1,$D99="B",TRIB!F99&lt;&gt;""),TRIB!F99,"")</f>
        <v>689</v>
      </c>
      <c r="F99" s="10" t="n">
        <v>689</v>
      </c>
      <c r="G99" s="10" t="n">
        <v>689</v>
      </c>
      <c r="H99" s="10" t="n">
        <v>689</v>
      </c>
      <c r="I99" s="10" t="n">
        <v>689</v>
      </c>
      <c r="J99" s="10"/>
      <c r="K99" s="10"/>
      <c r="L99" s="10"/>
      <c r="M99" s="10"/>
      <c r="N99" s="10" t="str">
        <f aca="false">IF(AND(INPUTS!$E$33=1,TRIB!M99&lt;&gt;""),TRIB!M99,"")</f>
        <v/>
      </c>
      <c r="O99" s="10" t="str">
        <f aca="false">IF(AND(INPUTS!$E$34=1,TRIB!M99&lt;&gt;""),TRIB!M99,"")</f>
        <v/>
      </c>
      <c r="P99" s="10" t="str">
        <f aca="false">IF(AND(INPUTS!$E$35=1,TRIB!M99&lt;&gt;""),TRIB!M99,"")</f>
        <v/>
      </c>
    </row>
    <row r="100" customFormat="false" ht="15" hidden="false" customHeight="false" outlineLevel="0" collapsed="false">
      <c r="A100" s="3" t="s">
        <v>223</v>
      </c>
      <c r="B100" s="10" t="n">
        <v>749.882903454429</v>
      </c>
      <c r="C100" s="10" t="n">
        <v>2628.79147662427</v>
      </c>
      <c r="D100" s="4" t="str">
        <f aca="false">IF(B100="","A",IF(B100&gt;=INPUTS!$B$17,"B","A"))</f>
        <v>B</v>
      </c>
      <c r="E100" s="10" t="n">
        <f aca="false">IF(AND(INPUTS!$E$24=1,$D100="B",TRIB!F100&lt;&gt;""),TRIB!F100,"")</f>
        <v>595</v>
      </c>
      <c r="F100" s="10" t="n">
        <v>595</v>
      </c>
      <c r="G100" s="10" t="n">
        <v>595</v>
      </c>
      <c r="H100" s="10" t="n">
        <v>595</v>
      </c>
      <c r="I100" s="10" t="n">
        <v>595</v>
      </c>
      <c r="J100" s="10"/>
      <c r="K100" s="10"/>
      <c r="L100" s="10"/>
      <c r="M100" s="10"/>
      <c r="N100" s="10" t="str">
        <f aca="false">IF(AND(INPUTS!$E$33=1,TRIB!M100&lt;&gt;""),TRIB!M100,"")</f>
        <v/>
      </c>
      <c r="O100" s="10" t="str">
        <f aca="false">IF(AND(INPUTS!$E$34=1,TRIB!M100&lt;&gt;""),TRIB!M100,"")</f>
        <v/>
      </c>
      <c r="P100" s="10" t="str">
        <f aca="false">IF(AND(INPUTS!$E$35=1,TRIB!M100&lt;&gt;""),TRIB!M100,"")</f>
        <v/>
      </c>
    </row>
    <row r="101" customFormat="false" ht="15" hidden="false" customHeight="false" outlineLevel="0" collapsed="false">
      <c r="A101" s="3" t="s">
        <v>224</v>
      </c>
      <c r="B101" s="10" t="n">
        <v>753.687862131782</v>
      </c>
      <c r="C101" s="10" t="n">
        <v>1816.93691619513</v>
      </c>
      <c r="D101" s="4" t="str">
        <f aca="false">IF(B101="","A",IF(B101&gt;=INPUTS!$B$17,"B","A"))</f>
        <v>B</v>
      </c>
      <c r="E101" s="10" t="n">
        <f aca="false">IF(AND(INPUTS!$E$24=1,$D101="B",TRIB!F101&lt;&gt;""),TRIB!F101,"")</f>
        <v>478</v>
      </c>
      <c r="F101" s="10" t="n">
        <v>478</v>
      </c>
      <c r="G101" s="10" t="n">
        <v>262</v>
      </c>
      <c r="H101" s="10" t="n">
        <v>303</v>
      </c>
      <c r="I101" s="10" t="n">
        <v>303</v>
      </c>
      <c r="J101" s="10" t="n">
        <v>821</v>
      </c>
      <c r="K101" s="10"/>
      <c r="L101" s="10"/>
      <c r="M101" s="10"/>
      <c r="N101" s="10" t="str">
        <f aca="false">IF(AND(INPUTS!$E$33=1,TRIB!M101&lt;&gt;""),TRIB!M101,"")</f>
        <v/>
      </c>
      <c r="O101" s="10" t="str">
        <f aca="false">IF(AND(INPUTS!$E$34=1,TRIB!M101&lt;&gt;""),TRIB!M101,"")</f>
        <v/>
      </c>
      <c r="P101" s="10" t="str">
        <f aca="false">IF(AND(INPUTS!$E$35=1,TRIB!M101&lt;&gt;""),TRIB!M101,"")</f>
        <v/>
      </c>
    </row>
    <row r="102" customFormat="false" ht="15" hidden="false" customHeight="false" outlineLevel="0" collapsed="false">
      <c r="A102" s="3" t="s">
        <v>225</v>
      </c>
      <c r="B102" s="10" t="n">
        <v>766.007627429283</v>
      </c>
      <c r="C102" s="10" t="n">
        <v>2542.77331074306</v>
      </c>
      <c r="D102" s="4" t="str">
        <f aca="false">IF(B102="","A",IF(B102&gt;=INPUTS!$B$17,"B","A"))</f>
        <v>B</v>
      </c>
      <c r="E102" s="10" t="n">
        <f aca="false">IF(AND(INPUTS!$E$24=1,$D102="B",TRIB!F102&lt;&gt;""),TRIB!F102,"")</f>
        <v>341</v>
      </c>
      <c r="F102" s="10" t="n">
        <v>341</v>
      </c>
      <c r="G102" s="10" t="n">
        <v>326</v>
      </c>
      <c r="H102" s="10" t="n">
        <v>326</v>
      </c>
      <c r="I102" s="10" t="n">
        <v>485</v>
      </c>
      <c r="J102" s="10"/>
      <c r="K102" s="10"/>
      <c r="L102" s="10"/>
      <c r="M102" s="10"/>
      <c r="N102" s="10" t="str">
        <f aca="false">IF(AND(INPUTS!$E$33=1,TRIB!M102&lt;&gt;""),TRIB!M102,"")</f>
        <v/>
      </c>
      <c r="O102" s="10" t="str">
        <f aca="false">IF(AND(INPUTS!$E$34=1,TRIB!M102&lt;&gt;""),TRIB!M102,"")</f>
        <v/>
      </c>
      <c r="P102" s="10" t="str">
        <f aca="false">IF(AND(INPUTS!$E$35=1,TRIB!M102&lt;&gt;""),TRIB!M102,"")</f>
        <v/>
      </c>
    </row>
    <row r="103" customFormat="false" ht="15" hidden="false" customHeight="false" outlineLevel="0" collapsed="false">
      <c r="A103" s="3" t="s">
        <v>226</v>
      </c>
      <c r="B103" s="10" t="n">
        <v>773.33917415544</v>
      </c>
      <c r="C103" s="10" t="n">
        <v>2562.66306942484</v>
      </c>
      <c r="D103" s="4" t="str">
        <f aca="false">IF(B103="","A",IF(B103&gt;=INPUTS!$B$17,"B","A"))</f>
        <v>B</v>
      </c>
      <c r="E103" s="10" t="n">
        <f aca="false">IF(AND(INPUTS!$E$24=1,$D103="B",TRIB!F103&lt;&gt;""),TRIB!F103,"")</f>
        <v>466</v>
      </c>
      <c r="F103" s="10" t="n">
        <v>466</v>
      </c>
      <c r="G103" s="10" t="n">
        <v>466</v>
      </c>
      <c r="H103" s="10" t="n">
        <v>466</v>
      </c>
      <c r="I103" s="10" t="n">
        <v>724</v>
      </c>
      <c r="J103" s="10"/>
      <c r="K103" s="10"/>
      <c r="L103" s="10"/>
      <c r="M103" s="10"/>
      <c r="N103" s="10" t="str">
        <f aca="false">IF(AND(INPUTS!$E$33=1,TRIB!M103&lt;&gt;""),TRIB!M103,"")</f>
        <v/>
      </c>
      <c r="O103" s="10" t="str">
        <f aca="false">IF(AND(INPUTS!$E$34=1,TRIB!M103&lt;&gt;""),TRIB!M103,"")</f>
        <v/>
      </c>
      <c r="P103" s="10" t="str">
        <f aca="false">IF(AND(INPUTS!$E$35=1,TRIB!M103&lt;&gt;""),TRIB!M103,"")</f>
        <v/>
      </c>
    </row>
    <row r="104" customFormat="false" ht="15" hidden="false" customHeight="false" outlineLevel="0" collapsed="false">
      <c r="A104" s="3" t="s">
        <v>227</v>
      </c>
      <c r="B104" s="10" t="n">
        <v>776.639932772187</v>
      </c>
      <c r="C104" s="10" t="n">
        <v>2628.79147662427</v>
      </c>
      <c r="D104" s="4" t="str">
        <f aca="false">IF(B104="","A",IF(B104&gt;=INPUTS!$B$17,"B","A"))</f>
        <v>B</v>
      </c>
      <c r="E104" s="10" t="n">
        <f aca="false">IF(AND(INPUTS!$E$24=1,$D104="B",TRIB!F104&lt;&gt;""),TRIB!F104,"")</f>
        <v>401</v>
      </c>
      <c r="F104" s="10" t="n">
        <v>401</v>
      </c>
      <c r="G104" s="10" t="n">
        <v>388</v>
      </c>
      <c r="H104" s="10" t="n">
        <v>384</v>
      </c>
      <c r="I104" s="10" t="n">
        <v>489</v>
      </c>
      <c r="J104" s="10"/>
      <c r="K104" s="10"/>
      <c r="L104" s="10"/>
      <c r="M104" s="10"/>
      <c r="N104" s="10" t="str">
        <f aca="false">IF(AND(INPUTS!$E$33=1,TRIB!M104&lt;&gt;""),TRIB!M104,"")</f>
        <v/>
      </c>
      <c r="O104" s="10" t="str">
        <f aca="false">IF(AND(INPUTS!$E$34=1,TRIB!M104&lt;&gt;""),TRIB!M104,"")</f>
        <v/>
      </c>
      <c r="P104" s="10" t="str">
        <f aca="false">IF(AND(INPUTS!$E$35=1,TRIB!M104&lt;&gt;""),TRIB!M104,"")</f>
        <v/>
      </c>
    </row>
    <row r="105" customFormat="false" ht="15" hidden="false" customHeight="false" outlineLevel="0" collapsed="false">
      <c r="A105" s="3" t="s">
        <v>228</v>
      </c>
      <c r="B105" s="10" t="n">
        <v>780.67036318252</v>
      </c>
      <c r="C105" s="10" t="n">
        <v>2588.30219535691</v>
      </c>
      <c r="D105" s="4" t="str">
        <f aca="false">IF(B105="","A",IF(B105&gt;=INPUTS!$B$17,"B","A"))</f>
        <v>B</v>
      </c>
      <c r="E105" s="10" t="n">
        <f aca="false">IF(AND(INPUTS!$E$24=1,$D105="B",TRIB!F105&lt;&gt;""),TRIB!F105,"")</f>
        <v>487</v>
      </c>
      <c r="F105" s="10" t="n">
        <v>487</v>
      </c>
      <c r="G105" s="10" t="n">
        <v>487</v>
      </c>
      <c r="H105" s="10" t="n">
        <v>487</v>
      </c>
      <c r="I105" s="10" t="n">
        <v>741</v>
      </c>
      <c r="J105" s="10"/>
      <c r="K105" s="10"/>
      <c r="L105" s="10"/>
      <c r="M105" s="10"/>
      <c r="N105" s="10" t="str">
        <f aca="false">IF(AND(INPUTS!$E$33=1,TRIB!M105&lt;&gt;""),TRIB!M105,"")</f>
        <v/>
      </c>
      <c r="O105" s="10" t="str">
        <f aca="false">IF(AND(INPUTS!$E$34=1,TRIB!M105&lt;&gt;""),TRIB!M105,"")</f>
        <v/>
      </c>
      <c r="P105" s="10" t="str">
        <f aca="false">IF(AND(INPUTS!$E$35=1,TRIB!M105&lt;&gt;""),TRIB!M105,"")</f>
        <v/>
      </c>
    </row>
    <row r="106" customFormat="false" ht="15" hidden="false" customHeight="false" outlineLevel="0" collapsed="false">
      <c r="A106" s="3" t="s">
        <v>229</v>
      </c>
      <c r="B106" s="10" t="n">
        <v>783.946398286554</v>
      </c>
      <c r="C106" s="10" t="n">
        <v>2607.44960850629</v>
      </c>
      <c r="D106" s="4" t="str">
        <f aca="false">IF(B106="","A",IF(B106&gt;=INPUTS!$B$17,"B","A"))</f>
        <v>B</v>
      </c>
      <c r="E106" s="10" t="n">
        <f aca="false">IF(AND(INPUTS!$E$24=1,$D106="B",TRIB!F106&lt;&gt;""),TRIB!F106,"")</f>
        <v>433</v>
      </c>
      <c r="F106" s="10" t="n">
        <v>433</v>
      </c>
      <c r="G106" s="10" t="n">
        <v>433</v>
      </c>
      <c r="H106" s="10" t="n">
        <v>433</v>
      </c>
      <c r="I106" s="10" t="n">
        <v>717</v>
      </c>
      <c r="J106" s="10"/>
      <c r="K106" s="10"/>
      <c r="L106" s="10"/>
      <c r="M106" s="10"/>
      <c r="N106" s="10" t="str">
        <f aca="false">IF(AND(INPUTS!$E$33=1,TRIB!M106&lt;&gt;""),TRIB!M106,"")</f>
        <v/>
      </c>
      <c r="O106" s="10" t="str">
        <f aca="false">IF(AND(INPUTS!$E$34=1,TRIB!M106&lt;&gt;""),TRIB!M106,"")</f>
        <v/>
      </c>
      <c r="P106" s="10" t="str">
        <f aca="false">IF(AND(INPUTS!$E$35=1,TRIB!M106&lt;&gt;""),TRIB!M106,"")</f>
        <v/>
      </c>
    </row>
    <row r="107" customFormat="false" ht="15" hidden="false" customHeight="false" outlineLevel="0" collapsed="false">
      <c r="A107" s="3" t="s">
        <v>230</v>
      </c>
      <c r="B107" s="10" t="n">
        <v>731.006978628526</v>
      </c>
      <c r="C107" s="10" t="n">
        <v>2498.93691619513</v>
      </c>
      <c r="D107" s="4" t="str">
        <f aca="false">IF(B107="","A",IF(B107&gt;=INPUTS!$B$17,"B","A"))</f>
        <v>B</v>
      </c>
      <c r="E107" s="10" t="n">
        <f aca="false">IF(AND(INPUTS!$E$24=1,$D107="B",TRIB!F107&lt;&gt;""),TRIB!F107,"")</f>
        <v>414</v>
      </c>
      <c r="F107" s="10" t="n">
        <v>414</v>
      </c>
      <c r="G107" s="10" t="n">
        <v>249</v>
      </c>
      <c r="H107" s="10" t="n">
        <v>303</v>
      </c>
      <c r="I107" s="10" t="n">
        <v>303</v>
      </c>
      <c r="J107" s="10"/>
      <c r="K107" s="10"/>
      <c r="L107" s="10"/>
      <c r="M107" s="10"/>
      <c r="N107" s="10" t="str">
        <f aca="false">IF(AND(INPUTS!$E$33=1,TRIB!M107&lt;&gt;""),TRIB!M107,"")</f>
        <v/>
      </c>
      <c r="O107" s="10" t="str">
        <f aca="false">IF(AND(INPUTS!$E$34=1,TRIB!M107&lt;&gt;""),TRIB!M107,"")</f>
        <v/>
      </c>
      <c r="P107" s="10" t="str">
        <f aca="false">IF(AND(INPUTS!$E$35=1,TRIB!M107&lt;&gt;""),TRIB!M107,"")</f>
        <v/>
      </c>
    </row>
    <row r="108" customFormat="false" ht="15" hidden="false" customHeight="false" outlineLevel="0" collapsed="false">
      <c r="A108" s="3" t="s">
        <v>231</v>
      </c>
      <c r="B108" s="10" t="n">
        <v>767.015829921962</v>
      </c>
      <c r="C108" s="10" t="n">
        <v>2498.93691619513</v>
      </c>
      <c r="D108" s="4" t="str">
        <f aca="false">IF(B108="","A",IF(B108&gt;=INPUTS!$B$17,"B","A"))</f>
        <v>B</v>
      </c>
      <c r="E108" s="10" t="n">
        <f aca="false">IF(AND(INPUTS!$E$24=1,$D108="B",TRIB!F108&lt;&gt;""),TRIB!F108,"")</f>
        <v>165</v>
      </c>
      <c r="F108" s="10" t="n">
        <v>165</v>
      </c>
      <c r="G108" s="10" t="n">
        <v>109</v>
      </c>
      <c r="H108" s="10" t="n">
        <v>39</v>
      </c>
      <c r="I108" s="10" t="n">
        <v>39</v>
      </c>
      <c r="J108" s="10"/>
      <c r="K108" s="10"/>
      <c r="L108" s="10"/>
      <c r="M108" s="10"/>
      <c r="N108" s="10" t="str">
        <f aca="false">IF(AND(INPUTS!$E$33=1,TRIB!M108&lt;&gt;""),TRIB!M108,"")</f>
        <v/>
      </c>
      <c r="O108" s="10" t="str">
        <f aca="false">IF(AND(INPUTS!$E$34=1,TRIB!M108&lt;&gt;""),TRIB!M108,"")</f>
        <v/>
      </c>
      <c r="P108" s="10" t="str">
        <f aca="false">IF(AND(INPUTS!$E$35=1,TRIB!M108&lt;&gt;""),TRIB!M108,"")</f>
        <v/>
      </c>
    </row>
    <row r="109" customFormat="false" ht="15" hidden="false" customHeight="false" outlineLevel="0" collapsed="false">
      <c r="A109" s="3" t="s">
        <v>232</v>
      </c>
      <c r="B109" s="10" t="n">
        <v>767.015829921963</v>
      </c>
      <c r="C109" s="10" t="n">
        <v>2524.47059142154</v>
      </c>
      <c r="D109" s="4" t="str">
        <f aca="false">IF(B109="","A",IF(B109&gt;=INPUTS!$B$17,"B","A"))</f>
        <v>B</v>
      </c>
      <c r="E109" s="10" t="n">
        <f aca="false">IF(AND(INPUTS!$E$24=1,$D109="B",TRIB!F109&lt;&gt;""),TRIB!F109,"")</f>
        <v>320</v>
      </c>
      <c r="F109" s="10" t="n">
        <v>320</v>
      </c>
      <c r="G109" s="10" t="n">
        <v>77</v>
      </c>
      <c r="H109" s="10" t="n">
        <v>7</v>
      </c>
      <c r="I109" s="10" t="n">
        <v>72</v>
      </c>
      <c r="J109" s="10"/>
      <c r="K109" s="10"/>
      <c r="L109" s="10"/>
      <c r="M109" s="10"/>
      <c r="N109" s="10" t="str">
        <f aca="false">IF(AND(INPUTS!$E$33=1,TRIB!M109&lt;&gt;""),TRIB!M109,"")</f>
        <v/>
      </c>
      <c r="O109" s="10" t="str">
        <f aca="false">IF(AND(INPUTS!$E$34=1,TRIB!M109&lt;&gt;""),TRIB!M109,"")</f>
        <v/>
      </c>
      <c r="P109" s="10" t="str">
        <f aca="false">IF(AND(INPUTS!$E$35=1,TRIB!M109&lt;&gt;""),TRIB!M109,"")</f>
        <v/>
      </c>
    </row>
    <row r="110" customFormat="false" ht="15" hidden="false" customHeight="false" outlineLevel="0" collapsed="false">
      <c r="A110" s="3" t="s">
        <v>233</v>
      </c>
      <c r="B110" s="10" t="n">
        <v>549.953574289546</v>
      </c>
      <c r="C110" s="10" t="n">
        <v>4005.70964189134</v>
      </c>
      <c r="D110" s="4" t="str">
        <f aca="false">IF(B110="","A",IF(B110&gt;=INPUTS!$B$17,"B","A"))</f>
        <v>B</v>
      </c>
      <c r="E110" s="10" t="n">
        <f aca="false">IF(AND(INPUTS!$E$24=1,$D110="B",TRIB!F110&lt;&gt;""),TRIB!F110,"")</f>
        <v>162</v>
      </c>
      <c r="F110" s="10" t="n">
        <v>162</v>
      </c>
      <c r="G110" s="10" t="n">
        <v>134</v>
      </c>
      <c r="H110" s="10"/>
      <c r="I110" s="10"/>
      <c r="J110" s="10"/>
      <c r="K110" s="10"/>
      <c r="L110" s="10"/>
      <c r="M110" s="10"/>
      <c r="N110" s="10" t="str">
        <f aca="false">IF(AND(INPUTS!$E$33=1,TRIB!M110&lt;&gt;""),TRIB!M110,"")</f>
        <v/>
      </c>
      <c r="O110" s="10" t="str">
        <f aca="false">IF(AND(INPUTS!$E$34=1,TRIB!M110&lt;&gt;""),TRIB!M110,"")</f>
        <v/>
      </c>
      <c r="P110" s="10" t="str">
        <f aca="false">IF(AND(INPUTS!$E$35=1,TRIB!M110&lt;&gt;""),TRIB!M110,"")</f>
        <v/>
      </c>
    </row>
    <row r="111" customFormat="false" ht="15" hidden="false" customHeight="false" outlineLevel="0" collapsed="false">
      <c r="A111" s="3" t="s">
        <v>234</v>
      </c>
      <c r="B111" s="10" t="n">
        <v>564.679787169113</v>
      </c>
      <c r="C111" s="10" t="n">
        <v>4005.70964189134</v>
      </c>
      <c r="D111" s="4" t="str">
        <f aca="false">IF(B111="","A",IF(B111&gt;=INPUTS!$B$17,"B","A"))</f>
        <v>B</v>
      </c>
      <c r="E111" s="10" t="n">
        <f aca="false">IF(AND(INPUTS!$E$24=1,$D111="B",TRIB!F111&lt;&gt;""),TRIB!F111,"")</f>
        <v>147</v>
      </c>
      <c r="F111" s="10" t="n">
        <v>147</v>
      </c>
      <c r="G111" s="10" t="n">
        <v>44</v>
      </c>
      <c r="H111" s="10"/>
      <c r="I111" s="10"/>
      <c r="J111" s="10"/>
      <c r="K111" s="10"/>
      <c r="L111" s="10"/>
      <c r="M111" s="10"/>
      <c r="N111" s="10" t="str">
        <f aca="false">IF(AND(INPUTS!$E$33=1,TRIB!M111&lt;&gt;""),TRIB!M111,"")</f>
        <v/>
      </c>
      <c r="O111" s="10" t="str">
        <f aca="false">IF(AND(INPUTS!$E$34=1,TRIB!M111&lt;&gt;""),TRIB!M111,"")</f>
        <v/>
      </c>
      <c r="P111" s="10" t="str">
        <f aca="false">IF(AND(INPUTS!$E$35=1,TRIB!M111&lt;&gt;""),TRIB!M111,"")</f>
        <v/>
      </c>
    </row>
    <row r="112" customFormat="false" ht="15" hidden="false" customHeight="false" outlineLevel="0" collapsed="false">
      <c r="A112" s="3" t="s">
        <v>235</v>
      </c>
      <c r="B112" s="10" t="n">
        <v>466.801474313503</v>
      </c>
      <c r="C112" s="10" t="n">
        <v>4568.7108995061</v>
      </c>
      <c r="D112" s="4" t="str">
        <f aca="false">IF(B112="","A",IF(B112&gt;=INPUTS!$B$17,"B","A"))</f>
        <v>A</v>
      </c>
      <c r="E112" s="10" t="str">
        <f aca="false">IF(AND(INPUTS!$E$24=1,$D112="B",TRIB!F112&lt;&gt;""),TRIB!F112,"")</f>
        <v/>
      </c>
      <c r="F112" s="10" t="n">
        <v>260</v>
      </c>
      <c r="G112" s="10"/>
      <c r="H112" s="10"/>
      <c r="I112" s="10"/>
      <c r="J112" s="10"/>
      <c r="K112" s="10"/>
      <c r="L112" s="10"/>
      <c r="M112" s="10"/>
      <c r="N112" s="10" t="str">
        <f aca="false">IF(AND(INPUTS!$E$33=1,TRIB!M112&lt;&gt;""),TRIB!M112,"")</f>
        <v/>
      </c>
      <c r="O112" s="10" t="str">
        <f aca="false">IF(AND(INPUTS!$E$34=1,TRIB!M112&lt;&gt;""),TRIB!M112,"")</f>
        <v/>
      </c>
      <c r="P112" s="10" t="str">
        <f aca="false">IF(AND(INPUTS!$E$35=1,TRIB!M112&lt;&gt;""),TRIB!M112,"")</f>
        <v/>
      </c>
    </row>
    <row r="113" customFormat="false" ht="15" hidden="false" customHeight="false" outlineLevel="0" collapsed="false">
      <c r="A113" s="3" t="s">
        <v>236</v>
      </c>
      <c r="B113" s="10" t="n">
        <v>491.48349603773</v>
      </c>
      <c r="C113" s="10" t="n">
        <v>4567.41933096661</v>
      </c>
      <c r="D113" s="4" t="str">
        <f aca="false">IF(B113="","A",IF(B113&gt;=INPUTS!$B$17,"B","A"))</f>
        <v>A</v>
      </c>
      <c r="E113" s="10" t="str">
        <f aca="false">IF(AND(INPUTS!$E$24=1,$D113="B",TRIB!F113&lt;&gt;""),TRIB!F113,"")</f>
        <v/>
      </c>
      <c r="F113" s="10" t="n">
        <v>410</v>
      </c>
      <c r="G113" s="10"/>
      <c r="H113" s="10"/>
      <c r="I113" s="10"/>
      <c r="J113" s="10"/>
      <c r="K113" s="10"/>
      <c r="L113" s="10"/>
      <c r="M113" s="10"/>
      <c r="N113" s="10" t="str">
        <f aca="false">IF(AND(INPUTS!$E$33=1,TRIB!M113&lt;&gt;""),TRIB!M113,"")</f>
        <v/>
      </c>
      <c r="O113" s="10" t="str">
        <f aca="false">IF(AND(INPUTS!$E$34=1,TRIB!M113&lt;&gt;""),TRIB!M113,"")</f>
        <v/>
      </c>
      <c r="P113" s="10" t="str">
        <f aca="false">IF(AND(INPUTS!$E$35=1,TRIB!M113&lt;&gt;""),TRIB!M113,"")</f>
        <v/>
      </c>
    </row>
    <row r="114" customFormat="false" ht="15" hidden="false" customHeight="false" outlineLevel="0" collapsed="false">
      <c r="A114" s="3" t="s">
        <v>237</v>
      </c>
      <c r="B114" s="10" t="n">
        <v>586.054635839489</v>
      </c>
      <c r="C114" s="10" t="n">
        <v>4571.68997740973</v>
      </c>
      <c r="D114" s="4" t="str">
        <f aca="false">IF(B114="","A",IF(B114&gt;=INPUTS!$B$17,"B","A"))</f>
        <v>B</v>
      </c>
      <c r="E114" s="10" t="n">
        <f aca="false">IF(AND(INPUTS!$E$24=1,$D114="B",TRIB!F114&lt;&gt;""),TRIB!F114,"")</f>
        <v>542</v>
      </c>
      <c r="F114" s="10" t="n">
        <v>542</v>
      </c>
      <c r="G114" s="10"/>
      <c r="H114" s="10"/>
      <c r="I114" s="10"/>
      <c r="J114" s="10"/>
      <c r="K114" s="10"/>
      <c r="L114" s="10"/>
      <c r="M114" s="10"/>
      <c r="N114" s="10" t="str">
        <f aca="false">IF(AND(INPUTS!$E$33=1,TRIB!M114&lt;&gt;""),TRIB!M114,"")</f>
        <v/>
      </c>
      <c r="O114" s="10" t="str">
        <f aca="false">IF(AND(INPUTS!$E$34=1,TRIB!M114&lt;&gt;""),TRIB!M114,"")</f>
        <v/>
      </c>
      <c r="P114" s="10" t="str">
        <f aca="false">IF(AND(INPUTS!$E$35=1,TRIB!M114&lt;&gt;""),TRIB!M114,"")</f>
        <v/>
      </c>
    </row>
    <row r="115" customFormat="false" ht="15" hidden="false" customHeight="false" outlineLevel="0" collapsed="false">
      <c r="A115" s="3" t="s">
        <v>238</v>
      </c>
      <c r="B115" s="10" t="n">
        <v>612.721302506156</v>
      </c>
      <c r="C115" s="10" t="n">
        <v>4571.68997740973</v>
      </c>
      <c r="D115" s="4" t="str">
        <f aca="false">IF(B115="","A",IF(B115&gt;=INPUTS!$B$17,"B","A"))</f>
        <v>B</v>
      </c>
      <c r="E115" s="10" t="n">
        <f aca="false">IF(AND(INPUTS!$E$24=1,$D115="B",TRIB!F115&lt;&gt;""),TRIB!F115,"")</f>
        <v>536</v>
      </c>
      <c r="F115" s="10" t="n">
        <v>536</v>
      </c>
      <c r="G115" s="10"/>
      <c r="H115" s="10"/>
      <c r="I115" s="10"/>
      <c r="J115" s="10"/>
      <c r="K115" s="10"/>
      <c r="L115" s="10"/>
      <c r="M115" s="10"/>
      <c r="N115" s="10" t="str">
        <f aca="false">IF(AND(INPUTS!$E$33=1,TRIB!M115&lt;&gt;""),TRIB!M115,"")</f>
        <v/>
      </c>
      <c r="O115" s="10" t="str">
        <f aca="false">IF(AND(INPUTS!$E$34=1,TRIB!M115&lt;&gt;""),TRIB!M115,"")</f>
        <v/>
      </c>
      <c r="P115" s="10" t="str">
        <f aca="false">IF(AND(INPUTS!$E$35=1,TRIB!M115&lt;&gt;""),TRIB!M115,"")</f>
        <v/>
      </c>
    </row>
    <row r="116" customFormat="false" ht="15" hidden="false" customHeight="false" outlineLevel="0" collapsed="false">
      <c r="A116" s="3" t="s">
        <v>239</v>
      </c>
      <c r="B116" s="10" t="n">
        <v>634.887969172844</v>
      </c>
      <c r="C116" s="10" t="n">
        <v>4571.68997740973</v>
      </c>
      <c r="D116" s="4" t="str">
        <f aca="false">IF(B116="","A",IF(B116&gt;=INPUTS!$B$17,"B","A"))</f>
        <v>B</v>
      </c>
      <c r="E116" s="10" t="n">
        <f aca="false">IF(AND(INPUTS!$E$24=1,$D116="B",TRIB!F116&lt;&gt;""),TRIB!F116,"")</f>
        <v>581</v>
      </c>
      <c r="F116" s="10" t="n">
        <v>581</v>
      </c>
      <c r="G116" s="10"/>
      <c r="H116" s="10"/>
      <c r="I116" s="10"/>
      <c r="J116" s="10"/>
      <c r="K116" s="10"/>
      <c r="L116" s="10"/>
      <c r="M116" s="10"/>
      <c r="N116" s="10" t="str">
        <f aca="false">IF(AND(INPUTS!$E$33=1,TRIB!M116&lt;&gt;""),TRIB!M116,"")</f>
        <v/>
      </c>
      <c r="O116" s="10" t="str">
        <f aca="false">IF(AND(INPUTS!$E$34=1,TRIB!M116&lt;&gt;""),TRIB!M116,"")</f>
        <v/>
      </c>
      <c r="P116" s="10" t="str">
        <f aca="false">IF(AND(INPUTS!$E$35=1,TRIB!M116&lt;&gt;""),TRIB!M116,"")</f>
        <v/>
      </c>
    </row>
    <row r="117" customFormat="false" ht="15" hidden="false" customHeight="false" outlineLevel="0" collapsed="false">
      <c r="A117" s="3" t="s">
        <v>240</v>
      </c>
      <c r="B117" s="10" t="n">
        <v>670.294214350451</v>
      </c>
      <c r="C117" s="10" t="n">
        <v>4570.77331074306</v>
      </c>
      <c r="D117" s="4" t="str">
        <f aca="false">IF(B117="","A",IF(B117&gt;=INPUTS!$B$17,"B","A"))</f>
        <v>B</v>
      </c>
      <c r="E117" s="10" t="n">
        <f aca="false">IF(AND(INPUTS!$E$24=1,$D117="B",TRIB!F117&lt;&gt;""),TRIB!F117,"")</f>
        <v>556</v>
      </c>
      <c r="F117" s="10" t="n">
        <v>556</v>
      </c>
      <c r="G117" s="10"/>
      <c r="H117" s="10"/>
      <c r="I117" s="10"/>
      <c r="J117" s="10"/>
      <c r="K117" s="10"/>
      <c r="L117" s="10"/>
      <c r="M117" s="10"/>
      <c r="N117" s="10" t="str">
        <f aca="false">IF(AND(INPUTS!$E$33=1,TRIB!M117&lt;&gt;""),TRIB!M117,"")</f>
        <v/>
      </c>
      <c r="O117" s="10" t="str">
        <f aca="false">IF(AND(INPUTS!$E$34=1,TRIB!M117&lt;&gt;""),TRIB!M117,"")</f>
        <v/>
      </c>
      <c r="P117" s="10" t="str">
        <f aca="false">IF(AND(INPUTS!$E$35=1,TRIB!M117&lt;&gt;""),TRIB!M117,"")</f>
        <v/>
      </c>
    </row>
    <row r="118" customFormat="false" ht="15" hidden="false" customHeight="false" outlineLevel="0" collapsed="false">
      <c r="A118" s="3" t="s">
        <v>241</v>
      </c>
      <c r="B118" s="10" t="n">
        <v>707.381188728574</v>
      </c>
      <c r="C118" s="10" t="n">
        <v>4570.77331074306</v>
      </c>
      <c r="D118" s="4" t="str">
        <f aca="false">IF(B118="","A",IF(B118&gt;=INPUTS!$B$17,"B","A"))</f>
        <v>B</v>
      </c>
      <c r="E118" s="10" t="n">
        <f aca="false">IF(AND(INPUTS!$E$24=1,$D118="B",TRIB!F118&lt;&gt;""),TRIB!F118,"")</f>
        <v>234</v>
      </c>
      <c r="F118" s="10" t="n">
        <v>234</v>
      </c>
      <c r="G118" s="10"/>
      <c r="H118" s="10"/>
      <c r="I118" s="10"/>
      <c r="J118" s="10"/>
      <c r="K118" s="10"/>
      <c r="L118" s="10"/>
      <c r="M118" s="10"/>
      <c r="N118" s="10" t="str">
        <f aca="false">IF(AND(INPUTS!$E$33=1,TRIB!M118&lt;&gt;""),TRIB!M118,"")</f>
        <v/>
      </c>
      <c r="O118" s="10" t="str">
        <f aca="false">IF(AND(INPUTS!$E$34=1,TRIB!M118&lt;&gt;""),TRIB!M118,"")</f>
        <v/>
      </c>
      <c r="P118" s="10" t="str">
        <f aca="false">IF(AND(INPUTS!$E$35=1,TRIB!M118&lt;&gt;""),TRIB!M118,"")</f>
        <v/>
      </c>
    </row>
    <row r="119" customFormat="false" ht="15" hidden="false" customHeight="false" outlineLevel="0" collapsed="false">
      <c r="A119" s="3" t="s">
        <v>242</v>
      </c>
      <c r="B119" s="10"/>
      <c r="C119" s="10"/>
      <c r="D119" s="4" t="str">
        <f aca="false">IF(B119="","A",IF(B119&gt;=INPUTS!$B$17,"B","A"))</f>
        <v>A</v>
      </c>
      <c r="E119" s="10" t="str">
        <f aca="false">IF(AND(INPUTS!$E$24=1,$D119="B",TRIB!F119&lt;&gt;""),TRIB!F119,"")</f>
        <v/>
      </c>
      <c r="F119" s="10"/>
      <c r="G119" s="10"/>
      <c r="H119" s="10"/>
      <c r="I119" s="10"/>
      <c r="J119" s="10" t="n">
        <v>0</v>
      </c>
      <c r="K119" s="10"/>
      <c r="L119" s="10"/>
      <c r="M119" s="10"/>
      <c r="N119" s="10" t="str">
        <f aca="false">IF(AND(INPUTS!$E$33=1,TRIB!M119&lt;&gt;""),TRIB!M119,"")</f>
        <v/>
      </c>
      <c r="O119" s="10" t="str">
        <f aca="false">IF(AND(INPUTS!$E$34=1,TRIB!M119&lt;&gt;""),TRIB!M119,"")</f>
        <v/>
      </c>
      <c r="P119" s="10" t="str">
        <f aca="false">IF(AND(INPUTS!$E$35=1,TRIB!M119&lt;&gt;""),TRIB!M119,"")</f>
        <v/>
      </c>
    </row>
    <row r="120" customFormat="false" ht="15" hidden="false" customHeight="false" outlineLevel="0" collapsed="false">
      <c r="A120" s="3" t="s">
        <v>243</v>
      </c>
      <c r="B120" s="10"/>
      <c r="C120" s="10"/>
      <c r="D120" s="4" t="str">
        <f aca="false">IF(B120="","A",IF(B120&gt;=INPUTS!$B$17,"B","A"))</f>
        <v>A</v>
      </c>
      <c r="E120" s="10" t="str">
        <f aca="false">IF(AND(INPUTS!$E$24=1,$D120="B",TRIB!F120&lt;&gt;""),TRIB!F120,"")</f>
        <v/>
      </c>
      <c r="F120" s="10"/>
      <c r="G120" s="10"/>
      <c r="H120" s="10"/>
      <c r="I120" s="10"/>
      <c r="J120" s="10" t="n">
        <v>68</v>
      </c>
      <c r="K120" s="10"/>
      <c r="L120" s="10"/>
      <c r="M120" s="10"/>
      <c r="N120" s="10" t="str">
        <f aca="false">IF(AND(INPUTS!$E$33=1,TRIB!M120&lt;&gt;""),TRIB!M120,"")</f>
        <v/>
      </c>
      <c r="O120" s="10" t="str">
        <f aca="false">IF(AND(INPUTS!$E$34=1,TRIB!M120&lt;&gt;""),TRIB!M120,"")</f>
        <v/>
      </c>
      <c r="P120" s="10" t="str">
        <f aca="false">IF(AND(INPUTS!$E$35=1,TRIB!M120&lt;&gt;""),TRIB!M120,"")</f>
        <v/>
      </c>
    </row>
    <row r="121" customFormat="false" ht="15" hidden="false" customHeight="false" outlineLevel="0" collapsed="false">
      <c r="A121" s="3" t="s">
        <v>244</v>
      </c>
      <c r="B121" s="10"/>
      <c r="C121" s="10"/>
      <c r="D121" s="4" t="str">
        <f aca="false">IF(B121="","A",IF(B121&gt;=INPUTS!$B$17,"B","A"))</f>
        <v>A</v>
      </c>
      <c r="E121" s="10" t="str">
        <f aca="false">IF(AND(INPUTS!$E$24=1,$D121="B",TRIB!F121&lt;&gt;""),TRIB!F121,"")</f>
        <v/>
      </c>
      <c r="F121" s="10"/>
      <c r="G121" s="10"/>
      <c r="H121" s="10"/>
      <c r="I121" s="10"/>
      <c r="J121" s="10" t="n">
        <v>0</v>
      </c>
      <c r="K121" s="10"/>
      <c r="L121" s="10"/>
      <c r="M121" s="10"/>
      <c r="N121" s="10" t="str">
        <f aca="false">IF(AND(INPUTS!$E$33=1,TRIB!M121&lt;&gt;""),TRIB!M121,"")</f>
        <v/>
      </c>
      <c r="O121" s="10" t="str">
        <f aca="false">IF(AND(INPUTS!$E$34=1,TRIB!M121&lt;&gt;""),TRIB!M121,"")</f>
        <v/>
      </c>
      <c r="P121" s="10" t="str">
        <f aca="false">IF(AND(INPUTS!$E$35=1,TRIB!M121&lt;&gt;""),TRIB!M121,"")</f>
        <v/>
      </c>
    </row>
    <row r="122" customFormat="false" ht="15" hidden="false" customHeight="false" outlineLevel="0" collapsed="false">
      <c r="A122" s="3" t="s">
        <v>245</v>
      </c>
      <c r="B122" s="10"/>
      <c r="C122" s="10"/>
      <c r="D122" s="4" t="str">
        <f aca="false">IF(B122="","A",IF(B122&gt;=INPUTS!$B$17,"B","A"))</f>
        <v>A</v>
      </c>
      <c r="E122" s="10" t="str">
        <f aca="false">IF(AND(INPUTS!$E$24=1,$D122="B",TRIB!F122&lt;&gt;""),TRIB!F122,"")</f>
        <v/>
      </c>
      <c r="F122" s="10"/>
      <c r="G122" s="10"/>
      <c r="H122" s="10"/>
      <c r="I122" s="10"/>
      <c r="J122" s="10" t="n">
        <v>0</v>
      </c>
      <c r="K122" s="10"/>
      <c r="L122" s="10"/>
      <c r="M122" s="10"/>
      <c r="N122" s="10" t="str">
        <f aca="false">IF(AND(INPUTS!$E$33=1,TRIB!M122&lt;&gt;""),TRIB!M122,"")</f>
        <v/>
      </c>
      <c r="O122" s="10" t="str">
        <f aca="false">IF(AND(INPUTS!$E$34=1,TRIB!M122&lt;&gt;""),TRIB!M122,"")</f>
        <v/>
      </c>
      <c r="P122" s="10" t="str">
        <f aca="false">IF(AND(INPUTS!$E$35=1,TRIB!M122&lt;&gt;""),TRIB!M122,"")</f>
        <v/>
      </c>
    </row>
    <row r="123" customFormat="false" ht="15" hidden="false" customHeight="false" outlineLevel="0" collapsed="false">
      <c r="A123" s="3" t="s">
        <v>246</v>
      </c>
      <c r="B123" s="10"/>
      <c r="C123" s="10"/>
      <c r="D123" s="4" t="str">
        <f aca="false">IF(B123="","A",IF(B123&gt;=INPUTS!$B$17,"B","A"))</f>
        <v>A</v>
      </c>
      <c r="E123" s="10" t="str">
        <f aca="false">IF(AND(INPUTS!$E$24=1,$D123="B",TRIB!F123&lt;&gt;""),TRIB!F123,"")</f>
        <v/>
      </c>
      <c r="F123" s="10"/>
      <c r="G123" s="10"/>
      <c r="H123" s="10"/>
      <c r="I123" s="10"/>
      <c r="J123" s="10" t="n">
        <v>0</v>
      </c>
      <c r="K123" s="10"/>
      <c r="L123" s="10"/>
      <c r="M123" s="10"/>
      <c r="N123" s="10" t="str">
        <f aca="false">IF(AND(INPUTS!$E$33=1,TRIB!M123&lt;&gt;""),TRIB!M123,"")</f>
        <v/>
      </c>
      <c r="O123" s="10" t="str">
        <f aca="false">IF(AND(INPUTS!$E$34=1,TRIB!M123&lt;&gt;""),TRIB!M123,"")</f>
        <v/>
      </c>
      <c r="P123" s="10" t="str">
        <f aca="false">IF(AND(INPUTS!$E$35=1,TRIB!M123&lt;&gt;""),TRIB!M123,"")</f>
        <v/>
      </c>
    </row>
    <row r="124" customFormat="false" ht="15" hidden="false" customHeight="false" outlineLevel="0" collapsed="false">
      <c r="A124" s="3" t="s">
        <v>247</v>
      </c>
      <c r="B124" s="10"/>
      <c r="C124" s="10"/>
      <c r="D124" s="4" t="str">
        <f aca="false">IF(B124="","A",IF(B124&gt;=INPUTS!$B$17,"B","A"))</f>
        <v>A</v>
      </c>
      <c r="E124" s="10" t="str">
        <f aca="false">IF(AND(INPUTS!$E$24=1,$D124="B",TRIB!F124&lt;&gt;""),TRIB!F124,"")</f>
        <v/>
      </c>
      <c r="F124" s="10"/>
      <c r="G124" s="10"/>
      <c r="H124" s="10"/>
      <c r="I124" s="10"/>
      <c r="J124" s="10" t="n">
        <v>151</v>
      </c>
      <c r="K124" s="10"/>
      <c r="L124" s="10"/>
      <c r="M124" s="10"/>
      <c r="N124" s="10" t="str">
        <f aca="false">IF(AND(INPUTS!$E$33=1,TRIB!M124&lt;&gt;""),TRIB!M124,"")</f>
        <v/>
      </c>
      <c r="O124" s="10" t="str">
        <f aca="false">IF(AND(INPUTS!$E$34=1,TRIB!M124&lt;&gt;""),TRIB!M124,"")</f>
        <v/>
      </c>
      <c r="P124" s="10" t="str">
        <f aca="false">IF(AND(INPUTS!$E$35=1,TRIB!M124&lt;&gt;""),TRIB!M124,"")</f>
        <v/>
      </c>
    </row>
    <row r="125" customFormat="false" ht="15" hidden="false" customHeight="false" outlineLevel="0" collapsed="false">
      <c r="A125" s="3" t="s">
        <v>248</v>
      </c>
      <c r="B125" s="10"/>
      <c r="C125" s="10"/>
      <c r="D125" s="4" t="str">
        <f aca="false">IF(B125="","A",IF(B125&gt;=INPUTS!$B$17,"B","A"))</f>
        <v>A</v>
      </c>
      <c r="E125" s="10" t="str">
        <f aca="false">IF(AND(INPUTS!$E$24=1,$D125="B",TRIB!F125&lt;&gt;""),TRIB!F125,"")</f>
        <v/>
      </c>
      <c r="F125" s="10"/>
      <c r="G125" s="10"/>
      <c r="H125" s="10"/>
      <c r="I125" s="10"/>
      <c r="J125" s="10" t="n">
        <v>0</v>
      </c>
      <c r="K125" s="10"/>
      <c r="L125" s="10"/>
      <c r="M125" s="10"/>
      <c r="N125" s="10" t="str">
        <f aca="false">IF(AND(INPUTS!$E$33=1,TRIB!M125&lt;&gt;""),TRIB!M125,"")</f>
        <v/>
      </c>
      <c r="O125" s="10" t="str">
        <f aca="false">IF(AND(INPUTS!$E$34=1,TRIB!M125&lt;&gt;""),TRIB!M125,"")</f>
        <v/>
      </c>
      <c r="P125" s="10" t="str">
        <f aca="false">IF(AND(INPUTS!$E$35=1,TRIB!M125&lt;&gt;""),TRIB!M125,"")</f>
        <v/>
      </c>
    </row>
    <row r="126" customFormat="false" ht="15" hidden="false" customHeight="false" outlineLevel="0" collapsed="false">
      <c r="A126" s="3" t="s">
        <v>249</v>
      </c>
      <c r="B126" s="10"/>
      <c r="C126" s="10"/>
      <c r="D126" s="4" t="str">
        <f aca="false">IF(B126="","A",IF(B126&gt;=INPUTS!$B$17,"B","A"))</f>
        <v>A</v>
      </c>
      <c r="E126" s="10" t="str">
        <f aca="false">IF(AND(INPUTS!$E$24=1,$D126="B",TRIB!F126&lt;&gt;""),TRIB!F126,"")</f>
        <v/>
      </c>
      <c r="F126" s="10"/>
      <c r="G126" s="10"/>
      <c r="H126" s="10"/>
      <c r="I126" s="10"/>
      <c r="J126" s="10" t="n">
        <v>0</v>
      </c>
      <c r="K126" s="10"/>
      <c r="L126" s="10"/>
      <c r="M126" s="10"/>
      <c r="N126" s="10" t="str">
        <f aca="false">IF(AND(INPUTS!$E$33=1,TRIB!M126&lt;&gt;""),TRIB!M126,"")</f>
        <v/>
      </c>
      <c r="O126" s="10" t="str">
        <f aca="false">IF(AND(INPUTS!$E$34=1,TRIB!M126&lt;&gt;""),TRIB!M126,"")</f>
        <v/>
      </c>
      <c r="P126" s="10" t="str">
        <f aca="false">IF(AND(INPUTS!$E$35=1,TRIB!M126&lt;&gt;""),TRIB!M126,"")</f>
        <v/>
      </c>
    </row>
    <row r="127" customFormat="false" ht="15" hidden="false" customHeight="false" outlineLevel="0" collapsed="false">
      <c r="A127" s="3" t="s">
        <v>250</v>
      </c>
      <c r="B127" s="10"/>
      <c r="C127" s="10"/>
      <c r="D127" s="4" t="str">
        <f aca="false">IF(B127="","A",IF(B127&gt;=INPUTS!$B$17,"B","A"))</f>
        <v>A</v>
      </c>
      <c r="E127" s="10" t="str">
        <f aca="false">IF(AND(INPUTS!$E$24=1,$D127="B",TRIB!F127&lt;&gt;""),TRIB!F127,"")</f>
        <v/>
      </c>
      <c r="F127" s="10"/>
      <c r="G127" s="10"/>
      <c r="H127" s="10"/>
      <c r="I127" s="10"/>
      <c r="J127" s="10" t="n">
        <v>88</v>
      </c>
      <c r="K127" s="10"/>
      <c r="L127" s="10"/>
      <c r="M127" s="10"/>
      <c r="N127" s="10" t="str">
        <f aca="false">IF(AND(INPUTS!$E$33=1,TRIB!M127&lt;&gt;""),TRIB!M127,"")</f>
        <v/>
      </c>
      <c r="O127" s="10" t="str">
        <f aca="false">IF(AND(INPUTS!$E$34=1,TRIB!M127&lt;&gt;""),TRIB!M127,"")</f>
        <v/>
      </c>
      <c r="P127" s="10" t="str">
        <f aca="false">IF(AND(INPUTS!$E$35=1,TRIB!M127&lt;&gt;""),TRIB!M127,"")</f>
        <v/>
      </c>
    </row>
    <row r="128" customFormat="false" ht="15" hidden="false" customHeight="false" outlineLevel="0" collapsed="false">
      <c r="A128" s="3" t="s">
        <v>251</v>
      </c>
      <c r="B128" s="10"/>
      <c r="C128" s="10"/>
      <c r="D128" s="4" t="str">
        <f aca="false">IF(B128="","A",IF(B128&gt;=INPUTS!$B$17,"B","A"))</f>
        <v>A</v>
      </c>
      <c r="E128" s="10" t="str">
        <f aca="false">IF(AND(INPUTS!$E$24=1,$D128="B",TRIB!F128&lt;&gt;""),TRIB!F128,"")</f>
        <v/>
      </c>
      <c r="F128" s="10"/>
      <c r="G128" s="10"/>
      <c r="H128" s="10"/>
      <c r="I128" s="10"/>
      <c r="J128" s="10" t="n">
        <v>0</v>
      </c>
      <c r="K128" s="10"/>
      <c r="L128" s="10"/>
      <c r="M128" s="10"/>
      <c r="N128" s="10" t="str">
        <f aca="false">IF(AND(INPUTS!$E$33=1,TRIB!M128&lt;&gt;""),TRIB!M128,"")</f>
        <v/>
      </c>
      <c r="O128" s="10" t="str">
        <f aca="false">IF(AND(INPUTS!$E$34=1,TRIB!M128&lt;&gt;""),TRIB!M128,"")</f>
        <v/>
      </c>
      <c r="P128" s="10" t="str">
        <f aca="false">IF(AND(INPUTS!$E$35=1,TRIB!M128&lt;&gt;""),TRIB!M128,"")</f>
        <v/>
      </c>
    </row>
    <row r="129" customFormat="false" ht="15" hidden="false" customHeight="false" outlineLevel="0" collapsed="false">
      <c r="A129" s="3" t="s">
        <v>252</v>
      </c>
      <c r="B129" s="10"/>
      <c r="C129" s="10"/>
      <c r="D129" s="4" t="str">
        <f aca="false">IF(B129="","A",IF(B129&gt;=INPUTS!$B$17,"B","A"))</f>
        <v>A</v>
      </c>
      <c r="E129" s="10" t="str">
        <f aca="false">IF(AND(INPUTS!$E$24=1,$D129="B",TRIB!F129&lt;&gt;""),TRIB!F129,"")</f>
        <v/>
      </c>
      <c r="F129" s="10"/>
      <c r="G129" s="10"/>
      <c r="H129" s="10"/>
      <c r="I129" s="10"/>
      <c r="J129" s="10" t="n">
        <v>0</v>
      </c>
      <c r="K129" s="10"/>
      <c r="L129" s="10"/>
      <c r="M129" s="10"/>
      <c r="N129" s="10" t="str">
        <f aca="false">IF(AND(INPUTS!$E$33=1,TRIB!M129&lt;&gt;""),TRIB!M129,"")</f>
        <v/>
      </c>
      <c r="O129" s="10" t="str">
        <f aca="false">IF(AND(INPUTS!$E$34=1,TRIB!M129&lt;&gt;""),TRIB!M129,"")</f>
        <v/>
      </c>
      <c r="P129" s="10" t="str">
        <f aca="false">IF(AND(INPUTS!$E$35=1,TRIB!M129&lt;&gt;""),TRIB!M129,"")</f>
        <v/>
      </c>
    </row>
    <row r="130" customFormat="false" ht="15" hidden="false" customHeight="false" outlineLevel="0" collapsed="false">
      <c r="A130" s="3" t="s">
        <v>253</v>
      </c>
      <c r="B130" s="10"/>
      <c r="C130" s="10"/>
      <c r="D130" s="4" t="str">
        <f aca="false">IF(B130="","A",IF(B130&gt;=INPUTS!$B$17,"B","A"))</f>
        <v>A</v>
      </c>
      <c r="E130" s="10" t="str">
        <f aca="false">IF(AND(INPUTS!$E$24=1,$D130="B",TRIB!F130&lt;&gt;""),TRIB!F130,"")</f>
        <v/>
      </c>
      <c r="F130" s="10"/>
      <c r="G130" s="10"/>
      <c r="H130" s="10"/>
      <c r="I130" s="10"/>
      <c r="J130" s="10" t="n">
        <v>123</v>
      </c>
      <c r="K130" s="10"/>
      <c r="L130" s="10"/>
      <c r="M130" s="10"/>
      <c r="N130" s="10" t="str">
        <f aca="false">IF(AND(INPUTS!$E$33=1,TRIB!M130&lt;&gt;""),TRIB!M130,"")</f>
        <v/>
      </c>
      <c r="O130" s="10" t="str">
        <f aca="false">IF(AND(INPUTS!$E$34=1,TRIB!M130&lt;&gt;""),TRIB!M130,"")</f>
        <v/>
      </c>
      <c r="P130" s="10" t="str">
        <f aca="false">IF(AND(INPUTS!$E$35=1,TRIB!M130&lt;&gt;""),TRIB!M130,"")</f>
        <v/>
      </c>
    </row>
    <row r="131" customFormat="false" ht="15" hidden="false" customHeight="false" outlineLevel="0" collapsed="false">
      <c r="A131" s="3" t="s">
        <v>254</v>
      </c>
      <c r="B131" s="10"/>
      <c r="C131" s="10"/>
      <c r="D131" s="4" t="str">
        <f aca="false">IF(B131="","A",IF(B131&gt;=INPUTS!$B$17,"B","A"))</f>
        <v>A</v>
      </c>
      <c r="E131" s="10" t="str">
        <f aca="false">IF(AND(INPUTS!$E$24=1,$D131="B",TRIB!F131&lt;&gt;""),TRIB!F131,"")</f>
        <v/>
      </c>
      <c r="F131" s="10"/>
      <c r="G131" s="10"/>
      <c r="H131" s="10"/>
      <c r="I131" s="10"/>
      <c r="J131" s="10" t="n">
        <v>0</v>
      </c>
      <c r="K131" s="10"/>
      <c r="L131" s="10"/>
      <c r="M131" s="10"/>
      <c r="N131" s="10" t="str">
        <f aca="false">IF(AND(INPUTS!$E$33=1,TRIB!M131&lt;&gt;""),TRIB!M131,"")</f>
        <v/>
      </c>
      <c r="O131" s="10" t="str">
        <f aca="false">IF(AND(INPUTS!$E$34=1,TRIB!M131&lt;&gt;""),TRIB!M131,"")</f>
        <v/>
      </c>
      <c r="P131" s="10" t="str">
        <f aca="false">IF(AND(INPUTS!$E$35=1,TRIB!M131&lt;&gt;""),TRIB!M131,"")</f>
        <v/>
      </c>
    </row>
    <row r="132" customFormat="false" ht="15" hidden="false" customHeight="false" outlineLevel="0" collapsed="false">
      <c r="A132" s="3" t="s">
        <v>255</v>
      </c>
      <c r="B132" s="10"/>
      <c r="C132" s="10"/>
      <c r="D132" s="4" t="str">
        <f aca="false">IF(B132="","A",IF(B132&gt;=INPUTS!$B$17,"B","A"))</f>
        <v>A</v>
      </c>
      <c r="E132" s="10" t="str">
        <f aca="false">IF(AND(INPUTS!$E$24=1,$D132="B",TRIB!F132&lt;&gt;""),TRIB!F132,"")</f>
        <v/>
      </c>
      <c r="F132" s="10"/>
      <c r="G132" s="10"/>
      <c r="H132" s="10"/>
      <c r="I132" s="10"/>
      <c r="J132" s="10" t="n">
        <v>0</v>
      </c>
      <c r="K132" s="10"/>
      <c r="L132" s="10"/>
      <c r="M132" s="10"/>
      <c r="N132" s="10" t="str">
        <f aca="false">IF(AND(INPUTS!$E$33=1,TRIB!M132&lt;&gt;""),TRIB!M132,"")</f>
        <v/>
      </c>
      <c r="O132" s="10" t="str">
        <f aca="false">IF(AND(INPUTS!$E$34=1,TRIB!M132&lt;&gt;""),TRIB!M132,"")</f>
        <v/>
      </c>
      <c r="P132" s="10" t="str">
        <f aca="false">IF(AND(INPUTS!$E$35=1,TRIB!M132&lt;&gt;""),TRIB!M132,"")</f>
        <v/>
      </c>
    </row>
    <row r="133" customFormat="false" ht="15" hidden="false" customHeight="false" outlineLevel="0" collapsed="false">
      <c r="A133" s="3" t="s">
        <v>256</v>
      </c>
      <c r="B133" s="10"/>
      <c r="C133" s="10"/>
      <c r="D133" s="4" t="str">
        <f aca="false">IF(B133="","A",IF(B133&gt;=INPUTS!$B$17,"B","A"))</f>
        <v>A</v>
      </c>
      <c r="E133" s="10" t="str">
        <f aca="false">IF(AND(INPUTS!$E$24=1,$D133="B",TRIB!F133&lt;&gt;""),TRIB!F133,"")</f>
        <v/>
      </c>
      <c r="F133" s="10"/>
      <c r="G133" s="10"/>
      <c r="H133" s="10"/>
      <c r="I133" s="10" t="n">
        <v>89</v>
      </c>
      <c r="J133" s="10"/>
      <c r="K133" s="10"/>
      <c r="L133" s="10"/>
      <c r="M133" s="10"/>
      <c r="N133" s="10" t="str">
        <f aca="false">IF(AND(INPUTS!$E$33=1,TRIB!M133&lt;&gt;""),TRIB!M133,"")</f>
        <v/>
      </c>
      <c r="O133" s="10" t="str">
        <f aca="false">IF(AND(INPUTS!$E$34=1,TRIB!M133&lt;&gt;""),TRIB!M133,"")</f>
        <v/>
      </c>
      <c r="P133" s="10" t="str">
        <f aca="false">IF(AND(INPUTS!$E$35=1,TRIB!M133&lt;&gt;""),TRIB!M133,"")</f>
        <v/>
      </c>
    </row>
    <row r="134" customFormat="false" ht="15" hidden="false" customHeight="false" outlineLevel="0" collapsed="false">
      <c r="A134" s="3" t="s">
        <v>257</v>
      </c>
      <c r="B134" s="10"/>
      <c r="C134" s="10"/>
      <c r="D134" s="4" t="str">
        <f aca="false">IF(B134="","A",IF(B134&gt;=INPUTS!$B$17,"B","A"))</f>
        <v>A</v>
      </c>
      <c r="E134" s="10" t="str">
        <f aca="false">IF(AND(INPUTS!$E$24=1,$D134="B",TRIB!F134&lt;&gt;""),TRIB!F134,"")</f>
        <v/>
      </c>
      <c r="F134" s="10"/>
      <c r="G134" s="10"/>
      <c r="H134" s="10"/>
      <c r="I134" s="10" t="n">
        <v>89</v>
      </c>
      <c r="J134" s="10"/>
      <c r="K134" s="10"/>
      <c r="L134" s="10"/>
      <c r="M134" s="10"/>
      <c r="N134" s="10" t="str">
        <f aca="false">IF(AND(INPUTS!$E$33=1,TRIB!M134&lt;&gt;""),TRIB!M134,"")</f>
        <v/>
      </c>
      <c r="O134" s="10" t="str">
        <f aca="false">IF(AND(INPUTS!$E$34=1,TRIB!M134&lt;&gt;""),TRIB!M134,"")</f>
        <v/>
      </c>
      <c r="P134" s="10" t="str">
        <f aca="false">IF(AND(INPUTS!$E$35=1,TRIB!M134&lt;&gt;""),TRIB!M134,"")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258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10" t="n">
        <f aca="false">IF(KLL!F2="","",KLL!F2)</f>
        <v>2</v>
      </c>
      <c r="F2" s="10" t="n">
        <v>2</v>
      </c>
      <c r="G2" s="10" t="n">
        <v>2</v>
      </c>
      <c r="H2" s="10" t="n">
        <v>2</v>
      </c>
      <c r="I2" s="10" t="n">
        <v>2</v>
      </c>
      <c r="J2" s="10" t="n">
        <v>2</v>
      </c>
      <c r="K2" s="10" t="n">
        <v>2</v>
      </c>
      <c r="L2" s="10" t="n">
        <v>2</v>
      </c>
      <c r="M2" s="10" t="n">
        <v>2</v>
      </c>
      <c r="N2" s="10" t="n">
        <f aca="false">IF(KLL!M2="","",KLL!M2)</f>
        <v>2</v>
      </c>
      <c r="O2" s="10" t="n">
        <f aca="false">IF(KLL!M2="","",KLL!M2)</f>
        <v>2</v>
      </c>
      <c r="P2" s="10" t="n">
        <f aca="false">IF(KLL!M2="","",KLL!M2)</f>
        <v>2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10" t="str">
        <f aca="false">IF(KLL!F3="","",KLL!F3)</f>
        <v/>
      </c>
      <c r="F3" s="10"/>
      <c r="G3" s="10" t="n">
        <v>2</v>
      </c>
      <c r="H3" s="10" t="n">
        <v>2</v>
      </c>
      <c r="I3" s="10" t="n">
        <v>2</v>
      </c>
      <c r="J3" s="10" t="n">
        <v>2</v>
      </c>
      <c r="K3" s="10" t="n">
        <v>2</v>
      </c>
      <c r="L3" s="10" t="n">
        <v>2</v>
      </c>
      <c r="M3" s="10" t="n">
        <v>2</v>
      </c>
      <c r="N3" s="10" t="n">
        <f aca="false">IF(KLL!M3="","",KLL!M3)</f>
        <v>2</v>
      </c>
      <c r="O3" s="10" t="n">
        <f aca="false">IF(KLL!M3="","",KLL!M3)</f>
        <v>2</v>
      </c>
      <c r="P3" s="10" t="n">
        <f aca="false">IF(KLL!M3="","",KLL!M3)</f>
        <v>2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10" t="n">
        <f aca="false">IF(KLL!F4="","",KLL!F4)</f>
        <v>2</v>
      </c>
      <c r="F4" s="10" t="n">
        <v>2</v>
      </c>
      <c r="G4" s="10" t="n">
        <v>2</v>
      </c>
      <c r="H4" s="10" t="n">
        <v>2</v>
      </c>
      <c r="I4" s="10" t="n">
        <v>2</v>
      </c>
      <c r="J4" s="10" t="n">
        <v>2</v>
      </c>
      <c r="K4" s="10" t="n">
        <v>3</v>
      </c>
      <c r="L4" s="10" t="n">
        <v>3</v>
      </c>
      <c r="M4" s="10" t="n">
        <v>3</v>
      </c>
      <c r="N4" s="10" t="n">
        <f aca="false">IF(KLL!M4="","",KLL!M4)</f>
        <v>3</v>
      </c>
      <c r="O4" s="10" t="n">
        <f aca="false">IF(KLL!M4="","",KLL!M4)</f>
        <v>3</v>
      </c>
      <c r="P4" s="10" t="n">
        <f aca="false">IF(KLL!M4="","",KLL!M4)</f>
        <v>3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10" t="n">
        <f aca="false">IF(KLL!F5="","",KLL!F5)</f>
        <v>2</v>
      </c>
      <c r="F5" s="10" t="n">
        <v>2</v>
      </c>
      <c r="G5" s="10" t="n">
        <v>2</v>
      </c>
      <c r="H5" s="10" t="n">
        <v>2</v>
      </c>
      <c r="I5" s="10" t="n">
        <v>2</v>
      </c>
      <c r="J5" s="10" t="n">
        <v>2</v>
      </c>
      <c r="K5" s="10" t="n">
        <v>3</v>
      </c>
      <c r="L5" s="10" t="n">
        <v>3</v>
      </c>
      <c r="M5" s="10" t="n">
        <v>3</v>
      </c>
      <c r="N5" s="10" t="n">
        <f aca="false">IF(KLL!M5="","",KLL!M5)</f>
        <v>3</v>
      </c>
      <c r="O5" s="10" t="n">
        <f aca="false">IF(KLL!M5="","",KLL!M5)</f>
        <v>3</v>
      </c>
      <c r="P5" s="10" t="n">
        <f aca="false">IF(KLL!M5="","",KLL!M5)</f>
        <v>3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10" t="n">
        <f aca="false">IF(KLL!F6="","",KLL!F6)</f>
        <v>2</v>
      </c>
      <c r="F6" s="10" t="n">
        <v>2</v>
      </c>
      <c r="G6" s="10" t="n">
        <v>2</v>
      </c>
      <c r="H6" s="10" t="n">
        <v>2</v>
      </c>
      <c r="I6" s="10" t="n">
        <v>2</v>
      </c>
      <c r="J6" s="10" t="n">
        <v>2</v>
      </c>
      <c r="K6" s="10" t="n">
        <v>3</v>
      </c>
      <c r="L6" s="10" t="n">
        <v>3</v>
      </c>
      <c r="M6" s="10" t="n">
        <v>3</v>
      </c>
      <c r="N6" s="10" t="n">
        <f aca="false">IF(KLL!M6="","",KLL!M6)</f>
        <v>3</v>
      </c>
      <c r="O6" s="10" t="n">
        <f aca="false">IF(KLL!M6="","",KLL!M6)</f>
        <v>3</v>
      </c>
      <c r="P6" s="10" t="n">
        <f aca="false">IF(KLL!M6="","",KLL!M6)</f>
        <v>3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10" t="n">
        <f aca="false">IF(KLL!F7="","",KLL!F7)</f>
        <v>2</v>
      </c>
      <c r="F7" s="10" t="n">
        <v>2</v>
      </c>
      <c r="G7" s="10" t="n">
        <v>2</v>
      </c>
      <c r="H7" s="10" t="n">
        <v>2</v>
      </c>
      <c r="I7" s="10" t="n">
        <v>2</v>
      </c>
      <c r="J7" s="10" t="n">
        <v>2</v>
      </c>
      <c r="K7" s="10" t="n">
        <v>3</v>
      </c>
      <c r="L7" s="10" t="n">
        <v>3</v>
      </c>
      <c r="M7" s="10" t="n">
        <v>3</v>
      </c>
      <c r="N7" s="10" t="n">
        <f aca="false">IF(KLL!M7="","",KLL!M7)</f>
        <v>3</v>
      </c>
      <c r="O7" s="10" t="n">
        <f aca="false">IF(KLL!M7="","",KLL!M7)</f>
        <v>3</v>
      </c>
      <c r="P7" s="10" t="n">
        <f aca="false">IF(KLL!M7="","",KLL!M7)</f>
        <v>3</v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10" t="n">
        <f aca="false">IF(KLL!F8="","",KLL!F8)</f>
        <v>3</v>
      </c>
      <c r="F8" s="10" t="n">
        <v>3</v>
      </c>
      <c r="G8" s="10" t="n">
        <v>3</v>
      </c>
      <c r="H8" s="10" t="n">
        <v>3</v>
      </c>
      <c r="I8" s="10" t="n">
        <v>3</v>
      </c>
      <c r="J8" s="10" t="n">
        <v>3</v>
      </c>
      <c r="K8" s="10" t="n">
        <v>3</v>
      </c>
      <c r="L8" s="10" t="n">
        <v>3</v>
      </c>
      <c r="M8" s="10" t="n">
        <v>3</v>
      </c>
      <c r="N8" s="10" t="n">
        <f aca="false">IF(KLL!M8="","",KLL!M8)</f>
        <v>3</v>
      </c>
      <c r="O8" s="10" t="n">
        <f aca="false">IF(KLL!M8="","",KLL!M8)</f>
        <v>3</v>
      </c>
      <c r="P8" s="10" t="n">
        <f aca="false">IF(KLL!M8="","",KLL!M8)</f>
        <v>3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10" t="n">
        <f aca="false">IF(KLL!F9="","",KLL!F9)</f>
        <v>3</v>
      </c>
      <c r="F9" s="10" t="n">
        <v>3</v>
      </c>
      <c r="G9" s="10" t="n">
        <v>3</v>
      </c>
      <c r="H9" s="10" t="n">
        <v>3</v>
      </c>
      <c r="I9" s="10" t="n">
        <v>3</v>
      </c>
      <c r="J9" s="10" t="n">
        <v>3</v>
      </c>
      <c r="K9" s="10" t="n">
        <v>4</v>
      </c>
      <c r="L9" s="10" t="n">
        <v>4</v>
      </c>
      <c r="M9" s="10" t="n">
        <v>4</v>
      </c>
      <c r="N9" s="10" t="n">
        <f aca="false">IF(KLL!M9="","",KLL!M9)</f>
        <v>4</v>
      </c>
      <c r="O9" s="10" t="n">
        <f aca="false">IF(KLL!M9="","",KLL!M9)</f>
        <v>4</v>
      </c>
      <c r="P9" s="10" t="n">
        <f aca="false">IF(KLL!M9="","",KLL!M9)</f>
        <v>4</v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10" t="n">
        <f aca="false">IF(KLL!F10="","",KLL!F10)</f>
        <v>3</v>
      </c>
      <c r="F10" s="10" t="n">
        <v>3</v>
      </c>
      <c r="G10" s="10" t="n">
        <v>3</v>
      </c>
      <c r="H10" s="10" t="n">
        <v>3</v>
      </c>
      <c r="I10" s="10" t="n">
        <v>3</v>
      </c>
      <c r="J10" s="10" t="n">
        <v>3</v>
      </c>
      <c r="K10" s="10" t="n">
        <v>4</v>
      </c>
      <c r="L10" s="10" t="n">
        <v>4</v>
      </c>
      <c r="M10" s="10" t="n">
        <v>4</v>
      </c>
      <c r="N10" s="10" t="n">
        <f aca="false">IF(KLL!M10="","",KLL!M10)</f>
        <v>4</v>
      </c>
      <c r="O10" s="10" t="n">
        <f aca="false">IF(KLL!M10="","",KLL!M10)</f>
        <v>4</v>
      </c>
      <c r="P10" s="10" t="n">
        <f aca="false">IF(KLL!M10="","",KLL!M10)</f>
        <v>4</v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10" t="n">
        <f aca="false">IF(KLL!F11="","",KLL!F11)</f>
        <v>3</v>
      </c>
      <c r="F11" s="10" t="n">
        <v>3</v>
      </c>
      <c r="G11" s="10" t="n">
        <v>3</v>
      </c>
      <c r="H11" s="10" t="n">
        <v>3</v>
      </c>
      <c r="I11" s="10" t="n">
        <v>3</v>
      </c>
      <c r="J11" s="10" t="n">
        <v>3</v>
      </c>
      <c r="K11" s="10" t="n">
        <v>3</v>
      </c>
      <c r="L11" s="10" t="n">
        <v>3</v>
      </c>
      <c r="M11" s="10" t="n">
        <v>3</v>
      </c>
      <c r="N11" s="10" t="n">
        <f aca="false">IF(KLL!M11="","",KLL!M11)</f>
        <v>3</v>
      </c>
      <c r="O11" s="10" t="n">
        <f aca="false">IF(KLL!M11="","",KLL!M11)</f>
        <v>3</v>
      </c>
      <c r="P11" s="10" t="n">
        <f aca="false">IF(KLL!M11="","",KLL!M11)</f>
        <v>3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10" t="n">
        <f aca="false">IF(KLL!F12="","",KLL!F12)</f>
        <v>3</v>
      </c>
      <c r="F12" s="10" t="n">
        <v>3</v>
      </c>
      <c r="G12" s="10" t="n">
        <v>3</v>
      </c>
      <c r="H12" s="10" t="n">
        <v>3</v>
      </c>
      <c r="I12" s="10" t="n">
        <v>3</v>
      </c>
      <c r="J12" s="10" t="n">
        <v>3</v>
      </c>
      <c r="K12" s="10" t="n">
        <v>3</v>
      </c>
      <c r="L12" s="10" t="n">
        <v>3</v>
      </c>
      <c r="M12" s="10" t="n">
        <v>3</v>
      </c>
      <c r="N12" s="10" t="n">
        <f aca="false">IF(KLL!M12="","",KLL!M12)</f>
        <v>3</v>
      </c>
      <c r="O12" s="10" t="n">
        <f aca="false">IF(KLL!M12="","",KLL!M12)</f>
        <v>3</v>
      </c>
      <c r="P12" s="10" t="n">
        <f aca="false">IF(KLL!M12="","",KLL!M12)</f>
        <v>3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10" t="n">
        <f aca="false">IF(KLL!F13="","",KLL!F13)</f>
        <v>3</v>
      </c>
      <c r="F13" s="10" t="n">
        <v>3</v>
      </c>
      <c r="G13" s="10" t="n">
        <v>3</v>
      </c>
      <c r="H13" s="10" t="n">
        <v>3</v>
      </c>
      <c r="I13" s="10" t="n">
        <v>3</v>
      </c>
      <c r="J13" s="10" t="n">
        <v>3</v>
      </c>
      <c r="K13" s="10" t="n">
        <v>4</v>
      </c>
      <c r="L13" s="10" t="n">
        <v>4</v>
      </c>
      <c r="M13" s="10" t="n">
        <v>4</v>
      </c>
      <c r="N13" s="10" t="n">
        <f aca="false">IF(KLL!M13="","",KLL!M13)</f>
        <v>4</v>
      </c>
      <c r="O13" s="10" t="n">
        <f aca="false">IF(KLL!M13="","",KLL!M13)</f>
        <v>4</v>
      </c>
      <c r="P13" s="10" t="n">
        <f aca="false">IF(KLL!M13="","",KLL!M13)</f>
        <v>4</v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10" t="n">
        <f aca="false">IF(KLL!F14="","",KLL!F14)</f>
        <v>3</v>
      </c>
      <c r="F14" s="10" t="n">
        <v>3</v>
      </c>
      <c r="G14" s="10" t="n">
        <v>3</v>
      </c>
      <c r="H14" s="10" t="n">
        <v>3</v>
      </c>
      <c r="I14" s="10" t="n">
        <v>3</v>
      </c>
      <c r="J14" s="10" t="n">
        <v>3</v>
      </c>
      <c r="K14" s="10" t="n">
        <v>3</v>
      </c>
      <c r="L14" s="10" t="n">
        <v>3</v>
      </c>
      <c r="M14" s="10" t="n">
        <v>3</v>
      </c>
      <c r="N14" s="10" t="n">
        <f aca="false">IF(KLL!M14="","",KLL!M14)</f>
        <v>3</v>
      </c>
      <c r="O14" s="10" t="n">
        <f aca="false">IF(KLL!M14="","",KLL!M14)</f>
        <v>3</v>
      </c>
      <c r="P14" s="10" t="n">
        <f aca="false">IF(KLL!M14="","",KLL!M14)</f>
        <v>3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10" t="n">
        <f aca="false">IF(KLL!F15="","",KLL!F15)</f>
        <v>3</v>
      </c>
      <c r="F15" s="10" t="n">
        <v>3</v>
      </c>
      <c r="G15" s="10" t="n">
        <v>3</v>
      </c>
      <c r="H15" s="10" t="n">
        <v>3</v>
      </c>
      <c r="I15" s="10" t="n">
        <v>3</v>
      </c>
      <c r="J15" s="10" t="n">
        <v>3</v>
      </c>
      <c r="K15" s="10" t="n">
        <v>3</v>
      </c>
      <c r="L15" s="10" t="n">
        <v>3</v>
      </c>
      <c r="M15" s="10" t="n">
        <v>3</v>
      </c>
      <c r="N15" s="10" t="n">
        <f aca="false">IF(KLL!M15="","",KLL!M15)</f>
        <v>3</v>
      </c>
      <c r="O15" s="10" t="n">
        <f aca="false">IF(KLL!M15="","",KLL!M15)</f>
        <v>3</v>
      </c>
      <c r="P15" s="10" t="n">
        <f aca="false">IF(KLL!M15="","",KLL!M15)</f>
        <v>3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10" t="n">
        <f aca="false">IF(KLL!F16="","",KLL!F16)</f>
        <v>3</v>
      </c>
      <c r="F16" s="10" t="n">
        <v>3</v>
      </c>
      <c r="G16" s="10" t="n">
        <v>3</v>
      </c>
      <c r="H16" s="10" t="n">
        <v>3</v>
      </c>
      <c r="I16" s="10" t="n">
        <v>3</v>
      </c>
      <c r="J16" s="10" t="n">
        <v>3</v>
      </c>
      <c r="K16" s="10" t="n">
        <v>4</v>
      </c>
      <c r="L16" s="10" t="n">
        <v>4</v>
      </c>
      <c r="M16" s="10" t="n">
        <v>4</v>
      </c>
      <c r="N16" s="10" t="n">
        <f aca="false">IF(KLL!M16="","",KLL!M16)</f>
        <v>4</v>
      </c>
      <c r="O16" s="10" t="n">
        <f aca="false">IF(KLL!M16="","",KLL!M16)</f>
        <v>4</v>
      </c>
      <c r="P16" s="10" t="n">
        <f aca="false">IF(KLL!M16="","",KLL!M16)</f>
        <v>4</v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10" t="n">
        <f aca="false">IF(KLL!F17="","",KLL!F17)</f>
        <v>3</v>
      </c>
      <c r="F17" s="10" t="n">
        <v>3</v>
      </c>
      <c r="G17" s="10" t="n">
        <v>3</v>
      </c>
      <c r="H17" s="10" t="n">
        <v>3</v>
      </c>
      <c r="I17" s="10" t="n">
        <v>3</v>
      </c>
      <c r="J17" s="10" t="n">
        <v>3</v>
      </c>
      <c r="K17" s="10" t="n">
        <v>3</v>
      </c>
      <c r="L17" s="10" t="n">
        <v>3</v>
      </c>
      <c r="M17" s="10" t="n">
        <v>3</v>
      </c>
      <c r="N17" s="10" t="n">
        <f aca="false">IF(KLL!M17="","",KLL!M17)</f>
        <v>3</v>
      </c>
      <c r="O17" s="10" t="n">
        <f aca="false">IF(KLL!M17="","",KLL!M17)</f>
        <v>3</v>
      </c>
      <c r="P17" s="10" t="n">
        <f aca="false">IF(KLL!M17="","",KLL!M17)</f>
        <v>3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10" t="n">
        <f aca="false">IF(KLL!F18="","",KLL!F18)</f>
        <v>3</v>
      </c>
      <c r="F18" s="10" t="n">
        <v>3</v>
      </c>
      <c r="G18" s="10" t="n">
        <v>3</v>
      </c>
      <c r="H18" s="10" t="n">
        <v>3</v>
      </c>
      <c r="I18" s="10" t="n">
        <v>3</v>
      </c>
      <c r="J18" s="10" t="n">
        <v>3</v>
      </c>
      <c r="K18" s="10" t="n">
        <v>4</v>
      </c>
      <c r="L18" s="10" t="n">
        <v>4</v>
      </c>
      <c r="M18" s="10" t="n">
        <v>4</v>
      </c>
      <c r="N18" s="10" t="n">
        <f aca="false">IF(KLL!M18="","",KLL!M18)</f>
        <v>4</v>
      </c>
      <c r="O18" s="10" t="n">
        <f aca="false">IF(KLL!M18="","",KLL!M18)</f>
        <v>4</v>
      </c>
      <c r="P18" s="10" t="n">
        <f aca="false">IF(KLL!M18="","",KLL!M18)</f>
        <v>4</v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10" t="n">
        <f aca="false">IF(KLL!F19="","",KLL!F19)</f>
        <v>3</v>
      </c>
      <c r="F19" s="10" t="n">
        <v>3</v>
      </c>
      <c r="G19" s="10" t="n">
        <v>3</v>
      </c>
      <c r="H19" s="10" t="n">
        <v>3</v>
      </c>
      <c r="I19" s="10" t="n">
        <v>3</v>
      </c>
      <c r="J19" s="10" t="n">
        <v>3</v>
      </c>
      <c r="K19" s="10" t="n">
        <v>4</v>
      </c>
      <c r="L19" s="10" t="n">
        <v>4</v>
      </c>
      <c r="M19" s="10" t="n">
        <v>4</v>
      </c>
      <c r="N19" s="10" t="n">
        <f aca="false">IF(KLL!M19="","",KLL!M19)</f>
        <v>4</v>
      </c>
      <c r="O19" s="10" t="n">
        <f aca="false">IF(KLL!M19="","",KLL!M19)</f>
        <v>4</v>
      </c>
      <c r="P19" s="10" t="n">
        <f aca="false">IF(KLL!M19="","",KLL!M19)</f>
        <v>4</v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10" t="n">
        <f aca="false">IF(KLL!F20="","",KLL!F20)</f>
        <v>3</v>
      </c>
      <c r="F20" s="10" t="n">
        <v>3</v>
      </c>
      <c r="G20" s="10" t="n">
        <v>3</v>
      </c>
      <c r="H20" s="10" t="n">
        <v>3</v>
      </c>
      <c r="I20" s="10" t="n">
        <v>3</v>
      </c>
      <c r="J20" s="10" t="n">
        <v>3</v>
      </c>
      <c r="K20" s="10" t="n">
        <v>3</v>
      </c>
      <c r="L20" s="10" t="n">
        <v>3</v>
      </c>
      <c r="M20" s="10" t="n">
        <v>3</v>
      </c>
      <c r="N20" s="10" t="n">
        <f aca="false">IF(KLL!M20="","",KLL!M20)</f>
        <v>3</v>
      </c>
      <c r="O20" s="10" t="n">
        <f aca="false">IF(KLL!M20="","",KLL!M20)</f>
        <v>3</v>
      </c>
      <c r="P20" s="10" t="n">
        <f aca="false">IF(KLL!M20="","",KLL!M20)</f>
        <v>3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10" t="n">
        <f aca="false">IF(KLL!F21="","",KLL!F21)</f>
        <v>3</v>
      </c>
      <c r="F21" s="10" t="n">
        <v>3</v>
      </c>
      <c r="G21" s="10" t="n">
        <v>3</v>
      </c>
      <c r="H21" s="10" t="n">
        <v>3</v>
      </c>
      <c r="I21" s="10" t="n">
        <v>3</v>
      </c>
      <c r="J21" s="10" t="n">
        <v>3</v>
      </c>
      <c r="K21" s="10" t="n">
        <v>3</v>
      </c>
      <c r="L21" s="10" t="n">
        <v>3</v>
      </c>
      <c r="M21" s="10" t="n">
        <v>3</v>
      </c>
      <c r="N21" s="10" t="n">
        <f aca="false">IF(KLL!M21="","",KLL!M21)</f>
        <v>3</v>
      </c>
      <c r="O21" s="10" t="n">
        <f aca="false">IF(KLL!M21="","",KLL!M21)</f>
        <v>3</v>
      </c>
      <c r="P21" s="10" t="n">
        <f aca="false">IF(KLL!M21="","",KLL!M21)</f>
        <v>3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10" t="n">
        <f aca="false">IF(KLL!F22="","",KLL!F22)</f>
        <v>3</v>
      </c>
      <c r="F22" s="10" t="n">
        <v>3</v>
      </c>
      <c r="G22" s="10" t="n">
        <v>3</v>
      </c>
      <c r="H22" s="10" t="n">
        <v>3</v>
      </c>
      <c r="I22" s="10" t="n">
        <v>3</v>
      </c>
      <c r="J22" s="10" t="n">
        <v>3</v>
      </c>
      <c r="K22" s="10" t="n">
        <v>3</v>
      </c>
      <c r="L22" s="10" t="n">
        <v>3</v>
      </c>
      <c r="M22" s="10" t="n">
        <v>3</v>
      </c>
      <c r="N22" s="10" t="n">
        <f aca="false">IF(KLL!M22="","",KLL!M22)</f>
        <v>3</v>
      </c>
      <c r="O22" s="10" t="n">
        <f aca="false">IF(KLL!M22="","",KLL!M22)</f>
        <v>3</v>
      </c>
      <c r="P22" s="10" t="n">
        <f aca="false">IF(KLL!M22="","",KLL!M22)</f>
        <v>3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10" t="n">
        <f aca="false">IF(KLL!F23="","",KLL!F23)</f>
        <v>3</v>
      </c>
      <c r="F23" s="10" t="n">
        <v>3</v>
      </c>
      <c r="G23" s="10" t="n">
        <v>3</v>
      </c>
      <c r="H23" s="10" t="n">
        <v>3</v>
      </c>
      <c r="I23" s="10" t="n">
        <v>3</v>
      </c>
      <c r="J23" s="10" t="n">
        <v>3</v>
      </c>
      <c r="K23" s="10" t="n">
        <v>4</v>
      </c>
      <c r="L23" s="10" t="n">
        <v>4</v>
      </c>
      <c r="M23" s="10" t="n">
        <v>4</v>
      </c>
      <c r="N23" s="10" t="n">
        <f aca="false">IF(KLL!M23="","",KLL!M23)</f>
        <v>4</v>
      </c>
      <c r="O23" s="10" t="n">
        <f aca="false">IF(KLL!M23="","",KLL!M23)</f>
        <v>4</v>
      </c>
      <c r="P23" s="10" t="n">
        <f aca="false">IF(KLL!M23="","",KLL!M23)</f>
        <v>4</v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10" t="n">
        <f aca="false">IF(KLL!F24="","",KLL!F24)</f>
        <v>3</v>
      </c>
      <c r="F24" s="10" t="n">
        <v>3</v>
      </c>
      <c r="G24" s="10" t="n">
        <v>3</v>
      </c>
      <c r="H24" s="10" t="n">
        <v>3</v>
      </c>
      <c r="I24" s="10" t="n">
        <v>3</v>
      </c>
      <c r="J24" s="10" t="n">
        <v>3</v>
      </c>
      <c r="K24" s="10" t="n">
        <v>4</v>
      </c>
      <c r="L24" s="10" t="n">
        <v>4</v>
      </c>
      <c r="M24" s="10" t="n">
        <v>4</v>
      </c>
      <c r="N24" s="10" t="n">
        <f aca="false">IF(KLL!M24="","",KLL!M24)</f>
        <v>4</v>
      </c>
      <c r="O24" s="10" t="n">
        <f aca="false">IF(KLL!M24="","",KLL!M24)</f>
        <v>4</v>
      </c>
      <c r="P24" s="10" t="n">
        <f aca="false">IF(KLL!M24="","",KLL!M24)</f>
        <v>4</v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10" t="n">
        <f aca="false">IF(KLL!F25="","",KLL!F25)</f>
        <v>3</v>
      </c>
      <c r="F25" s="10" t="n">
        <v>3</v>
      </c>
      <c r="G25" s="10" t="n">
        <v>3</v>
      </c>
      <c r="H25" s="10" t="n">
        <v>3</v>
      </c>
      <c r="I25" s="10" t="n">
        <v>3</v>
      </c>
      <c r="J25" s="10" t="n">
        <v>3</v>
      </c>
      <c r="K25" s="10" t="n">
        <v>3</v>
      </c>
      <c r="L25" s="10" t="n">
        <v>3</v>
      </c>
      <c r="M25" s="10" t="n">
        <v>3</v>
      </c>
      <c r="N25" s="10" t="n">
        <f aca="false">IF(KLL!M25="","",KLL!M25)</f>
        <v>3</v>
      </c>
      <c r="O25" s="10" t="n">
        <f aca="false">IF(KLL!M25="","",KLL!M25)</f>
        <v>3</v>
      </c>
      <c r="P25" s="10" t="n">
        <f aca="false">IF(KLL!M25="","",KLL!M25)</f>
        <v>3</v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10" t="n">
        <f aca="false">IF(KLL!F26="","",KLL!F26)</f>
        <v>3</v>
      </c>
      <c r="F26" s="10" t="n">
        <v>3</v>
      </c>
      <c r="G26" s="10" t="n">
        <v>3</v>
      </c>
      <c r="H26" s="10" t="n">
        <v>3</v>
      </c>
      <c r="I26" s="10" t="n">
        <v>3</v>
      </c>
      <c r="J26" s="10" t="n">
        <v>3</v>
      </c>
      <c r="K26" s="10" t="n">
        <v>3</v>
      </c>
      <c r="L26" s="10" t="n">
        <v>3</v>
      </c>
      <c r="M26" s="10" t="n">
        <v>3</v>
      </c>
      <c r="N26" s="10" t="n">
        <f aca="false">IF(KLL!M26="","",KLL!M26)</f>
        <v>3</v>
      </c>
      <c r="O26" s="10" t="n">
        <f aca="false">IF(KLL!M26="","",KLL!M26)</f>
        <v>3</v>
      </c>
      <c r="P26" s="10" t="n">
        <f aca="false">IF(KLL!M26="","",KLL!M26)</f>
        <v>3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10" t="n">
        <f aca="false">IF(KLL!F27="","",KLL!F27)</f>
        <v>3</v>
      </c>
      <c r="F27" s="10" t="n">
        <v>3</v>
      </c>
      <c r="G27" s="10" t="n">
        <v>3</v>
      </c>
      <c r="H27" s="10" t="n">
        <v>3</v>
      </c>
      <c r="I27" s="10" t="n">
        <v>3</v>
      </c>
      <c r="J27" s="10" t="n">
        <v>3</v>
      </c>
      <c r="K27" s="10" t="n">
        <v>3</v>
      </c>
      <c r="L27" s="10" t="n">
        <v>3</v>
      </c>
      <c r="M27" s="10" t="n">
        <v>3</v>
      </c>
      <c r="N27" s="10" t="n">
        <f aca="false">IF(KLL!M27="","",KLL!M27)</f>
        <v>3</v>
      </c>
      <c r="O27" s="10" t="n">
        <f aca="false">IF(KLL!M27="","",KLL!M27)</f>
        <v>3</v>
      </c>
      <c r="P27" s="10" t="n">
        <f aca="false">IF(KLL!M27="","",KLL!M27)</f>
        <v>3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10" t="n">
        <f aca="false">IF(KLL!F28="","",KLL!F28)</f>
        <v>3</v>
      </c>
      <c r="F28" s="10" t="n">
        <v>3</v>
      </c>
      <c r="G28" s="10" t="n">
        <v>3</v>
      </c>
      <c r="H28" s="10" t="n">
        <v>3</v>
      </c>
      <c r="I28" s="10" t="n">
        <v>3</v>
      </c>
      <c r="J28" s="10" t="n">
        <v>3</v>
      </c>
      <c r="K28" s="10" t="n">
        <v>4</v>
      </c>
      <c r="L28" s="10" t="n">
        <v>4</v>
      </c>
      <c r="M28" s="10" t="n">
        <v>4</v>
      </c>
      <c r="N28" s="10" t="n">
        <f aca="false">IF(KLL!M28="","",KLL!M28)</f>
        <v>4</v>
      </c>
      <c r="O28" s="10" t="n">
        <f aca="false">IF(KLL!M28="","",KLL!M28)</f>
        <v>4</v>
      </c>
      <c r="P28" s="10" t="n">
        <f aca="false">IF(KLL!M28="","",KLL!M28)</f>
        <v>4</v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10" t="n">
        <f aca="false">IF(KLL!F29="","",KLL!F29)</f>
        <v>3</v>
      </c>
      <c r="F29" s="10" t="n">
        <v>3</v>
      </c>
      <c r="G29" s="10" t="n">
        <v>3</v>
      </c>
      <c r="H29" s="10" t="n">
        <v>3</v>
      </c>
      <c r="I29" s="10" t="n">
        <v>3</v>
      </c>
      <c r="J29" s="10" t="n">
        <v>3</v>
      </c>
      <c r="K29" s="10" t="n">
        <v>4</v>
      </c>
      <c r="L29" s="10" t="n">
        <v>4</v>
      </c>
      <c r="M29" s="10" t="n">
        <v>4</v>
      </c>
      <c r="N29" s="10" t="n">
        <f aca="false">IF(KLL!M29="","",KLL!M29)</f>
        <v>4</v>
      </c>
      <c r="O29" s="10" t="n">
        <f aca="false">IF(KLL!M29="","",KLL!M29)</f>
        <v>4</v>
      </c>
      <c r="P29" s="10" t="n">
        <f aca="false">IF(KLL!M29="","",KLL!M29)</f>
        <v>4</v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10" t="n">
        <f aca="false">IF(KLL!F30="","",KLL!F30)</f>
        <v>3</v>
      </c>
      <c r="F30" s="10" t="n">
        <v>3</v>
      </c>
      <c r="G30" s="10" t="n">
        <v>3</v>
      </c>
      <c r="H30" s="10" t="n">
        <v>3</v>
      </c>
      <c r="I30" s="10" t="n">
        <v>3</v>
      </c>
      <c r="J30" s="10" t="n">
        <v>3</v>
      </c>
      <c r="K30" s="10" t="n">
        <v>3</v>
      </c>
      <c r="L30" s="10" t="n">
        <v>3</v>
      </c>
      <c r="M30" s="10" t="n">
        <v>3</v>
      </c>
      <c r="N30" s="10" t="n">
        <f aca="false">IF(KLL!M30="","",KLL!M30)</f>
        <v>3</v>
      </c>
      <c r="O30" s="10" t="n">
        <f aca="false">IF(KLL!M30="","",KLL!M30)</f>
        <v>3</v>
      </c>
      <c r="P30" s="10" t="n">
        <f aca="false">IF(KLL!M30="","",KLL!M30)</f>
        <v>3</v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10" t="n">
        <f aca="false">IF(KLL!F31="","",KLL!F31)</f>
        <v>3</v>
      </c>
      <c r="F31" s="10" t="n">
        <v>3</v>
      </c>
      <c r="G31" s="10" t="n">
        <v>3</v>
      </c>
      <c r="H31" s="10" t="n">
        <v>3</v>
      </c>
      <c r="I31" s="10" t="n">
        <v>3</v>
      </c>
      <c r="J31" s="10" t="n">
        <v>3</v>
      </c>
      <c r="K31" s="10" t="n">
        <v>3</v>
      </c>
      <c r="L31" s="10" t="n">
        <v>3</v>
      </c>
      <c r="M31" s="10" t="n">
        <v>3</v>
      </c>
      <c r="N31" s="10" t="n">
        <f aca="false">IF(KLL!M31="","",KLL!M31)</f>
        <v>3</v>
      </c>
      <c r="O31" s="10" t="n">
        <f aca="false">IF(KLL!M31="","",KLL!M31)</f>
        <v>3</v>
      </c>
      <c r="P31" s="10" t="n">
        <f aca="false">IF(KLL!M31="","",KLL!M31)</f>
        <v>3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10" t="n">
        <f aca="false">IF(KLL!F32="","",KLL!F32)</f>
        <v>3</v>
      </c>
      <c r="F32" s="10" t="n">
        <v>3</v>
      </c>
      <c r="G32" s="10" t="n">
        <v>3</v>
      </c>
      <c r="H32" s="10" t="n">
        <v>3</v>
      </c>
      <c r="I32" s="10" t="n">
        <v>3</v>
      </c>
      <c r="J32" s="10" t="n">
        <v>3</v>
      </c>
      <c r="K32" s="10" t="n">
        <v>3</v>
      </c>
      <c r="L32" s="10" t="n">
        <v>3</v>
      </c>
      <c r="M32" s="10" t="n">
        <v>3</v>
      </c>
      <c r="N32" s="10" t="n">
        <f aca="false">IF(KLL!M32="","",KLL!M32)</f>
        <v>3</v>
      </c>
      <c r="O32" s="10" t="n">
        <f aca="false">IF(KLL!M32="","",KLL!M32)</f>
        <v>3</v>
      </c>
      <c r="P32" s="10" t="n">
        <f aca="false">IF(KLL!M32="","",KLL!M32)</f>
        <v>3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10" t="n">
        <f aca="false">IF(KLL!F33="","",KLL!F33)</f>
        <v>3</v>
      </c>
      <c r="F33" s="10" t="n">
        <v>3</v>
      </c>
      <c r="G33" s="10" t="n">
        <v>3</v>
      </c>
      <c r="H33" s="10" t="n">
        <v>3</v>
      </c>
      <c r="I33" s="10" t="n">
        <v>3</v>
      </c>
      <c r="J33" s="10" t="n">
        <v>3</v>
      </c>
      <c r="K33" s="10" t="n">
        <v>4</v>
      </c>
      <c r="L33" s="10" t="n">
        <v>4</v>
      </c>
      <c r="M33" s="10" t="n">
        <v>4</v>
      </c>
      <c r="N33" s="10" t="n">
        <f aca="false">IF(KLL!M33="","",KLL!M33)</f>
        <v>4</v>
      </c>
      <c r="O33" s="10" t="n">
        <f aca="false">IF(KLL!M33="","",KLL!M33)</f>
        <v>4</v>
      </c>
      <c r="P33" s="10" t="n">
        <f aca="false">IF(KLL!M33="","",KLL!M33)</f>
        <v>4</v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10" t="n">
        <f aca="false">IF(KLL!F34="","",KLL!F34)</f>
        <v>3</v>
      </c>
      <c r="F34" s="10" t="n">
        <v>3</v>
      </c>
      <c r="G34" s="10" t="n">
        <v>3</v>
      </c>
      <c r="H34" s="10" t="n">
        <v>3</v>
      </c>
      <c r="I34" s="10" t="n">
        <v>3</v>
      </c>
      <c r="J34" s="10" t="n">
        <v>3</v>
      </c>
      <c r="K34" s="10" t="n">
        <v>3</v>
      </c>
      <c r="L34" s="10" t="n">
        <v>3</v>
      </c>
      <c r="M34" s="10" t="n">
        <v>3</v>
      </c>
      <c r="N34" s="10" t="n">
        <f aca="false">IF(KLL!M34="","",KLL!M34)</f>
        <v>3</v>
      </c>
      <c r="O34" s="10" t="n">
        <f aca="false">IF(KLL!M34="","",KLL!M34)</f>
        <v>3</v>
      </c>
      <c r="P34" s="10" t="n">
        <f aca="false">IF(KLL!M34="","",KLL!M34)</f>
        <v>3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10" t="str">
        <f aca="false">IF(KLL!F35="","",KLL!F35)</f>
        <v/>
      </c>
      <c r="F35" s="10"/>
      <c r="G35" s="10" t="n">
        <v>3</v>
      </c>
      <c r="H35" s="10" t="n">
        <v>3</v>
      </c>
      <c r="I35" s="10" t="n">
        <v>3</v>
      </c>
      <c r="J35" s="10" t="n">
        <v>3</v>
      </c>
      <c r="K35" s="10" t="n">
        <v>4</v>
      </c>
      <c r="L35" s="10" t="n">
        <v>4</v>
      </c>
      <c r="M35" s="10" t="n">
        <v>4</v>
      </c>
      <c r="N35" s="10" t="n">
        <f aca="false">IF(KLL!M35="","",KLL!M35)</f>
        <v>4</v>
      </c>
      <c r="O35" s="10" t="n">
        <f aca="false">IF(KLL!M35="","",KLL!M35)</f>
        <v>4</v>
      </c>
      <c r="P35" s="10" t="n">
        <f aca="false">IF(KLL!M35="","",KLL!M35)</f>
        <v>4</v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10" t="n">
        <f aca="false">IF(KLL!F36="","",KLL!F36)</f>
        <v>3</v>
      </c>
      <c r="F36" s="10" t="n">
        <v>3</v>
      </c>
      <c r="G36" s="10" t="n">
        <v>3</v>
      </c>
      <c r="H36" s="10" t="n">
        <v>3</v>
      </c>
      <c r="I36" s="10" t="n">
        <v>3</v>
      </c>
      <c r="J36" s="10" t="n">
        <v>3</v>
      </c>
      <c r="K36" s="10" t="n">
        <v>4</v>
      </c>
      <c r="L36" s="10" t="n">
        <v>4</v>
      </c>
      <c r="M36" s="10" t="n">
        <v>4</v>
      </c>
      <c r="N36" s="10" t="n">
        <f aca="false">IF(KLL!M36="","",KLL!M36)</f>
        <v>4</v>
      </c>
      <c r="O36" s="10" t="n">
        <f aca="false">IF(KLL!M36="","",KLL!M36)</f>
        <v>4</v>
      </c>
      <c r="P36" s="10" t="n">
        <f aca="false">IF(KLL!M36="","",KLL!M36)</f>
        <v>4</v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10" t="n">
        <f aca="false">IF(KLL!F37="","",KLL!F37)</f>
        <v>3</v>
      </c>
      <c r="F37" s="10" t="n">
        <v>3</v>
      </c>
      <c r="G37" s="10" t="n">
        <v>3</v>
      </c>
      <c r="H37" s="10" t="n">
        <v>3</v>
      </c>
      <c r="I37" s="10" t="n">
        <v>3</v>
      </c>
      <c r="J37" s="10" t="n">
        <v>3</v>
      </c>
      <c r="K37" s="10" t="n">
        <v>3</v>
      </c>
      <c r="L37" s="10" t="n">
        <v>3</v>
      </c>
      <c r="M37" s="10" t="n">
        <v>3</v>
      </c>
      <c r="N37" s="10" t="n">
        <f aca="false">IF(KLL!M37="","",KLL!M37)</f>
        <v>3</v>
      </c>
      <c r="O37" s="10" t="n">
        <f aca="false">IF(KLL!M37="","",KLL!M37)</f>
        <v>3</v>
      </c>
      <c r="P37" s="10" t="n">
        <f aca="false">IF(KLL!M37="","",KLL!M37)</f>
        <v>3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10" t="n">
        <f aca="false">IF(KLL!F38="","",KLL!F38)</f>
        <v>3</v>
      </c>
      <c r="F38" s="10" t="n">
        <v>3</v>
      </c>
      <c r="G38" s="10" t="n">
        <v>3</v>
      </c>
      <c r="H38" s="10" t="n">
        <v>3</v>
      </c>
      <c r="I38" s="10" t="n">
        <v>3</v>
      </c>
      <c r="J38" s="10" t="n">
        <v>3</v>
      </c>
      <c r="K38" s="10" t="n">
        <v>3</v>
      </c>
      <c r="L38" s="10" t="n">
        <v>3</v>
      </c>
      <c r="M38" s="10" t="n">
        <v>3</v>
      </c>
      <c r="N38" s="10" t="n">
        <f aca="false">IF(KLL!M38="","",KLL!M38)</f>
        <v>3</v>
      </c>
      <c r="O38" s="10" t="n">
        <f aca="false">IF(KLL!M38="","",KLL!M38)</f>
        <v>3</v>
      </c>
      <c r="P38" s="10" t="n">
        <f aca="false">IF(KLL!M38="","",KLL!M38)</f>
        <v>3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10" t="n">
        <f aca="false">IF(KLL!F39="","",KLL!F39)</f>
        <v>3</v>
      </c>
      <c r="F39" s="10" t="n">
        <v>3</v>
      </c>
      <c r="G39" s="10" t="n">
        <v>3</v>
      </c>
      <c r="H39" s="10" t="n">
        <v>3</v>
      </c>
      <c r="I39" s="10" t="n">
        <v>3</v>
      </c>
      <c r="J39" s="10" t="n">
        <v>3</v>
      </c>
      <c r="K39" s="10" t="n">
        <v>3</v>
      </c>
      <c r="L39" s="10" t="n">
        <v>3</v>
      </c>
      <c r="M39" s="10" t="n">
        <v>3</v>
      </c>
      <c r="N39" s="10" t="n">
        <f aca="false">IF(KLL!M39="","",KLL!M39)</f>
        <v>3</v>
      </c>
      <c r="O39" s="10" t="n">
        <f aca="false">IF(KLL!M39="","",KLL!M39)</f>
        <v>3</v>
      </c>
      <c r="P39" s="10" t="n">
        <f aca="false">IF(KLL!M39="","",KLL!M39)</f>
        <v>3</v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10" t="n">
        <f aca="false">IF(KLL!F40="","",KLL!F40)</f>
        <v>3</v>
      </c>
      <c r="F40" s="10" t="n">
        <v>3</v>
      </c>
      <c r="G40" s="10" t="n">
        <v>3</v>
      </c>
      <c r="H40" s="10" t="n">
        <v>3</v>
      </c>
      <c r="I40" s="10" t="n">
        <v>3</v>
      </c>
      <c r="J40" s="10" t="n">
        <v>3</v>
      </c>
      <c r="K40" s="10" t="n">
        <v>3</v>
      </c>
      <c r="L40" s="10" t="n">
        <v>3</v>
      </c>
      <c r="M40" s="10" t="n">
        <v>3</v>
      </c>
      <c r="N40" s="10" t="n">
        <f aca="false">IF(KLL!M40="","",KLL!M40)</f>
        <v>3</v>
      </c>
      <c r="O40" s="10" t="n">
        <f aca="false">IF(KLL!M40="","",KLL!M40)</f>
        <v>3</v>
      </c>
      <c r="P40" s="10" t="n">
        <f aca="false">IF(KLL!M40="","",KLL!M40)</f>
        <v>3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10" t="n">
        <f aca="false">IF(KLL!F41="","",KLL!F41)</f>
        <v>3</v>
      </c>
      <c r="F41" s="10" t="n">
        <v>3</v>
      </c>
      <c r="G41" s="10" t="n">
        <v>3</v>
      </c>
      <c r="H41" s="10" t="n">
        <v>3</v>
      </c>
      <c r="I41" s="10" t="n">
        <v>3</v>
      </c>
      <c r="J41" s="10" t="n">
        <v>3</v>
      </c>
      <c r="K41" s="10" t="n">
        <v>3</v>
      </c>
      <c r="L41" s="10" t="n">
        <v>3</v>
      </c>
      <c r="M41" s="10" t="n">
        <v>3</v>
      </c>
      <c r="N41" s="10" t="n">
        <f aca="false">IF(KLL!M41="","",KLL!M41)</f>
        <v>3</v>
      </c>
      <c r="O41" s="10" t="n">
        <f aca="false">IF(KLL!M41="","",KLL!M41)</f>
        <v>3</v>
      </c>
      <c r="P41" s="10" t="n">
        <f aca="false">IF(KLL!M41="","",KLL!M41)</f>
        <v>3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10" t="n">
        <f aca="false">IF(KLL!F42="","",KLL!F42)</f>
        <v>3</v>
      </c>
      <c r="F42" s="10" t="n">
        <v>3</v>
      </c>
      <c r="G42" s="10" t="n">
        <v>3</v>
      </c>
      <c r="H42" s="10" t="n">
        <v>3</v>
      </c>
      <c r="I42" s="10" t="n">
        <v>3</v>
      </c>
      <c r="J42" s="10" t="n">
        <v>3</v>
      </c>
      <c r="K42" s="10" t="n">
        <v>3</v>
      </c>
      <c r="L42" s="10" t="n">
        <v>3</v>
      </c>
      <c r="M42" s="10" t="n">
        <v>3</v>
      </c>
      <c r="N42" s="10" t="n">
        <f aca="false">IF(KLL!M42="","",KLL!M42)</f>
        <v>3</v>
      </c>
      <c r="O42" s="10" t="n">
        <f aca="false">IF(KLL!M42="","",KLL!M42)</f>
        <v>3</v>
      </c>
      <c r="P42" s="10" t="n">
        <f aca="false">IF(KLL!M42="","",KLL!M42)</f>
        <v>3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10" t="n">
        <f aca="false">IF(KLL!F43="","",KLL!F43)</f>
        <v>3</v>
      </c>
      <c r="F43" s="10" t="n">
        <v>3</v>
      </c>
      <c r="G43" s="10" t="n">
        <v>3</v>
      </c>
      <c r="H43" s="10" t="n">
        <v>3</v>
      </c>
      <c r="I43" s="10" t="n">
        <v>3</v>
      </c>
      <c r="J43" s="10" t="n">
        <v>3</v>
      </c>
      <c r="K43" s="10" t="n">
        <v>3</v>
      </c>
      <c r="L43" s="10" t="n">
        <v>3</v>
      </c>
      <c r="M43" s="10" t="n">
        <v>3</v>
      </c>
      <c r="N43" s="10" t="n">
        <f aca="false">IF(KLL!M43="","",KLL!M43)</f>
        <v>3</v>
      </c>
      <c r="O43" s="10" t="n">
        <f aca="false">IF(KLL!M43="","",KLL!M43)</f>
        <v>3</v>
      </c>
      <c r="P43" s="10" t="n">
        <f aca="false">IF(KLL!M43="","",KLL!M43)</f>
        <v>3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10" t="n">
        <f aca="false">IF(KLL!F44="","",KLL!F44)</f>
        <v>3</v>
      </c>
      <c r="F44" s="10" t="n">
        <v>3</v>
      </c>
      <c r="G44" s="10" t="n">
        <v>3</v>
      </c>
      <c r="H44" s="10" t="n">
        <v>3</v>
      </c>
      <c r="I44" s="10" t="n">
        <v>3</v>
      </c>
      <c r="J44" s="10" t="n">
        <v>3</v>
      </c>
      <c r="K44" s="10" t="n">
        <v>4</v>
      </c>
      <c r="L44" s="10" t="n">
        <v>4</v>
      </c>
      <c r="M44" s="10" t="n">
        <v>4</v>
      </c>
      <c r="N44" s="10" t="n">
        <f aca="false">IF(KLL!M44="","",KLL!M44)</f>
        <v>4</v>
      </c>
      <c r="O44" s="10" t="n">
        <f aca="false">IF(KLL!M44="","",KLL!M44)</f>
        <v>4</v>
      </c>
      <c r="P44" s="10" t="n">
        <f aca="false">IF(KLL!M44="","",KLL!M44)</f>
        <v>4</v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10" t="n">
        <f aca="false">IF(KLL!F45="","",KLL!F45)</f>
        <v>3</v>
      </c>
      <c r="F45" s="10" t="n">
        <v>3</v>
      </c>
      <c r="G45" s="10" t="n">
        <v>3</v>
      </c>
      <c r="H45" s="10" t="n">
        <v>3</v>
      </c>
      <c r="I45" s="10" t="n">
        <v>3</v>
      </c>
      <c r="J45" s="10" t="n">
        <v>3</v>
      </c>
      <c r="K45" s="10" t="n">
        <v>3</v>
      </c>
      <c r="L45" s="10" t="n">
        <v>3</v>
      </c>
      <c r="M45" s="10" t="n">
        <v>3</v>
      </c>
      <c r="N45" s="10" t="n">
        <f aca="false">IF(KLL!M45="","",KLL!M45)</f>
        <v>3</v>
      </c>
      <c r="O45" s="10" t="n">
        <f aca="false">IF(KLL!M45="","",KLL!M45)</f>
        <v>3</v>
      </c>
      <c r="P45" s="10" t="n">
        <f aca="false">IF(KLL!M45="","",KLL!M45)</f>
        <v>3</v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10" t="n">
        <f aca="false">IF(KLL!F46="","",KLL!F46)</f>
        <v>3</v>
      </c>
      <c r="F46" s="10" t="n">
        <v>3</v>
      </c>
      <c r="G46" s="10" t="n">
        <v>3</v>
      </c>
      <c r="H46" s="10" t="n">
        <v>3</v>
      </c>
      <c r="I46" s="10" t="n">
        <v>3</v>
      </c>
      <c r="J46" s="10" t="n">
        <v>3</v>
      </c>
      <c r="K46" s="10" t="n">
        <v>3</v>
      </c>
      <c r="L46" s="10" t="n">
        <v>3</v>
      </c>
      <c r="M46" s="10" t="n">
        <v>3</v>
      </c>
      <c r="N46" s="10" t="n">
        <f aca="false">IF(KLL!M46="","",KLL!M46)</f>
        <v>3</v>
      </c>
      <c r="O46" s="10" t="n">
        <f aca="false">IF(KLL!M46="","",KLL!M46)</f>
        <v>3</v>
      </c>
      <c r="P46" s="10" t="n">
        <f aca="false">IF(KLL!M46="","",KLL!M46)</f>
        <v>3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10" t="n">
        <f aca="false">IF(KLL!F47="","",KLL!F47)</f>
        <v>3</v>
      </c>
      <c r="F47" s="10" t="n">
        <v>3</v>
      </c>
      <c r="G47" s="10" t="n">
        <v>3</v>
      </c>
      <c r="H47" s="10" t="n">
        <v>3</v>
      </c>
      <c r="I47" s="10" t="n">
        <v>3</v>
      </c>
      <c r="J47" s="10" t="n">
        <v>3</v>
      </c>
      <c r="K47" s="10" t="n">
        <v>4</v>
      </c>
      <c r="L47" s="10" t="n">
        <v>4</v>
      </c>
      <c r="M47" s="10" t="n">
        <v>4</v>
      </c>
      <c r="N47" s="10" t="n">
        <f aca="false">IF(KLL!M47="","",KLL!M47)</f>
        <v>4</v>
      </c>
      <c r="O47" s="10" t="n">
        <f aca="false">IF(KLL!M47="","",KLL!M47)</f>
        <v>4</v>
      </c>
      <c r="P47" s="10" t="n">
        <f aca="false">IF(KLL!M47="","",KLL!M47)</f>
        <v>4</v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10" t="n">
        <f aca="false">IF(KLL!F48="","",KLL!F48)</f>
        <v>3</v>
      </c>
      <c r="F48" s="10" t="n">
        <v>3</v>
      </c>
      <c r="G48" s="10" t="n">
        <v>3</v>
      </c>
      <c r="H48" s="10" t="n">
        <v>3</v>
      </c>
      <c r="I48" s="10" t="n">
        <v>3</v>
      </c>
      <c r="J48" s="10" t="n">
        <v>3</v>
      </c>
      <c r="K48" s="10" t="n">
        <v>3</v>
      </c>
      <c r="L48" s="10" t="n">
        <v>3</v>
      </c>
      <c r="M48" s="10" t="n">
        <v>3</v>
      </c>
      <c r="N48" s="10" t="n">
        <f aca="false">IF(KLL!M48="","",KLL!M48)</f>
        <v>3</v>
      </c>
      <c r="O48" s="10" t="n">
        <f aca="false">IF(KLL!M48="","",KLL!M48)</f>
        <v>3</v>
      </c>
      <c r="P48" s="10" t="n">
        <f aca="false">IF(KLL!M48="","",KLL!M48)</f>
        <v>3</v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10" t="n">
        <f aca="false">IF(KLL!F49="","",KLL!F49)</f>
        <v>3</v>
      </c>
      <c r="F49" s="10" t="n">
        <v>3</v>
      </c>
      <c r="G49" s="10" t="n">
        <v>3</v>
      </c>
      <c r="H49" s="10" t="n">
        <v>3</v>
      </c>
      <c r="I49" s="10" t="n">
        <v>3</v>
      </c>
      <c r="J49" s="10" t="n">
        <v>3</v>
      </c>
      <c r="K49" s="10" t="n">
        <v>3</v>
      </c>
      <c r="L49" s="10" t="n">
        <v>3</v>
      </c>
      <c r="M49" s="10" t="n">
        <v>3</v>
      </c>
      <c r="N49" s="10" t="n">
        <f aca="false">IF(KLL!M49="","",KLL!M49)</f>
        <v>3</v>
      </c>
      <c r="O49" s="10" t="n">
        <f aca="false">IF(KLL!M49="","",KLL!M49)</f>
        <v>3</v>
      </c>
      <c r="P49" s="10" t="n">
        <f aca="false">IF(KLL!M49="","",KLL!M49)</f>
        <v>3</v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10" t="n">
        <f aca="false">IF(KLL!F50="","",KLL!F50)</f>
        <v>3</v>
      </c>
      <c r="F50" s="10" t="n">
        <v>3</v>
      </c>
      <c r="G50" s="10" t="n">
        <v>3</v>
      </c>
      <c r="H50" s="10" t="n">
        <v>3</v>
      </c>
      <c r="I50" s="10" t="n">
        <v>3</v>
      </c>
      <c r="J50" s="10" t="n">
        <v>3</v>
      </c>
      <c r="K50" s="10" t="n">
        <v>3</v>
      </c>
      <c r="L50" s="10" t="n">
        <v>3</v>
      </c>
      <c r="M50" s="10" t="n">
        <v>3</v>
      </c>
      <c r="N50" s="10" t="n">
        <f aca="false">IF(KLL!M50="","",KLL!M50)</f>
        <v>3</v>
      </c>
      <c r="O50" s="10" t="n">
        <f aca="false">IF(KLL!M50="","",KLL!M50)</f>
        <v>3</v>
      </c>
      <c r="P50" s="10" t="n">
        <f aca="false">IF(KLL!M50="","",KLL!M50)</f>
        <v>3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10" t="n">
        <f aca="false">IF(KLL!F51="","",KLL!F51)</f>
        <v>3</v>
      </c>
      <c r="F51" s="10" t="n">
        <v>3</v>
      </c>
      <c r="G51" s="10" t="n">
        <v>3</v>
      </c>
      <c r="H51" s="10" t="n">
        <v>3</v>
      </c>
      <c r="I51" s="10" t="n">
        <v>3</v>
      </c>
      <c r="J51" s="10" t="n">
        <v>3</v>
      </c>
      <c r="K51" s="10" t="n">
        <v>4</v>
      </c>
      <c r="L51" s="10" t="n">
        <v>4</v>
      </c>
      <c r="M51" s="10" t="n">
        <v>4</v>
      </c>
      <c r="N51" s="10" t="n">
        <f aca="false">IF(KLL!M51="","",KLL!M51)</f>
        <v>4</v>
      </c>
      <c r="O51" s="10" t="n">
        <f aca="false">IF(KLL!M51="","",KLL!M51)</f>
        <v>4</v>
      </c>
      <c r="P51" s="10" t="n">
        <f aca="false">IF(KLL!M51="","",KLL!M51)</f>
        <v>4</v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10" t="n">
        <f aca="false">IF(KLL!F52="","",KLL!F52)</f>
        <v>3</v>
      </c>
      <c r="F52" s="10" t="n">
        <v>3</v>
      </c>
      <c r="G52" s="10" t="n">
        <v>3</v>
      </c>
      <c r="H52" s="10" t="n">
        <v>3</v>
      </c>
      <c r="I52" s="10" t="n">
        <v>3</v>
      </c>
      <c r="J52" s="10" t="n">
        <v>3</v>
      </c>
      <c r="K52" s="10" t="n">
        <v>3</v>
      </c>
      <c r="L52" s="10" t="n">
        <v>3</v>
      </c>
      <c r="M52" s="10" t="n">
        <v>3</v>
      </c>
      <c r="N52" s="10" t="n">
        <f aca="false">IF(KLL!M52="","",KLL!M52)</f>
        <v>3</v>
      </c>
      <c r="O52" s="10" t="n">
        <f aca="false">IF(KLL!M52="","",KLL!M52)</f>
        <v>3</v>
      </c>
      <c r="P52" s="10" t="n">
        <f aca="false">IF(KLL!M52="","",KLL!M52)</f>
        <v>3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10" t="n">
        <f aca="false">IF(KLL!F53="","",KLL!F53)</f>
        <v>3</v>
      </c>
      <c r="F53" s="10" t="n">
        <v>3</v>
      </c>
      <c r="G53" s="10" t="n">
        <v>3</v>
      </c>
      <c r="H53" s="10" t="n">
        <v>3</v>
      </c>
      <c r="I53" s="10" t="n">
        <v>3</v>
      </c>
      <c r="J53" s="10" t="n">
        <v>3</v>
      </c>
      <c r="K53" s="10" t="n">
        <v>4</v>
      </c>
      <c r="L53" s="10" t="n">
        <v>4</v>
      </c>
      <c r="M53" s="10" t="n">
        <v>4</v>
      </c>
      <c r="N53" s="10" t="n">
        <f aca="false">IF(KLL!M53="","",KLL!M53)</f>
        <v>4</v>
      </c>
      <c r="O53" s="10" t="n">
        <f aca="false">IF(KLL!M53="","",KLL!M53)</f>
        <v>4</v>
      </c>
      <c r="P53" s="10" t="n">
        <f aca="false">IF(KLL!M53="","",KLL!M53)</f>
        <v>4</v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10" t="n">
        <f aca="false">IF(KLL!F54="","",KLL!F54)</f>
        <v>3</v>
      </c>
      <c r="F54" s="10" t="n">
        <v>3</v>
      </c>
      <c r="G54" s="10" t="n">
        <v>3</v>
      </c>
      <c r="H54" s="10" t="n">
        <v>3</v>
      </c>
      <c r="I54" s="10" t="n">
        <v>3</v>
      </c>
      <c r="J54" s="10" t="n">
        <v>3</v>
      </c>
      <c r="K54" s="10" t="n">
        <v>3</v>
      </c>
      <c r="L54" s="10" t="n">
        <v>3</v>
      </c>
      <c r="M54" s="10" t="n">
        <v>3</v>
      </c>
      <c r="N54" s="10" t="n">
        <f aca="false">IF(KLL!M54="","",KLL!M54)</f>
        <v>3</v>
      </c>
      <c r="O54" s="10" t="n">
        <f aca="false">IF(KLL!M54="","",KLL!M54)</f>
        <v>3</v>
      </c>
      <c r="P54" s="10" t="n">
        <f aca="false">IF(KLL!M54="","",KLL!M54)</f>
        <v>3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10" t="n">
        <f aca="false">IF(KLL!F55="","",KLL!F55)</f>
        <v>3</v>
      </c>
      <c r="F55" s="10" t="n">
        <v>3</v>
      </c>
      <c r="G55" s="10" t="n">
        <v>3</v>
      </c>
      <c r="H55" s="10" t="n">
        <v>3</v>
      </c>
      <c r="I55" s="10" t="n">
        <v>3</v>
      </c>
      <c r="J55" s="10" t="n">
        <v>3</v>
      </c>
      <c r="K55" s="10" t="n">
        <v>4</v>
      </c>
      <c r="L55" s="10" t="n">
        <v>4</v>
      </c>
      <c r="M55" s="10" t="n">
        <v>4</v>
      </c>
      <c r="N55" s="10" t="n">
        <f aca="false">IF(KLL!M55="","",KLL!M55)</f>
        <v>4</v>
      </c>
      <c r="O55" s="10" t="n">
        <f aca="false">IF(KLL!M55="","",KLL!M55)</f>
        <v>4</v>
      </c>
      <c r="P55" s="10" t="n">
        <f aca="false">IF(KLL!M55="","",KLL!M55)</f>
        <v>4</v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10" t="n">
        <f aca="false">IF(KLL!F56="","",KLL!F56)</f>
        <v>3</v>
      </c>
      <c r="F56" s="10" t="n">
        <v>3</v>
      </c>
      <c r="G56" s="10" t="n">
        <v>3</v>
      </c>
      <c r="H56" s="10" t="n">
        <v>3</v>
      </c>
      <c r="I56" s="10" t="n">
        <v>3</v>
      </c>
      <c r="J56" s="10" t="n">
        <v>3</v>
      </c>
      <c r="K56" s="10" t="n">
        <v>2</v>
      </c>
      <c r="L56" s="10" t="n">
        <v>2</v>
      </c>
      <c r="M56" s="10" t="n">
        <v>2</v>
      </c>
      <c r="N56" s="10" t="n">
        <f aca="false">IF(KLL!M56="","",KLL!M56)</f>
        <v>2</v>
      </c>
      <c r="O56" s="10" t="n">
        <f aca="false">IF(KLL!M56="","",KLL!M56)</f>
        <v>2</v>
      </c>
      <c r="P56" s="10" t="n">
        <f aca="false">IF(KLL!M56="","",KLL!M56)</f>
        <v>2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10" t="n">
        <f aca="false">IF(KLL!F57="","",KLL!F57)</f>
        <v>3</v>
      </c>
      <c r="F57" s="10" t="n">
        <v>3</v>
      </c>
      <c r="G57" s="10" t="n">
        <v>3</v>
      </c>
      <c r="H57" s="10" t="n">
        <v>3</v>
      </c>
      <c r="I57" s="10" t="n">
        <v>3</v>
      </c>
      <c r="J57" s="10" t="n">
        <v>3</v>
      </c>
      <c r="K57" s="10" t="n">
        <v>2</v>
      </c>
      <c r="L57" s="10" t="n">
        <v>2</v>
      </c>
      <c r="M57" s="10" t="n">
        <v>2</v>
      </c>
      <c r="N57" s="10" t="n">
        <f aca="false">IF(KLL!M57="","",KLL!M57)</f>
        <v>2</v>
      </c>
      <c r="O57" s="10" t="n">
        <f aca="false">IF(KLL!M57="","",KLL!M57)</f>
        <v>2</v>
      </c>
      <c r="P57" s="10" t="n">
        <f aca="false">IF(KLL!M57="","",KLL!M57)</f>
        <v>2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10" t="n">
        <f aca="false">IF(KLL!F58="","",KLL!F58)</f>
        <v>3</v>
      </c>
      <c r="F58" s="10" t="n">
        <v>3</v>
      </c>
      <c r="G58" s="10" t="n">
        <v>3</v>
      </c>
      <c r="H58" s="10" t="n">
        <v>3</v>
      </c>
      <c r="I58" s="10" t="n">
        <v>3</v>
      </c>
      <c r="J58" s="10" t="n">
        <v>3</v>
      </c>
      <c r="K58" s="10" t="n">
        <v>3</v>
      </c>
      <c r="L58" s="10" t="n">
        <v>3</v>
      </c>
      <c r="M58" s="10" t="n">
        <v>3</v>
      </c>
      <c r="N58" s="10" t="n">
        <f aca="false">IF(KLL!M58="","",KLL!M58)</f>
        <v>3</v>
      </c>
      <c r="O58" s="10" t="n">
        <f aca="false">IF(KLL!M58="","",KLL!M58)</f>
        <v>3</v>
      </c>
      <c r="P58" s="10" t="n">
        <f aca="false">IF(KLL!M58="","",KLL!M58)</f>
        <v>3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10" t="n">
        <f aca="false">IF(KLL!F59="","",KLL!F59)</f>
        <v>3</v>
      </c>
      <c r="F59" s="10" t="n">
        <v>3</v>
      </c>
      <c r="G59" s="10" t="n">
        <v>3</v>
      </c>
      <c r="H59" s="10" t="n">
        <v>3</v>
      </c>
      <c r="I59" s="10" t="n">
        <v>3</v>
      </c>
      <c r="J59" s="10" t="n">
        <v>3</v>
      </c>
      <c r="K59" s="10" t="n">
        <v>3</v>
      </c>
      <c r="L59" s="10" t="n">
        <v>3</v>
      </c>
      <c r="M59" s="10" t="n">
        <v>3</v>
      </c>
      <c r="N59" s="10" t="n">
        <f aca="false">IF(KLL!M59="","",KLL!M59)</f>
        <v>3</v>
      </c>
      <c r="O59" s="10" t="n">
        <f aca="false">IF(KLL!M59="","",KLL!M59)</f>
        <v>3</v>
      </c>
      <c r="P59" s="10" t="n">
        <f aca="false">IF(KLL!M59="","",KLL!M59)</f>
        <v>3</v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10" t="n">
        <f aca="false">IF(KLL!F60="","",KLL!F60)</f>
        <v>3</v>
      </c>
      <c r="F60" s="10" t="n">
        <v>3</v>
      </c>
      <c r="G60" s="10" t="n">
        <v>3</v>
      </c>
      <c r="H60" s="10" t="n">
        <v>3</v>
      </c>
      <c r="I60" s="10" t="n">
        <v>3</v>
      </c>
      <c r="J60" s="10" t="n">
        <v>3</v>
      </c>
      <c r="K60" s="10" t="n">
        <v>3</v>
      </c>
      <c r="L60" s="10" t="n">
        <v>3</v>
      </c>
      <c r="M60" s="10" t="n">
        <v>3</v>
      </c>
      <c r="N60" s="10" t="n">
        <f aca="false">IF(KLL!M60="","",KLL!M60)</f>
        <v>3</v>
      </c>
      <c r="O60" s="10" t="n">
        <f aca="false">IF(KLL!M60="","",KLL!M60)</f>
        <v>3</v>
      </c>
      <c r="P60" s="10" t="n">
        <f aca="false">IF(KLL!M60="","",KLL!M60)</f>
        <v>3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10" t="n">
        <f aca="false">IF(KLL!F61="","",KLL!F61)</f>
        <v>3</v>
      </c>
      <c r="F61" s="10" t="n">
        <v>3</v>
      </c>
      <c r="G61" s="10" t="n">
        <v>3</v>
      </c>
      <c r="H61" s="10" t="n">
        <v>3</v>
      </c>
      <c r="I61" s="10" t="n">
        <v>3</v>
      </c>
      <c r="J61" s="10" t="n">
        <v>3</v>
      </c>
      <c r="K61" s="10" t="n">
        <v>3</v>
      </c>
      <c r="L61" s="10" t="n">
        <v>3</v>
      </c>
      <c r="M61" s="10" t="n">
        <v>3</v>
      </c>
      <c r="N61" s="10" t="n">
        <f aca="false">IF(KLL!M61="","",KLL!M61)</f>
        <v>3</v>
      </c>
      <c r="O61" s="10" t="n">
        <f aca="false">IF(KLL!M61="","",KLL!M61)</f>
        <v>3</v>
      </c>
      <c r="P61" s="10" t="n">
        <f aca="false">IF(KLL!M61="","",KLL!M61)</f>
        <v>3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10" t="n">
        <f aca="false">IF(KLL!F62="","",KLL!F62)</f>
        <v>3</v>
      </c>
      <c r="F62" s="10" t="n">
        <v>3</v>
      </c>
      <c r="G62" s="10" t="n">
        <v>3</v>
      </c>
      <c r="H62" s="10" t="n">
        <v>3</v>
      </c>
      <c r="I62" s="10" t="n">
        <v>3</v>
      </c>
      <c r="J62" s="10" t="n">
        <v>3</v>
      </c>
      <c r="K62" s="10" t="n">
        <v>3</v>
      </c>
      <c r="L62" s="10" t="n">
        <v>3</v>
      </c>
      <c r="M62" s="10" t="n">
        <v>3</v>
      </c>
      <c r="N62" s="10" t="n">
        <f aca="false">IF(KLL!M62="","",KLL!M62)</f>
        <v>3</v>
      </c>
      <c r="O62" s="10" t="n">
        <f aca="false">IF(KLL!M62="","",KLL!M62)</f>
        <v>3</v>
      </c>
      <c r="P62" s="10" t="n">
        <f aca="false">IF(KLL!M62="","",KLL!M62)</f>
        <v>3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10" t="n">
        <f aca="false">IF(KLL!F63="","",KLL!F63)</f>
        <v>3</v>
      </c>
      <c r="F63" s="10" t="n">
        <v>3</v>
      </c>
      <c r="G63" s="10" t="n">
        <v>3</v>
      </c>
      <c r="H63" s="10" t="n">
        <v>3</v>
      </c>
      <c r="I63" s="10" t="n">
        <v>3</v>
      </c>
      <c r="J63" s="10" t="n">
        <v>3</v>
      </c>
      <c r="K63" s="10" t="n">
        <v>3</v>
      </c>
      <c r="L63" s="10" t="n">
        <v>2</v>
      </c>
      <c r="M63" s="10" t="n">
        <v>2</v>
      </c>
      <c r="N63" s="10" t="n">
        <f aca="false">IF(KLL!M63="","",KLL!M63)</f>
        <v>2</v>
      </c>
      <c r="O63" s="10" t="n">
        <f aca="false">IF(KLL!M63="","",KLL!M63)</f>
        <v>2</v>
      </c>
      <c r="P63" s="10" t="n">
        <f aca="false">IF(KLL!M63="","",KLL!M63)</f>
        <v>2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10" t="n">
        <f aca="false">IF(KLL!F64="","",KLL!F64)</f>
        <v>4</v>
      </c>
      <c r="F64" s="10" t="n">
        <v>4</v>
      </c>
      <c r="G64" s="10" t="n">
        <v>4</v>
      </c>
      <c r="H64" s="10" t="n">
        <v>4</v>
      </c>
      <c r="I64" s="10" t="n">
        <v>3</v>
      </c>
      <c r="J64" s="10" t="n">
        <v>3</v>
      </c>
      <c r="K64" s="10"/>
      <c r="L64" s="10"/>
      <c r="M64" s="10"/>
      <c r="N64" s="10" t="str">
        <f aca="false">IF(KLL!M64="","",KLL!M64)</f>
        <v/>
      </c>
      <c r="O64" s="10" t="str">
        <f aca="false">IF(KLL!M64="","",KLL!M64)</f>
        <v/>
      </c>
      <c r="P64" s="10" t="str">
        <f aca="false">IF(KLL!M64="","",KLL!M64)</f>
        <v/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10" t="n">
        <f aca="false">IF(KLL!F65="","",KLL!F65)</f>
        <v>3</v>
      </c>
      <c r="F65" s="10" t="n">
        <v>3</v>
      </c>
      <c r="G65" s="10" t="n">
        <v>3</v>
      </c>
      <c r="H65" s="10" t="n">
        <v>3</v>
      </c>
      <c r="I65" s="10" t="n">
        <v>3</v>
      </c>
      <c r="J65" s="10" t="n">
        <v>3</v>
      </c>
      <c r="K65" s="10"/>
      <c r="L65" s="10"/>
      <c r="M65" s="10"/>
      <c r="N65" s="10" t="str">
        <f aca="false">IF(KLL!M65="","",KLL!M65)</f>
        <v/>
      </c>
      <c r="O65" s="10" t="str">
        <f aca="false">IF(KLL!M65="","",KLL!M65)</f>
        <v/>
      </c>
      <c r="P65" s="10" t="str">
        <f aca="false">IF(KLL!M65="","",KLL!M65)</f>
        <v/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10" t="n">
        <f aca="false">IF(KLL!F66="","",KLL!F66)</f>
        <v>3</v>
      </c>
      <c r="F66" s="10" t="n">
        <v>3</v>
      </c>
      <c r="G66" s="10" t="n">
        <v>3</v>
      </c>
      <c r="H66" s="10" t="n">
        <v>3</v>
      </c>
      <c r="I66" s="10" t="n">
        <v>3</v>
      </c>
      <c r="J66" s="10" t="n">
        <v>3</v>
      </c>
      <c r="K66" s="10"/>
      <c r="L66" s="10"/>
      <c r="M66" s="10"/>
      <c r="N66" s="10" t="str">
        <f aca="false">IF(KLL!M66="","",KLL!M66)</f>
        <v/>
      </c>
      <c r="O66" s="10" t="str">
        <f aca="false">IF(KLL!M66="","",KLL!M66)</f>
        <v/>
      </c>
      <c r="P66" s="10" t="str">
        <f aca="false">IF(KLL!M66="","",KLL!M66)</f>
        <v/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10" t="n">
        <f aca="false">IF(KLL!F67="","",KLL!F67)</f>
        <v>3</v>
      </c>
      <c r="F67" s="10" t="n">
        <v>3</v>
      </c>
      <c r="G67" s="10" t="n">
        <v>3</v>
      </c>
      <c r="H67" s="10" t="n">
        <v>3</v>
      </c>
      <c r="I67" s="10" t="n">
        <v>3</v>
      </c>
      <c r="J67" s="10" t="n">
        <v>3</v>
      </c>
      <c r="K67" s="10"/>
      <c r="L67" s="10"/>
      <c r="M67" s="10"/>
      <c r="N67" s="10" t="str">
        <f aca="false">IF(KLL!M67="","",KLL!M67)</f>
        <v/>
      </c>
      <c r="O67" s="10" t="str">
        <f aca="false">IF(KLL!M67="","",KLL!M67)</f>
        <v/>
      </c>
      <c r="P67" s="10" t="str">
        <f aca="false">IF(KLL!M67="","",KLL!M67)</f>
        <v/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10" t="n">
        <f aca="false">IF(KLL!F68="","",KLL!F68)</f>
        <v>4</v>
      </c>
      <c r="F68" s="10" t="n">
        <v>4</v>
      </c>
      <c r="G68" s="10" t="n">
        <v>4</v>
      </c>
      <c r="H68" s="10" t="n">
        <v>4</v>
      </c>
      <c r="I68" s="10" t="n">
        <v>4</v>
      </c>
      <c r="J68" s="10" t="n">
        <v>4</v>
      </c>
      <c r="K68" s="10"/>
      <c r="L68" s="10"/>
      <c r="M68" s="10"/>
      <c r="N68" s="10" t="str">
        <f aca="false">IF(KLL!M68="","",KLL!M68)</f>
        <v/>
      </c>
      <c r="O68" s="10" t="str">
        <f aca="false">IF(KLL!M68="","",KLL!M68)</f>
        <v/>
      </c>
      <c r="P68" s="10" t="str">
        <f aca="false">IF(KLL!M68="","",KLL!M68)</f>
        <v/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10" t="n">
        <f aca="false">IF(KLL!F69="","",KLL!F69)</f>
        <v>3</v>
      </c>
      <c r="F69" s="10" t="n">
        <v>3</v>
      </c>
      <c r="G69" s="10" t="n">
        <v>3</v>
      </c>
      <c r="H69" s="10" t="n">
        <v>3</v>
      </c>
      <c r="I69" s="10" t="n">
        <v>3</v>
      </c>
      <c r="J69" s="10" t="n">
        <v>3</v>
      </c>
      <c r="K69" s="10"/>
      <c r="L69" s="10"/>
      <c r="M69" s="10"/>
      <c r="N69" s="10" t="str">
        <f aca="false">IF(KLL!M69="","",KLL!M69)</f>
        <v/>
      </c>
      <c r="O69" s="10" t="str">
        <f aca="false">IF(KLL!M69="","",KLL!M69)</f>
        <v/>
      </c>
      <c r="P69" s="10" t="str">
        <f aca="false">IF(KLL!M69="","",KLL!M69)</f>
        <v/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10" t="n">
        <f aca="false">IF(KLL!F70="","",KLL!F70)</f>
        <v>3</v>
      </c>
      <c r="F70" s="10" t="n">
        <v>3</v>
      </c>
      <c r="G70" s="10" t="n">
        <v>3</v>
      </c>
      <c r="H70" s="10" t="n">
        <v>3</v>
      </c>
      <c r="I70" s="10" t="n">
        <v>3</v>
      </c>
      <c r="J70" s="10" t="n">
        <v>3</v>
      </c>
      <c r="K70" s="10"/>
      <c r="L70" s="10"/>
      <c r="M70" s="10"/>
      <c r="N70" s="10" t="str">
        <f aca="false">IF(KLL!M70="","",KLL!M70)</f>
        <v/>
      </c>
      <c r="O70" s="10" t="str">
        <f aca="false">IF(KLL!M70="","",KLL!M70)</f>
        <v/>
      </c>
      <c r="P70" s="10" t="str">
        <f aca="false">IF(KLL!M70="","",KLL!M70)</f>
        <v/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10" t="n">
        <f aca="false">IF(KLL!F71="","",KLL!F71)</f>
        <v>3</v>
      </c>
      <c r="F71" s="10" t="n">
        <v>3</v>
      </c>
      <c r="G71" s="10" t="n">
        <v>3</v>
      </c>
      <c r="H71" s="10" t="n">
        <v>3</v>
      </c>
      <c r="I71" s="10" t="n">
        <v>3</v>
      </c>
      <c r="J71" s="10" t="n">
        <v>3</v>
      </c>
      <c r="K71" s="10"/>
      <c r="L71" s="10"/>
      <c r="M71" s="10"/>
      <c r="N71" s="10" t="str">
        <f aca="false">IF(KLL!M71="","",KLL!M71)</f>
        <v/>
      </c>
      <c r="O71" s="10" t="str">
        <f aca="false">IF(KLL!M71="","",KLL!M71)</f>
        <v/>
      </c>
      <c r="P71" s="10" t="str">
        <f aca="false">IF(KLL!M71="","",KLL!M71)</f>
        <v/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10" t="n">
        <f aca="false">IF(KLL!F72="","",KLL!F72)</f>
        <v>3</v>
      </c>
      <c r="F72" s="10" t="n">
        <v>3</v>
      </c>
      <c r="G72" s="10" t="n">
        <v>3</v>
      </c>
      <c r="H72" s="10" t="n">
        <v>3</v>
      </c>
      <c r="I72" s="10" t="n">
        <v>3</v>
      </c>
      <c r="J72" s="10" t="n">
        <v>3</v>
      </c>
      <c r="K72" s="10"/>
      <c r="L72" s="10"/>
      <c r="M72" s="10"/>
      <c r="N72" s="10" t="str">
        <f aca="false">IF(KLL!M72="","",KLL!M72)</f>
        <v/>
      </c>
      <c r="O72" s="10" t="str">
        <f aca="false">IF(KLL!M72="","",KLL!M72)</f>
        <v/>
      </c>
      <c r="P72" s="10" t="str">
        <f aca="false">IF(KLL!M72="","",KLL!M72)</f>
        <v/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10" t="n">
        <f aca="false">IF(KLL!F73="","",KLL!F73)</f>
        <v>4</v>
      </c>
      <c r="F73" s="10" t="n">
        <v>4</v>
      </c>
      <c r="G73" s="10" t="n">
        <v>4</v>
      </c>
      <c r="H73" s="10" t="n">
        <v>4</v>
      </c>
      <c r="I73" s="10" t="n">
        <v>3</v>
      </c>
      <c r="J73" s="10" t="n">
        <v>3</v>
      </c>
      <c r="K73" s="10"/>
      <c r="L73" s="10"/>
      <c r="M73" s="10"/>
      <c r="N73" s="10" t="str">
        <f aca="false">IF(KLL!M73="","",KLL!M73)</f>
        <v/>
      </c>
      <c r="O73" s="10" t="str">
        <f aca="false">IF(KLL!M73="","",KLL!M73)</f>
        <v/>
      </c>
      <c r="P73" s="10" t="str">
        <f aca="false">IF(KLL!M73="","",KLL!M73)</f>
        <v/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10" t="n">
        <f aca="false">IF(KLL!F74="","",KLL!F74)</f>
        <v>3</v>
      </c>
      <c r="F74" s="10" t="n">
        <v>3</v>
      </c>
      <c r="G74" s="10" t="n">
        <v>3</v>
      </c>
      <c r="H74" s="10" t="n">
        <v>3</v>
      </c>
      <c r="I74" s="10" t="n">
        <v>3</v>
      </c>
      <c r="J74" s="10" t="n">
        <v>3</v>
      </c>
      <c r="K74" s="10"/>
      <c r="L74" s="10"/>
      <c r="M74" s="10"/>
      <c r="N74" s="10" t="str">
        <f aca="false">IF(KLL!M74="","",KLL!M74)</f>
        <v/>
      </c>
      <c r="O74" s="10" t="str">
        <f aca="false">IF(KLL!M74="","",KLL!M74)</f>
        <v/>
      </c>
      <c r="P74" s="10" t="str">
        <f aca="false">IF(KLL!M74="","",KLL!M74)</f>
        <v/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10" t="n">
        <f aca="false">IF(KLL!F75="","",KLL!F75)</f>
        <v>3</v>
      </c>
      <c r="F75" s="10" t="n">
        <v>3</v>
      </c>
      <c r="G75" s="10" t="n">
        <v>3</v>
      </c>
      <c r="H75" s="10" t="n">
        <v>3</v>
      </c>
      <c r="I75" s="10" t="n">
        <v>3</v>
      </c>
      <c r="J75" s="10" t="n">
        <v>2</v>
      </c>
      <c r="K75" s="10"/>
      <c r="L75" s="10"/>
      <c r="M75" s="10"/>
      <c r="N75" s="10" t="str">
        <f aca="false">IF(KLL!M75="","",KLL!M75)</f>
        <v/>
      </c>
      <c r="O75" s="10" t="str">
        <f aca="false">IF(KLL!M75="","",KLL!M75)</f>
        <v/>
      </c>
      <c r="P75" s="10" t="str">
        <f aca="false">IF(KLL!M75="","",KLL!M75)</f>
        <v/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10" t="n">
        <f aca="false">IF(KLL!F76="","",KLL!F76)</f>
        <v>4</v>
      </c>
      <c r="F76" s="10" t="n">
        <v>4</v>
      </c>
      <c r="G76" s="10" t="n">
        <v>4</v>
      </c>
      <c r="H76" s="10" t="n">
        <v>4</v>
      </c>
      <c r="I76" s="10" t="n">
        <v>3</v>
      </c>
      <c r="J76" s="10" t="n">
        <v>3</v>
      </c>
      <c r="K76" s="10"/>
      <c r="L76" s="10"/>
      <c r="M76" s="10"/>
      <c r="N76" s="10" t="str">
        <f aca="false">IF(KLL!M76="","",KLL!M76)</f>
        <v/>
      </c>
      <c r="O76" s="10" t="str">
        <f aca="false">IF(KLL!M76="","",KLL!M76)</f>
        <v/>
      </c>
      <c r="P76" s="10" t="str">
        <f aca="false">IF(KLL!M76="","",KLL!M76)</f>
        <v/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10" t="n">
        <f aca="false">IF(KLL!F77="","",KLL!F77)</f>
        <v>3</v>
      </c>
      <c r="F77" s="10" t="n">
        <v>3</v>
      </c>
      <c r="G77" s="10" t="n">
        <v>3</v>
      </c>
      <c r="H77" s="10" t="n">
        <v>3</v>
      </c>
      <c r="I77" s="10" t="n">
        <v>3</v>
      </c>
      <c r="J77" s="10" t="n">
        <v>3</v>
      </c>
      <c r="K77" s="10"/>
      <c r="L77" s="10"/>
      <c r="M77" s="10"/>
      <c r="N77" s="10" t="str">
        <f aca="false">IF(KLL!M77="","",KLL!M77)</f>
        <v/>
      </c>
      <c r="O77" s="10" t="str">
        <f aca="false">IF(KLL!M77="","",KLL!M77)</f>
        <v/>
      </c>
      <c r="P77" s="10" t="str">
        <f aca="false">IF(KLL!M77="","",KLL!M77)</f>
        <v/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10" t="n">
        <f aca="false">IF(KLL!F78="","",KLL!F78)</f>
        <v>3</v>
      </c>
      <c r="F78" s="10" t="n">
        <v>3</v>
      </c>
      <c r="G78" s="10" t="n">
        <v>3</v>
      </c>
      <c r="H78" s="10" t="n">
        <v>3</v>
      </c>
      <c r="I78" s="10" t="n">
        <v>3</v>
      </c>
      <c r="J78" s="10" t="n">
        <v>3</v>
      </c>
      <c r="K78" s="10"/>
      <c r="L78" s="10"/>
      <c r="M78" s="10"/>
      <c r="N78" s="10" t="str">
        <f aca="false">IF(KLL!M78="","",KLL!M78)</f>
        <v/>
      </c>
      <c r="O78" s="10" t="str">
        <f aca="false">IF(KLL!M78="","",KLL!M78)</f>
        <v/>
      </c>
      <c r="P78" s="10" t="str">
        <f aca="false">IF(KLL!M78="","",KLL!M78)</f>
        <v/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10" t="n">
        <f aca="false">IF(KLL!F79="","",KLL!F79)</f>
        <v>4</v>
      </c>
      <c r="F79" s="10" t="n">
        <v>4</v>
      </c>
      <c r="G79" s="10" t="n">
        <v>4</v>
      </c>
      <c r="H79" s="10" t="n">
        <v>4</v>
      </c>
      <c r="I79" s="10" t="n">
        <v>3</v>
      </c>
      <c r="J79" s="10" t="n">
        <v>3</v>
      </c>
      <c r="K79" s="10"/>
      <c r="L79" s="10"/>
      <c r="M79" s="10"/>
      <c r="N79" s="10" t="str">
        <f aca="false">IF(KLL!M79="","",KLL!M79)</f>
        <v/>
      </c>
      <c r="O79" s="10" t="str">
        <f aca="false">IF(KLL!M79="","",KLL!M79)</f>
        <v/>
      </c>
      <c r="P79" s="10" t="str">
        <f aca="false">IF(KLL!M79="","",KLL!M79)</f>
        <v/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10" t="n">
        <f aca="false">IF(KLL!F80="","",KLL!F80)</f>
        <v>3</v>
      </c>
      <c r="F80" s="10" t="n">
        <v>3</v>
      </c>
      <c r="G80" s="10" t="n">
        <v>3</v>
      </c>
      <c r="H80" s="10" t="n">
        <v>3</v>
      </c>
      <c r="I80" s="10" t="n">
        <v>3</v>
      </c>
      <c r="J80" s="10" t="n">
        <v>2</v>
      </c>
      <c r="K80" s="10"/>
      <c r="L80" s="10"/>
      <c r="M80" s="10"/>
      <c r="N80" s="10" t="str">
        <f aca="false">IF(KLL!M80="","",KLL!M80)</f>
        <v/>
      </c>
      <c r="O80" s="10" t="str">
        <f aca="false">IF(KLL!M80="","",KLL!M80)</f>
        <v/>
      </c>
      <c r="P80" s="10" t="str">
        <f aca="false">IF(KLL!M80="","",KLL!M80)</f>
        <v/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10" t="n">
        <f aca="false">IF(KLL!F81="","",KLL!F81)</f>
        <v>3</v>
      </c>
      <c r="F81" s="10" t="n">
        <v>3</v>
      </c>
      <c r="G81" s="10" t="n">
        <v>3</v>
      </c>
      <c r="H81" s="10" t="n">
        <v>3</v>
      </c>
      <c r="I81" s="10" t="n">
        <v>3</v>
      </c>
      <c r="J81" s="10" t="n">
        <v>2</v>
      </c>
      <c r="K81" s="10"/>
      <c r="L81" s="10"/>
      <c r="M81" s="10"/>
      <c r="N81" s="10" t="str">
        <f aca="false">IF(KLL!M81="","",KLL!M81)</f>
        <v/>
      </c>
      <c r="O81" s="10" t="str">
        <f aca="false">IF(KLL!M81="","",KLL!M81)</f>
        <v/>
      </c>
      <c r="P81" s="10" t="str">
        <f aca="false">IF(KLL!M81="","",KLL!M81)</f>
        <v/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10" t="n">
        <f aca="false">IF(KLL!F82="","",KLL!F82)</f>
        <v>4</v>
      </c>
      <c r="F82" s="10" t="n">
        <v>4</v>
      </c>
      <c r="G82" s="10" t="n">
        <v>4</v>
      </c>
      <c r="H82" s="10" t="n">
        <v>3</v>
      </c>
      <c r="I82" s="10" t="n">
        <v>3</v>
      </c>
      <c r="J82" s="10" t="n">
        <v>3</v>
      </c>
      <c r="K82" s="10"/>
      <c r="L82" s="10"/>
      <c r="M82" s="10"/>
      <c r="N82" s="10" t="str">
        <f aca="false">IF(KLL!M82="","",KLL!M82)</f>
        <v/>
      </c>
      <c r="O82" s="10" t="str">
        <f aca="false">IF(KLL!M82="","",KLL!M82)</f>
        <v/>
      </c>
      <c r="P82" s="10" t="str">
        <f aca="false">IF(KLL!M82="","",KLL!M82)</f>
        <v/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10" t="n">
        <f aca="false">IF(KLL!F83="","",KLL!F83)</f>
        <v>3</v>
      </c>
      <c r="F83" s="10" t="n">
        <v>3</v>
      </c>
      <c r="G83" s="10" t="n">
        <v>3</v>
      </c>
      <c r="H83" s="10" t="n">
        <v>3</v>
      </c>
      <c r="I83" s="10" t="n">
        <v>3</v>
      </c>
      <c r="J83" s="10" t="n">
        <v>3</v>
      </c>
      <c r="K83" s="10"/>
      <c r="L83" s="10"/>
      <c r="M83" s="10"/>
      <c r="N83" s="10" t="str">
        <f aca="false">IF(KLL!M83="","",KLL!M83)</f>
        <v/>
      </c>
      <c r="O83" s="10" t="str">
        <f aca="false">IF(KLL!M83="","",KLL!M83)</f>
        <v/>
      </c>
      <c r="P83" s="10" t="str">
        <f aca="false">IF(KLL!M83="","",KLL!M83)</f>
        <v/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10" t="n">
        <f aca="false">IF(KLL!F84="","",KLL!F84)</f>
        <v>3</v>
      </c>
      <c r="F84" s="10" t="n">
        <v>3</v>
      </c>
      <c r="G84" s="10" t="n">
        <v>3</v>
      </c>
      <c r="H84" s="10" t="n">
        <v>3</v>
      </c>
      <c r="I84" s="10" t="n">
        <v>3</v>
      </c>
      <c r="J84" s="10" t="n">
        <v>3</v>
      </c>
      <c r="K84" s="10"/>
      <c r="L84" s="10"/>
      <c r="M84" s="10"/>
      <c r="N84" s="10" t="str">
        <f aca="false">IF(KLL!M84="","",KLL!M84)</f>
        <v/>
      </c>
      <c r="O84" s="10" t="str">
        <f aca="false">IF(KLL!M84="","",KLL!M84)</f>
        <v/>
      </c>
      <c r="P84" s="10" t="str">
        <f aca="false">IF(KLL!M84="","",KLL!M84)</f>
        <v/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10" t="n">
        <f aca="false">IF(KLL!F85="","",KLL!F85)</f>
        <v>4</v>
      </c>
      <c r="F85" s="10" t="n">
        <v>4</v>
      </c>
      <c r="G85" s="10" t="n">
        <v>4</v>
      </c>
      <c r="H85" s="10" t="n">
        <v>4</v>
      </c>
      <c r="I85" s="10" t="n">
        <v>3</v>
      </c>
      <c r="J85" s="10" t="n">
        <v>3</v>
      </c>
      <c r="K85" s="10"/>
      <c r="L85" s="10"/>
      <c r="M85" s="10"/>
      <c r="N85" s="10" t="str">
        <f aca="false">IF(KLL!M85="","",KLL!M85)</f>
        <v/>
      </c>
      <c r="O85" s="10" t="str">
        <f aca="false">IF(KLL!M85="","",KLL!M85)</f>
        <v/>
      </c>
      <c r="P85" s="10" t="str">
        <f aca="false">IF(KLL!M85="","",KLL!M85)</f>
        <v/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10" t="n">
        <f aca="false">IF(KLL!F86="","",KLL!F86)</f>
        <v>4</v>
      </c>
      <c r="F86" s="10" t="n">
        <v>4</v>
      </c>
      <c r="G86" s="10" t="n">
        <v>3</v>
      </c>
      <c r="H86" s="10" t="n">
        <v>3</v>
      </c>
      <c r="I86" s="10" t="n">
        <v>3</v>
      </c>
      <c r="J86" s="10" t="n">
        <v>3</v>
      </c>
      <c r="K86" s="10"/>
      <c r="L86" s="10"/>
      <c r="M86" s="10"/>
      <c r="N86" s="10" t="str">
        <f aca="false">IF(KLL!M86="","",KLL!M86)</f>
        <v/>
      </c>
      <c r="O86" s="10" t="str">
        <f aca="false">IF(KLL!M86="","",KLL!M86)</f>
        <v/>
      </c>
      <c r="P86" s="10" t="str">
        <f aca="false">IF(KLL!M86="","",KLL!M86)</f>
        <v/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10" t="n">
        <f aca="false">IF(KLL!F87="","",KLL!F87)</f>
        <v>3</v>
      </c>
      <c r="F87" s="10" t="n">
        <v>3</v>
      </c>
      <c r="G87" s="10" t="n">
        <v>3</v>
      </c>
      <c r="H87" s="10" t="n">
        <v>3</v>
      </c>
      <c r="I87" s="10"/>
      <c r="J87" s="10"/>
      <c r="K87" s="10"/>
      <c r="L87" s="10"/>
      <c r="M87" s="10"/>
      <c r="N87" s="10" t="str">
        <f aca="false">IF(KLL!M87="","",KLL!M87)</f>
        <v/>
      </c>
      <c r="O87" s="10" t="str">
        <f aca="false">IF(KLL!M87="","",KLL!M87)</f>
        <v/>
      </c>
      <c r="P87" s="10" t="str">
        <f aca="false">IF(KLL!M87="","",KLL!M87)</f>
        <v/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10" t="n">
        <f aca="false">IF(KLL!F88="","",KLL!F88)</f>
        <v>3</v>
      </c>
      <c r="F88" s="10" t="n">
        <v>3</v>
      </c>
      <c r="G88" s="10" t="n">
        <v>3</v>
      </c>
      <c r="H88" s="10" t="n">
        <v>3</v>
      </c>
      <c r="I88" s="10"/>
      <c r="J88" s="10"/>
      <c r="K88" s="10"/>
      <c r="L88" s="10"/>
      <c r="M88" s="10"/>
      <c r="N88" s="10" t="str">
        <f aca="false">IF(KLL!M88="","",KLL!M88)</f>
        <v/>
      </c>
      <c r="O88" s="10" t="str">
        <f aca="false">IF(KLL!M88="","",KLL!M88)</f>
        <v/>
      </c>
      <c r="P88" s="10" t="str">
        <f aca="false">IF(KLL!M88="","",KLL!M88)</f>
        <v/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10" t="n">
        <f aca="false">IF(KLL!F89="","",KLL!F89)</f>
        <v>3</v>
      </c>
      <c r="F89" s="10" t="n">
        <v>3</v>
      </c>
      <c r="G89" s="10" t="n">
        <v>3</v>
      </c>
      <c r="H89" s="10" t="n">
        <v>3</v>
      </c>
      <c r="I89" s="10" t="n">
        <v>3</v>
      </c>
      <c r="J89" s="10" t="n">
        <v>3</v>
      </c>
      <c r="K89" s="10"/>
      <c r="L89" s="10"/>
      <c r="M89" s="10"/>
      <c r="N89" s="10" t="str">
        <f aca="false">IF(KLL!M89="","",KLL!M89)</f>
        <v/>
      </c>
      <c r="O89" s="10" t="str">
        <f aca="false">IF(KLL!M89="","",KLL!M89)</f>
        <v/>
      </c>
      <c r="P89" s="10" t="str">
        <f aca="false">IF(KLL!M89="","",KLL!M89)</f>
        <v/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10" t="n">
        <f aca="false">IF(KLL!F90="","",KLL!F90)</f>
        <v>4</v>
      </c>
      <c r="F90" s="10" t="n">
        <v>4</v>
      </c>
      <c r="G90" s="10" t="n">
        <v>3</v>
      </c>
      <c r="H90" s="10" t="n">
        <v>3</v>
      </c>
      <c r="I90" s="10" t="n">
        <v>3</v>
      </c>
      <c r="J90" s="10"/>
      <c r="K90" s="10"/>
      <c r="L90" s="10"/>
      <c r="M90" s="10"/>
      <c r="N90" s="10" t="str">
        <f aca="false">IF(KLL!M90="","",KLL!M90)</f>
        <v/>
      </c>
      <c r="O90" s="10" t="str">
        <f aca="false">IF(KLL!M90="","",KLL!M90)</f>
        <v/>
      </c>
      <c r="P90" s="10" t="str">
        <f aca="false">IF(KLL!M90="","",KLL!M90)</f>
        <v/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10" t="n">
        <f aca="false">IF(KLL!F91="","",KLL!F91)</f>
        <v>4</v>
      </c>
      <c r="F91" s="10" t="n">
        <v>4</v>
      </c>
      <c r="G91" s="10" t="n">
        <v>4</v>
      </c>
      <c r="H91" s="10" t="n">
        <v>4</v>
      </c>
      <c r="I91" s="10" t="n">
        <v>3</v>
      </c>
      <c r="J91" s="10" t="n">
        <v>3</v>
      </c>
      <c r="K91" s="10"/>
      <c r="L91" s="10"/>
      <c r="M91" s="10"/>
      <c r="N91" s="10" t="str">
        <f aca="false">IF(KLL!M91="","",KLL!M91)</f>
        <v/>
      </c>
      <c r="O91" s="10" t="str">
        <f aca="false">IF(KLL!M91="","",KLL!M91)</f>
        <v/>
      </c>
      <c r="P91" s="10" t="str">
        <f aca="false">IF(KLL!M91="","",KLL!M91)</f>
        <v/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10" t="n">
        <f aca="false">IF(KLL!F92="","",KLL!F92)</f>
        <v>3</v>
      </c>
      <c r="F92" s="10" t="n">
        <v>3</v>
      </c>
      <c r="G92" s="10" t="n">
        <v>3</v>
      </c>
      <c r="H92" s="10" t="n">
        <v>3</v>
      </c>
      <c r="I92" s="10" t="n">
        <v>3</v>
      </c>
      <c r="J92" s="10"/>
      <c r="K92" s="10"/>
      <c r="L92" s="10"/>
      <c r="M92" s="10"/>
      <c r="N92" s="10" t="str">
        <f aca="false">IF(KLL!M92="","",KLL!M92)</f>
        <v/>
      </c>
      <c r="O92" s="10" t="str">
        <f aca="false">IF(KLL!M92="","",KLL!M92)</f>
        <v/>
      </c>
      <c r="P92" s="10" t="str">
        <f aca="false">IF(KLL!M92="","",KLL!M92)</f>
        <v/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10" t="n">
        <f aca="false">IF(KLL!F93="","",KLL!F93)</f>
        <v>3</v>
      </c>
      <c r="F93" s="10" t="n">
        <v>3</v>
      </c>
      <c r="G93" s="10" t="n">
        <v>3</v>
      </c>
      <c r="H93" s="10" t="n">
        <v>3</v>
      </c>
      <c r="I93" s="10" t="n">
        <v>3</v>
      </c>
      <c r="J93" s="10"/>
      <c r="K93" s="10"/>
      <c r="L93" s="10"/>
      <c r="M93" s="10"/>
      <c r="N93" s="10" t="str">
        <f aca="false">IF(KLL!M93="","",KLL!M93)</f>
        <v/>
      </c>
      <c r="O93" s="10" t="str">
        <f aca="false">IF(KLL!M93="","",KLL!M93)</f>
        <v/>
      </c>
      <c r="P93" s="10" t="str">
        <f aca="false">IF(KLL!M93="","",KLL!M93)</f>
        <v/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10" t="n">
        <f aca="false">IF(KLL!F94="","",KLL!F94)</f>
        <v>4</v>
      </c>
      <c r="F94" s="10" t="n">
        <v>4</v>
      </c>
      <c r="G94" s="10" t="n">
        <v>3</v>
      </c>
      <c r="H94" s="10" t="n">
        <v>3</v>
      </c>
      <c r="I94" s="10" t="n">
        <v>3</v>
      </c>
      <c r="J94" s="10" t="n">
        <v>2</v>
      </c>
      <c r="K94" s="10"/>
      <c r="L94" s="10"/>
      <c r="M94" s="10"/>
      <c r="N94" s="10" t="str">
        <f aca="false">IF(KLL!M94="","",KLL!M94)</f>
        <v/>
      </c>
      <c r="O94" s="10" t="str">
        <f aca="false">IF(KLL!M94="","",KLL!M94)</f>
        <v/>
      </c>
      <c r="P94" s="10" t="str">
        <f aca="false">IF(KLL!M94="","",KLL!M94)</f>
        <v/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10" t="n">
        <f aca="false">IF(KLL!F95="","",KLL!F95)</f>
        <v>2</v>
      </c>
      <c r="F95" s="10" t="n">
        <v>2</v>
      </c>
      <c r="G95" s="10" t="n">
        <v>2</v>
      </c>
      <c r="H95" s="10" t="n">
        <v>2</v>
      </c>
      <c r="I95" s="10" t="n">
        <v>2</v>
      </c>
      <c r="J95" s="10" t="n">
        <v>2</v>
      </c>
      <c r="K95" s="10"/>
      <c r="L95" s="10"/>
      <c r="M95" s="10"/>
      <c r="N95" s="10" t="str">
        <f aca="false">IF(KLL!M95="","",KLL!M95)</f>
        <v/>
      </c>
      <c r="O95" s="10" t="str">
        <f aca="false">IF(KLL!M95="","",KLL!M95)</f>
        <v/>
      </c>
      <c r="P95" s="10" t="str">
        <f aca="false">IF(KLL!M95="","",KLL!M95)</f>
        <v/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10" t="n">
        <f aca="false">IF(KLL!F96="","",KLL!F96)</f>
        <v>3</v>
      </c>
      <c r="F96" s="10" t="n">
        <v>3</v>
      </c>
      <c r="G96" s="10" t="n">
        <v>2</v>
      </c>
      <c r="H96" s="10" t="n">
        <v>2</v>
      </c>
      <c r="I96" s="10" t="n">
        <v>2</v>
      </c>
      <c r="J96" s="10"/>
      <c r="K96" s="10"/>
      <c r="L96" s="10"/>
      <c r="M96" s="10"/>
      <c r="N96" s="10" t="str">
        <f aca="false">IF(KLL!M96="","",KLL!M96)</f>
        <v/>
      </c>
      <c r="O96" s="10" t="str">
        <f aca="false">IF(KLL!M96="","",KLL!M96)</f>
        <v/>
      </c>
      <c r="P96" s="10" t="str">
        <f aca="false">IF(KLL!M96="","",KLL!M96)</f>
        <v/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10" t="n">
        <f aca="false">IF(KLL!F97="","",KLL!F97)</f>
        <v>3</v>
      </c>
      <c r="F97" s="10" t="n">
        <v>3</v>
      </c>
      <c r="G97" s="10" t="n">
        <v>3</v>
      </c>
      <c r="H97" s="10" t="n">
        <v>3</v>
      </c>
      <c r="I97" s="10" t="n">
        <v>3</v>
      </c>
      <c r="J97" s="10"/>
      <c r="K97" s="10"/>
      <c r="L97" s="10"/>
      <c r="M97" s="10"/>
      <c r="N97" s="10" t="str">
        <f aca="false">IF(KLL!M97="","",KLL!M97)</f>
        <v/>
      </c>
      <c r="O97" s="10" t="str">
        <f aca="false">IF(KLL!M97="","",KLL!M97)</f>
        <v/>
      </c>
      <c r="P97" s="10" t="str">
        <f aca="false">IF(KLL!M97="","",KLL!M97)</f>
        <v/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10" t="n">
        <f aca="false">IF(KLL!F98="","",KLL!F98)</f>
        <v>3</v>
      </c>
      <c r="F98" s="10" t="n">
        <v>3</v>
      </c>
      <c r="G98" s="10" t="n">
        <v>3</v>
      </c>
      <c r="H98" s="10" t="n">
        <v>3</v>
      </c>
      <c r="I98" s="10" t="n">
        <v>3</v>
      </c>
      <c r="J98" s="10"/>
      <c r="K98" s="10"/>
      <c r="L98" s="10"/>
      <c r="M98" s="10"/>
      <c r="N98" s="10" t="str">
        <f aca="false">IF(KLL!M98="","",KLL!M98)</f>
        <v/>
      </c>
      <c r="O98" s="10" t="str">
        <f aca="false">IF(KLL!M98="","",KLL!M98)</f>
        <v/>
      </c>
      <c r="P98" s="10" t="str">
        <f aca="false">IF(KLL!M98="","",KLL!M98)</f>
        <v/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10" t="n">
        <f aca="false">IF(KLL!F99="","",KLL!F99)</f>
        <v>3</v>
      </c>
      <c r="F99" s="10" t="n">
        <v>3</v>
      </c>
      <c r="G99" s="10" t="n">
        <v>3</v>
      </c>
      <c r="H99" s="10" t="n">
        <v>3</v>
      </c>
      <c r="I99" s="10" t="n">
        <v>3</v>
      </c>
      <c r="J99" s="10"/>
      <c r="K99" s="10"/>
      <c r="L99" s="10"/>
      <c r="M99" s="10"/>
      <c r="N99" s="10" t="str">
        <f aca="false">IF(KLL!M99="","",KLL!M99)</f>
        <v/>
      </c>
      <c r="O99" s="10" t="str">
        <f aca="false">IF(KLL!M99="","",KLL!M99)</f>
        <v/>
      </c>
      <c r="P99" s="10" t="str">
        <f aca="false">IF(KLL!M99="","",KLL!M99)</f>
        <v/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10" t="n">
        <f aca="false">IF(KLL!F100="","",KLL!F100)</f>
        <v>3</v>
      </c>
      <c r="F100" s="10" t="n">
        <v>3</v>
      </c>
      <c r="G100" s="10" t="n">
        <v>3</v>
      </c>
      <c r="H100" s="10" t="n">
        <v>2</v>
      </c>
      <c r="I100" s="10" t="n">
        <v>2</v>
      </c>
      <c r="J100" s="10"/>
      <c r="K100" s="10"/>
      <c r="L100" s="10"/>
      <c r="M100" s="10"/>
      <c r="N100" s="10" t="str">
        <f aca="false">IF(KLL!M100="","",KLL!M100)</f>
        <v/>
      </c>
      <c r="O100" s="10" t="str">
        <f aca="false">IF(KLL!M100="","",KLL!M100)</f>
        <v/>
      </c>
      <c r="P100" s="10" t="str">
        <f aca="false">IF(KLL!M100="","",KLL!M100)</f>
        <v/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10" t="n">
        <f aca="false">IF(KLL!F101="","",KLL!F101)</f>
        <v>2</v>
      </c>
      <c r="F101" s="10" t="n">
        <v>2</v>
      </c>
      <c r="G101" s="10" t="n">
        <v>2</v>
      </c>
      <c r="H101" s="10" t="n">
        <v>2</v>
      </c>
      <c r="I101" s="10" t="n">
        <v>2</v>
      </c>
      <c r="J101" s="10" t="n">
        <v>2</v>
      </c>
      <c r="K101" s="10"/>
      <c r="L101" s="10"/>
      <c r="M101" s="10"/>
      <c r="N101" s="10" t="str">
        <f aca="false">IF(KLL!M101="","",KLL!M101)</f>
        <v/>
      </c>
      <c r="O101" s="10" t="str">
        <f aca="false">IF(KLL!M101="","",KLL!M101)</f>
        <v/>
      </c>
      <c r="P101" s="10" t="str">
        <f aca="false">IF(KLL!M101="","",KLL!M101)</f>
        <v/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10" t="n">
        <f aca="false">IF(KLL!F102="","",KLL!F102)</f>
        <v>3</v>
      </c>
      <c r="F102" s="10" t="n">
        <v>3</v>
      </c>
      <c r="G102" s="10" t="n">
        <v>2</v>
      </c>
      <c r="H102" s="10" t="n">
        <v>2</v>
      </c>
      <c r="I102" s="10" t="n">
        <v>2</v>
      </c>
      <c r="J102" s="10"/>
      <c r="K102" s="10"/>
      <c r="L102" s="10"/>
      <c r="M102" s="10"/>
      <c r="N102" s="10" t="str">
        <f aca="false">IF(KLL!M102="","",KLL!M102)</f>
        <v/>
      </c>
      <c r="O102" s="10" t="str">
        <f aca="false">IF(KLL!M102="","",KLL!M102)</f>
        <v/>
      </c>
      <c r="P102" s="10" t="str">
        <f aca="false">IF(KLL!M102="","",KLL!M102)</f>
        <v/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10" t="n">
        <f aca="false">IF(KLL!F103="","",KLL!F103)</f>
        <v>3</v>
      </c>
      <c r="F103" s="10" t="n">
        <v>3</v>
      </c>
      <c r="G103" s="10" t="n">
        <v>3</v>
      </c>
      <c r="H103" s="10" t="n">
        <v>3</v>
      </c>
      <c r="I103" s="10" t="n">
        <v>3</v>
      </c>
      <c r="J103" s="10"/>
      <c r="K103" s="10"/>
      <c r="L103" s="10"/>
      <c r="M103" s="10"/>
      <c r="N103" s="10" t="str">
        <f aca="false">IF(KLL!M103="","",KLL!M103)</f>
        <v/>
      </c>
      <c r="O103" s="10" t="str">
        <f aca="false">IF(KLL!M103="","",KLL!M103)</f>
        <v/>
      </c>
      <c r="P103" s="10" t="str">
        <f aca="false">IF(KLL!M103="","",KLL!M103)</f>
        <v/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10" t="n">
        <f aca="false">IF(KLL!F104="","",KLL!F104)</f>
        <v>2</v>
      </c>
      <c r="F104" s="10" t="n">
        <v>2</v>
      </c>
      <c r="G104" s="10" t="n">
        <v>2</v>
      </c>
      <c r="H104" s="10" t="n">
        <v>2</v>
      </c>
      <c r="I104" s="10" t="n">
        <v>2</v>
      </c>
      <c r="J104" s="10"/>
      <c r="K104" s="10"/>
      <c r="L104" s="10"/>
      <c r="M104" s="10"/>
      <c r="N104" s="10" t="str">
        <f aca="false">IF(KLL!M104="","",KLL!M104)</f>
        <v/>
      </c>
      <c r="O104" s="10" t="str">
        <f aca="false">IF(KLL!M104="","",KLL!M104)</f>
        <v/>
      </c>
      <c r="P104" s="10" t="str">
        <f aca="false">IF(KLL!M104="","",KLL!M104)</f>
        <v/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10" t="n">
        <f aca="false">IF(KLL!F105="","",KLL!F105)</f>
        <v>3</v>
      </c>
      <c r="F105" s="10" t="n">
        <v>3</v>
      </c>
      <c r="G105" s="10" t="n">
        <v>3</v>
      </c>
      <c r="H105" s="10" t="n">
        <v>3</v>
      </c>
      <c r="I105" s="10" t="n">
        <v>3</v>
      </c>
      <c r="J105" s="10"/>
      <c r="K105" s="10"/>
      <c r="L105" s="10"/>
      <c r="M105" s="10"/>
      <c r="N105" s="10" t="str">
        <f aca="false">IF(KLL!M105="","",KLL!M105)</f>
        <v/>
      </c>
      <c r="O105" s="10" t="str">
        <f aca="false">IF(KLL!M105="","",KLL!M105)</f>
        <v/>
      </c>
      <c r="P105" s="10" t="str">
        <f aca="false">IF(KLL!M105="","",KLL!M105)</f>
        <v/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10" t="n">
        <f aca="false">IF(KLL!F106="","",KLL!F106)</f>
        <v>2</v>
      </c>
      <c r="F106" s="10" t="n">
        <v>2</v>
      </c>
      <c r="G106" s="10" t="n">
        <v>2</v>
      </c>
      <c r="H106" s="10" t="n">
        <v>2</v>
      </c>
      <c r="I106" s="10" t="n">
        <v>2</v>
      </c>
      <c r="J106" s="10"/>
      <c r="K106" s="10"/>
      <c r="L106" s="10"/>
      <c r="M106" s="10"/>
      <c r="N106" s="10" t="str">
        <f aca="false">IF(KLL!M106="","",KLL!M106)</f>
        <v/>
      </c>
      <c r="O106" s="10" t="str">
        <f aca="false">IF(KLL!M106="","",KLL!M106)</f>
        <v/>
      </c>
      <c r="P106" s="10" t="str">
        <f aca="false">IF(KLL!M106="","",KLL!M106)</f>
        <v/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10" t="n">
        <f aca="false">IF(KLL!F107="","",KLL!F107)</f>
        <v>2</v>
      </c>
      <c r="F107" s="10" t="n">
        <v>2</v>
      </c>
      <c r="G107" s="10" t="n">
        <v>2</v>
      </c>
      <c r="H107" s="10" t="n">
        <v>2</v>
      </c>
      <c r="I107" s="10" t="n">
        <v>2</v>
      </c>
      <c r="J107" s="10"/>
      <c r="K107" s="10"/>
      <c r="L107" s="10"/>
      <c r="M107" s="10"/>
      <c r="N107" s="10" t="str">
        <f aca="false">IF(KLL!M107="","",KLL!M107)</f>
        <v/>
      </c>
      <c r="O107" s="10" t="str">
        <f aca="false">IF(KLL!M107="","",KLL!M107)</f>
        <v/>
      </c>
      <c r="P107" s="10" t="str">
        <f aca="false">IF(KLL!M107="","",KLL!M107)</f>
        <v/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10" t="n">
        <f aca="false">IF(KLL!F108="","",KLL!F108)</f>
        <v>2</v>
      </c>
      <c r="F108" s="10" t="n">
        <v>2</v>
      </c>
      <c r="G108" s="10" t="n">
        <v>2</v>
      </c>
      <c r="H108" s="10" t="n">
        <v>2</v>
      </c>
      <c r="I108" s="10" t="n">
        <v>2</v>
      </c>
      <c r="J108" s="10"/>
      <c r="K108" s="10"/>
      <c r="L108" s="10"/>
      <c r="M108" s="10"/>
      <c r="N108" s="10" t="str">
        <f aca="false">IF(KLL!M108="","",KLL!M108)</f>
        <v/>
      </c>
      <c r="O108" s="10" t="str">
        <f aca="false">IF(KLL!M108="","",KLL!M108)</f>
        <v/>
      </c>
      <c r="P108" s="10" t="str">
        <f aca="false">IF(KLL!M108="","",KLL!M108)</f>
        <v/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10" t="n">
        <f aca="false">IF(KLL!F109="","",KLL!F109)</f>
        <v>2</v>
      </c>
      <c r="F109" s="10" t="n">
        <v>2</v>
      </c>
      <c r="G109" s="10" t="n">
        <v>2</v>
      </c>
      <c r="H109" s="10" t="n">
        <v>2</v>
      </c>
      <c r="I109" s="10" t="n">
        <v>2</v>
      </c>
      <c r="J109" s="10"/>
      <c r="K109" s="10"/>
      <c r="L109" s="10"/>
      <c r="M109" s="10"/>
      <c r="N109" s="10" t="str">
        <f aca="false">IF(KLL!M109="","",KLL!M109)</f>
        <v/>
      </c>
      <c r="O109" s="10" t="str">
        <f aca="false">IF(KLL!M109="","",KLL!M109)</f>
        <v/>
      </c>
      <c r="P109" s="10" t="str">
        <f aca="false">IF(KLL!M109="","",KLL!M109)</f>
        <v/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10" t="n">
        <f aca="false">IF(KLL!F110="","",KLL!F110)</f>
        <v>3</v>
      </c>
      <c r="F110" s="10" t="n">
        <v>3</v>
      </c>
      <c r="G110" s="10" t="n">
        <v>3</v>
      </c>
      <c r="H110" s="10"/>
      <c r="I110" s="10"/>
      <c r="J110" s="10"/>
      <c r="K110" s="10"/>
      <c r="L110" s="10"/>
      <c r="M110" s="10"/>
      <c r="N110" s="10" t="str">
        <f aca="false">IF(KLL!M110="","",KLL!M110)</f>
        <v/>
      </c>
      <c r="O110" s="10" t="str">
        <f aca="false">IF(KLL!M110="","",KLL!M110)</f>
        <v/>
      </c>
      <c r="P110" s="10" t="str">
        <f aca="false">IF(KLL!M110="","",KLL!M110)</f>
        <v/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10" t="n">
        <f aca="false">IF(KLL!F111="","",KLL!F111)</f>
        <v>3</v>
      </c>
      <c r="F111" s="10" t="n">
        <v>3</v>
      </c>
      <c r="G111" s="10" t="n">
        <v>3</v>
      </c>
      <c r="H111" s="10"/>
      <c r="I111" s="10"/>
      <c r="J111" s="10"/>
      <c r="K111" s="10"/>
      <c r="L111" s="10"/>
      <c r="M111" s="10"/>
      <c r="N111" s="10" t="str">
        <f aca="false">IF(KLL!M111="","",KLL!M111)</f>
        <v/>
      </c>
      <c r="O111" s="10" t="str">
        <f aca="false">IF(KLL!M111="","",KLL!M111)</f>
        <v/>
      </c>
      <c r="P111" s="10" t="str">
        <f aca="false">IF(KLL!M111="","",KLL!M111)</f>
        <v/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10" t="n">
        <f aca="false">IF(KLL!F112="","",KLL!F112)</f>
        <v>3</v>
      </c>
      <c r="F112" s="10" t="n">
        <v>3</v>
      </c>
      <c r="G112" s="10"/>
      <c r="H112" s="10"/>
      <c r="I112" s="10"/>
      <c r="J112" s="10"/>
      <c r="K112" s="10"/>
      <c r="L112" s="10"/>
      <c r="M112" s="10"/>
      <c r="N112" s="10" t="str">
        <f aca="false">IF(KLL!M112="","",KLL!M112)</f>
        <v/>
      </c>
      <c r="O112" s="10" t="str">
        <f aca="false">IF(KLL!M112="","",KLL!M112)</f>
        <v/>
      </c>
      <c r="P112" s="10" t="str">
        <f aca="false">IF(KLL!M112="","",KLL!M112)</f>
        <v/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10" t="n">
        <f aca="false">IF(KLL!F113="","",KLL!F113)</f>
        <v>3</v>
      </c>
      <c r="F113" s="10" t="n">
        <v>3</v>
      </c>
      <c r="G113" s="10"/>
      <c r="H113" s="10"/>
      <c r="I113" s="10"/>
      <c r="J113" s="10"/>
      <c r="K113" s="10"/>
      <c r="L113" s="10"/>
      <c r="M113" s="10"/>
      <c r="N113" s="10" t="str">
        <f aca="false">IF(KLL!M113="","",KLL!M113)</f>
        <v/>
      </c>
      <c r="O113" s="10" t="str">
        <f aca="false">IF(KLL!M113="","",KLL!M113)</f>
        <v/>
      </c>
      <c r="P113" s="10" t="str">
        <f aca="false">IF(KLL!M113="","",KLL!M113)</f>
        <v/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10" t="n">
        <f aca="false">IF(KLL!F114="","",KLL!F114)</f>
        <v>3</v>
      </c>
      <c r="F114" s="10" t="n">
        <v>3</v>
      </c>
      <c r="G114" s="10"/>
      <c r="H114" s="10"/>
      <c r="I114" s="10"/>
      <c r="J114" s="10"/>
      <c r="K114" s="10"/>
      <c r="L114" s="10"/>
      <c r="M114" s="10"/>
      <c r="N114" s="10" t="str">
        <f aca="false">IF(KLL!M114="","",KLL!M114)</f>
        <v/>
      </c>
      <c r="O114" s="10" t="str">
        <f aca="false">IF(KLL!M114="","",KLL!M114)</f>
        <v/>
      </c>
      <c r="P114" s="10" t="str">
        <f aca="false">IF(KLL!M114="","",KLL!M114)</f>
        <v/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10" t="n">
        <f aca="false">IF(KLL!F115="","",KLL!F115)</f>
        <v>3</v>
      </c>
      <c r="F115" s="10" t="n">
        <v>3</v>
      </c>
      <c r="G115" s="10"/>
      <c r="H115" s="10"/>
      <c r="I115" s="10"/>
      <c r="J115" s="10"/>
      <c r="K115" s="10"/>
      <c r="L115" s="10"/>
      <c r="M115" s="10"/>
      <c r="N115" s="10" t="str">
        <f aca="false">IF(KLL!M115="","",KLL!M115)</f>
        <v/>
      </c>
      <c r="O115" s="10" t="str">
        <f aca="false">IF(KLL!M115="","",KLL!M115)</f>
        <v/>
      </c>
      <c r="P115" s="10" t="str">
        <f aca="false">IF(KLL!M115="","",KLL!M115)</f>
        <v/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10" t="n">
        <f aca="false">IF(KLL!F116="","",KLL!F116)</f>
        <v>3</v>
      </c>
      <c r="F116" s="10" t="n">
        <v>3</v>
      </c>
      <c r="G116" s="10"/>
      <c r="H116" s="10"/>
      <c r="I116" s="10"/>
      <c r="J116" s="10"/>
      <c r="K116" s="10"/>
      <c r="L116" s="10"/>
      <c r="M116" s="10"/>
      <c r="N116" s="10" t="str">
        <f aca="false">IF(KLL!M116="","",KLL!M116)</f>
        <v/>
      </c>
      <c r="O116" s="10" t="str">
        <f aca="false">IF(KLL!M116="","",KLL!M116)</f>
        <v/>
      </c>
      <c r="P116" s="10" t="str">
        <f aca="false">IF(KLL!M116="","",KLL!M116)</f>
        <v/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10" t="n">
        <f aca="false">IF(KLL!F117="","",KLL!F117)</f>
        <v>3</v>
      </c>
      <c r="F117" s="10" t="n">
        <v>3</v>
      </c>
      <c r="G117" s="10"/>
      <c r="H117" s="10"/>
      <c r="I117" s="10"/>
      <c r="J117" s="10"/>
      <c r="K117" s="10"/>
      <c r="L117" s="10"/>
      <c r="M117" s="10"/>
      <c r="N117" s="10" t="str">
        <f aca="false">IF(KLL!M117="","",KLL!M117)</f>
        <v/>
      </c>
      <c r="O117" s="10" t="str">
        <f aca="false">IF(KLL!M117="","",KLL!M117)</f>
        <v/>
      </c>
      <c r="P117" s="10" t="str">
        <f aca="false">IF(KLL!M117="","",KLL!M117)</f>
        <v/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10" t="n">
        <f aca="false">IF(KLL!F118="","",KLL!F118)</f>
        <v>3</v>
      </c>
      <c r="F118" s="10" t="n">
        <v>3</v>
      </c>
      <c r="G118" s="10"/>
      <c r="H118" s="10"/>
      <c r="I118" s="10"/>
      <c r="J118" s="10"/>
      <c r="K118" s="10"/>
      <c r="L118" s="10"/>
      <c r="M118" s="10"/>
      <c r="N118" s="10" t="str">
        <f aca="false">IF(KLL!M118="","",KLL!M118)</f>
        <v/>
      </c>
      <c r="O118" s="10" t="str">
        <f aca="false">IF(KLL!M118="","",KLL!M118)</f>
        <v/>
      </c>
      <c r="P118" s="10" t="str">
        <f aca="false">IF(KLL!M118="","",KLL!M118)</f>
        <v/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10" t="str">
        <f aca="false">IF(KLL!F119="","",KLL!F119)</f>
        <v/>
      </c>
      <c r="F119" s="10"/>
      <c r="G119" s="10"/>
      <c r="H119" s="10"/>
      <c r="I119" s="10"/>
      <c r="J119" s="10"/>
      <c r="K119" s="10"/>
      <c r="L119" s="10"/>
      <c r="M119" s="10"/>
      <c r="N119" s="10" t="str">
        <f aca="false">IF(KLL!M119="","",KLL!M119)</f>
        <v/>
      </c>
      <c r="O119" s="10" t="str">
        <f aca="false">IF(KLL!M119="","",KLL!M119)</f>
        <v/>
      </c>
      <c r="P119" s="10" t="str">
        <f aca="false">IF(KLL!M119="","",KLL!M119)</f>
        <v/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10" t="str">
        <f aca="false">IF(KLL!F120="","",KLL!F120)</f>
        <v/>
      </c>
      <c r="F120" s="10"/>
      <c r="G120" s="10"/>
      <c r="H120" s="10"/>
      <c r="I120" s="10"/>
      <c r="J120" s="10"/>
      <c r="K120" s="10"/>
      <c r="L120" s="10"/>
      <c r="M120" s="10"/>
      <c r="N120" s="10" t="str">
        <f aca="false">IF(KLL!M120="","",KLL!M120)</f>
        <v/>
      </c>
      <c r="O120" s="10" t="str">
        <f aca="false">IF(KLL!M120="","",KLL!M120)</f>
        <v/>
      </c>
      <c r="P120" s="10" t="str">
        <f aca="false">IF(KLL!M120="","",KLL!M120)</f>
        <v/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10" t="str">
        <f aca="false">IF(KLL!F121="","",KLL!F121)</f>
        <v/>
      </c>
      <c r="F121" s="10"/>
      <c r="G121" s="10"/>
      <c r="H121" s="10"/>
      <c r="I121" s="10"/>
      <c r="J121" s="10"/>
      <c r="K121" s="10"/>
      <c r="L121" s="10"/>
      <c r="M121" s="10"/>
      <c r="N121" s="10" t="str">
        <f aca="false">IF(KLL!M121="","",KLL!M121)</f>
        <v/>
      </c>
      <c r="O121" s="10" t="str">
        <f aca="false">IF(KLL!M121="","",KLL!M121)</f>
        <v/>
      </c>
      <c r="P121" s="10" t="str">
        <f aca="false">IF(KLL!M121="","",KLL!M121)</f>
        <v/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10" t="str">
        <f aca="false">IF(KLL!F122="","",KLL!F122)</f>
        <v/>
      </c>
      <c r="F122" s="10"/>
      <c r="G122" s="10"/>
      <c r="H122" s="10"/>
      <c r="I122" s="10"/>
      <c r="J122" s="10"/>
      <c r="K122" s="10"/>
      <c r="L122" s="10"/>
      <c r="M122" s="10"/>
      <c r="N122" s="10" t="str">
        <f aca="false">IF(KLL!M122="","",KLL!M122)</f>
        <v/>
      </c>
      <c r="O122" s="10" t="str">
        <f aca="false">IF(KLL!M122="","",KLL!M122)</f>
        <v/>
      </c>
      <c r="P122" s="10" t="str">
        <f aca="false">IF(KLL!M122="","",KLL!M122)</f>
        <v/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10" t="str">
        <f aca="false">IF(KLL!F123="","",KLL!F123)</f>
        <v/>
      </c>
      <c r="F123" s="10"/>
      <c r="G123" s="10"/>
      <c r="H123" s="10"/>
      <c r="I123" s="10"/>
      <c r="J123" s="10"/>
      <c r="K123" s="10"/>
      <c r="L123" s="10"/>
      <c r="M123" s="10"/>
      <c r="N123" s="10" t="str">
        <f aca="false">IF(KLL!M123="","",KLL!M123)</f>
        <v/>
      </c>
      <c r="O123" s="10" t="str">
        <f aca="false">IF(KLL!M123="","",KLL!M123)</f>
        <v/>
      </c>
      <c r="P123" s="10" t="str">
        <f aca="false">IF(KLL!M123="","",KLL!M123)</f>
        <v/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10" t="str">
        <f aca="false">IF(KLL!F124="","",KLL!F124)</f>
        <v/>
      </c>
      <c r="F124" s="10"/>
      <c r="G124" s="10"/>
      <c r="H124" s="10"/>
      <c r="I124" s="10"/>
      <c r="J124" s="10"/>
      <c r="K124" s="10"/>
      <c r="L124" s="10"/>
      <c r="M124" s="10"/>
      <c r="N124" s="10" t="str">
        <f aca="false">IF(KLL!M124="","",KLL!M124)</f>
        <v/>
      </c>
      <c r="O124" s="10" t="str">
        <f aca="false">IF(KLL!M124="","",KLL!M124)</f>
        <v/>
      </c>
      <c r="P124" s="10" t="str">
        <f aca="false">IF(KLL!M124="","",KLL!M124)</f>
        <v/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10" t="str">
        <f aca="false">IF(KLL!F125="","",KLL!F125)</f>
        <v/>
      </c>
      <c r="F125" s="10"/>
      <c r="G125" s="10"/>
      <c r="H125" s="10"/>
      <c r="I125" s="10"/>
      <c r="J125" s="10"/>
      <c r="K125" s="10"/>
      <c r="L125" s="10"/>
      <c r="M125" s="10"/>
      <c r="N125" s="10" t="str">
        <f aca="false">IF(KLL!M125="","",KLL!M125)</f>
        <v/>
      </c>
      <c r="O125" s="10" t="str">
        <f aca="false">IF(KLL!M125="","",KLL!M125)</f>
        <v/>
      </c>
      <c r="P125" s="10" t="str">
        <f aca="false">IF(KLL!M125="","",KLL!M125)</f>
        <v/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10" t="str">
        <f aca="false">IF(KLL!F126="","",KLL!F126)</f>
        <v/>
      </c>
      <c r="F126" s="10"/>
      <c r="G126" s="10"/>
      <c r="H126" s="10"/>
      <c r="I126" s="10"/>
      <c r="J126" s="10"/>
      <c r="K126" s="10"/>
      <c r="L126" s="10"/>
      <c r="M126" s="10"/>
      <c r="N126" s="10" t="str">
        <f aca="false">IF(KLL!M126="","",KLL!M126)</f>
        <v/>
      </c>
      <c r="O126" s="10" t="str">
        <f aca="false">IF(KLL!M126="","",KLL!M126)</f>
        <v/>
      </c>
      <c r="P126" s="10" t="str">
        <f aca="false">IF(KLL!M126="","",KLL!M126)</f>
        <v/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10" t="str">
        <f aca="false">IF(KLL!F127="","",KLL!F127)</f>
        <v/>
      </c>
      <c r="F127" s="10"/>
      <c r="G127" s="10"/>
      <c r="H127" s="10"/>
      <c r="I127" s="10"/>
      <c r="J127" s="10"/>
      <c r="K127" s="10"/>
      <c r="L127" s="10"/>
      <c r="M127" s="10"/>
      <c r="N127" s="10" t="str">
        <f aca="false">IF(KLL!M127="","",KLL!M127)</f>
        <v/>
      </c>
      <c r="O127" s="10" t="str">
        <f aca="false">IF(KLL!M127="","",KLL!M127)</f>
        <v/>
      </c>
      <c r="P127" s="10" t="str">
        <f aca="false">IF(KLL!M127="","",KLL!M127)</f>
        <v/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10" t="str">
        <f aca="false">IF(KLL!F128="","",KLL!F128)</f>
        <v/>
      </c>
      <c r="F128" s="10"/>
      <c r="G128" s="10"/>
      <c r="H128" s="10"/>
      <c r="I128" s="10"/>
      <c r="J128" s="10"/>
      <c r="K128" s="10"/>
      <c r="L128" s="10"/>
      <c r="M128" s="10"/>
      <c r="N128" s="10" t="str">
        <f aca="false">IF(KLL!M128="","",KLL!M128)</f>
        <v/>
      </c>
      <c r="O128" s="10" t="str">
        <f aca="false">IF(KLL!M128="","",KLL!M128)</f>
        <v/>
      </c>
      <c r="P128" s="10" t="str">
        <f aca="false">IF(KLL!M128="","",KLL!M128)</f>
        <v/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10" t="str">
        <f aca="false">IF(KLL!F129="","",KLL!F129)</f>
        <v/>
      </c>
      <c r="F129" s="10"/>
      <c r="G129" s="10"/>
      <c r="H129" s="10"/>
      <c r="I129" s="10"/>
      <c r="J129" s="10"/>
      <c r="K129" s="10"/>
      <c r="L129" s="10"/>
      <c r="M129" s="10"/>
      <c r="N129" s="10" t="str">
        <f aca="false">IF(KLL!M129="","",KLL!M129)</f>
        <v/>
      </c>
      <c r="O129" s="10" t="str">
        <f aca="false">IF(KLL!M129="","",KLL!M129)</f>
        <v/>
      </c>
      <c r="P129" s="10" t="str">
        <f aca="false">IF(KLL!M129="","",KLL!M129)</f>
        <v/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10" t="str">
        <f aca="false">IF(KLL!F130="","",KLL!F130)</f>
        <v/>
      </c>
      <c r="F130" s="10"/>
      <c r="G130" s="10"/>
      <c r="H130" s="10"/>
      <c r="I130" s="10"/>
      <c r="J130" s="10"/>
      <c r="K130" s="10"/>
      <c r="L130" s="10"/>
      <c r="M130" s="10"/>
      <c r="N130" s="10" t="str">
        <f aca="false">IF(KLL!M130="","",KLL!M130)</f>
        <v/>
      </c>
      <c r="O130" s="10" t="str">
        <f aca="false">IF(KLL!M130="","",KLL!M130)</f>
        <v/>
      </c>
      <c r="P130" s="10" t="str">
        <f aca="false">IF(KLL!M130="","",KLL!M130)</f>
        <v/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10" t="str">
        <f aca="false">IF(KLL!F131="","",KLL!F131)</f>
        <v/>
      </c>
      <c r="F131" s="10"/>
      <c r="G131" s="10"/>
      <c r="H131" s="10"/>
      <c r="I131" s="10"/>
      <c r="J131" s="10"/>
      <c r="K131" s="10"/>
      <c r="L131" s="10"/>
      <c r="M131" s="10"/>
      <c r="N131" s="10" t="str">
        <f aca="false">IF(KLL!M131="","",KLL!M131)</f>
        <v/>
      </c>
      <c r="O131" s="10" t="str">
        <f aca="false">IF(KLL!M131="","",KLL!M131)</f>
        <v/>
      </c>
      <c r="P131" s="10" t="str">
        <f aca="false">IF(KLL!M131="","",KLL!M131)</f>
        <v/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10" t="str">
        <f aca="false">IF(KLL!F132="","",KLL!F132)</f>
        <v/>
      </c>
      <c r="F132" s="10"/>
      <c r="G132" s="10"/>
      <c r="H132" s="10"/>
      <c r="I132" s="10"/>
      <c r="J132" s="10"/>
      <c r="K132" s="10"/>
      <c r="L132" s="10"/>
      <c r="M132" s="10"/>
      <c r="N132" s="10" t="str">
        <f aca="false">IF(KLL!M132="","",KLL!M132)</f>
        <v/>
      </c>
      <c r="O132" s="10" t="str">
        <f aca="false">IF(KLL!M132="","",KLL!M132)</f>
        <v/>
      </c>
      <c r="P132" s="10" t="str">
        <f aca="false">IF(KLL!M132="","",KLL!M132)</f>
        <v/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10" t="str">
        <f aca="false">IF(KLL!F133="","",KLL!F133)</f>
        <v/>
      </c>
      <c r="F133" s="10"/>
      <c r="G133" s="10"/>
      <c r="H133" s="10"/>
      <c r="I133" s="10"/>
      <c r="J133" s="10"/>
      <c r="K133" s="10"/>
      <c r="L133" s="10"/>
      <c r="M133" s="10"/>
      <c r="N133" s="10" t="str">
        <f aca="false">IF(KLL!M133="","",KLL!M133)</f>
        <v/>
      </c>
      <c r="O133" s="10" t="str">
        <f aca="false">IF(KLL!M133="","",KLL!M133)</f>
        <v/>
      </c>
      <c r="P133" s="10" t="str">
        <f aca="false">IF(KLL!M133="","",KLL!M133)</f>
        <v/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10" t="str">
        <f aca="false">IF(KLL!F134="","",KLL!F134)</f>
        <v/>
      </c>
      <c r="F134" s="10"/>
      <c r="G134" s="10"/>
      <c r="H134" s="10"/>
      <c r="I134" s="10"/>
      <c r="J134" s="10"/>
      <c r="K134" s="10"/>
      <c r="L134" s="10"/>
      <c r="M134" s="10"/>
      <c r="N134" s="10" t="str">
        <f aca="false">IF(KLL!M134="","",KLL!M134)</f>
        <v/>
      </c>
      <c r="O134" s="10" t="str">
        <f aca="false">IF(KLL!M134="","",KLL!M134)</f>
        <v/>
      </c>
      <c r="P134" s="10" t="str">
        <f aca="false">IF(KLL!M134="","",KLL!M134)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259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10"/>
      <c r="F2" s="10" t="n">
        <v>49</v>
      </c>
      <c r="G2" s="10" t="n">
        <v>31</v>
      </c>
      <c r="H2" s="10" t="n">
        <v>32</v>
      </c>
      <c r="I2" s="10" t="n">
        <v>32</v>
      </c>
      <c r="J2" s="10" t="n">
        <v>32</v>
      </c>
      <c r="K2" s="10" t="n">
        <v>29</v>
      </c>
      <c r="L2" s="10" t="n">
        <v>29</v>
      </c>
      <c r="M2" s="10" t="n">
        <v>29</v>
      </c>
      <c r="N2" s="10" t="n">
        <f aca="false">IF(FACADE!M2="","",FACADE!M2)</f>
        <v>29</v>
      </c>
      <c r="O2" s="10" t="n">
        <f aca="false">IF(FACADE!M2="","",FACADE!M2)</f>
        <v>29</v>
      </c>
      <c r="P2" s="10" t="n">
        <f aca="false">IF(FACADE!M2="","",FACADE!M2)</f>
        <v>29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10"/>
      <c r="F3" s="10"/>
      <c r="G3" s="10" t="n">
        <v>29</v>
      </c>
      <c r="H3" s="10" t="n">
        <v>29</v>
      </c>
      <c r="I3" s="10" t="n">
        <v>29</v>
      </c>
      <c r="J3" s="10" t="n">
        <v>29</v>
      </c>
      <c r="K3" s="10" t="n">
        <v>29</v>
      </c>
      <c r="L3" s="10" t="n">
        <v>29</v>
      </c>
      <c r="M3" s="10" t="n">
        <v>29</v>
      </c>
      <c r="N3" s="10" t="n">
        <f aca="false">IF(FACADE!M3="","",FACADE!M3)</f>
        <v>29</v>
      </c>
      <c r="O3" s="10" t="n">
        <f aca="false">IF(FACADE!M3="","",FACADE!M3)</f>
        <v>29</v>
      </c>
      <c r="P3" s="10" t="n">
        <f aca="false">IF(FACADE!M3="","",FACADE!M3)</f>
        <v>29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10"/>
      <c r="F4" s="10" t="n">
        <v>32</v>
      </c>
      <c r="G4" s="10" t="n">
        <v>24</v>
      </c>
      <c r="H4" s="10" t="n">
        <v>25</v>
      </c>
      <c r="I4" s="10" t="n">
        <v>25</v>
      </c>
      <c r="J4" s="10" t="n">
        <v>25</v>
      </c>
      <c r="K4" s="10" t="n">
        <v>25</v>
      </c>
      <c r="L4" s="10" t="n">
        <v>25</v>
      </c>
      <c r="M4" s="10" t="n">
        <v>25</v>
      </c>
      <c r="N4" s="10" t="n">
        <f aca="false">IF(FACADE!M4="","",FACADE!M4)</f>
        <v>25</v>
      </c>
      <c r="O4" s="10" t="n">
        <f aca="false">IF(FACADE!M4="","",FACADE!M4)</f>
        <v>25</v>
      </c>
      <c r="P4" s="10" t="n">
        <f aca="false">IF(FACADE!M4="","",FACADE!M4)</f>
        <v>25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10"/>
      <c r="F5" s="10" t="n">
        <v>6</v>
      </c>
      <c r="G5" s="10" t="n">
        <v>6</v>
      </c>
      <c r="H5" s="10" t="n">
        <v>6</v>
      </c>
      <c r="I5" s="10" t="n">
        <v>6</v>
      </c>
      <c r="J5" s="10" t="n">
        <v>6</v>
      </c>
      <c r="K5" s="10" t="n">
        <v>6</v>
      </c>
      <c r="L5" s="10" t="n">
        <v>6</v>
      </c>
      <c r="M5" s="10" t="n">
        <v>6</v>
      </c>
      <c r="N5" s="10" t="n">
        <f aca="false">IF(FACADE!M5="","",FACADE!M5)</f>
        <v>6</v>
      </c>
      <c r="O5" s="10" t="n">
        <f aca="false">IF(FACADE!M5="","",FACADE!M5)</f>
        <v>6</v>
      </c>
      <c r="P5" s="10" t="n">
        <f aca="false">IF(FACADE!M5="","",FACADE!M5)</f>
        <v>6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10"/>
      <c r="F6" s="10" t="n">
        <v>17</v>
      </c>
      <c r="G6" s="10" t="n">
        <v>17</v>
      </c>
      <c r="H6" s="10" t="n">
        <v>17</v>
      </c>
      <c r="I6" s="10" t="n">
        <v>17</v>
      </c>
      <c r="J6" s="10" t="n">
        <v>17</v>
      </c>
      <c r="K6" s="10" t="n">
        <v>17</v>
      </c>
      <c r="L6" s="10" t="n">
        <v>17</v>
      </c>
      <c r="M6" s="10" t="n">
        <v>17</v>
      </c>
      <c r="N6" s="10" t="n">
        <f aca="false">IF(FACADE!M6="","",FACADE!M6)</f>
        <v>17</v>
      </c>
      <c r="O6" s="10" t="n">
        <f aca="false">IF(FACADE!M6="","",FACADE!M6)</f>
        <v>17</v>
      </c>
      <c r="P6" s="10" t="n">
        <f aca="false">IF(FACADE!M6="","",FACADE!M6)</f>
        <v>17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10"/>
      <c r="F7" s="10"/>
      <c r="G7" s="10"/>
      <c r="H7" s="10"/>
      <c r="I7" s="10"/>
      <c r="J7" s="10"/>
      <c r="K7" s="10"/>
      <c r="L7" s="10"/>
      <c r="M7" s="10"/>
      <c r="N7" s="10" t="str">
        <f aca="false">IF(FACADE!M7="","",FACADE!M7)</f>
        <v/>
      </c>
      <c r="O7" s="10" t="str">
        <f aca="false">IF(FACADE!M7="","",FACADE!M7)</f>
        <v/>
      </c>
      <c r="P7" s="10" t="str">
        <f aca="false">IF(FACADE!M7="","",FACADE!M7)</f>
        <v/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10"/>
      <c r="F8" s="10" t="n">
        <v>29</v>
      </c>
      <c r="G8" s="10" t="n">
        <v>30</v>
      </c>
      <c r="H8" s="10" t="n">
        <v>30</v>
      </c>
      <c r="I8" s="10" t="n">
        <v>30</v>
      </c>
      <c r="J8" s="10" t="n">
        <v>29</v>
      </c>
      <c r="K8" s="10" t="n">
        <v>30</v>
      </c>
      <c r="L8" s="10" t="n">
        <v>30</v>
      </c>
      <c r="M8" s="10" t="n">
        <v>30</v>
      </c>
      <c r="N8" s="10" t="n">
        <f aca="false">IF(FACADE!M8="","",FACADE!M8)</f>
        <v>30</v>
      </c>
      <c r="O8" s="10" t="n">
        <f aca="false">IF(FACADE!M8="","",FACADE!M8)</f>
        <v>30</v>
      </c>
      <c r="P8" s="10" t="n">
        <f aca="false">IF(FACADE!M8="","",FACADE!M8)</f>
        <v>30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10"/>
      <c r="F9" s="10"/>
      <c r="G9" s="10"/>
      <c r="H9" s="10"/>
      <c r="I9" s="10"/>
      <c r="J9" s="10"/>
      <c r="K9" s="10"/>
      <c r="L9" s="10"/>
      <c r="M9" s="10"/>
      <c r="N9" s="10" t="str">
        <f aca="false">IF(FACADE!M9="","",FACADE!M9)</f>
        <v/>
      </c>
      <c r="O9" s="10" t="str">
        <f aca="false">IF(FACADE!M9="","",FACADE!M9)</f>
        <v/>
      </c>
      <c r="P9" s="10" t="str">
        <f aca="false">IF(FACADE!M9="","",FACADE!M9)</f>
        <v/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10"/>
      <c r="F10" s="10"/>
      <c r="G10" s="10"/>
      <c r="H10" s="10"/>
      <c r="I10" s="10"/>
      <c r="J10" s="10"/>
      <c r="K10" s="10"/>
      <c r="L10" s="10"/>
      <c r="M10" s="10"/>
      <c r="N10" s="10" t="str">
        <f aca="false">IF(FACADE!M10="","",FACADE!M10)</f>
        <v/>
      </c>
      <c r="O10" s="10" t="str">
        <f aca="false">IF(FACADE!M10="","",FACADE!M10)</f>
        <v/>
      </c>
      <c r="P10" s="10" t="str">
        <f aca="false">IF(FACADE!M10="","",FACADE!M10)</f>
        <v/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10"/>
      <c r="F11" s="10" t="n">
        <v>31</v>
      </c>
      <c r="G11" s="10" t="n">
        <v>29</v>
      </c>
      <c r="H11" s="10" t="n">
        <v>29</v>
      </c>
      <c r="I11" s="10" t="n">
        <v>29</v>
      </c>
      <c r="J11" s="10" t="n">
        <v>29</v>
      </c>
      <c r="K11" s="10" t="n">
        <v>29</v>
      </c>
      <c r="L11" s="10" t="n">
        <v>29</v>
      </c>
      <c r="M11" s="10" t="n">
        <v>29</v>
      </c>
      <c r="N11" s="10" t="n">
        <f aca="false">IF(FACADE!M11="","",FACADE!M11)</f>
        <v>29</v>
      </c>
      <c r="O11" s="10" t="n">
        <f aca="false">IF(FACADE!M11="","",FACADE!M11)</f>
        <v>29</v>
      </c>
      <c r="P11" s="10" t="n">
        <f aca="false">IF(FACADE!M11="","",FACADE!M11)</f>
        <v>29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10"/>
      <c r="F12" s="10" t="n">
        <v>16</v>
      </c>
      <c r="G12" s="10" t="n">
        <v>16</v>
      </c>
      <c r="H12" s="10" t="n">
        <v>15</v>
      </c>
      <c r="I12" s="10" t="n">
        <v>15</v>
      </c>
      <c r="J12" s="10" t="n">
        <v>15</v>
      </c>
      <c r="K12" s="10" t="n">
        <v>15</v>
      </c>
      <c r="L12" s="10" t="n">
        <v>15</v>
      </c>
      <c r="M12" s="10" t="n">
        <v>15</v>
      </c>
      <c r="N12" s="10" t="n">
        <f aca="false">IF(FACADE!M12="","",FACADE!M12)</f>
        <v>15</v>
      </c>
      <c r="O12" s="10" t="n">
        <f aca="false">IF(FACADE!M12="","",FACADE!M12)</f>
        <v>15</v>
      </c>
      <c r="P12" s="10" t="n">
        <f aca="false">IF(FACADE!M12="","",FACADE!M12)</f>
        <v>15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10"/>
      <c r="F13" s="10"/>
      <c r="G13" s="10"/>
      <c r="H13" s="10"/>
      <c r="I13" s="10"/>
      <c r="J13" s="10"/>
      <c r="K13" s="10"/>
      <c r="L13" s="10"/>
      <c r="M13" s="10"/>
      <c r="N13" s="10" t="str">
        <f aca="false">IF(FACADE!M13="","",FACADE!M13)</f>
        <v/>
      </c>
      <c r="O13" s="10" t="str">
        <f aca="false">IF(FACADE!M13="","",FACADE!M13)</f>
        <v/>
      </c>
      <c r="P13" s="10" t="str">
        <f aca="false">IF(FACADE!M13="","",FACADE!M13)</f>
        <v/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10"/>
      <c r="F14" s="10" t="n">
        <v>16</v>
      </c>
      <c r="G14" s="10" t="n">
        <v>16</v>
      </c>
      <c r="H14" s="10" t="n">
        <v>16</v>
      </c>
      <c r="I14" s="10" t="n">
        <v>16</v>
      </c>
      <c r="J14" s="10" t="n">
        <v>16</v>
      </c>
      <c r="K14" s="10" t="n">
        <v>18</v>
      </c>
      <c r="L14" s="10" t="n">
        <v>18</v>
      </c>
      <c r="M14" s="10" t="n">
        <v>18</v>
      </c>
      <c r="N14" s="10" t="n">
        <f aca="false">IF(FACADE!M14="","",FACADE!M14)</f>
        <v>18</v>
      </c>
      <c r="O14" s="10" t="n">
        <f aca="false">IF(FACADE!M14="","",FACADE!M14)</f>
        <v>18</v>
      </c>
      <c r="P14" s="10" t="n">
        <f aca="false">IF(FACADE!M14="","",FACADE!M14)</f>
        <v>18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10"/>
      <c r="F15" s="10" t="n">
        <v>20</v>
      </c>
      <c r="G15" s="10" t="n">
        <v>20</v>
      </c>
      <c r="H15" s="10" t="n">
        <v>20</v>
      </c>
      <c r="I15" s="10" t="n">
        <v>20</v>
      </c>
      <c r="J15" s="10" t="n">
        <v>20</v>
      </c>
      <c r="K15" s="10" t="n">
        <v>20</v>
      </c>
      <c r="L15" s="10" t="n">
        <v>20</v>
      </c>
      <c r="M15" s="10" t="n">
        <v>20</v>
      </c>
      <c r="N15" s="10" t="n">
        <f aca="false">IF(FACADE!M15="","",FACADE!M15)</f>
        <v>20</v>
      </c>
      <c r="O15" s="10" t="n">
        <f aca="false">IF(FACADE!M15="","",FACADE!M15)</f>
        <v>20</v>
      </c>
      <c r="P15" s="10" t="n">
        <f aca="false">IF(FACADE!M15="","",FACADE!M15)</f>
        <v>20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10"/>
      <c r="F16" s="10"/>
      <c r="G16" s="10"/>
      <c r="H16" s="10"/>
      <c r="I16" s="10"/>
      <c r="J16" s="10"/>
      <c r="K16" s="10"/>
      <c r="L16" s="10"/>
      <c r="M16" s="10"/>
      <c r="N16" s="10" t="str">
        <f aca="false">IF(FACADE!M16="","",FACADE!M16)</f>
        <v/>
      </c>
      <c r="O16" s="10" t="str">
        <f aca="false">IF(FACADE!M16="","",FACADE!M16)</f>
        <v/>
      </c>
      <c r="P16" s="10" t="str">
        <f aca="false">IF(FACADE!M16="","",FACADE!M16)</f>
        <v/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10"/>
      <c r="F17" s="10" t="n">
        <v>25</v>
      </c>
      <c r="G17" s="10" t="n">
        <v>20</v>
      </c>
      <c r="H17" s="10" t="n">
        <v>20</v>
      </c>
      <c r="I17" s="10" t="n">
        <v>20</v>
      </c>
      <c r="J17" s="10" t="n">
        <v>20</v>
      </c>
      <c r="K17" s="10" t="n">
        <v>20</v>
      </c>
      <c r="L17" s="10" t="n">
        <v>20</v>
      </c>
      <c r="M17" s="10" t="n">
        <v>20</v>
      </c>
      <c r="N17" s="10" t="n">
        <f aca="false">IF(FACADE!M17="","",FACADE!M17)</f>
        <v>20</v>
      </c>
      <c r="O17" s="10" t="n">
        <f aca="false">IF(FACADE!M17="","",FACADE!M17)</f>
        <v>20</v>
      </c>
      <c r="P17" s="10" t="n">
        <f aca="false">IF(FACADE!M17="","",FACADE!M17)</f>
        <v>20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10"/>
      <c r="F18" s="10"/>
      <c r="G18" s="10"/>
      <c r="H18" s="10"/>
      <c r="I18" s="10"/>
      <c r="J18" s="10"/>
      <c r="K18" s="10"/>
      <c r="L18" s="10"/>
      <c r="M18" s="10"/>
      <c r="N18" s="10" t="str">
        <f aca="false">IF(FACADE!M18="","",FACADE!M18)</f>
        <v/>
      </c>
      <c r="O18" s="10" t="str">
        <f aca="false">IF(FACADE!M18="","",FACADE!M18)</f>
        <v/>
      </c>
      <c r="P18" s="10" t="str">
        <f aca="false">IF(FACADE!M18="","",FACADE!M18)</f>
        <v/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10"/>
      <c r="F19" s="10"/>
      <c r="G19" s="10"/>
      <c r="H19" s="10"/>
      <c r="I19" s="10"/>
      <c r="J19" s="10"/>
      <c r="K19" s="10"/>
      <c r="L19" s="10"/>
      <c r="M19" s="10"/>
      <c r="N19" s="10" t="str">
        <f aca="false">IF(FACADE!M19="","",FACADE!M19)</f>
        <v/>
      </c>
      <c r="O19" s="10" t="str">
        <f aca="false">IF(FACADE!M19="","",FACADE!M19)</f>
        <v/>
      </c>
      <c r="P19" s="10" t="str">
        <f aca="false">IF(FACADE!M19="","",FACADE!M19)</f>
        <v/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10"/>
      <c r="F20" s="10" t="n">
        <v>16</v>
      </c>
      <c r="G20" s="10" t="n">
        <v>16</v>
      </c>
      <c r="H20" s="10" t="n">
        <v>16</v>
      </c>
      <c r="I20" s="10" t="n">
        <v>16</v>
      </c>
      <c r="J20" s="10" t="n">
        <v>16</v>
      </c>
      <c r="K20" s="10" t="n">
        <v>16</v>
      </c>
      <c r="L20" s="10" t="n">
        <v>16</v>
      </c>
      <c r="M20" s="10" t="n">
        <v>16</v>
      </c>
      <c r="N20" s="10" t="n">
        <f aca="false">IF(FACADE!M20="","",FACADE!M20)</f>
        <v>16</v>
      </c>
      <c r="O20" s="10" t="n">
        <f aca="false">IF(FACADE!M20="","",FACADE!M20)</f>
        <v>16</v>
      </c>
      <c r="P20" s="10" t="n">
        <f aca="false">IF(FACADE!M20="","",FACADE!M20)</f>
        <v>16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10"/>
      <c r="F21" s="10" t="n">
        <v>17</v>
      </c>
      <c r="G21" s="10" t="n">
        <v>17</v>
      </c>
      <c r="H21" s="10" t="n">
        <v>17</v>
      </c>
      <c r="I21" s="10" t="n">
        <v>17</v>
      </c>
      <c r="J21" s="10" t="n">
        <v>16</v>
      </c>
      <c r="K21" s="10" t="n">
        <v>18</v>
      </c>
      <c r="L21" s="10" t="n">
        <v>18</v>
      </c>
      <c r="M21" s="10" t="n">
        <v>18</v>
      </c>
      <c r="N21" s="10" t="n">
        <f aca="false">IF(FACADE!M21="","",FACADE!M21)</f>
        <v>18</v>
      </c>
      <c r="O21" s="10" t="n">
        <f aca="false">IF(FACADE!M21="","",FACADE!M21)</f>
        <v>18</v>
      </c>
      <c r="P21" s="10" t="n">
        <f aca="false">IF(FACADE!M21="","",FACADE!M21)</f>
        <v>18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10"/>
      <c r="F22" s="10" t="n">
        <v>30</v>
      </c>
      <c r="G22" s="10" t="n">
        <v>28</v>
      </c>
      <c r="H22" s="10" t="n">
        <v>28</v>
      </c>
      <c r="I22" s="10" t="n">
        <v>28</v>
      </c>
      <c r="J22" s="10" t="n">
        <v>28</v>
      </c>
      <c r="K22" s="10" t="n">
        <v>28</v>
      </c>
      <c r="L22" s="10" t="n">
        <v>28</v>
      </c>
      <c r="M22" s="10" t="n">
        <v>28</v>
      </c>
      <c r="N22" s="10" t="n">
        <f aca="false">IF(FACADE!M22="","",FACADE!M22)</f>
        <v>28</v>
      </c>
      <c r="O22" s="10" t="n">
        <f aca="false">IF(FACADE!M22="","",FACADE!M22)</f>
        <v>28</v>
      </c>
      <c r="P22" s="10" t="n">
        <f aca="false">IF(FACADE!M22="","",FACADE!M22)</f>
        <v>28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10"/>
      <c r="F23" s="10"/>
      <c r="G23" s="10"/>
      <c r="H23" s="10"/>
      <c r="I23" s="10"/>
      <c r="J23" s="10"/>
      <c r="K23" s="10"/>
      <c r="L23" s="10"/>
      <c r="M23" s="10"/>
      <c r="N23" s="10" t="str">
        <f aca="false">IF(FACADE!M23="","",FACADE!M23)</f>
        <v/>
      </c>
      <c r="O23" s="10" t="str">
        <f aca="false">IF(FACADE!M23="","",FACADE!M23)</f>
        <v/>
      </c>
      <c r="P23" s="10" t="str">
        <f aca="false">IF(FACADE!M23="","",FACADE!M23)</f>
        <v/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10"/>
      <c r="F24" s="10"/>
      <c r="G24" s="10"/>
      <c r="H24" s="10"/>
      <c r="I24" s="10"/>
      <c r="J24" s="10"/>
      <c r="K24" s="10"/>
      <c r="L24" s="10"/>
      <c r="M24" s="10"/>
      <c r="N24" s="10" t="str">
        <f aca="false">IF(FACADE!M24="","",FACADE!M24)</f>
        <v/>
      </c>
      <c r="O24" s="10" t="str">
        <f aca="false">IF(FACADE!M24="","",FACADE!M24)</f>
        <v/>
      </c>
      <c r="P24" s="10" t="str">
        <f aca="false">IF(FACADE!M24="","",FACADE!M24)</f>
        <v/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10"/>
      <c r="F25" s="10"/>
      <c r="G25" s="10"/>
      <c r="H25" s="10"/>
      <c r="I25" s="10"/>
      <c r="J25" s="10"/>
      <c r="K25" s="10"/>
      <c r="L25" s="10"/>
      <c r="M25" s="10"/>
      <c r="N25" s="10" t="str">
        <f aca="false">IF(FACADE!M25="","",FACADE!M25)</f>
        <v/>
      </c>
      <c r="O25" s="10" t="str">
        <f aca="false">IF(FACADE!M25="","",FACADE!M25)</f>
        <v/>
      </c>
      <c r="P25" s="10" t="str">
        <f aca="false">IF(FACADE!M25="","",FACADE!M25)</f>
        <v/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10"/>
      <c r="F26" s="10" t="n">
        <v>34</v>
      </c>
      <c r="G26" s="10" t="n">
        <v>27</v>
      </c>
      <c r="H26" s="10" t="n">
        <v>27</v>
      </c>
      <c r="I26" s="10" t="n">
        <v>27</v>
      </c>
      <c r="J26" s="10" t="n">
        <v>27</v>
      </c>
      <c r="K26" s="10" t="n">
        <v>27</v>
      </c>
      <c r="L26" s="10" t="n">
        <v>27</v>
      </c>
      <c r="M26" s="10" t="n">
        <v>27</v>
      </c>
      <c r="N26" s="10" t="n">
        <f aca="false">IF(FACADE!M26="","",FACADE!M26)</f>
        <v>27</v>
      </c>
      <c r="O26" s="10" t="n">
        <f aca="false">IF(FACADE!M26="","",FACADE!M26)</f>
        <v>27</v>
      </c>
      <c r="P26" s="10" t="n">
        <f aca="false">IF(FACADE!M26="","",FACADE!M26)</f>
        <v>27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10"/>
      <c r="F27" s="10" t="n">
        <v>20</v>
      </c>
      <c r="G27" s="10" t="n">
        <v>20</v>
      </c>
      <c r="H27" s="10" t="n">
        <v>20</v>
      </c>
      <c r="I27" s="10" t="n">
        <v>20</v>
      </c>
      <c r="J27" s="10" t="n">
        <v>20</v>
      </c>
      <c r="K27" s="10" t="n">
        <v>20</v>
      </c>
      <c r="L27" s="10" t="n">
        <v>20</v>
      </c>
      <c r="M27" s="10" t="n">
        <v>20</v>
      </c>
      <c r="N27" s="10" t="n">
        <f aca="false">IF(FACADE!M27="","",FACADE!M27)</f>
        <v>20</v>
      </c>
      <c r="O27" s="10" t="n">
        <f aca="false">IF(FACADE!M27="","",FACADE!M27)</f>
        <v>20</v>
      </c>
      <c r="P27" s="10" t="n">
        <f aca="false">IF(FACADE!M27="","",FACADE!M27)</f>
        <v>20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10"/>
      <c r="F28" s="10"/>
      <c r="G28" s="10"/>
      <c r="H28" s="10"/>
      <c r="I28" s="10"/>
      <c r="J28" s="10"/>
      <c r="K28" s="10"/>
      <c r="L28" s="10"/>
      <c r="M28" s="10"/>
      <c r="N28" s="10" t="str">
        <f aca="false">IF(FACADE!M28="","",FACADE!M28)</f>
        <v/>
      </c>
      <c r="O28" s="10" t="str">
        <f aca="false">IF(FACADE!M28="","",FACADE!M28)</f>
        <v/>
      </c>
      <c r="P28" s="10" t="str">
        <f aca="false">IF(FACADE!M28="","",FACADE!M28)</f>
        <v/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10"/>
      <c r="F29" s="10"/>
      <c r="G29" s="10"/>
      <c r="H29" s="10"/>
      <c r="I29" s="10"/>
      <c r="J29" s="10"/>
      <c r="K29" s="10"/>
      <c r="L29" s="10"/>
      <c r="M29" s="10"/>
      <c r="N29" s="10" t="str">
        <f aca="false">IF(FACADE!M29="","",FACADE!M29)</f>
        <v/>
      </c>
      <c r="O29" s="10" t="str">
        <f aca="false">IF(FACADE!M29="","",FACADE!M29)</f>
        <v/>
      </c>
      <c r="P29" s="10" t="str">
        <f aca="false">IF(FACADE!M29="","",FACADE!M29)</f>
        <v/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10"/>
      <c r="F30" s="10"/>
      <c r="G30" s="10"/>
      <c r="H30" s="10"/>
      <c r="I30" s="10"/>
      <c r="J30" s="10"/>
      <c r="K30" s="10"/>
      <c r="L30" s="10"/>
      <c r="M30" s="10"/>
      <c r="N30" s="10" t="str">
        <f aca="false">IF(FACADE!M30="","",FACADE!M30)</f>
        <v/>
      </c>
      <c r="O30" s="10" t="str">
        <f aca="false">IF(FACADE!M30="","",FACADE!M30)</f>
        <v/>
      </c>
      <c r="P30" s="10" t="str">
        <f aca="false">IF(FACADE!M30="","",FACADE!M30)</f>
        <v/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10"/>
      <c r="F31" s="10" t="n">
        <v>19</v>
      </c>
      <c r="G31" s="10" t="n">
        <v>19</v>
      </c>
      <c r="H31" s="10" t="n">
        <v>19</v>
      </c>
      <c r="I31" s="10" t="n">
        <v>19</v>
      </c>
      <c r="J31" s="10" t="n">
        <v>19</v>
      </c>
      <c r="K31" s="10" t="n">
        <v>19</v>
      </c>
      <c r="L31" s="10" t="n">
        <v>19</v>
      </c>
      <c r="M31" s="10" t="n">
        <v>19</v>
      </c>
      <c r="N31" s="10" t="n">
        <f aca="false">IF(FACADE!M31="","",FACADE!M31)</f>
        <v>19</v>
      </c>
      <c r="O31" s="10" t="n">
        <f aca="false">IF(FACADE!M31="","",FACADE!M31)</f>
        <v>19</v>
      </c>
      <c r="P31" s="10" t="n">
        <f aca="false">IF(FACADE!M31="","",FACADE!M31)</f>
        <v>19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10"/>
      <c r="F32" s="10" t="n">
        <v>30</v>
      </c>
      <c r="G32" s="10" t="n">
        <v>28</v>
      </c>
      <c r="H32" s="10" t="n">
        <v>28</v>
      </c>
      <c r="I32" s="10" t="n">
        <v>28</v>
      </c>
      <c r="J32" s="10" t="n">
        <v>28</v>
      </c>
      <c r="K32" s="10" t="n">
        <v>28</v>
      </c>
      <c r="L32" s="10" t="n">
        <v>28</v>
      </c>
      <c r="M32" s="10" t="n">
        <v>28</v>
      </c>
      <c r="N32" s="10" t="n">
        <f aca="false">IF(FACADE!M32="","",FACADE!M32)</f>
        <v>28</v>
      </c>
      <c r="O32" s="10" t="n">
        <f aca="false">IF(FACADE!M32="","",FACADE!M32)</f>
        <v>28</v>
      </c>
      <c r="P32" s="10" t="n">
        <f aca="false">IF(FACADE!M32="","",FACADE!M32)</f>
        <v>28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10"/>
      <c r="F33" s="10"/>
      <c r="G33" s="10"/>
      <c r="H33" s="10"/>
      <c r="I33" s="10"/>
      <c r="J33" s="10"/>
      <c r="K33" s="10"/>
      <c r="L33" s="10"/>
      <c r="M33" s="10"/>
      <c r="N33" s="10" t="str">
        <f aca="false">IF(FACADE!M33="","",FACADE!M33)</f>
        <v/>
      </c>
      <c r="O33" s="10" t="str">
        <f aca="false">IF(FACADE!M33="","",FACADE!M33)</f>
        <v/>
      </c>
      <c r="P33" s="10" t="str">
        <f aca="false">IF(FACADE!M33="","",FACADE!M33)</f>
        <v/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10"/>
      <c r="F34" s="10" t="n">
        <v>19</v>
      </c>
      <c r="G34" s="10" t="n">
        <v>20</v>
      </c>
      <c r="H34" s="10" t="n">
        <v>25</v>
      </c>
      <c r="I34" s="10" t="n">
        <v>25</v>
      </c>
      <c r="J34" s="10" t="n">
        <v>25</v>
      </c>
      <c r="K34" s="10" t="n">
        <v>25</v>
      </c>
      <c r="L34" s="10" t="n">
        <v>25</v>
      </c>
      <c r="M34" s="10" t="n">
        <v>25</v>
      </c>
      <c r="N34" s="10" t="n">
        <f aca="false">IF(FACADE!M34="","",FACADE!M34)</f>
        <v>25</v>
      </c>
      <c r="O34" s="10" t="n">
        <f aca="false">IF(FACADE!M34="","",FACADE!M34)</f>
        <v>25</v>
      </c>
      <c r="P34" s="10" t="n">
        <f aca="false">IF(FACADE!M34="","",FACADE!M34)</f>
        <v>25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10"/>
      <c r="F35" s="10"/>
      <c r="G35" s="10"/>
      <c r="H35" s="10"/>
      <c r="I35" s="10"/>
      <c r="J35" s="10"/>
      <c r="K35" s="10"/>
      <c r="L35" s="10"/>
      <c r="M35" s="10"/>
      <c r="N35" s="10" t="str">
        <f aca="false">IF(FACADE!M35="","",FACADE!M35)</f>
        <v/>
      </c>
      <c r="O35" s="10" t="str">
        <f aca="false">IF(FACADE!M35="","",FACADE!M35)</f>
        <v/>
      </c>
      <c r="P35" s="10" t="str">
        <f aca="false">IF(FACADE!M35="","",FACADE!M35)</f>
        <v/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10"/>
      <c r="F36" s="10"/>
      <c r="G36" s="10"/>
      <c r="H36" s="10"/>
      <c r="I36" s="10"/>
      <c r="J36" s="10"/>
      <c r="K36" s="10"/>
      <c r="L36" s="10"/>
      <c r="M36" s="10"/>
      <c r="N36" s="10" t="str">
        <f aca="false">IF(FACADE!M36="","",FACADE!M36)</f>
        <v/>
      </c>
      <c r="O36" s="10" t="str">
        <f aca="false">IF(FACADE!M36="","",FACADE!M36)</f>
        <v/>
      </c>
      <c r="P36" s="10" t="str">
        <f aca="false">IF(FACADE!M36="","",FACADE!M36)</f>
        <v/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10"/>
      <c r="F37" s="10" t="n">
        <v>22</v>
      </c>
      <c r="G37" s="10" t="n">
        <v>22</v>
      </c>
      <c r="H37" s="10" t="n">
        <v>22</v>
      </c>
      <c r="I37" s="10" t="n">
        <v>22</v>
      </c>
      <c r="J37" s="10" t="n">
        <v>22</v>
      </c>
      <c r="K37" s="10" t="n">
        <v>22</v>
      </c>
      <c r="L37" s="10" t="n">
        <v>22</v>
      </c>
      <c r="M37" s="10" t="n">
        <v>22</v>
      </c>
      <c r="N37" s="10" t="n">
        <f aca="false">IF(FACADE!M37="","",FACADE!M37)</f>
        <v>22</v>
      </c>
      <c r="O37" s="10" t="n">
        <f aca="false">IF(FACADE!M37="","",FACADE!M37)</f>
        <v>22</v>
      </c>
      <c r="P37" s="10" t="n">
        <f aca="false">IF(FACADE!M37="","",FACADE!M37)</f>
        <v>22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10"/>
      <c r="F38" s="10" t="n">
        <v>19</v>
      </c>
      <c r="G38" s="10" t="n">
        <v>19</v>
      </c>
      <c r="H38" s="10" t="n">
        <v>24</v>
      </c>
      <c r="I38" s="10" t="n">
        <v>24</v>
      </c>
      <c r="J38" s="10" t="n">
        <v>24</v>
      </c>
      <c r="K38" s="10" t="n">
        <v>24</v>
      </c>
      <c r="L38" s="10" t="n">
        <v>24</v>
      </c>
      <c r="M38" s="10" t="n">
        <v>24</v>
      </c>
      <c r="N38" s="10" t="n">
        <f aca="false">IF(FACADE!M38="","",FACADE!M38)</f>
        <v>24</v>
      </c>
      <c r="O38" s="10" t="n">
        <f aca="false">IF(FACADE!M38="","",FACADE!M38)</f>
        <v>24</v>
      </c>
      <c r="P38" s="10" t="n">
        <f aca="false">IF(FACADE!M38="","",FACADE!M38)</f>
        <v>24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10"/>
      <c r="F39" s="10"/>
      <c r="G39" s="10"/>
      <c r="H39" s="10"/>
      <c r="I39" s="10"/>
      <c r="J39" s="10"/>
      <c r="K39" s="10"/>
      <c r="L39" s="10"/>
      <c r="M39" s="10"/>
      <c r="N39" s="10" t="str">
        <f aca="false">IF(FACADE!M39="","",FACADE!M39)</f>
        <v/>
      </c>
      <c r="O39" s="10" t="str">
        <f aca="false">IF(FACADE!M39="","",FACADE!M39)</f>
        <v/>
      </c>
      <c r="P39" s="10" t="str">
        <f aca="false">IF(FACADE!M39="","",FACADE!M39)</f>
        <v/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10"/>
      <c r="F40" s="10" t="n">
        <v>22</v>
      </c>
      <c r="G40" s="10" t="n">
        <v>23</v>
      </c>
      <c r="H40" s="10" t="n">
        <v>23</v>
      </c>
      <c r="I40" s="10" t="n">
        <v>23</v>
      </c>
      <c r="J40" s="10" t="n">
        <v>23</v>
      </c>
      <c r="K40" s="10" t="n">
        <v>22</v>
      </c>
      <c r="L40" s="10" t="n">
        <v>22</v>
      </c>
      <c r="M40" s="10" t="n">
        <v>22</v>
      </c>
      <c r="N40" s="10" t="n">
        <f aca="false">IF(FACADE!M40="","",FACADE!M40)</f>
        <v>22</v>
      </c>
      <c r="O40" s="10" t="n">
        <f aca="false">IF(FACADE!M40="","",FACADE!M40)</f>
        <v>22</v>
      </c>
      <c r="P40" s="10" t="n">
        <f aca="false">IF(FACADE!M40="","",FACADE!M40)</f>
        <v>22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10"/>
      <c r="F41" s="10" t="n">
        <v>22</v>
      </c>
      <c r="G41" s="10" t="n">
        <v>24</v>
      </c>
      <c r="H41" s="10" t="n">
        <v>66</v>
      </c>
      <c r="I41" s="10" t="n">
        <v>24</v>
      </c>
      <c r="J41" s="10" t="n">
        <v>23</v>
      </c>
      <c r="K41" s="10" t="n">
        <v>22</v>
      </c>
      <c r="L41" s="10" t="n">
        <v>23</v>
      </c>
      <c r="M41" s="10" t="n">
        <v>23</v>
      </c>
      <c r="N41" s="10" t="n">
        <f aca="false">IF(FACADE!M41="","",FACADE!M41)</f>
        <v>23</v>
      </c>
      <c r="O41" s="10" t="n">
        <f aca="false">IF(FACADE!M41="","",FACADE!M41)</f>
        <v>23</v>
      </c>
      <c r="P41" s="10" t="n">
        <f aca="false">IF(FACADE!M41="","",FACADE!M41)</f>
        <v>23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10"/>
      <c r="F42" s="10" t="n">
        <v>15</v>
      </c>
      <c r="G42" s="10" t="n">
        <v>15</v>
      </c>
      <c r="H42" s="10" t="n">
        <v>15</v>
      </c>
      <c r="I42" s="10" t="n">
        <v>15</v>
      </c>
      <c r="J42" s="10" t="n">
        <v>15</v>
      </c>
      <c r="K42" s="10" t="n">
        <v>15</v>
      </c>
      <c r="L42" s="10" t="n">
        <v>15</v>
      </c>
      <c r="M42" s="10" t="n">
        <v>15</v>
      </c>
      <c r="N42" s="10" t="n">
        <f aca="false">IF(FACADE!M42="","",FACADE!M42)</f>
        <v>15</v>
      </c>
      <c r="O42" s="10" t="n">
        <f aca="false">IF(FACADE!M42="","",FACADE!M42)</f>
        <v>15</v>
      </c>
      <c r="P42" s="10" t="n">
        <f aca="false">IF(FACADE!M42="","",FACADE!M42)</f>
        <v>15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10"/>
      <c r="F43" s="10" t="n">
        <v>17</v>
      </c>
      <c r="G43" s="10" t="n">
        <v>16</v>
      </c>
      <c r="H43" s="10" t="n">
        <v>16</v>
      </c>
      <c r="I43" s="10" t="n">
        <v>16</v>
      </c>
      <c r="J43" s="10" t="n">
        <v>16</v>
      </c>
      <c r="K43" s="10" t="n">
        <v>17</v>
      </c>
      <c r="L43" s="10" t="n">
        <v>16</v>
      </c>
      <c r="M43" s="10" t="n">
        <v>16</v>
      </c>
      <c r="N43" s="10" t="n">
        <f aca="false">IF(FACADE!M43="","",FACADE!M43)</f>
        <v>16</v>
      </c>
      <c r="O43" s="10" t="n">
        <f aca="false">IF(FACADE!M43="","",FACADE!M43)</f>
        <v>16</v>
      </c>
      <c r="P43" s="10" t="n">
        <f aca="false">IF(FACADE!M43="","",FACADE!M43)</f>
        <v>16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10"/>
      <c r="F44" s="10"/>
      <c r="G44" s="10"/>
      <c r="H44" s="10"/>
      <c r="I44" s="10"/>
      <c r="J44" s="10"/>
      <c r="K44" s="10"/>
      <c r="L44" s="10"/>
      <c r="M44" s="10"/>
      <c r="N44" s="10" t="str">
        <f aca="false">IF(FACADE!M44="","",FACADE!M44)</f>
        <v/>
      </c>
      <c r="O44" s="10" t="str">
        <f aca="false">IF(FACADE!M44="","",FACADE!M44)</f>
        <v/>
      </c>
      <c r="P44" s="10" t="str">
        <f aca="false">IF(FACADE!M44="","",FACADE!M44)</f>
        <v/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10"/>
      <c r="F45" s="10"/>
      <c r="G45" s="10"/>
      <c r="H45" s="10"/>
      <c r="I45" s="10"/>
      <c r="J45" s="10"/>
      <c r="K45" s="10"/>
      <c r="L45" s="10"/>
      <c r="M45" s="10"/>
      <c r="N45" s="10" t="str">
        <f aca="false">IF(FACADE!M45="","",FACADE!M45)</f>
        <v/>
      </c>
      <c r="O45" s="10" t="str">
        <f aca="false">IF(FACADE!M45="","",FACADE!M45)</f>
        <v/>
      </c>
      <c r="P45" s="10" t="str">
        <f aca="false">IF(FACADE!M45="","",FACADE!M45)</f>
        <v/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10"/>
      <c r="F46" s="10" t="n">
        <v>21</v>
      </c>
      <c r="G46" s="10" t="n">
        <v>22</v>
      </c>
      <c r="H46" s="10" t="n">
        <v>22</v>
      </c>
      <c r="I46" s="10" t="n">
        <v>22</v>
      </c>
      <c r="J46" s="10" t="n">
        <v>22</v>
      </c>
      <c r="K46" s="10" t="n">
        <v>22</v>
      </c>
      <c r="L46" s="10" t="n">
        <v>22</v>
      </c>
      <c r="M46" s="10" t="n">
        <v>22</v>
      </c>
      <c r="N46" s="10" t="n">
        <f aca="false">IF(FACADE!M46="","",FACADE!M46)</f>
        <v>22</v>
      </c>
      <c r="O46" s="10" t="n">
        <f aca="false">IF(FACADE!M46="","",FACADE!M46)</f>
        <v>22</v>
      </c>
      <c r="P46" s="10" t="n">
        <f aca="false">IF(FACADE!M46="","",FACADE!M46)</f>
        <v>22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10"/>
      <c r="F47" s="10"/>
      <c r="G47" s="10"/>
      <c r="H47" s="10"/>
      <c r="I47" s="10"/>
      <c r="J47" s="10"/>
      <c r="K47" s="10"/>
      <c r="L47" s="10"/>
      <c r="M47" s="10"/>
      <c r="N47" s="10" t="str">
        <f aca="false">IF(FACADE!M47="","",FACADE!M47)</f>
        <v/>
      </c>
      <c r="O47" s="10" t="str">
        <f aca="false">IF(FACADE!M47="","",FACADE!M47)</f>
        <v/>
      </c>
      <c r="P47" s="10" t="str">
        <f aca="false">IF(FACADE!M47="","",FACADE!M47)</f>
        <v/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10"/>
      <c r="F48" s="10"/>
      <c r="G48" s="10"/>
      <c r="H48" s="10"/>
      <c r="I48" s="10"/>
      <c r="J48" s="10"/>
      <c r="K48" s="10"/>
      <c r="L48" s="10"/>
      <c r="M48" s="10"/>
      <c r="N48" s="10" t="str">
        <f aca="false">IF(FACADE!M48="","",FACADE!M48)</f>
        <v/>
      </c>
      <c r="O48" s="10" t="str">
        <f aca="false">IF(FACADE!M48="","",FACADE!M48)</f>
        <v/>
      </c>
      <c r="P48" s="10" t="str">
        <f aca="false">IF(FACADE!M48="","",FACADE!M48)</f>
        <v/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10"/>
      <c r="F49" s="10"/>
      <c r="G49" s="10"/>
      <c r="H49" s="10"/>
      <c r="I49" s="10"/>
      <c r="J49" s="10"/>
      <c r="K49" s="10"/>
      <c r="L49" s="10"/>
      <c r="M49" s="10"/>
      <c r="N49" s="10" t="str">
        <f aca="false">IF(FACADE!M49="","",FACADE!M49)</f>
        <v/>
      </c>
      <c r="O49" s="10" t="str">
        <f aca="false">IF(FACADE!M49="","",FACADE!M49)</f>
        <v/>
      </c>
      <c r="P49" s="10" t="str">
        <f aca="false">IF(FACADE!M49="","",FACADE!M49)</f>
        <v/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10"/>
      <c r="F50" s="10" t="n">
        <v>21</v>
      </c>
      <c r="G50" s="10" t="n">
        <v>21</v>
      </c>
      <c r="H50" s="10"/>
      <c r="I50" s="10" t="n">
        <v>21</v>
      </c>
      <c r="J50" s="10" t="n">
        <v>21</v>
      </c>
      <c r="K50" s="10" t="n">
        <v>21</v>
      </c>
      <c r="L50" s="10" t="n">
        <v>21</v>
      </c>
      <c r="M50" s="10" t="n">
        <v>21</v>
      </c>
      <c r="N50" s="10" t="n">
        <f aca="false">IF(FACADE!M50="","",FACADE!M50)</f>
        <v>21</v>
      </c>
      <c r="O50" s="10" t="n">
        <f aca="false">IF(FACADE!M50="","",FACADE!M50)</f>
        <v>21</v>
      </c>
      <c r="P50" s="10" t="n">
        <f aca="false">IF(FACADE!M50="","",FACADE!M50)</f>
        <v>21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10"/>
      <c r="F51" s="10"/>
      <c r="G51" s="10"/>
      <c r="H51" s="10"/>
      <c r="I51" s="10"/>
      <c r="J51" s="10"/>
      <c r="K51" s="10"/>
      <c r="L51" s="10"/>
      <c r="M51" s="10"/>
      <c r="N51" s="10" t="str">
        <f aca="false">IF(FACADE!M51="","",FACADE!M51)</f>
        <v/>
      </c>
      <c r="O51" s="10" t="str">
        <f aca="false">IF(FACADE!M51="","",FACADE!M51)</f>
        <v/>
      </c>
      <c r="P51" s="10" t="str">
        <f aca="false">IF(FACADE!M51="","",FACADE!M51)</f>
        <v/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10"/>
      <c r="F52" s="10" t="n">
        <v>14</v>
      </c>
      <c r="G52" s="10" t="n">
        <v>15</v>
      </c>
      <c r="H52" s="10" t="n">
        <v>14</v>
      </c>
      <c r="I52" s="10" t="n">
        <v>15</v>
      </c>
      <c r="J52" s="10" t="n">
        <v>14</v>
      </c>
      <c r="K52" s="10" t="n">
        <v>14</v>
      </c>
      <c r="L52" s="10" t="n">
        <v>15</v>
      </c>
      <c r="M52" s="10" t="n">
        <v>15</v>
      </c>
      <c r="N52" s="10" t="n">
        <f aca="false">IF(FACADE!M52="","",FACADE!M52)</f>
        <v>15</v>
      </c>
      <c r="O52" s="10" t="n">
        <f aca="false">IF(FACADE!M52="","",FACADE!M52)</f>
        <v>15</v>
      </c>
      <c r="P52" s="10" t="n">
        <f aca="false">IF(FACADE!M52="","",FACADE!M52)</f>
        <v>15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10"/>
      <c r="F53" s="10"/>
      <c r="G53" s="10"/>
      <c r="H53" s="10"/>
      <c r="I53" s="10"/>
      <c r="J53" s="10"/>
      <c r="K53" s="10"/>
      <c r="L53" s="10"/>
      <c r="M53" s="10"/>
      <c r="N53" s="10" t="str">
        <f aca="false">IF(FACADE!M53="","",FACADE!M53)</f>
        <v/>
      </c>
      <c r="O53" s="10" t="str">
        <f aca="false">IF(FACADE!M53="","",FACADE!M53)</f>
        <v/>
      </c>
      <c r="P53" s="10" t="str">
        <f aca="false">IF(FACADE!M53="","",FACADE!M53)</f>
        <v/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10"/>
      <c r="F54" s="10" t="n">
        <v>14</v>
      </c>
      <c r="G54" s="10" t="n">
        <v>14</v>
      </c>
      <c r="H54" s="10" t="n">
        <v>15</v>
      </c>
      <c r="I54" s="10" t="n">
        <v>14</v>
      </c>
      <c r="J54" s="10" t="n">
        <v>14</v>
      </c>
      <c r="K54" s="10" t="n">
        <v>15</v>
      </c>
      <c r="L54" s="10" t="n">
        <v>14</v>
      </c>
      <c r="M54" s="10" t="n">
        <v>14</v>
      </c>
      <c r="N54" s="10" t="n">
        <f aca="false">IF(FACADE!M54="","",FACADE!M54)</f>
        <v>14</v>
      </c>
      <c r="O54" s="10" t="n">
        <f aca="false">IF(FACADE!M54="","",FACADE!M54)</f>
        <v>14</v>
      </c>
      <c r="P54" s="10" t="n">
        <f aca="false">IF(FACADE!M54="","",FACADE!M54)</f>
        <v>14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10"/>
      <c r="F55" s="10"/>
      <c r="G55" s="10"/>
      <c r="H55" s="10"/>
      <c r="I55" s="10"/>
      <c r="J55" s="10"/>
      <c r="K55" s="10"/>
      <c r="L55" s="10"/>
      <c r="M55" s="10"/>
      <c r="N55" s="10" t="str">
        <f aca="false">IF(FACADE!M55="","",FACADE!M55)</f>
        <v/>
      </c>
      <c r="O55" s="10" t="str">
        <f aca="false">IF(FACADE!M55="","",FACADE!M55)</f>
        <v/>
      </c>
      <c r="P55" s="10" t="str">
        <f aca="false">IF(FACADE!M55="","",FACADE!M55)</f>
        <v/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10"/>
      <c r="F56" s="10" t="n">
        <v>15</v>
      </c>
      <c r="G56" s="10" t="n">
        <v>15</v>
      </c>
      <c r="H56" s="10"/>
      <c r="I56" s="10" t="n">
        <v>15</v>
      </c>
      <c r="J56" s="10" t="n">
        <v>15</v>
      </c>
      <c r="K56" s="10" t="n">
        <v>15</v>
      </c>
      <c r="L56" s="10" t="n">
        <v>15</v>
      </c>
      <c r="M56" s="10" t="n">
        <v>15</v>
      </c>
      <c r="N56" s="10" t="n">
        <f aca="false">IF(FACADE!M56="","",FACADE!M56)</f>
        <v>15</v>
      </c>
      <c r="O56" s="10" t="n">
        <f aca="false">IF(FACADE!M56="","",FACADE!M56)</f>
        <v>15</v>
      </c>
      <c r="P56" s="10" t="n">
        <f aca="false">IF(FACADE!M56="","",FACADE!M56)</f>
        <v>15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10"/>
      <c r="F57" s="10"/>
      <c r="G57" s="10"/>
      <c r="H57" s="10"/>
      <c r="I57" s="10"/>
      <c r="J57" s="10" t="n">
        <v>20</v>
      </c>
      <c r="K57" s="10" t="n">
        <v>9</v>
      </c>
      <c r="L57" s="10" t="n">
        <v>9</v>
      </c>
      <c r="M57" s="10" t="n">
        <v>9</v>
      </c>
      <c r="N57" s="10" t="n">
        <f aca="false">IF(FACADE!M57="","",FACADE!M57)</f>
        <v>9</v>
      </c>
      <c r="O57" s="10" t="n">
        <f aca="false">IF(FACADE!M57="","",FACADE!M57)</f>
        <v>9</v>
      </c>
      <c r="P57" s="10" t="n">
        <f aca="false">IF(FACADE!M57="","",FACADE!M57)</f>
        <v>9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10"/>
      <c r="F58" s="10" t="n">
        <v>16</v>
      </c>
      <c r="G58" s="10" t="n">
        <v>21</v>
      </c>
      <c r="H58" s="10" t="n">
        <v>16</v>
      </c>
      <c r="I58" s="10" t="n">
        <v>16</v>
      </c>
      <c r="J58" s="10" t="n">
        <v>16</v>
      </c>
      <c r="K58" s="10" t="n">
        <v>16</v>
      </c>
      <c r="L58" s="10" t="n">
        <v>16</v>
      </c>
      <c r="M58" s="10" t="n">
        <v>16</v>
      </c>
      <c r="N58" s="10" t="n">
        <f aca="false">IF(FACADE!M58="","",FACADE!M58)</f>
        <v>16</v>
      </c>
      <c r="O58" s="10" t="n">
        <f aca="false">IF(FACADE!M58="","",FACADE!M58)</f>
        <v>16</v>
      </c>
      <c r="P58" s="10" t="n">
        <f aca="false">IF(FACADE!M58="","",FACADE!M58)</f>
        <v>16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10"/>
      <c r="F59" s="10"/>
      <c r="G59" s="10"/>
      <c r="H59" s="10"/>
      <c r="I59" s="10"/>
      <c r="J59" s="10"/>
      <c r="K59" s="10"/>
      <c r="L59" s="10"/>
      <c r="M59" s="10"/>
      <c r="N59" s="10" t="str">
        <f aca="false">IF(FACADE!M59="","",FACADE!M59)</f>
        <v/>
      </c>
      <c r="O59" s="10" t="str">
        <f aca="false">IF(FACADE!M59="","",FACADE!M59)</f>
        <v/>
      </c>
      <c r="P59" s="10" t="str">
        <f aca="false">IF(FACADE!M59="","",FACADE!M59)</f>
        <v/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10"/>
      <c r="F60" s="10"/>
      <c r="G60" s="10"/>
      <c r="H60" s="10"/>
      <c r="I60" s="10"/>
      <c r="J60" s="10"/>
      <c r="K60" s="10" t="n">
        <v>2</v>
      </c>
      <c r="L60" s="10" t="n">
        <v>2</v>
      </c>
      <c r="M60" s="10" t="n">
        <v>2</v>
      </c>
      <c r="N60" s="10" t="n">
        <f aca="false">IF(FACADE!M60="","",FACADE!M60)</f>
        <v>2</v>
      </c>
      <c r="O60" s="10" t="n">
        <f aca="false">IF(FACADE!M60="","",FACADE!M60)</f>
        <v>2</v>
      </c>
      <c r="P60" s="10" t="n">
        <f aca="false">IF(FACADE!M60="","",FACADE!M60)</f>
        <v>2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10"/>
      <c r="F61" s="10" t="n">
        <v>24</v>
      </c>
      <c r="G61" s="10" t="n">
        <v>25</v>
      </c>
      <c r="H61" s="10" t="n">
        <v>30</v>
      </c>
      <c r="I61" s="10" t="n">
        <v>30</v>
      </c>
      <c r="J61" s="10" t="n">
        <v>30</v>
      </c>
      <c r="K61" s="10" t="n">
        <v>30</v>
      </c>
      <c r="L61" s="10" t="n">
        <v>30</v>
      </c>
      <c r="M61" s="10" t="n">
        <v>30</v>
      </c>
      <c r="N61" s="10" t="n">
        <f aca="false">IF(FACADE!M61="","",FACADE!M61)</f>
        <v>30</v>
      </c>
      <c r="O61" s="10" t="n">
        <f aca="false">IF(FACADE!M61="","",FACADE!M61)</f>
        <v>30</v>
      </c>
      <c r="P61" s="10" t="n">
        <f aca="false">IF(FACADE!M61="","",FACADE!M61)</f>
        <v>30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10"/>
      <c r="F62" s="10" t="n">
        <v>25</v>
      </c>
      <c r="G62" s="10" t="n">
        <v>24</v>
      </c>
      <c r="H62" s="10" t="n">
        <v>30</v>
      </c>
      <c r="I62" s="10" t="n">
        <v>30</v>
      </c>
      <c r="J62" s="10" t="n">
        <v>30</v>
      </c>
      <c r="K62" s="10" t="n">
        <v>30</v>
      </c>
      <c r="L62" s="10" t="n">
        <v>30</v>
      </c>
      <c r="M62" s="10" t="n">
        <v>30</v>
      </c>
      <c r="N62" s="10" t="n">
        <f aca="false">IF(FACADE!M62="","",FACADE!M62)</f>
        <v>30</v>
      </c>
      <c r="O62" s="10" t="n">
        <f aca="false">IF(FACADE!M62="","",FACADE!M62)</f>
        <v>30</v>
      </c>
      <c r="P62" s="10" t="n">
        <f aca="false">IF(FACADE!M62="","",FACADE!M62)</f>
        <v>30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10"/>
      <c r="F63" s="10" t="n">
        <v>17</v>
      </c>
      <c r="G63" s="10" t="n">
        <v>17</v>
      </c>
      <c r="H63" s="10" t="n">
        <v>17</v>
      </c>
      <c r="I63" s="10" t="n">
        <v>17</v>
      </c>
      <c r="J63" s="10" t="n">
        <v>17</v>
      </c>
      <c r="K63" s="10" t="n">
        <v>61</v>
      </c>
      <c r="L63" s="10" t="n">
        <v>21</v>
      </c>
      <c r="M63" s="10" t="n">
        <v>21</v>
      </c>
      <c r="N63" s="10" t="n">
        <f aca="false">IF(FACADE!M63="","",FACADE!M63)</f>
        <v>21</v>
      </c>
      <c r="O63" s="10" t="n">
        <f aca="false">IF(FACADE!M63="","",FACADE!M63)</f>
        <v>21</v>
      </c>
      <c r="P63" s="10" t="n">
        <f aca="false">IF(FACADE!M63="","",FACADE!M63)</f>
        <v>21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10"/>
      <c r="F64" s="10"/>
      <c r="G64" s="10"/>
      <c r="H64" s="10"/>
      <c r="I64" s="10"/>
      <c r="J64" s="10"/>
      <c r="K64" s="10"/>
      <c r="L64" s="10"/>
      <c r="M64" s="10"/>
      <c r="N64" s="10" t="str">
        <f aca="false">IF(FACADE!M64="","",FACADE!M64)</f>
        <v/>
      </c>
      <c r="O64" s="10" t="str">
        <f aca="false">IF(FACADE!M64="","",FACADE!M64)</f>
        <v/>
      </c>
      <c r="P64" s="10" t="str">
        <f aca="false">IF(FACADE!M64="","",FACADE!M64)</f>
        <v/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10"/>
      <c r="F65" s="10"/>
      <c r="G65" s="10"/>
      <c r="H65" s="10"/>
      <c r="I65" s="10"/>
      <c r="J65" s="10"/>
      <c r="K65" s="10"/>
      <c r="L65" s="10"/>
      <c r="M65" s="10"/>
      <c r="N65" s="10" t="str">
        <f aca="false">IF(FACADE!M65="","",FACADE!M65)</f>
        <v/>
      </c>
      <c r="O65" s="10" t="str">
        <f aca="false">IF(FACADE!M65="","",FACADE!M65)</f>
        <v/>
      </c>
      <c r="P65" s="10" t="str">
        <f aca="false">IF(FACADE!M65="","",FACADE!M65)</f>
        <v/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10"/>
      <c r="F66" s="10"/>
      <c r="G66" s="10"/>
      <c r="H66" s="10"/>
      <c r="I66" s="10"/>
      <c r="J66" s="10" t="n">
        <v>45</v>
      </c>
      <c r="K66" s="10"/>
      <c r="L66" s="10"/>
      <c r="M66" s="10"/>
      <c r="N66" s="10" t="str">
        <f aca="false">IF(FACADE!M66="","",FACADE!M66)</f>
        <v/>
      </c>
      <c r="O66" s="10" t="str">
        <f aca="false">IF(FACADE!M66="","",FACADE!M66)</f>
        <v/>
      </c>
      <c r="P66" s="10" t="str">
        <f aca="false">IF(FACADE!M66="","",FACADE!M66)</f>
        <v/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10"/>
      <c r="F67" s="10"/>
      <c r="G67" s="10"/>
      <c r="H67" s="10"/>
      <c r="I67" s="10"/>
      <c r="J67" s="10"/>
      <c r="K67" s="10"/>
      <c r="L67" s="10"/>
      <c r="M67" s="10"/>
      <c r="N67" s="10" t="str">
        <f aca="false">IF(FACADE!M67="","",FACADE!M67)</f>
        <v/>
      </c>
      <c r="O67" s="10" t="str">
        <f aca="false">IF(FACADE!M67="","",FACADE!M67)</f>
        <v/>
      </c>
      <c r="P67" s="10" t="str">
        <f aca="false">IF(FACADE!M67="","",FACADE!M67)</f>
        <v/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10"/>
      <c r="F68" s="10"/>
      <c r="G68" s="10"/>
      <c r="H68" s="10"/>
      <c r="I68" s="10"/>
      <c r="J68" s="10"/>
      <c r="K68" s="10"/>
      <c r="L68" s="10"/>
      <c r="M68" s="10"/>
      <c r="N68" s="10" t="str">
        <f aca="false">IF(FACADE!M68="","",FACADE!M68)</f>
        <v/>
      </c>
      <c r="O68" s="10" t="str">
        <f aca="false">IF(FACADE!M68="","",FACADE!M68)</f>
        <v/>
      </c>
      <c r="P68" s="10" t="str">
        <f aca="false">IF(FACADE!M68="","",FACADE!M68)</f>
        <v/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10"/>
      <c r="F69" s="10"/>
      <c r="G69" s="10"/>
      <c r="H69" s="10"/>
      <c r="I69" s="10"/>
      <c r="J69" s="10"/>
      <c r="K69" s="10"/>
      <c r="L69" s="10"/>
      <c r="M69" s="10"/>
      <c r="N69" s="10" t="str">
        <f aca="false">IF(FACADE!M69="","",FACADE!M69)</f>
        <v/>
      </c>
      <c r="O69" s="10" t="str">
        <f aca="false">IF(FACADE!M69="","",FACADE!M69)</f>
        <v/>
      </c>
      <c r="P69" s="10" t="str">
        <f aca="false">IF(FACADE!M69="","",FACADE!M69)</f>
        <v/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10"/>
      <c r="F70" s="10"/>
      <c r="G70" s="10"/>
      <c r="H70" s="10"/>
      <c r="I70" s="10"/>
      <c r="J70" s="10" t="n">
        <v>33</v>
      </c>
      <c r="K70" s="10"/>
      <c r="L70" s="10"/>
      <c r="M70" s="10"/>
      <c r="N70" s="10" t="str">
        <f aca="false">IF(FACADE!M70="","",FACADE!M70)</f>
        <v/>
      </c>
      <c r="O70" s="10" t="str">
        <f aca="false">IF(FACADE!M70="","",FACADE!M70)</f>
        <v/>
      </c>
      <c r="P70" s="10" t="str">
        <f aca="false">IF(FACADE!M70="","",FACADE!M70)</f>
        <v/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10"/>
      <c r="F71" s="10"/>
      <c r="G71" s="10"/>
      <c r="H71" s="10"/>
      <c r="I71" s="10"/>
      <c r="J71" s="10"/>
      <c r="K71" s="10"/>
      <c r="L71" s="10"/>
      <c r="M71" s="10"/>
      <c r="N71" s="10" t="str">
        <f aca="false">IF(FACADE!M71="","",FACADE!M71)</f>
        <v/>
      </c>
      <c r="O71" s="10" t="str">
        <f aca="false">IF(FACADE!M71="","",FACADE!M71)</f>
        <v/>
      </c>
      <c r="P71" s="10" t="str">
        <f aca="false">IF(FACADE!M71="","",FACADE!M71)</f>
        <v/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10"/>
      <c r="F72" s="10"/>
      <c r="G72" s="10"/>
      <c r="H72" s="10"/>
      <c r="I72" s="10"/>
      <c r="J72" s="10"/>
      <c r="K72" s="10"/>
      <c r="L72" s="10"/>
      <c r="M72" s="10"/>
      <c r="N72" s="10" t="str">
        <f aca="false">IF(FACADE!M72="","",FACADE!M72)</f>
        <v/>
      </c>
      <c r="O72" s="10" t="str">
        <f aca="false">IF(FACADE!M72="","",FACADE!M72)</f>
        <v/>
      </c>
      <c r="P72" s="10" t="str">
        <f aca="false">IF(FACADE!M72="","",FACADE!M72)</f>
        <v/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10"/>
      <c r="F73" s="10"/>
      <c r="G73" s="10"/>
      <c r="H73" s="10"/>
      <c r="I73" s="10"/>
      <c r="J73" s="10"/>
      <c r="K73" s="10"/>
      <c r="L73" s="10"/>
      <c r="M73" s="10"/>
      <c r="N73" s="10" t="str">
        <f aca="false">IF(FACADE!M73="","",FACADE!M73)</f>
        <v/>
      </c>
      <c r="O73" s="10" t="str">
        <f aca="false">IF(FACADE!M73="","",FACADE!M73)</f>
        <v/>
      </c>
      <c r="P73" s="10" t="str">
        <f aca="false">IF(FACADE!M73="","",FACADE!M73)</f>
        <v/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10"/>
      <c r="F74" s="10"/>
      <c r="G74" s="10"/>
      <c r="H74" s="10"/>
      <c r="I74" s="10"/>
      <c r="J74" s="10"/>
      <c r="K74" s="10"/>
      <c r="L74" s="10"/>
      <c r="M74" s="10"/>
      <c r="N74" s="10" t="str">
        <f aca="false">IF(FACADE!M74="","",FACADE!M74)</f>
        <v/>
      </c>
      <c r="O74" s="10" t="str">
        <f aca="false">IF(FACADE!M74="","",FACADE!M74)</f>
        <v/>
      </c>
      <c r="P74" s="10" t="str">
        <f aca="false">IF(FACADE!M74="","",FACADE!M74)</f>
        <v/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10"/>
      <c r="F75" s="10"/>
      <c r="G75" s="10"/>
      <c r="H75" s="10"/>
      <c r="I75" s="10"/>
      <c r="J75" s="10" t="n">
        <v>27</v>
      </c>
      <c r="K75" s="10"/>
      <c r="L75" s="10"/>
      <c r="M75" s="10"/>
      <c r="N75" s="10" t="str">
        <f aca="false">IF(FACADE!M75="","",FACADE!M75)</f>
        <v/>
      </c>
      <c r="O75" s="10" t="str">
        <f aca="false">IF(FACADE!M75="","",FACADE!M75)</f>
        <v/>
      </c>
      <c r="P75" s="10" t="str">
        <f aca="false">IF(FACADE!M75="","",FACADE!M75)</f>
        <v/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10"/>
      <c r="F76" s="10"/>
      <c r="G76" s="10"/>
      <c r="H76" s="10"/>
      <c r="I76" s="10"/>
      <c r="J76" s="10"/>
      <c r="K76" s="10"/>
      <c r="L76" s="10"/>
      <c r="M76" s="10"/>
      <c r="N76" s="10" t="str">
        <f aca="false">IF(FACADE!M76="","",FACADE!M76)</f>
        <v/>
      </c>
      <c r="O76" s="10" t="str">
        <f aca="false">IF(FACADE!M76="","",FACADE!M76)</f>
        <v/>
      </c>
      <c r="P76" s="10" t="str">
        <f aca="false">IF(FACADE!M76="","",FACADE!M76)</f>
        <v/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10"/>
      <c r="F77" s="10" t="n">
        <v>17</v>
      </c>
      <c r="G77" s="10" t="n">
        <v>18</v>
      </c>
      <c r="H77" s="10" t="n">
        <v>17</v>
      </c>
      <c r="I77" s="10" t="n">
        <v>17</v>
      </c>
      <c r="J77" s="10" t="n">
        <v>18</v>
      </c>
      <c r="K77" s="10"/>
      <c r="L77" s="10"/>
      <c r="M77" s="10"/>
      <c r="N77" s="10" t="str">
        <f aca="false">IF(FACADE!M77="","",FACADE!M77)</f>
        <v/>
      </c>
      <c r="O77" s="10" t="str">
        <f aca="false">IF(FACADE!M77="","",FACADE!M77)</f>
        <v/>
      </c>
      <c r="P77" s="10" t="str">
        <f aca="false">IF(FACADE!M77="","",FACADE!M77)</f>
        <v/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10"/>
      <c r="F78" s="10"/>
      <c r="G78" s="10"/>
      <c r="H78" s="10"/>
      <c r="I78" s="10"/>
      <c r="J78" s="10"/>
      <c r="K78" s="10"/>
      <c r="L78" s="10"/>
      <c r="M78" s="10"/>
      <c r="N78" s="10" t="str">
        <f aca="false">IF(FACADE!M78="","",FACADE!M78)</f>
        <v/>
      </c>
      <c r="O78" s="10" t="str">
        <f aca="false">IF(FACADE!M78="","",FACADE!M78)</f>
        <v/>
      </c>
      <c r="P78" s="10" t="str">
        <f aca="false">IF(FACADE!M78="","",FACADE!M78)</f>
        <v/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10"/>
      <c r="F79" s="10"/>
      <c r="G79" s="10"/>
      <c r="H79" s="10"/>
      <c r="I79" s="10"/>
      <c r="J79" s="10"/>
      <c r="K79" s="10"/>
      <c r="L79" s="10"/>
      <c r="M79" s="10"/>
      <c r="N79" s="10" t="str">
        <f aca="false">IF(FACADE!M79="","",FACADE!M79)</f>
        <v/>
      </c>
      <c r="O79" s="10" t="str">
        <f aca="false">IF(FACADE!M79="","",FACADE!M79)</f>
        <v/>
      </c>
      <c r="P79" s="10" t="str">
        <f aca="false">IF(FACADE!M79="","",FACADE!M79)</f>
        <v/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10"/>
      <c r="F80" s="10"/>
      <c r="G80" s="10"/>
      <c r="H80" s="10"/>
      <c r="I80" s="10"/>
      <c r="J80" s="10"/>
      <c r="K80" s="10"/>
      <c r="L80" s="10"/>
      <c r="M80" s="10"/>
      <c r="N80" s="10" t="str">
        <f aca="false">IF(FACADE!M80="","",FACADE!M80)</f>
        <v/>
      </c>
      <c r="O80" s="10" t="str">
        <f aca="false">IF(FACADE!M80="","",FACADE!M80)</f>
        <v/>
      </c>
      <c r="P80" s="10" t="str">
        <f aca="false">IF(FACADE!M80="","",FACADE!M80)</f>
        <v/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10"/>
      <c r="F81" s="10"/>
      <c r="G81" s="10"/>
      <c r="H81" s="10"/>
      <c r="I81" s="10"/>
      <c r="J81" s="10" t="n">
        <v>27</v>
      </c>
      <c r="K81" s="10"/>
      <c r="L81" s="10"/>
      <c r="M81" s="10"/>
      <c r="N81" s="10" t="str">
        <f aca="false">IF(FACADE!M81="","",FACADE!M81)</f>
        <v/>
      </c>
      <c r="O81" s="10" t="str">
        <f aca="false">IF(FACADE!M81="","",FACADE!M81)</f>
        <v/>
      </c>
      <c r="P81" s="10" t="str">
        <f aca="false">IF(FACADE!M81="","",FACADE!M81)</f>
        <v/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10"/>
      <c r="F82" s="10"/>
      <c r="G82" s="10"/>
      <c r="H82" s="10"/>
      <c r="I82" s="10"/>
      <c r="J82" s="10"/>
      <c r="K82" s="10"/>
      <c r="L82" s="10"/>
      <c r="M82" s="10"/>
      <c r="N82" s="10" t="str">
        <f aca="false">IF(FACADE!M82="","",FACADE!M82)</f>
        <v/>
      </c>
      <c r="O82" s="10" t="str">
        <f aca="false">IF(FACADE!M82="","",FACADE!M82)</f>
        <v/>
      </c>
      <c r="P82" s="10" t="str">
        <f aca="false">IF(FACADE!M82="","",FACADE!M82)</f>
        <v/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10"/>
      <c r="F83" s="10" t="n">
        <v>33</v>
      </c>
      <c r="G83" s="10" t="n">
        <v>25</v>
      </c>
      <c r="H83" s="10" t="n">
        <v>31</v>
      </c>
      <c r="I83" s="10" t="n">
        <v>31</v>
      </c>
      <c r="J83" s="10" t="n">
        <v>17</v>
      </c>
      <c r="K83" s="10"/>
      <c r="L83" s="10"/>
      <c r="M83" s="10"/>
      <c r="N83" s="10" t="str">
        <f aca="false">IF(FACADE!M83="","",FACADE!M83)</f>
        <v/>
      </c>
      <c r="O83" s="10" t="str">
        <f aca="false">IF(FACADE!M83="","",FACADE!M83)</f>
        <v/>
      </c>
      <c r="P83" s="10" t="str">
        <f aca="false">IF(FACADE!M83="","",FACADE!M83)</f>
        <v/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10"/>
      <c r="F84" s="10"/>
      <c r="G84" s="10"/>
      <c r="H84" s="10"/>
      <c r="I84" s="10"/>
      <c r="J84" s="10"/>
      <c r="K84" s="10"/>
      <c r="L84" s="10"/>
      <c r="M84" s="10"/>
      <c r="N84" s="10" t="str">
        <f aca="false">IF(FACADE!M84="","",FACADE!M84)</f>
        <v/>
      </c>
      <c r="O84" s="10" t="str">
        <f aca="false">IF(FACADE!M84="","",FACADE!M84)</f>
        <v/>
      </c>
      <c r="P84" s="10" t="str">
        <f aca="false">IF(FACADE!M84="","",FACADE!M84)</f>
        <v/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10"/>
      <c r="F85" s="10"/>
      <c r="G85" s="10"/>
      <c r="H85" s="10"/>
      <c r="I85" s="10"/>
      <c r="J85" s="10"/>
      <c r="K85" s="10"/>
      <c r="L85" s="10"/>
      <c r="M85" s="10"/>
      <c r="N85" s="10" t="str">
        <f aca="false">IF(FACADE!M85="","",FACADE!M85)</f>
        <v/>
      </c>
      <c r="O85" s="10" t="str">
        <f aca="false">IF(FACADE!M85="","",FACADE!M85)</f>
        <v/>
      </c>
      <c r="P85" s="10" t="str">
        <f aca="false">IF(FACADE!M85="","",FACADE!M85)</f>
        <v/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10"/>
      <c r="F86" s="10"/>
      <c r="G86" s="10"/>
      <c r="H86" s="10"/>
      <c r="I86" s="10" t="n">
        <v>2</v>
      </c>
      <c r="J86" s="10" t="n">
        <v>27</v>
      </c>
      <c r="K86" s="10"/>
      <c r="L86" s="10"/>
      <c r="M86" s="10"/>
      <c r="N86" s="10" t="str">
        <f aca="false">IF(FACADE!M86="","",FACADE!M86)</f>
        <v/>
      </c>
      <c r="O86" s="10" t="str">
        <f aca="false">IF(FACADE!M86="","",FACADE!M86)</f>
        <v/>
      </c>
      <c r="P86" s="10" t="str">
        <f aca="false">IF(FACADE!M86="","",FACADE!M86)</f>
        <v/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10"/>
      <c r="F87" s="10"/>
      <c r="G87" s="10"/>
      <c r="H87" s="10"/>
      <c r="I87" s="10"/>
      <c r="J87" s="10"/>
      <c r="K87" s="10"/>
      <c r="L87" s="10"/>
      <c r="M87" s="10"/>
      <c r="N87" s="10" t="str">
        <f aca="false">IF(FACADE!M87="","",FACADE!M87)</f>
        <v/>
      </c>
      <c r="O87" s="10" t="str">
        <f aca="false">IF(FACADE!M87="","",FACADE!M87)</f>
        <v/>
      </c>
      <c r="P87" s="10" t="str">
        <f aca="false">IF(FACADE!M87="","",FACADE!M87)</f>
        <v/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10"/>
      <c r="F88" s="10"/>
      <c r="G88" s="10" t="n">
        <v>23</v>
      </c>
      <c r="H88" s="10" t="n">
        <v>23</v>
      </c>
      <c r="I88" s="10"/>
      <c r="J88" s="10"/>
      <c r="K88" s="10"/>
      <c r="L88" s="10"/>
      <c r="M88" s="10"/>
      <c r="N88" s="10" t="str">
        <f aca="false">IF(FACADE!M88="","",FACADE!M88)</f>
        <v/>
      </c>
      <c r="O88" s="10" t="str">
        <f aca="false">IF(FACADE!M88="","",FACADE!M88)</f>
        <v/>
      </c>
      <c r="P88" s="10" t="str">
        <f aca="false">IF(FACADE!M88="","",FACADE!M88)</f>
        <v/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10"/>
      <c r="F89" s="10" t="n">
        <v>25</v>
      </c>
      <c r="G89" s="10" t="n">
        <v>25</v>
      </c>
      <c r="H89" s="10" t="n">
        <v>31</v>
      </c>
      <c r="I89" s="10" t="n">
        <v>31</v>
      </c>
      <c r="J89" s="10" t="n">
        <v>24</v>
      </c>
      <c r="K89" s="10"/>
      <c r="L89" s="10"/>
      <c r="M89" s="10"/>
      <c r="N89" s="10" t="str">
        <f aca="false">IF(FACADE!M89="","",FACADE!M89)</f>
        <v/>
      </c>
      <c r="O89" s="10" t="str">
        <f aca="false">IF(FACADE!M89="","",FACADE!M89)</f>
        <v/>
      </c>
      <c r="P89" s="10" t="str">
        <f aca="false">IF(FACADE!M89="","",FACADE!M89)</f>
        <v/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10"/>
      <c r="F90" s="10"/>
      <c r="G90" s="10"/>
      <c r="H90" s="10"/>
      <c r="I90" s="10"/>
      <c r="J90" s="10" t="n">
        <v>25</v>
      </c>
      <c r="K90" s="10"/>
      <c r="L90" s="10"/>
      <c r="M90" s="10"/>
      <c r="N90" s="10" t="str">
        <f aca="false">IF(FACADE!M90="","",FACADE!M90)</f>
        <v/>
      </c>
      <c r="O90" s="10" t="str">
        <f aca="false">IF(FACADE!M90="","",FACADE!M90)</f>
        <v/>
      </c>
      <c r="P90" s="10" t="str">
        <f aca="false">IF(FACADE!M90="","",FACADE!M90)</f>
        <v/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10"/>
      <c r="F91" s="10"/>
      <c r="G91" s="10"/>
      <c r="H91" s="10"/>
      <c r="I91" s="10"/>
      <c r="J91" s="10" t="n">
        <v>25</v>
      </c>
      <c r="K91" s="10"/>
      <c r="L91" s="10"/>
      <c r="M91" s="10"/>
      <c r="N91" s="10" t="str">
        <f aca="false">IF(FACADE!M91="","",FACADE!M91)</f>
        <v/>
      </c>
      <c r="O91" s="10" t="str">
        <f aca="false">IF(FACADE!M91="","",FACADE!M91)</f>
        <v/>
      </c>
      <c r="P91" s="10" t="str">
        <f aca="false">IF(FACADE!M91="","",FACADE!M91)</f>
        <v/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10"/>
      <c r="F92" s="10"/>
      <c r="G92" s="10"/>
      <c r="H92" s="10"/>
      <c r="I92" s="10"/>
      <c r="J92" s="10"/>
      <c r="K92" s="10"/>
      <c r="L92" s="10"/>
      <c r="M92" s="10"/>
      <c r="N92" s="10" t="str">
        <f aca="false">IF(FACADE!M92="","",FACADE!M92)</f>
        <v/>
      </c>
      <c r="O92" s="10" t="str">
        <f aca="false">IF(FACADE!M92="","",FACADE!M92)</f>
        <v/>
      </c>
      <c r="P92" s="10" t="str">
        <f aca="false">IF(FACADE!M92="","",FACADE!M92)</f>
        <v/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10"/>
      <c r="F93" s="10"/>
      <c r="G93" s="10" t="n">
        <v>3</v>
      </c>
      <c r="H93" s="10"/>
      <c r="I93" s="10"/>
      <c r="J93" s="10"/>
      <c r="K93" s="10"/>
      <c r="L93" s="10"/>
      <c r="M93" s="10"/>
      <c r="N93" s="10" t="str">
        <f aca="false">IF(FACADE!M93="","",FACADE!M93)</f>
        <v/>
      </c>
      <c r="O93" s="10" t="str">
        <f aca="false">IF(FACADE!M93="","",FACADE!M93)</f>
        <v/>
      </c>
      <c r="P93" s="10" t="str">
        <f aca="false">IF(FACADE!M93="","",FACADE!M93)</f>
        <v/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10"/>
      <c r="F94" s="10"/>
      <c r="G94" s="10"/>
      <c r="H94" s="10"/>
      <c r="I94" s="10"/>
      <c r="J94" s="10" t="n">
        <v>43</v>
      </c>
      <c r="K94" s="10"/>
      <c r="L94" s="10"/>
      <c r="M94" s="10"/>
      <c r="N94" s="10" t="str">
        <f aca="false">IF(FACADE!M94="","",FACADE!M94)</f>
        <v/>
      </c>
      <c r="O94" s="10" t="str">
        <f aca="false">IF(FACADE!M94="","",FACADE!M94)</f>
        <v/>
      </c>
      <c r="P94" s="10" t="str">
        <f aca="false">IF(FACADE!M94="","",FACADE!M94)</f>
        <v/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10"/>
      <c r="F95" s="10" t="n">
        <v>17</v>
      </c>
      <c r="G95" s="10" t="n">
        <v>17</v>
      </c>
      <c r="H95" s="10" t="n">
        <v>23</v>
      </c>
      <c r="I95" s="10" t="n">
        <v>23</v>
      </c>
      <c r="J95" s="10" t="n">
        <v>40</v>
      </c>
      <c r="K95" s="10"/>
      <c r="L95" s="10"/>
      <c r="M95" s="10"/>
      <c r="N95" s="10" t="str">
        <f aca="false">IF(FACADE!M95="","",FACADE!M95)</f>
        <v/>
      </c>
      <c r="O95" s="10" t="str">
        <f aca="false">IF(FACADE!M95="","",FACADE!M95)</f>
        <v/>
      </c>
      <c r="P95" s="10" t="str">
        <f aca="false">IF(FACADE!M95="","",FACADE!M95)</f>
        <v/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10"/>
      <c r="F96" s="10"/>
      <c r="G96" s="10"/>
      <c r="H96" s="10"/>
      <c r="I96" s="10"/>
      <c r="J96" s="10"/>
      <c r="K96" s="10"/>
      <c r="L96" s="10"/>
      <c r="M96" s="10"/>
      <c r="N96" s="10" t="str">
        <f aca="false">IF(FACADE!M96="","",FACADE!M96)</f>
        <v/>
      </c>
      <c r="O96" s="10" t="str">
        <f aca="false">IF(FACADE!M96="","",FACADE!M96)</f>
        <v/>
      </c>
      <c r="P96" s="10" t="str">
        <f aca="false">IF(FACADE!M96="","",FACADE!M96)</f>
        <v/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10"/>
      <c r="F97" s="10"/>
      <c r="G97" s="10"/>
      <c r="H97" s="10"/>
      <c r="I97" s="10"/>
      <c r="J97" s="10"/>
      <c r="K97" s="10"/>
      <c r="L97" s="10"/>
      <c r="M97" s="10"/>
      <c r="N97" s="10" t="str">
        <f aca="false">IF(FACADE!M97="","",FACADE!M97)</f>
        <v/>
      </c>
      <c r="O97" s="10" t="str">
        <f aca="false">IF(FACADE!M97="","",FACADE!M97)</f>
        <v/>
      </c>
      <c r="P97" s="10" t="str">
        <f aca="false">IF(FACADE!M97="","",FACADE!M97)</f>
        <v/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10"/>
      <c r="F98" s="10"/>
      <c r="G98" s="10"/>
      <c r="H98" s="10"/>
      <c r="I98" s="10"/>
      <c r="J98" s="10"/>
      <c r="K98" s="10"/>
      <c r="L98" s="10"/>
      <c r="M98" s="10"/>
      <c r="N98" s="10" t="str">
        <f aca="false">IF(FACADE!M98="","",FACADE!M98)</f>
        <v/>
      </c>
      <c r="O98" s="10" t="str">
        <f aca="false">IF(FACADE!M98="","",FACADE!M98)</f>
        <v/>
      </c>
      <c r="P98" s="10" t="str">
        <f aca="false">IF(FACADE!M98="","",FACADE!M98)</f>
        <v/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10"/>
      <c r="F99" s="10"/>
      <c r="G99" s="10"/>
      <c r="H99" s="10"/>
      <c r="I99" s="10"/>
      <c r="J99" s="10"/>
      <c r="K99" s="10"/>
      <c r="L99" s="10"/>
      <c r="M99" s="10"/>
      <c r="N99" s="10" t="str">
        <f aca="false">IF(FACADE!M99="","",FACADE!M99)</f>
        <v/>
      </c>
      <c r="O99" s="10" t="str">
        <f aca="false">IF(FACADE!M99="","",FACADE!M99)</f>
        <v/>
      </c>
      <c r="P99" s="10" t="str">
        <f aca="false">IF(FACADE!M99="","",FACADE!M99)</f>
        <v/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 t="str">
        <f aca="false">IF(FACADE!M100="","",FACADE!M100)</f>
        <v/>
      </c>
      <c r="O100" s="10" t="str">
        <f aca="false">IF(FACADE!M100="","",FACADE!M100)</f>
        <v/>
      </c>
      <c r="P100" s="10" t="str">
        <f aca="false">IF(FACADE!M100="","",FACADE!M100)</f>
        <v/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10"/>
      <c r="F101" s="10" t="n">
        <v>18</v>
      </c>
      <c r="G101" s="10" t="n">
        <v>18</v>
      </c>
      <c r="H101" s="10" t="n">
        <v>24</v>
      </c>
      <c r="I101" s="10" t="n">
        <v>24</v>
      </c>
      <c r="J101" s="10" t="n">
        <v>59</v>
      </c>
      <c r="K101" s="10"/>
      <c r="L101" s="10"/>
      <c r="M101" s="10"/>
      <c r="N101" s="10" t="str">
        <f aca="false">IF(FACADE!M101="","",FACADE!M101)</f>
        <v/>
      </c>
      <c r="O101" s="10" t="str">
        <f aca="false">IF(FACADE!M101="","",FACADE!M101)</f>
        <v/>
      </c>
      <c r="P101" s="10" t="str">
        <f aca="false">IF(FACADE!M101="","",FACADE!M101)</f>
        <v/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10"/>
      <c r="F102" s="10"/>
      <c r="G102" s="10"/>
      <c r="H102" s="10"/>
      <c r="I102" s="10" t="n">
        <v>14</v>
      </c>
      <c r="J102" s="10"/>
      <c r="K102" s="10"/>
      <c r="L102" s="10"/>
      <c r="M102" s="10"/>
      <c r="N102" s="10" t="str">
        <f aca="false">IF(FACADE!M102="","",FACADE!M102)</f>
        <v/>
      </c>
      <c r="O102" s="10" t="str">
        <f aca="false">IF(FACADE!M102="","",FACADE!M102)</f>
        <v/>
      </c>
      <c r="P102" s="10" t="str">
        <f aca="false">IF(FACADE!M102="","",FACADE!M102)</f>
        <v/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10"/>
      <c r="F103" s="10"/>
      <c r="G103" s="10"/>
      <c r="H103" s="10"/>
      <c r="I103" s="10" t="n">
        <v>25</v>
      </c>
      <c r="J103" s="10"/>
      <c r="K103" s="10"/>
      <c r="L103" s="10"/>
      <c r="M103" s="10"/>
      <c r="N103" s="10" t="str">
        <f aca="false">IF(FACADE!M103="","",FACADE!M103)</f>
        <v/>
      </c>
      <c r="O103" s="10" t="str">
        <f aca="false">IF(FACADE!M103="","",FACADE!M103)</f>
        <v/>
      </c>
      <c r="P103" s="10" t="str">
        <f aca="false">IF(FACADE!M103="","",FACADE!M103)</f>
        <v/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10"/>
      <c r="F104" s="10"/>
      <c r="G104" s="10" t="n">
        <v>9</v>
      </c>
      <c r="H104" s="10" t="n">
        <v>10</v>
      </c>
      <c r="I104" s="10" t="n">
        <v>13</v>
      </c>
      <c r="J104" s="10"/>
      <c r="K104" s="10"/>
      <c r="L104" s="10"/>
      <c r="M104" s="10"/>
      <c r="N104" s="10" t="str">
        <f aca="false">IF(FACADE!M104="","",FACADE!M104)</f>
        <v/>
      </c>
      <c r="O104" s="10" t="str">
        <f aca="false">IF(FACADE!M104="","",FACADE!M104)</f>
        <v/>
      </c>
      <c r="P104" s="10" t="str">
        <f aca="false">IF(FACADE!M104="","",FACADE!M104)</f>
        <v/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10"/>
      <c r="F105" s="10"/>
      <c r="G105" s="10"/>
      <c r="H105" s="10"/>
      <c r="I105" s="10" t="n">
        <v>26</v>
      </c>
      <c r="J105" s="10"/>
      <c r="K105" s="10"/>
      <c r="L105" s="10"/>
      <c r="M105" s="10"/>
      <c r="N105" s="10" t="str">
        <f aca="false">IF(FACADE!M105="","",FACADE!M105)</f>
        <v/>
      </c>
      <c r="O105" s="10" t="str">
        <f aca="false">IF(FACADE!M105="","",FACADE!M105)</f>
        <v/>
      </c>
      <c r="P105" s="10" t="str">
        <f aca="false">IF(FACADE!M105="","",FACADE!M105)</f>
        <v/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10"/>
      <c r="F106" s="10"/>
      <c r="G106" s="10"/>
      <c r="H106" s="10"/>
      <c r="I106" s="10" t="n">
        <v>28</v>
      </c>
      <c r="J106" s="10"/>
      <c r="K106" s="10"/>
      <c r="L106" s="10"/>
      <c r="M106" s="10"/>
      <c r="N106" s="10" t="str">
        <f aca="false">IF(FACADE!M106="","",FACADE!M106)</f>
        <v/>
      </c>
      <c r="O106" s="10" t="str">
        <f aca="false">IF(FACADE!M106="","",FACADE!M106)</f>
        <v/>
      </c>
      <c r="P106" s="10" t="str">
        <f aca="false">IF(FACADE!M106="","",FACADE!M106)</f>
        <v/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10"/>
      <c r="F107" s="10" t="n">
        <v>18</v>
      </c>
      <c r="G107" s="10" t="n">
        <v>18</v>
      </c>
      <c r="H107" s="10" t="n">
        <v>23</v>
      </c>
      <c r="I107" s="10" t="n">
        <v>23</v>
      </c>
      <c r="J107" s="10"/>
      <c r="K107" s="10"/>
      <c r="L107" s="10"/>
      <c r="M107" s="10"/>
      <c r="N107" s="10" t="str">
        <f aca="false">IF(FACADE!M107="","",FACADE!M107)</f>
        <v/>
      </c>
      <c r="O107" s="10" t="str">
        <f aca="false">IF(FACADE!M107="","",FACADE!M107)</f>
        <v/>
      </c>
      <c r="P107" s="10" t="str">
        <f aca="false">IF(FACADE!M107="","",FACADE!M107)</f>
        <v/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10"/>
      <c r="F108" s="10" t="n">
        <v>30</v>
      </c>
      <c r="G108" s="10" t="n">
        <v>22</v>
      </c>
      <c r="H108" s="10" t="n">
        <v>13</v>
      </c>
      <c r="I108" s="10" t="n">
        <v>13</v>
      </c>
      <c r="J108" s="10"/>
      <c r="K108" s="10"/>
      <c r="L108" s="10"/>
      <c r="M108" s="10"/>
      <c r="N108" s="10" t="str">
        <f aca="false">IF(FACADE!M108="","",FACADE!M108)</f>
        <v/>
      </c>
      <c r="O108" s="10" t="str">
        <f aca="false">IF(FACADE!M108="","",FACADE!M108)</f>
        <v/>
      </c>
      <c r="P108" s="10" t="str">
        <f aca="false">IF(FACADE!M108="","",FACADE!M108)</f>
        <v/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10"/>
      <c r="F109" s="10" t="n">
        <v>13</v>
      </c>
      <c r="G109" s="10" t="n">
        <v>14</v>
      </c>
      <c r="H109" s="10" t="n">
        <v>2</v>
      </c>
      <c r="I109" s="10" t="n">
        <v>15</v>
      </c>
      <c r="J109" s="10"/>
      <c r="K109" s="10"/>
      <c r="L109" s="10"/>
      <c r="M109" s="10"/>
      <c r="N109" s="10" t="str">
        <f aca="false">IF(FACADE!M109="","",FACADE!M109)</f>
        <v/>
      </c>
      <c r="O109" s="10" t="str">
        <f aca="false">IF(FACADE!M109="","",FACADE!M109)</f>
        <v/>
      </c>
      <c r="P109" s="10" t="str">
        <f aca="false">IF(FACADE!M109="","",FACADE!M109)</f>
        <v/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10"/>
      <c r="F110" s="10" t="n">
        <v>28</v>
      </c>
      <c r="G110" s="10" t="n">
        <v>28</v>
      </c>
      <c r="H110" s="10"/>
      <c r="I110" s="10"/>
      <c r="J110" s="10"/>
      <c r="K110" s="10"/>
      <c r="L110" s="10"/>
      <c r="M110" s="10"/>
      <c r="N110" s="10" t="str">
        <f aca="false">IF(FACADE!M110="","",FACADE!M110)</f>
        <v/>
      </c>
      <c r="O110" s="10" t="str">
        <f aca="false">IF(FACADE!M110="","",FACADE!M110)</f>
        <v/>
      </c>
      <c r="P110" s="10" t="str">
        <f aca="false">IF(FACADE!M110="","",FACADE!M110)</f>
        <v/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10"/>
      <c r="F111" s="10" t="n">
        <v>8</v>
      </c>
      <c r="G111" s="10" t="n">
        <v>9</v>
      </c>
      <c r="H111" s="10"/>
      <c r="I111" s="10"/>
      <c r="J111" s="10"/>
      <c r="K111" s="10"/>
      <c r="L111" s="10"/>
      <c r="M111" s="10"/>
      <c r="N111" s="10" t="str">
        <f aca="false">IF(FACADE!M111="","",FACADE!M111)</f>
        <v/>
      </c>
      <c r="O111" s="10" t="str">
        <f aca="false">IF(FACADE!M111="","",FACADE!M111)</f>
        <v/>
      </c>
      <c r="P111" s="10" t="str">
        <f aca="false">IF(FACADE!M111="","",FACADE!M111)</f>
        <v/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 t="str">
        <f aca="false">IF(FACADE!M112="","",FACADE!M112)</f>
        <v/>
      </c>
      <c r="O112" s="10" t="str">
        <f aca="false">IF(FACADE!M112="","",FACADE!M112)</f>
        <v/>
      </c>
      <c r="P112" s="10" t="str">
        <f aca="false">IF(FACADE!M112="","",FACADE!M112)</f>
        <v/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 t="str">
        <f aca="false">IF(FACADE!M113="","",FACADE!M113)</f>
        <v/>
      </c>
      <c r="O113" s="10" t="str">
        <f aca="false">IF(FACADE!M113="","",FACADE!M113)</f>
        <v/>
      </c>
      <c r="P113" s="10" t="str">
        <f aca="false">IF(FACADE!M113="","",FACADE!M113)</f>
        <v/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 t="str">
        <f aca="false">IF(FACADE!M114="","",FACADE!M114)</f>
        <v/>
      </c>
      <c r="O114" s="10" t="str">
        <f aca="false">IF(FACADE!M114="","",FACADE!M114)</f>
        <v/>
      </c>
      <c r="P114" s="10" t="str">
        <f aca="false">IF(FACADE!M114="","",FACADE!M114)</f>
        <v/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 t="str">
        <f aca="false">IF(FACADE!M115="","",FACADE!M115)</f>
        <v/>
      </c>
      <c r="O115" s="10" t="str">
        <f aca="false">IF(FACADE!M115="","",FACADE!M115)</f>
        <v/>
      </c>
      <c r="P115" s="10" t="str">
        <f aca="false">IF(FACADE!M115="","",FACADE!M115)</f>
        <v/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 t="str">
        <f aca="false">IF(FACADE!M116="","",FACADE!M116)</f>
        <v/>
      </c>
      <c r="O116" s="10" t="str">
        <f aca="false">IF(FACADE!M116="","",FACADE!M116)</f>
        <v/>
      </c>
      <c r="P116" s="10" t="str">
        <f aca="false">IF(FACADE!M116="","",FACADE!M116)</f>
        <v/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 t="str">
        <f aca="false">IF(FACADE!M117="","",FACADE!M117)</f>
        <v/>
      </c>
      <c r="O117" s="10" t="str">
        <f aca="false">IF(FACADE!M117="","",FACADE!M117)</f>
        <v/>
      </c>
      <c r="P117" s="10" t="str">
        <f aca="false">IF(FACADE!M117="","",FACADE!M117)</f>
        <v/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 t="str">
        <f aca="false">IF(FACADE!M118="","",FACADE!M118)</f>
        <v/>
      </c>
      <c r="O118" s="10" t="str">
        <f aca="false">IF(FACADE!M118="","",FACADE!M118)</f>
        <v/>
      </c>
      <c r="P118" s="10" t="str">
        <f aca="false">IF(FACADE!M118="","",FACADE!M118)</f>
        <v/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 t="str">
        <f aca="false">IF(FACADE!M119="","",FACADE!M119)</f>
        <v/>
      </c>
      <c r="O119" s="10" t="str">
        <f aca="false">IF(FACADE!M119="","",FACADE!M119)</f>
        <v/>
      </c>
      <c r="P119" s="10" t="str">
        <f aca="false">IF(FACADE!M119="","",FACADE!M119)</f>
        <v/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10"/>
      <c r="F120" s="10"/>
      <c r="G120" s="10"/>
      <c r="H120" s="10"/>
      <c r="I120" s="10"/>
      <c r="J120" s="10" t="n">
        <v>19</v>
      </c>
      <c r="K120" s="10"/>
      <c r="L120" s="10"/>
      <c r="M120" s="10"/>
      <c r="N120" s="10" t="str">
        <f aca="false">IF(FACADE!M120="","",FACADE!M120)</f>
        <v/>
      </c>
      <c r="O120" s="10" t="str">
        <f aca="false">IF(FACADE!M120="","",FACADE!M120)</f>
        <v/>
      </c>
      <c r="P120" s="10" t="str">
        <f aca="false">IF(FACADE!M120="","",FACADE!M120)</f>
        <v/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 t="str">
        <f aca="false">IF(FACADE!M121="","",FACADE!M121)</f>
        <v/>
      </c>
      <c r="O121" s="10" t="str">
        <f aca="false">IF(FACADE!M121="","",FACADE!M121)</f>
        <v/>
      </c>
      <c r="P121" s="10" t="str">
        <f aca="false">IF(FACADE!M121="","",FACADE!M121)</f>
        <v/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 t="str">
        <f aca="false">IF(FACADE!M122="","",FACADE!M122)</f>
        <v/>
      </c>
      <c r="O122" s="10" t="str">
        <f aca="false">IF(FACADE!M122="","",FACADE!M122)</f>
        <v/>
      </c>
      <c r="P122" s="10" t="str">
        <f aca="false">IF(FACADE!M122="","",FACADE!M122)</f>
        <v/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 t="str">
        <f aca="false">IF(FACADE!M123="","",FACADE!M123)</f>
        <v/>
      </c>
      <c r="O123" s="10" t="str">
        <f aca="false">IF(FACADE!M123="","",FACADE!M123)</f>
        <v/>
      </c>
      <c r="P123" s="10" t="str">
        <f aca="false">IF(FACADE!M123="","",FACADE!M123)</f>
        <v/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10"/>
      <c r="F124" s="10"/>
      <c r="G124" s="10"/>
      <c r="H124" s="10"/>
      <c r="I124" s="10"/>
      <c r="J124" s="10" t="n">
        <v>27</v>
      </c>
      <c r="K124" s="10"/>
      <c r="L124" s="10"/>
      <c r="M124" s="10"/>
      <c r="N124" s="10" t="str">
        <f aca="false">IF(FACADE!M124="","",FACADE!M124)</f>
        <v/>
      </c>
      <c r="O124" s="10" t="str">
        <f aca="false">IF(FACADE!M124="","",FACADE!M124)</f>
        <v/>
      </c>
      <c r="P124" s="10" t="str">
        <f aca="false">IF(FACADE!M124="","",FACADE!M124)</f>
        <v/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 t="str">
        <f aca="false">IF(FACADE!M125="","",FACADE!M125)</f>
        <v/>
      </c>
      <c r="O125" s="10" t="str">
        <f aca="false">IF(FACADE!M125="","",FACADE!M125)</f>
        <v/>
      </c>
      <c r="P125" s="10" t="str">
        <f aca="false">IF(FACADE!M125="","",FACADE!M125)</f>
        <v/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 t="str">
        <f aca="false">IF(FACADE!M126="","",FACADE!M126)</f>
        <v/>
      </c>
      <c r="O126" s="10" t="str">
        <f aca="false">IF(FACADE!M126="","",FACADE!M126)</f>
        <v/>
      </c>
      <c r="P126" s="10" t="str">
        <f aca="false">IF(FACADE!M126="","",FACADE!M126)</f>
        <v/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10"/>
      <c r="F127" s="10"/>
      <c r="G127" s="10"/>
      <c r="H127" s="10"/>
      <c r="I127" s="10"/>
      <c r="J127" s="10" t="n">
        <v>22</v>
      </c>
      <c r="K127" s="10"/>
      <c r="L127" s="10"/>
      <c r="M127" s="10"/>
      <c r="N127" s="10" t="str">
        <f aca="false">IF(FACADE!M127="","",FACADE!M127)</f>
        <v/>
      </c>
      <c r="O127" s="10" t="str">
        <f aca="false">IF(FACADE!M127="","",FACADE!M127)</f>
        <v/>
      </c>
      <c r="P127" s="10" t="str">
        <f aca="false">IF(FACADE!M127="","",FACADE!M127)</f>
        <v/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 t="str">
        <f aca="false">IF(FACADE!M128="","",FACADE!M128)</f>
        <v/>
      </c>
      <c r="O128" s="10" t="str">
        <f aca="false">IF(FACADE!M128="","",FACADE!M128)</f>
        <v/>
      </c>
      <c r="P128" s="10" t="str">
        <f aca="false">IF(FACADE!M128="","",FACADE!M128)</f>
        <v/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 t="str">
        <f aca="false">IF(FACADE!M129="","",FACADE!M129)</f>
        <v/>
      </c>
      <c r="O129" s="10" t="str">
        <f aca="false">IF(FACADE!M129="","",FACADE!M129)</f>
        <v/>
      </c>
      <c r="P129" s="10" t="str">
        <f aca="false">IF(FACADE!M129="","",FACADE!M129)</f>
        <v/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10"/>
      <c r="F130" s="10"/>
      <c r="G130" s="10"/>
      <c r="H130" s="10"/>
      <c r="I130" s="10"/>
      <c r="J130" s="10" t="n">
        <v>35</v>
      </c>
      <c r="K130" s="10"/>
      <c r="L130" s="10"/>
      <c r="M130" s="10"/>
      <c r="N130" s="10" t="str">
        <f aca="false">IF(FACADE!M130="","",FACADE!M130)</f>
        <v/>
      </c>
      <c r="O130" s="10" t="str">
        <f aca="false">IF(FACADE!M130="","",FACADE!M130)</f>
        <v/>
      </c>
      <c r="P130" s="10" t="str">
        <f aca="false">IF(FACADE!M130="","",FACADE!M130)</f>
        <v/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 t="str">
        <f aca="false">IF(FACADE!M131="","",FACADE!M131)</f>
        <v/>
      </c>
      <c r="O131" s="10" t="str">
        <f aca="false">IF(FACADE!M131="","",FACADE!M131)</f>
        <v/>
      </c>
      <c r="P131" s="10" t="str">
        <f aca="false">IF(FACADE!M131="","",FACADE!M131)</f>
        <v/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 t="str">
        <f aca="false">IF(FACADE!M132="","",FACADE!M132)</f>
        <v/>
      </c>
      <c r="O132" s="10" t="str">
        <f aca="false">IF(FACADE!M132="","",FACADE!M132)</f>
        <v/>
      </c>
      <c r="P132" s="10" t="str">
        <f aca="false">IF(FACADE!M132="","",FACADE!M132)</f>
        <v/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10"/>
      <c r="F133" s="10"/>
      <c r="G133" s="10"/>
      <c r="H133" s="10"/>
      <c r="I133" s="10" t="n">
        <v>36</v>
      </c>
      <c r="J133" s="10"/>
      <c r="K133" s="10"/>
      <c r="L133" s="10"/>
      <c r="M133" s="10"/>
      <c r="N133" s="10" t="str">
        <f aca="false">IF(FACADE!M133="","",FACADE!M133)</f>
        <v/>
      </c>
      <c r="O133" s="10" t="str">
        <f aca="false">IF(FACADE!M133="","",FACADE!M133)</f>
        <v/>
      </c>
      <c r="P133" s="10" t="str">
        <f aca="false">IF(FACADE!M133="","",FACADE!M133)</f>
        <v/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10"/>
      <c r="F134" s="10"/>
      <c r="G134" s="10"/>
      <c r="H134" s="10"/>
      <c r="I134" s="10" t="n">
        <v>37</v>
      </c>
      <c r="J134" s="10"/>
      <c r="K134" s="10"/>
      <c r="L134" s="10"/>
      <c r="M134" s="10"/>
      <c r="N134" s="10" t="str">
        <f aca="false">IF(FACADE!M134="","",FACADE!M134)</f>
        <v/>
      </c>
      <c r="O134" s="10" t="str">
        <f aca="false">IF(FACADE!M134="","",FACADE!M134)</f>
        <v/>
      </c>
      <c r="P134" s="10" t="str">
        <f aca="false">IF(FACADE!M134="","",FACADE!M134)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260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4" t="str">
        <f aca="false">IF(ARCH!F2="","",ARCH!F2)</f>
        <v>14x36</v>
      </c>
      <c r="F2" s="4" t="s">
        <v>80</v>
      </c>
      <c r="G2" s="4" t="s">
        <v>80</v>
      </c>
      <c r="H2" s="4" t="s">
        <v>80</v>
      </c>
      <c r="I2" s="4" t="s">
        <v>80</v>
      </c>
      <c r="J2" s="4" t="s">
        <v>80</v>
      </c>
      <c r="K2" s="4" t="s">
        <v>80</v>
      </c>
      <c r="L2" s="4" t="s">
        <v>80</v>
      </c>
      <c r="M2" s="4" t="s">
        <v>80</v>
      </c>
      <c r="N2" s="4" t="str">
        <f aca="false">IF(ARCH!M2="","",ARCH!M2)</f>
        <v>14x36</v>
      </c>
      <c r="O2" s="4" t="str">
        <f aca="false">IF(ARCH!M2="","",ARCH!M2)</f>
        <v>14x36</v>
      </c>
      <c r="P2" s="4" t="str">
        <f aca="false">IF(ARCH!M2="","",ARCH!M2)</f>
        <v>14x36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4" t="str">
        <f aca="false">IF(ARCH!F3="","",ARCH!F3)</f>
        <v/>
      </c>
      <c r="F3" s="4"/>
      <c r="G3" s="4" t="s">
        <v>261</v>
      </c>
      <c r="H3" s="4" t="s">
        <v>261</v>
      </c>
      <c r="I3" s="4" t="s">
        <v>261</v>
      </c>
      <c r="J3" s="4" t="s">
        <v>261</v>
      </c>
      <c r="K3" s="4" t="s">
        <v>261</v>
      </c>
      <c r="L3" s="4" t="s">
        <v>261</v>
      </c>
      <c r="M3" s="4" t="s">
        <v>261</v>
      </c>
      <c r="N3" s="4" t="str">
        <f aca="false">IF(ARCH!M3="","",ARCH!M3)</f>
        <v>d24</v>
      </c>
      <c r="O3" s="4" t="str">
        <f aca="false">IF(ARCH!M3="","",ARCH!M3)</f>
        <v>d24</v>
      </c>
      <c r="P3" s="4" t="str">
        <f aca="false">IF(ARCH!M3="","",ARCH!M3)</f>
        <v>d24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4" t="str">
        <f aca="false">IF(ARCH!F4="","",ARCH!F4)</f>
        <v>14x36</v>
      </c>
      <c r="F4" s="4" t="s">
        <v>80</v>
      </c>
      <c r="G4" s="4" t="s">
        <v>80</v>
      </c>
      <c r="H4" s="4" t="s">
        <v>80</v>
      </c>
      <c r="I4" s="4" t="s">
        <v>80</v>
      </c>
      <c r="J4" s="4" t="s">
        <v>80</v>
      </c>
      <c r="K4" s="4" t="s">
        <v>80</v>
      </c>
      <c r="L4" s="4" t="s">
        <v>80</v>
      </c>
      <c r="M4" s="4" t="s">
        <v>80</v>
      </c>
      <c r="N4" s="4" t="str">
        <f aca="false">IF(ARCH!M4="","",ARCH!M4)</f>
        <v>14x36</v>
      </c>
      <c r="O4" s="4" t="str">
        <f aca="false">IF(ARCH!M4="","",ARCH!M4)</f>
        <v>14x36</v>
      </c>
      <c r="P4" s="4" t="str">
        <f aca="false">IF(ARCH!M4="","",ARCH!M4)</f>
        <v>14x36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4" t="str">
        <f aca="false">IF(ARCH!F5="","",ARCH!F5)</f>
        <v>14x24</v>
      </c>
      <c r="F5" s="4" t="s">
        <v>76</v>
      </c>
      <c r="G5" s="4" t="s">
        <v>76</v>
      </c>
      <c r="H5" s="4" t="s">
        <v>76</v>
      </c>
      <c r="I5" s="4" t="s">
        <v>76</v>
      </c>
      <c r="J5" s="4" t="s">
        <v>76</v>
      </c>
      <c r="K5" s="4" t="s">
        <v>76</v>
      </c>
      <c r="L5" s="4" t="s">
        <v>76</v>
      </c>
      <c r="M5" s="4" t="s">
        <v>76</v>
      </c>
      <c r="N5" s="4" t="str">
        <f aca="false">IF(ARCH!M5="","",ARCH!M5)</f>
        <v>14x24</v>
      </c>
      <c r="O5" s="4" t="str">
        <f aca="false">IF(ARCH!M5="","",ARCH!M5)</f>
        <v>14x24</v>
      </c>
      <c r="P5" s="4" t="str">
        <f aca="false">IF(ARCH!M5="","",ARCH!M5)</f>
        <v>14x24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4" t="str">
        <f aca="false">IF(ARCH!F6="","",ARCH!F6)</f>
        <v>14x24</v>
      </c>
      <c r="F6" s="4" t="s">
        <v>76</v>
      </c>
      <c r="G6" s="4" t="s">
        <v>76</v>
      </c>
      <c r="H6" s="4" t="s">
        <v>76</v>
      </c>
      <c r="I6" s="4" t="s">
        <v>76</v>
      </c>
      <c r="J6" s="4" t="s">
        <v>76</v>
      </c>
      <c r="K6" s="4" t="s">
        <v>76</v>
      </c>
      <c r="L6" s="4" t="s">
        <v>76</v>
      </c>
      <c r="M6" s="4" t="s">
        <v>76</v>
      </c>
      <c r="N6" s="4" t="str">
        <f aca="false">IF(ARCH!M6="","",ARCH!M6)</f>
        <v>14x24</v>
      </c>
      <c r="O6" s="4" t="str">
        <f aca="false">IF(ARCH!M6="","",ARCH!M6)</f>
        <v>14x24</v>
      </c>
      <c r="P6" s="4" t="str">
        <f aca="false">IF(ARCH!M6="","",ARCH!M6)</f>
        <v>14x24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4" t="str">
        <f aca="false">IF(ARCH!F7="","",ARCH!F7)</f>
        <v>14x24</v>
      </c>
      <c r="F7" s="4" t="s">
        <v>76</v>
      </c>
      <c r="G7" s="4" t="s">
        <v>76</v>
      </c>
      <c r="H7" s="4" t="s">
        <v>76</v>
      </c>
      <c r="I7" s="4" t="s">
        <v>76</v>
      </c>
      <c r="J7" s="4" t="s">
        <v>76</v>
      </c>
      <c r="K7" s="4" t="s">
        <v>76</v>
      </c>
      <c r="L7" s="4" t="s">
        <v>76</v>
      </c>
      <c r="M7" s="4" t="s">
        <v>76</v>
      </c>
      <c r="N7" s="4" t="str">
        <f aca="false">IF(ARCH!M7="","",ARCH!M7)</f>
        <v>14x24</v>
      </c>
      <c r="O7" s="4" t="str">
        <f aca="false">IF(ARCH!M7="","",ARCH!M7)</f>
        <v>14x24</v>
      </c>
      <c r="P7" s="4" t="str">
        <f aca="false">IF(ARCH!M7="","",ARCH!M7)</f>
        <v>14x24</v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4" t="str">
        <f aca="false">IF(ARCH!F8="","",ARCH!F8)</f>
        <v>14x36</v>
      </c>
      <c r="F8" s="4" t="s">
        <v>80</v>
      </c>
      <c r="G8" s="4" t="s">
        <v>80</v>
      </c>
      <c r="H8" s="4" t="s">
        <v>80</v>
      </c>
      <c r="I8" s="4" t="s">
        <v>80</v>
      </c>
      <c r="J8" s="4" t="s">
        <v>80</v>
      </c>
      <c r="K8" s="4" t="s">
        <v>80</v>
      </c>
      <c r="L8" s="4" t="s">
        <v>80</v>
      </c>
      <c r="M8" s="4" t="s">
        <v>80</v>
      </c>
      <c r="N8" s="4" t="str">
        <f aca="false">IF(ARCH!M8="","",ARCH!M8)</f>
        <v>14x36</v>
      </c>
      <c r="O8" s="4" t="str">
        <f aca="false">IF(ARCH!M8="","",ARCH!M8)</f>
        <v>14x36</v>
      </c>
      <c r="P8" s="4" t="str">
        <f aca="false">IF(ARCH!M8="","",ARCH!M8)</f>
        <v>14x36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4" t="str">
        <f aca="false">IF(ARCH!F9="","",ARCH!F9)</f>
        <v>14x36</v>
      </c>
      <c r="F9" s="4" t="s">
        <v>80</v>
      </c>
      <c r="G9" s="4" t="s">
        <v>80</v>
      </c>
      <c r="H9" s="4" t="s">
        <v>80</v>
      </c>
      <c r="I9" s="4" t="s">
        <v>80</v>
      </c>
      <c r="J9" s="4" t="s">
        <v>80</v>
      </c>
      <c r="K9" s="4" t="s">
        <v>80</v>
      </c>
      <c r="L9" s="4" t="s">
        <v>80</v>
      </c>
      <c r="M9" s="4" t="s">
        <v>80</v>
      </c>
      <c r="N9" s="4" t="str">
        <f aca="false">IF(ARCH!M9="","",ARCH!M9)</f>
        <v>14x36</v>
      </c>
      <c r="O9" s="4" t="str">
        <f aca="false">IF(ARCH!M9="","",ARCH!M9)</f>
        <v>14x36</v>
      </c>
      <c r="P9" s="4" t="str">
        <f aca="false">IF(ARCH!M9="","",ARCH!M9)</f>
        <v>14x36</v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4" t="str">
        <f aca="false">IF(ARCH!F10="","",ARCH!F10)</f>
        <v>14x36</v>
      </c>
      <c r="F10" s="4" t="s">
        <v>80</v>
      </c>
      <c r="G10" s="4" t="s">
        <v>80</v>
      </c>
      <c r="H10" s="4" t="s">
        <v>80</v>
      </c>
      <c r="I10" s="4" t="s">
        <v>80</v>
      </c>
      <c r="J10" s="4" t="s">
        <v>80</v>
      </c>
      <c r="K10" s="4" t="s">
        <v>80</v>
      </c>
      <c r="L10" s="4" t="s">
        <v>80</v>
      </c>
      <c r="M10" s="4" t="s">
        <v>80</v>
      </c>
      <c r="N10" s="4" t="str">
        <f aca="false">IF(ARCH!M10="","",ARCH!M10)</f>
        <v>14x36</v>
      </c>
      <c r="O10" s="4" t="str">
        <f aca="false">IF(ARCH!M10="","",ARCH!M10)</f>
        <v>14x36</v>
      </c>
      <c r="P10" s="4" t="str">
        <f aca="false">IF(ARCH!M10="","",ARCH!M10)</f>
        <v>14x36</v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4" t="str">
        <f aca="false">IF(ARCH!F11="","",ARCH!F11)</f>
        <v>14x36</v>
      </c>
      <c r="F11" s="4" t="s">
        <v>80</v>
      </c>
      <c r="G11" s="4" t="s">
        <v>80</v>
      </c>
      <c r="H11" s="4" t="s">
        <v>80</v>
      </c>
      <c r="I11" s="4" t="s">
        <v>80</v>
      </c>
      <c r="J11" s="4" t="s">
        <v>80</v>
      </c>
      <c r="K11" s="4" t="s">
        <v>80</v>
      </c>
      <c r="L11" s="4" t="s">
        <v>80</v>
      </c>
      <c r="M11" s="4" t="s">
        <v>80</v>
      </c>
      <c r="N11" s="4" t="str">
        <f aca="false">IF(ARCH!M11="","",ARCH!M11)</f>
        <v>14x36</v>
      </c>
      <c r="O11" s="4" t="str">
        <f aca="false">IF(ARCH!M11="","",ARCH!M11)</f>
        <v>14x36</v>
      </c>
      <c r="P11" s="4" t="str">
        <f aca="false">IF(ARCH!M11="","",ARCH!M11)</f>
        <v>14x36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4" t="str">
        <f aca="false">IF(ARCH!F12="","",ARCH!F12)</f>
        <v>14x24</v>
      </c>
      <c r="F12" s="4" t="s">
        <v>76</v>
      </c>
      <c r="G12" s="4" t="s">
        <v>76</v>
      </c>
      <c r="H12" s="4" t="s">
        <v>76</v>
      </c>
      <c r="I12" s="4" t="s">
        <v>76</v>
      </c>
      <c r="J12" s="4" t="s">
        <v>76</v>
      </c>
      <c r="K12" s="4" t="s">
        <v>76</v>
      </c>
      <c r="L12" s="4" t="s">
        <v>76</v>
      </c>
      <c r="M12" s="4" t="s">
        <v>76</v>
      </c>
      <c r="N12" s="4" t="str">
        <f aca="false">IF(ARCH!M12="","",ARCH!M12)</f>
        <v>14x24</v>
      </c>
      <c r="O12" s="4" t="str">
        <f aca="false">IF(ARCH!M12="","",ARCH!M12)</f>
        <v>14x24</v>
      </c>
      <c r="P12" s="4" t="str">
        <f aca="false">IF(ARCH!M12="","",ARCH!M12)</f>
        <v>14x24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4" t="str">
        <f aca="false">IF(ARCH!F13="","",ARCH!F13)</f>
        <v>14x36</v>
      </c>
      <c r="F13" s="4" t="s">
        <v>80</v>
      </c>
      <c r="G13" s="4" t="s">
        <v>80</v>
      </c>
      <c r="H13" s="4" t="s">
        <v>80</v>
      </c>
      <c r="I13" s="4" t="s">
        <v>80</v>
      </c>
      <c r="J13" s="4" t="s">
        <v>80</v>
      </c>
      <c r="K13" s="4" t="s">
        <v>80</v>
      </c>
      <c r="L13" s="4" t="s">
        <v>80</v>
      </c>
      <c r="M13" s="4" t="s">
        <v>80</v>
      </c>
      <c r="N13" s="4" t="str">
        <f aca="false">IF(ARCH!M13="","",ARCH!M13)</f>
        <v>14x36</v>
      </c>
      <c r="O13" s="4" t="str">
        <f aca="false">IF(ARCH!M13="","",ARCH!M13)</f>
        <v>14x36</v>
      </c>
      <c r="P13" s="4" t="str">
        <f aca="false">IF(ARCH!M13="","",ARCH!M13)</f>
        <v>14x36</v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4" t="str">
        <f aca="false">IF(ARCH!F14="","",ARCH!F14)</f>
        <v>14x36</v>
      </c>
      <c r="F14" s="4" t="s">
        <v>80</v>
      </c>
      <c r="G14" s="4" t="s">
        <v>80</v>
      </c>
      <c r="H14" s="4" t="s">
        <v>80</v>
      </c>
      <c r="I14" s="4" t="s">
        <v>80</v>
      </c>
      <c r="J14" s="4" t="s">
        <v>80</v>
      </c>
      <c r="K14" s="4" t="s">
        <v>80</v>
      </c>
      <c r="L14" s="4" t="s">
        <v>80</v>
      </c>
      <c r="M14" s="4" t="s">
        <v>80</v>
      </c>
      <c r="N14" s="4" t="str">
        <f aca="false">IF(ARCH!M14="","",ARCH!M14)</f>
        <v>14x36</v>
      </c>
      <c r="O14" s="4" t="str">
        <f aca="false">IF(ARCH!M14="","",ARCH!M14)</f>
        <v>14x36</v>
      </c>
      <c r="P14" s="4" t="str">
        <f aca="false">IF(ARCH!M14="","",ARCH!M14)</f>
        <v>14x36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4" t="str">
        <f aca="false">IF(ARCH!F15="","",ARCH!F15)</f>
        <v>14x24</v>
      </c>
      <c r="F15" s="4" t="s">
        <v>76</v>
      </c>
      <c r="G15" s="4" t="s">
        <v>76</v>
      </c>
      <c r="H15" s="4" t="s">
        <v>76</v>
      </c>
      <c r="I15" s="4" t="s">
        <v>76</v>
      </c>
      <c r="J15" s="4" t="s">
        <v>76</v>
      </c>
      <c r="K15" s="4" t="s">
        <v>76</v>
      </c>
      <c r="L15" s="4" t="s">
        <v>76</v>
      </c>
      <c r="M15" s="4" t="s">
        <v>76</v>
      </c>
      <c r="N15" s="4" t="str">
        <f aca="false">IF(ARCH!M15="","",ARCH!M15)</f>
        <v>14x24</v>
      </c>
      <c r="O15" s="4" t="str">
        <f aca="false">IF(ARCH!M15="","",ARCH!M15)</f>
        <v>14x24</v>
      </c>
      <c r="P15" s="4" t="str">
        <f aca="false">IF(ARCH!M15="","",ARCH!M15)</f>
        <v>14x24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4" t="str">
        <f aca="false">IF(ARCH!F16="","",ARCH!F16)</f>
        <v>14x24</v>
      </c>
      <c r="F16" s="4" t="s">
        <v>76</v>
      </c>
      <c r="G16" s="4" t="s">
        <v>76</v>
      </c>
      <c r="H16" s="4" t="s">
        <v>76</v>
      </c>
      <c r="I16" s="4" t="s">
        <v>76</v>
      </c>
      <c r="J16" s="4" t="s">
        <v>76</v>
      </c>
      <c r="K16" s="4" t="s">
        <v>76</v>
      </c>
      <c r="L16" s="4" t="s">
        <v>76</v>
      </c>
      <c r="M16" s="4" t="s">
        <v>76</v>
      </c>
      <c r="N16" s="4" t="str">
        <f aca="false">IF(ARCH!M16="","",ARCH!M16)</f>
        <v>14x24</v>
      </c>
      <c r="O16" s="4" t="str">
        <f aca="false">IF(ARCH!M16="","",ARCH!M16)</f>
        <v>14x24</v>
      </c>
      <c r="P16" s="4" t="str">
        <f aca="false">IF(ARCH!M16="","",ARCH!M16)</f>
        <v>14x24</v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4" t="str">
        <f aca="false">IF(ARCH!F17="","",ARCH!F17)</f>
        <v>14x36</v>
      </c>
      <c r="F17" s="4" t="s">
        <v>80</v>
      </c>
      <c r="G17" s="4" t="s">
        <v>80</v>
      </c>
      <c r="H17" s="4" t="s">
        <v>80</v>
      </c>
      <c r="I17" s="4" t="s">
        <v>80</v>
      </c>
      <c r="J17" s="4" t="s">
        <v>80</v>
      </c>
      <c r="K17" s="4" t="s">
        <v>80</v>
      </c>
      <c r="L17" s="4" t="s">
        <v>80</v>
      </c>
      <c r="M17" s="4" t="s">
        <v>80</v>
      </c>
      <c r="N17" s="4" t="str">
        <f aca="false">IF(ARCH!M17="","",ARCH!M17)</f>
        <v>14x36</v>
      </c>
      <c r="O17" s="4" t="str">
        <f aca="false">IF(ARCH!M17="","",ARCH!M17)</f>
        <v>14x36</v>
      </c>
      <c r="P17" s="4" t="str">
        <f aca="false">IF(ARCH!M17="","",ARCH!M17)</f>
        <v>14x36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4" t="str">
        <f aca="false">IF(ARCH!F18="","",ARCH!F18)</f>
        <v>14x36</v>
      </c>
      <c r="F18" s="4" t="s">
        <v>80</v>
      </c>
      <c r="G18" s="4" t="s">
        <v>80</v>
      </c>
      <c r="H18" s="4" t="s">
        <v>80</v>
      </c>
      <c r="I18" s="4" t="s">
        <v>80</v>
      </c>
      <c r="J18" s="4" t="s">
        <v>80</v>
      </c>
      <c r="K18" s="4" t="s">
        <v>80</v>
      </c>
      <c r="L18" s="4" t="s">
        <v>80</v>
      </c>
      <c r="M18" s="4" t="s">
        <v>80</v>
      </c>
      <c r="N18" s="4" t="str">
        <f aca="false">IF(ARCH!M18="","",ARCH!M18)</f>
        <v>14x36</v>
      </c>
      <c r="O18" s="4" t="str">
        <f aca="false">IF(ARCH!M18="","",ARCH!M18)</f>
        <v>14x36</v>
      </c>
      <c r="P18" s="4" t="str">
        <f aca="false">IF(ARCH!M18="","",ARCH!M18)</f>
        <v>14x36</v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4" t="str">
        <f aca="false">IF(ARCH!F19="","",ARCH!F19)</f>
        <v>14x36</v>
      </c>
      <c r="F19" s="4" t="s">
        <v>80</v>
      </c>
      <c r="G19" s="4" t="s">
        <v>80</v>
      </c>
      <c r="H19" s="4" t="s">
        <v>80</v>
      </c>
      <c r="I19" s="4" t="s">
        <v>80</v>
      </c>
      <c r="J19" s="4" t="s">
        <v>80</v>
      </c>
      <c r="K19" s="4" t="s">
        <v>80</v>
      </c>
      <c r="L19" s="4" t="s">
        <v>80</v>
      </c>
      <c r="M19" s="4" t="s">
        <v>80</v>
      </c>
      <c r="N19" s="4" t="str">
        <f aca="false">IF(ARCH!M19="","",ARCH!M19)</f>
        <v>14x36</v>
      </c>
      <c r="O19" s="4" t="str">
        <f aca="false">IF(ARCH!M19="","",ARCH!M19)</f>
        <v>14x36</v>
      </c>
      <c r="P19" s="4" t="str">
        <f aca="false">IF(ARCH!M19="","",ARCH!M19)</f>
        <v>14x36</v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4" t="str">
        <f aca="false">IF(ARCH!F20="","",ARCH!F20)</f>
        <v>12x18</v>
      </c>
      <c r="F20" s="4" t="s">
        <v>262</v>
      </c>
      <c r="G20" s="4" t="s">
        <v>262</v>
      </c>
      <c r="H20" s="4" t="s">
        <v>262</v>
      </c>
      <c r="I20" s="4" t="s">
        <v>262</v>
      </c>
      <c r="J20" s="4" t="s">
        <v>262</v>
      </c>
      <c r="K20" s="4" t="s">
        <v>262</v>
      </c>
      <c r="L20" s="4" t="s">
        <v>262</v>
      </c>
      <c r="M20" s="4" t="s">
        <v>262</v>
      </c>
      <c r="N20" s="4" t="str">
        <f aca="false">IF(ARCH!M20="","",ARCH!M20)</f>
        <v>12x18</v>
      </c>
      <c r="O20" s="4" t="str">
        <f aca="false">IF(ARCH!M20="","",ARCH!M20)</f>
        <v>12x18</v>
      </c>
      <c r="P20" s="4" t="str">
        <f aca="false">IF(ARCH!M20="","",ARCH!M20)</f>
        <v>12x18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4" t="str">
        <f aca="false">IF(ARCH!F21="","",ARCH!F21)</f>
        <v>14x36</v>
      </c>
      <c r="F21" s="4" t="s">
        <v>80</v>
      </c>
      <c r="G21" s="4" t="s">
        <v>80</v>
      </c>
      <c r="H21" s="4" t="s">
        <v>80</v>
      </c>
      <c r="I21" s="4" t="s">
        <v>80</v>
      </c>
      <c r="J21" s="4" t="s">
        <v>80</v>
      </c>
      <c r="K21" s="4" t="s">
        <v>80</v>
      </c>
      <c r="L21" s="4" t="s">
        <v>80</v>
      </c>
      <c r="M21" s="4" t="s">
        <v>80</v>
      </c>
      <c r="N21" s="4" t="str">
        <f aca="false">IF(ARCH!M21="","",ARCH!M21)</f>
        <v>14x36</v>
      </c>
      <c r="O21" s="4" t="str">
        <f aca="false">IF(ARCH!M21="","",ARCH!M21)</f>
        <v>14x36</v>
      </c>
      <c r="P21" s="4" t="str">
        <f aca="false">IF(ARCH!M21="","",ARCH!M21)</f>
        <v>14x36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4" t="str">
        <f aca="false">IF(ARCH!F22="","",ARCH!F22)</f>
        <v>14x36</v>
      </c>
      <c r="F22" s="4" t="s">
        <v>80</v>
      </c>
      <c r="G22" s="4" t="s">
        <v>80</v>
      </c>
      <c r="H22" s="4" t="s">
        <v>80</v>
      </c>
      <c r="I22" s="4" t="s">
        <v>80</v>
      </c>
      <c r="J22" s="4" t="s">
        <v>80</v>
      </c>
      <c r="K22" s="4" t="s">
        <v>80</v>
      </c>
      <c r="L22" s="4" t="s">
        <v>80</v>
      </c>
      <c r="M22" s="4" t="s">
        <v>80</v>
      </c>
      <c r="N22" s="4" t="str">
        <f aca="false">IF(ARCH!M22="","",ARCH!M22)</f>
        <v>14x36</v>
      </c>
      <c r="O22" s="4" t="str">
        <f aca="false">IF(ARCH!M22="","",ARCH!M22)</f>
        <v>14x36</v>
      </c>
      <c r="P22" s="4" t="str">
        <f aca="false">IF(ARCH!M22="","",ARCH!M22)</f>
        <v>14x36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4" t="str">
        <f aca="false">IF(ARCH!F23="","",ARCH!F23)</f>
        <v>14x36</v>
      </c>
      <c r="F23" s="4" t="s">
        <v>80</v>
      </c>
      <c r="G23" s="4" t="s">
        <v>80</v>
      </c>
      <c r="H23" s="4" t="s">
        <v>80</v>
      </c>
      <c r="I23" s="4" t="s">
        <v>80</v>
      </c>
      <c r="J23" s="4" t="s">
        <v>80</v>
      </c>
      <c r="K23" s="4" t="s">
        <v>80</v>
      </c>
      <c r="L23" s="4" t="s">
        <v>80</v>
      </c>
      <c r="M23" s="4" t="s">
        <v>80</v>
      </c>
      <c r="N23" s="4" t="str">
        <f aca="false">IF(ARCH!M23="","",ARCH!M23)</f>
        <v>14x36</v>
      </c>
      <c r="O23" s="4" t="str">
        <f aca="false">IF(ARCH!M23="","",ARCH!M23)</f>
        <v>14x36</v>
      </c>
      <c r="P23" s="4" t="str">
        <f aca="false">IF(ARCH!M23="","",ARCH!M23)</f>
        <v>14x36</v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4" t="str">
        <f aca="false">IF(ARCH!F24="","",ARCH!F24)</f>
        <v>14x24</v>
      </c>
      <c r="F24" s="4" t="s">
        <v>76</v>
      </c>
      <c r="G24" s="4" t="s">
        <v>76</v>
      </c>
      <c r="H24" s="4" t="s">
        <v>76</v>
      </c>
      <c r="I24" s="4" t="s">
        <v>76</v>
      </c>
      <c r="J24" s="4" t="s">
        <v>76</v>
      </c>
      <c r="K24" s="4" t="s">
        <v>76</v>
      </c>
      <c r="L24" s="4" t="s">
        <v>76</v>
      </c>
      <c r="M24" s="4" t="s">
        <v>76</v>
      </c>
      <c r="N24" s="4" t="str">
        <f aca="false">IF(ARCH!M24="","",ARCH!M24)</f>
        <v>14x24</v>
      </c>
      <c r="O24" s="4" t="str">
        <f aca="false">IF(ARCH!M24="","",ARCH!M24)</f>
        <v>14x24</v>
      </c>
      <c r="P24" s="4" t="str">
        <f aca="false">IF(ARCH!M24="","",ARCH!M24)</f>
        <v>14x24</v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4" t="str">
        <f aca="false">IF(ARCH!F25="","",ARCH!F25)</f>
        <v>14x24</v>
      </c>
      <c r="F25" s="4" t="s">
        <v>76</v>
      </c>
      <c r="G25" s="4" t="s">
        <v>76</v>
      </c>
      <c r="H25" s="4" t="s">
        <v>76</v>
      </c>
      <c r="I25" s="4" t="s">
        <v>76</v>
      </c>
      <c r="J25" s="4" t="s">
        <v>76</v>
      </c>
      <c r="K25" s="4" t="s">
        <v>76</v>
      </c>
      <c r="L25" s="4" t="s">
        <v>76</v>
      </c>
      <c r="M25" s="4" t="s">
        <v>76</v>
      </c>
      <c r="N25" s="4" t="str">
        <f aca="false">IF(ARCH!M25="","",ARCH!M25)</f>
        <v>14x24</v>
      </c>
      <c r="O25" s="4" t="str">
        <f aca="false">IF(ARCH!M25="","",ARCH!M25)</f>
        <v>14x24</v>
      </c>
      <c r="P25" s="4" t="str">
        <f aca="false">IF(ARCH!M25="","",ARCH!M25)</f>
        <v>14x24</v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4" t="str">
        <f aca="false">IF(ARCH!F26="","",ARCH!F26)</f>
        <v>14x36</v>
      </c>
      <c r="F26" s="4" t="s">
        <v>80</v>
      </c>
      <c r="G26" s="4" t="s">
        <v>80</v>
      </c>
      <c r="H26" s="4" t="s">
        <v>80</v>
      </c>
      <c r="I26" s="4" t="s">
        <v>80</v>
      </c>
      <c r="J26" s="4" t="s">
        <v>80</v>
      </c>
      <c r="K26" s="4" t="s">
        <v>80</v>
      </c>
      <c r="L26" s="4" t="s">
        <v>80</v>
      </c>
      <c r="M26" s="4" t="s">
        <v>80</v>
      </c>
      <c r="N26" s="4" t="str">
        <f aca="false">IF(ARCH!M26="","",ARCH!M26)</f>
        <v>14x36</v>
      </c>
      <c r="O26" s="4" t="str">
        <f aca="false">IF(ARCH!M26="","",ARCH!M26)</f>
        <v>14x36</v>
      </c>
      <c r="P26" s="4" t="str">
        <f aca="false">IF(ARCH!M26="","",ARCH!M26)</f>
        <v>14x36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4" t="str">
        <f aca="false">IF(ARCH!F27="","",ARCH!F27)</f>
        <v>14x24</v>
      </c>
      <c r="F27" s="4" t="s">
        <v>76</v>
      </c>
      <c r="G27" s="4" t="s">
        <v>76</v>
      </c>
      <c r="H27" s="4" t="s">
        <v>76</v>
      </c>
      <c r="I27" s="4" t="s">
        <v>76</v>
      </c>
      <c r="J27" s="4" t="s">
        <v>76</v>
      </c>
      <c r="K27" s="4" t="s">
        <v>76</v>
      </c>
      <c r="L27" s="4" t="s">
        <v>76</v>
      </c>
      <c r="M27" s="4" t="s">
        <v>76</v>
      </c>
      <c r="N27" s="4" t="str">
        <f aca="false">IF(ARCH!M27="","",ARCH!M27)</f>
        <v>14x24</v>
      </c>
      <c r="O27" s="4" t="str">
        <f aca="false">IF(ARCH!M27="","",ARCH!M27)</f>
        <v>14x24</v>
      </c>
      <c r="P27" s="4" t="str">
        <f aca="false">IF(ARCH!M27="","",ARCH!M27)</f>
        <v>14x24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4" t="str">
        <f aca="false">IF(ARCH!F28="","",ARCH!F28)</f>
        <v>14x36</v>
      </c>
      <c r="F28" s="4" t="s">
        <v>80</v>
      </c>
      <c r="G28" s="4" t="s">
        <v>80</v>
      </c>
      <c r="H28" s="4" t="s">
        <v>80</v>
      </c>
      <c r="I28" s="4" t="s">
        <v>80</v>
      </c>
      <c r="J28" s="4" t="s">
        <v>80</v>
      </c>
      <c r="K28" s="4" t="s">
        <v>80</v>
      </c>
      <c r="L28" s="4" t="s">
        <v>80</v>
      </c>
      <c r="M28" s="4" t="s">
        <v>80</v>
      </c>
      <c r="N28" s="4" t="str">
        <f aca="false">IF(ARCH!M28="","",ARCH!M28)</f>
        <v>14x36</v>
      </c>
      <c r="O28" s="4" t="str">
        <f aca="false">IF(ARCH!M28="","",ARCH!M28)</f>
        <v>14x36</v>
      </c>
      <c r="P28" s="4" t="str">
        <f aca="false">IF(ARCH!M28="","",ARCH!M28)</f>
        <v>14x36</v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4" t="str">
        <f aca="false">IF(ARCH!F29="","",ARCH!F29)</f>
        <v>14x36</v>
      </c>
      <c r="F29" s="4" t="s">
        <v>80</v>
      </c>
      <c r="G29" s="4" t="s">
        <v>80</v>
      </c>
      <c r="H29" s="4" t="s">
        <v>80</v>
      </c>
      <c r="I29" s="4" t="s">
        <v>80</v>
      </c>
      <c r="J29" s="4" t="s">
        <v>80</v>
      </c>
      <c r="K29" s="4" t="s">
        <v>80</v>
      </c>
      <c r="L29" s="4" t="s">
        <v>80</v>
      </c>
      <c r="M29" s="4" t="s">
        <v>80</v>
      </c>
      <c r="N29" s="4" t="str">
        <f aca="false">IF(ARCH!M29="","",ARCH!M29)</f>
        <v>14x36</v>
      </c>
      <c r="O29" s="4" t="str">
        <f aca="false">IF(ARCH!M29="","",ARCH!M29)</f>
        <v>14x36</v>
      </c>
      <c r="P29" s="4" t="str">
        <f aca="false">IF(ARCH!M29="","",ARCH!M29)</f>
        <v>14x36</v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4" t="str">
        <f aca="false">IF(ARCH!F30="","",ARCH!F30)</f>
        <v>14x24</v>
      </c>
      <c r="F30" s="4" t="s">
        <v>76</v>
      </c>
      <c r="G30" s="4" t="s">
        <v>76</v>
      </c>
      <c r="H30" s="4" t="s">
        <v>76</v>
      </c>
      <c r="I30" s="4" t="s">
        <v>76</v>
      </c>
      <c r="J30" s="4" t="s">
        <v>76</v>
      </c>
      <c r="K30" s="4" t="s">
        <v>76</v>
      </c>
      <c r="L30" s="4" t="s">
        <v>76</v>
      </c>
      <c r="M30" s="4" t="s">
        <v>76</v>
      </c>
      <c r="N30" s="4" t="str">
        <f aca="false">IF(ARCH!M30="","",ARCH!M30)</f>
        <v>14x24</v>
      </c>
      <c r="O30" s="4" t="str">
        <f aca="false">IF(ARCH!M30="","",ARCH!M30)</f>
        <v>14x24</v>
      </c>
      <c r="P30" s="4" t="str">
        <f aca="false">IF(ARCH!M30="","",ARCH!M30)</f>
        <v>14x24</v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4" t="str">
        <f aca="false">IF(ARCH!F31="","",ARCH!F31)</f>
        <v>14x36</v>
      </c>
      <c r="F31" s="4" t="s">
        <v>80</v>
      </c>
      <c r="G31" s="4" t="s">
        <v>80</v>
      </c>
      <c r="H31" s="4" t="s">
        <v>80</v>
      </c>
      <c r="I31" s="4" t="s">
        <v>80</v>
      </c>
      <c r="J31" s="4" t="s">
        <v>80</v>
      </c>
      <c r="K31" s="4" t="s">
        <v>80</v>
      </c>
      <c r="L31" s="4" t="s">
        <v>80</v>
      </c>
      <c r="M31" s="4" t="s">
        <v>80</v>
      </c>
      <c r="N31" s="4" t="str">
        <f aca="false">IF(ARCH!M31="","",ARCH!M31)</f>
        <v>14x36</v>
      </c>
      <c r="O31" s="4" t="str">
        <f aca="false">IF(ARCH!M31="","",ARCH!M31)</f>
        <v>14x36</v>
      </c>
      <c r="P31" s="4" t="str">
        <f aca="false">IF(ARCH!M31="","",ARCH!M31)</f>
        <v>14x36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4" t="str">
        <f aca="false">IF(ARCH!F32="","",ARCH!F32)</f>
        <v>14x36</v>
      </c>
      <c r="F32" s="4" t="s">
        <v>80</v>
      </c>
      <c r="G32" s="4" t="s">
        <v>80</v>
      </c>
      <c r="H32" s="4" t="s">
        <v>80</v>
      </c>
      <c r="I32" s="4" t="s">
        <v>80</v>
      </c>
      <c r="J32" s="4" t="s">
        <v>80</v>
      </c>
      <c r="K32" s="4" t="s">
        <v>80</v>
      </c>
      <c r="L32" s="4" t="s">
        <v>80</v>
      </c>
      <c r="M32" s="4" t="s">
        <v>80</v>
      </c>
      <c r="N32" s="4" t="str">
        <f aca="false">IF(ARCH!M32="","",ARCH!M32)</f>
        <v>14x36</v>
      </c>
      <c r="O32" s="4" t="str">
        <f aca="false">IF(ARCH!M32="","",ARCH!M32)</f>
        <v>14x36</v>
      </c>
      <c r="P32" s="4" t="str">
        <f aca="false">IF(ARCH!M32="","",ARCH!M32)</f>
        <v>14x36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4" t="str">
        <f aca="false">IF(ARCH!F33="","",ARCH!F33)</f>
        <v>14x24</v>
      </c>
      <c r="F33" s="4" t="s">
        <v>76</v>
      </c>
      <c r="G33" s="4" t="s">
        <v>80</v>
      </c>
      <c r="H33" s="4" t="s">
        <v>80</v>
      </c>
      <c r="I33" s="4" t="s">
        <v>80</v>
      </c>
      <c r="J33" s="4" t="s">
        <v>80</v>
      </c>
      <c r="K33" s="4" t="s">
        <v>80</v>
      </c>
      <c r="L33" s="4" t="s">
        <v>80</v>
      </c>
      <c r="M33" s="4" t="s">
        <v>80</v>
      </c>
      <c r="N33" s="4" t="str">
        <f aca="false">IF(ARCH!M33="","",ARCH!M33)</f>
        <v>14x36</v>
      </c>
      <c r="O33" s="4" t="str">
        <f aca="false">IF(ARCH!M33="","",ARCH!M33)</f>
        <v>14x36</v>
      </c>
      <c r="P33" s="4" t="str">
        <f aca="false">IF(ARCH!M33="","",ARCH!M33)</f>
        <v>14x36</v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4" t="str">
        <f aca="false">IF(ARCH!F34="","",ARCH!F34)</f>
        <v>14x36</v>
      </c>
      <c r="F34" s="4" t="s">
        <v>80</v>
      </c>
      <c r="G34" s="4" t="s">
        <v>80</v>
      </c>
      <c r="H34" s="4" t="s">
        <v>80</v>
      </c>
      <c r="I34" s="4" t="s">
        <v>80</v>
      </c>
      <c r="J34" s="4" t="s">
        <v>80</v>
      </c>
      <c r="K34" s="4" t="s">
        <v>80</v>
      </c>
      <c r="L34" s="4" t="s">
        <v>80</v>
      </c>
      <c r="M34" s="4" t="s">
        <v>80</v>
      </c>
      <c r="N34" s="4" t="str">
        <f aca="false">IF(ARCH!M34="","",ARCH!M34)</f>
        <v>14x36</v>
      </c>
      <c r="O34" s="4" t="str">
        <f aca="false">IF(ARCH!M34="","",ARCH!M34)</f>
        <v>14x36</v>
      </c>
      <c r="P34" s="4" t="str">
        <f aca="false">IF(ARCH!M34="","",ARCH!M34)</f>
        <v>14x36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4" t="str">
        <f aca="false">IF(ARCH!F35="","",ARCH!F35)</f>
        <v/>
      </c>
      <c r="F35" s="4"/>
      <c r="G35" s="4" t="s">
        <v>80</v>
      </c>
      <c r="H35" s="4" t="s">
        <v>80</v>
      </c>
      <c r="I35" s="4" t="s">
        <v>80</v>
      </c>
      <c r="J35" s="4" t="s">
        <v>80</v>
      </c>
      <c r="K35" s="4" t="s">
        <v>80</v>
      </c>
      <c r="L35" s="4" t="s">
        <v>80</v>
      </c>
      <c r="M35" s="4" t="s">
        <v>80</v>
      </c>
      <c r="N35" s="4" t="str">
        <f aca="false">IF(ARCH!M35="","",ARCH!M35)</f>
        <v>14x36</v>
      </c>
      <c r="O35" s="4" t="str">
        <f aca="false">IF(ARCH!M35="","",ARCH!M35)</f>
        <v>14x36</v>
      </c>
      <c r="P35" s="4" t="str">
        <f aca="false">IF(ARCH!M35="","",ARCH!M35)</f>
        <v>14x36</v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4" t="str">
        <f aca="false">IF(ARCH!F36="","",ARCH!F36)</f>
        <v>14x36</v>
      </c>
      <c r="F36" s="4" t="s">
        <v>80</v>
      </c>
      <c r="G36" s="4" t="s">
        <v>80</v>
      </c>
      <c r="H36" s="4" t="s">
        <v>80</v>
      </c>
      <c r="I36" s="4" t="s">
        <v>80</v>
      </c>
      <c r="J36" s="4" t="s">
        <v>80</v>
      </c>
      <c r="K36" s="4" t="s">
        <v>80</v>
      </c>
      <c r="L36" s="4" t="s">
        <v>80</v>
      </c>
      <c r="M36" s="4" t="s">
        <v>80</v>
      </c>
      <c r="N36" s="4" t="str">
        <f aca="false">IF(ARCH!M36="","",ARCH!M36)</f>
        <v>14x36</v>
      </c>
      <c r="O36" s="4" t="str">
        <f aca="false">IF(ARCH!M36="","",ARCH!M36)</f>
        <v>14x36</v>
      </c>
      <c r="P36" s="4" t="str">
        <f aca="false">IF(ARCH!M36="","",ARCH!M36)</f>
        <v>14x36</v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4" t="str">
        <f aca="false">IF(ARCH!F37="","",ARCH!F37)</f>
        <v>14x36</v>
      </c>
      <c r="F37" s="4" t="s">
        <v>80</v>
      </c>
      <c r="G37" s="4" t="s">
        <v>80</v>
      </c>
      <c r="H37" s="4" t="s">
        <v>80</v>
      </c>
      <c r="I37" s="4" t="s">
        <v>80</v>
      </c>
      <c r="J37" s="4" t="s">
        <v>80</v>
      </c>
      <c r="K37" s="4" t="s">
        <v>80</v>
      </c>
      <c r="L37" s="4" t="s">
        <v>80</v>
      </c>
      <c r="M37" s="4" t="s">
        <v>80</v>
      </c>
      <c r="N37" s="4" t="str">
        <f aca="false">IF(ARCH!M37="","",ARCH!M37)</f>
        <v>14x36</v>
      </c>
      <c r="O37" s="4" t="str">
        <f aca="false">IF(ARCH!M37="","",ARCH!M37)</f>
        <v>14x36</v>
      </c>
      <c r="P37" s="4" t="str">
        <f aca="false">IF(ARCH!M37="","",ARCH!M37)</f>
        <v>14x36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4" t="str">
        <f aca="false">IF(ARCH!F38="","",ARCH!F38)</f>
        <v>14x24</v>
      </c>
      <c r="F38" s="4" t="s">
        <v>76</v>
      </c>
      <c r="G38" s="4" t="s">
        <v>76</v>
      </c>
      <c r="H38" s="4" t="s">
        <v>76</v>
      </c>
      <c r="I38" s="4" t="s">
        <v>76</v>
      </c>
      <c r="J38" s="4" t="s">
        <v>76</v>
      </c>
      <c r="K38" s="4" t="s">
        <v>76</v>
      </c>
      <c r="L38" s="4" t="s">
        <v>76</v>
      </c>
      <c r="M38" s="4" t="s">
        <v>76</v>
      </c>
      <c r="N38" s="4" t="str">
        <f aca="false">IF(ARCH!M38="","",ARCH!M38)</f>
        <v>14x24</v>
      </c>
      <c r="O38" s="4" t="str">
        <f aca="false">IF(ARCH!M38="","",ARCH!M38)</f>
        <v>14x24</v>
      </c>
      <c r="P38" s="4" t="str">
        <f aca="false">IF(ARCH!M38="","",ARCH!M38)</f>
        <v>14x24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4" t="str">
        <f aca="false">IF(ARCH!F39="","",ARCH!F39)</f>
        <v>14x24</v>
      </c>
      <c r="F39" s="4" t="s">
        <v>76</v>
      </c>
      <c r="G39" s="4" t="s">
        <v>76</v>
      </c>
      <c r="H39" s="4" t="s">
        <v>76</v>
      </c>
      <c r="I39" s="4" t="s">
        <v>76</v>
      </c>
      <c r="J39" s="4" t="s">
        <v>76</v>
      </c>
      <c r="K39" s="4" t="s">
        <v>76</v>
      </c>
      <c r="L39" s="4" t="s">
        <v>76</v>
      </c>
      <c r="M39" s="4" t="s">
        <v>76</v>
      </c>
      <c r="N39" s="4" t="str">
        <f aca="false">IF(ARCH!M39="","",ARCH!M39)</f>
        <v>14x24</v>
      </c>
      <c r="O39" s="4" t="str">
        <f aca="false">IF(ARCH!M39="","",ARCH!M39)</f>
        <v>14x24</v>
      </c>
      <c r="P39" s="4" t="str">
        <f aca="false">IF(ARCH!M39="","",ARCH!M39)</f>
        <v>14x24</v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4" t="str">
        <f aca="false">IF(ARCH!F40="","",ARCH!F40)</f>
        <v>14x36</v>
      </c>
      <c r="F40" s="4" t="s">
        <v>80</v>
      </c>
      <c r="G40" s="4" t="s">
        <v>80</v>
      </c>
      <c r="H40" s="4" t="s">
        <v>80</v>
      </c>
      <c r="I40" s="4" t="s">
        <v>80</v>
      </c>
      <c r="J40" s="4" t="s">
        <v>80</v>
      </c>
      <c r="K40" s="4" t="s">
        <v>80</v>
      </c>
      <c r="L40" s="4" t="s">
        <v>80</v>
      </c>
      <c r="M40" s="4" t="s">
        <v>80</v>
      </c>
      <c r="N40" s="4" t="str">
        <f aca="false">IF(ARCH!M40="","",ARCH!M40)</f>
        <v>14x36</v>
      </c>
      <c r="O40" s="4" t="str">
        <f aca="false">IF(ARCH!M40="","",ARCH!M40)</f>
        <v>14x36</v>
      </c>
      <c r="P40" s="4" t="str">
        <f aca="false">IF(ARCH!M40="","",ARCH!M40)</f>
        <v>14x36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4" t="str">
        <f aca="false">IF(ARCH!F41="","",ARCH!F41)</f>
        <v>14x36</v>
      </c>
      <c r="F41" s="4" t="s">
        <v>80</v>
      </c>
      <c r="G41" s="4" t="s">
        <v>80</v>
      </c>
      <c r="H41" s="4" t="s">
        <v>80</v>
      </c>
      <c r="I41" s="4" t="s">
        <v>80</v>
      </c>
      <c r="J41" s="4" t="s">
        <v>80</v>
      </c>
      <c r="K41" s="4" t="s">
        <v>80</v>
      </c>
      <c r="L41" s="4" t="s">
        <v>80</v>
      </c>
      <c r="M41" s="4" t="s">
        <v>80</v>
      </c>
      <c r="N41" s="4" t="str">
        <f aca="false">IF(ARCH!M41="","",ARCH!M41)</f>
        <v>14x36</v>
      </c>
      <c r="O41" s="4" t="str">
        <f aca="false">IF(ARCH!M41="","",ARCH!M41)</f>
        <v>14x36</v>
      </c>
      <c r="P41" s="4" t="str">
        <f aca="false">IF(ARCH!M41="","",ARCH!M41)</f>
        <v>14x36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4" t="str">
        <f aca="false">IF(ARCH!F42="","",ARCH!F42)</f>
        <v>14x24</v>
      </c>
      <c r="F42" s="4" t="s">
        <v>76</v>
      </c>
      <c r="G42" s="4" t="s">
        <v>76</v>
      </c>
      <c r="H42" s="4" t="s">
        <v>76</v>
      </c>
      <c r="I42" s="4" t="s">
        <v>76</v>
      </c>
      <c r="J42" s="4" t="s">
        <v>76</v>
      </c>
      <c r="K42" s="4" t="s">
        <v>76</v>
      </c>
      <c r="L42" s="4" t="s">
        <v>76</v>
      </c>
      <c r="M42" s="4" t="s">
        <v>76</v>
      </c>
      <c r="N42" s="4" t="str">
        <f aca="false">IF(ARCH!M42="","",ARCH!M42)</f>
        <v>14x24</v>
      </c>
      <c r="O42" s="4" t="str">
        <f aca="false">IF(ARCH!M42="","",ARCH!M42)</f>
        <v>14x24</v>
      </c>
      <c r="P42" s="4" t="str">
        <f aca="false">IF(ARCH!M42="","",ARCH!M42)</f>
        <v>14x24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4" t="str">
        <f aca="false">IF(ARCH!F43="","",ARCH!F43)</f>
        <v>14x36</v>
      </c>
      <c r="F43" s="4" t="s">
        <v>80</v>
      </c>
      <c r="G43" s="4" t="s">
        <v>80</v>
      </c>
      <c r="H43" s="4" t="s">
        <v>80</v>
      </c>
      <c r="I43" s="4" t="s">
        <v>80</v>
      </c>
      <c r="J43" s="4" t="s">
        <v>80</v>
      </c>
      <c r="K43" s="4" t="s">
        <v>80</v>
      </c>
      <c r="L43" s="4" t="s">
        <v>80</v>
      </c>
      <c r="M43" s="4" t="s">
        <v>80</v>
      </c>
      <c r="N43" s="4" t="str">
        <f aca="false">IF(ARCH!M43="","",ARCH!M43)</f>
        <v>14x36</v>
      </c>
      <c r="O43" s="4" t="str">
        <f aca="false">IF(ARCH!M43="","",ARCH!M43)</f>
        <v>14x36</v>
      </c>
      <c r="P43" s="4" t="str">
        <f aca="false">IF(ARCH!M43="","",ARCH!M43)</f>
        <v>14x36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4" t="str">
        <f aca="false">IF(ARCH!F44="","",ARCH!F44)</f>
        <v>14x24</v>
      </c>
      <c r="F44" s="4" t="s">
        <v>76</v>
      </c>
      <c r="G44" s="4" t="s">
        <v>76</v>
      </c>
      <c r="H44" s="4" t="s">
        <v>76</v>
      </c>
      <c r="I44" s="4" t="s">
        <v>76</v>
      </c>
      <c r="J44" s="4" t="s">
        <v>76</v>
      </c>
      <c r="K44" s="4" t="s">
        <v>76</v>
      </c>
      <c r="L44" s="4" t="s">
        <v>76</v>
      </c>
      <c r="M44" s="4" t="s">
        <v>76</v>
      </c>
      <c r="N44" s="4" t="str">
        <f aca="false">IF(ARCH!M44="","",ARCH!M44)</f>
        <v>14x24</v>
      </c>
      <c r="O44" s="4" t="str">
        <f aca="false">IF(ARCH!M44="","",ARCH!M44)</f>
        <v>14x24</v>
      </c>
      <c r="P44" s="4" t="str">
        <f aca="false">IF(ARCH!M44="","",ARCH!M44)</f>
        <v>14x24</v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4" t="str">
        <f aca="false">IF(ARCH!F45="","",ARCH!F45)</f>
        <v>14x24</v>
      </c>
      <c r="F45" s="4" t="s">
        <v>76</v>
      </c>
      <c r="G45" s="4" t="s">
        <v>76</v>
      </c>
      <c r="H45" s="4" t="s">
        <v>76</v>
      </c>
      <c r="I45" s="4" t="s">
        <v>76</v>
      </c>
      <c r="J45" s="4" t="s">
        <v>76</v>
      </c>
      <c r="K45" s="4" t="s">
        <v>76</v>
      </c>
      <c r="L45" s="4" t="s">
        <v>76</v>
      </c>
      <c r="M45" s="4" t="s">
        <v>76</v>
      </c>
      <c r="N45" s="4" t="str">
        <f aca="false">IF(ARCH!M45="","",ARCH!M45)</f>
        <v>14x24</v>
      </c>
      <c r="O45" s="4" t="str">
        <f aca="false">IF(ARCH!M45="","",ARCH!M45)</f>
        <v>14x24</v>
      </c>
      <c r="P45" s="4" t="str">
        <f aca="false">IF(ARCH!M45="","",ARCH!M45)</f>
        <v>14x24</v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4" t="str">
        <f aca="false">IF(ARCH!F46="","",ARCH!F46)</f>
        <v>14x36</v>
      </c>
      <c r="F46" s="4" t="s">
        <v>80</v>
      </c>
      <c r="G46" s="4" t="s">
        <v>80</v>
      </c>
      <c r="H46" s="4" t="s">
        <v>80</v>
      </c>
      <c r="I46" s="4" t="s">
        <v>80</v>
      </c>
      <c r="J46" s="4" t="s">
        <v>80</v>
      </c>
      <c r="K46" s="4" t="s">
        <v>80</v>
      </c>
      <c r="L46" s="4" t="s">
        <v>80</v>
      </c>
      <c r="M46" s="4" t="s">
        <v>80</v>
      </c>
      <c r="N46" s="4" t="str">
        <f aca="false">IF(ARCH!M46="","",ARCH!M46)</f>
        <v>14x36</v>
      </c>
      <c r="O46" s="4" t="str">
        <f aca="false">IF(ARCH!M46="","",ARCH!M46)</f>
        <v>14x36</v>
      </c>
      <c r="P46" s="4" t="str">
        <f aca="false">IF(ARCH!M46="","",ARCH!M46)</f>
        <v>14x36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4" t="str">
        <f aca="false">IF(ARCH!F47="","",ARCH!F47)</f>
        <v>14x36</v>
      </c>
      <c r="F47" s="4" t="s">
        <v>80</v>
      </c>
      <c r="G47" s="4" t="s">
        <v>80</v>
      </c>
      <c r="H47" s="4" t="s">
        <v>80</v>
      </c>
      <c r="I47" s="4" t="s">
        <v>80</v>
      </c>
      <c r="J47" s="4" t="s">
        <v>80</v>
      </c>
      <c r="K47" s="4" t="s">
        <v>80</v>
      </c>
      <c r="L47" s="4" t="s">
        <v>80</v>
      </c>
      <c r="M47" s="4" t="s">
        <v>80</v>
      </c>
      <c r="N47" s="4" t="str">
        <f aca="false">IF(ARCH!M47="","",ARCH!M47)</f>
        <v>14x36</v>
      </c>
      <c r="O47" s="4" t="str">
        <f aca="false">IF(ARCH!M47="","",ARCH!M47)</f>
        <v>14x36</v>
      </c>
      <c r="P47" s="4" t="str">
        <f aca="false">IF(ARCH!M47="","",ARCH!M47)</f>
        <v>14x36</v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4" t="str">
        <f aca="false">IF(ARCH!F48="","",ARCH!F48)</f>
        <v>14x24</v>
      </c>
      <c r="F48" s="4" t="s">
        <v>76</v>
      </c>
      <c r="G48" s="4" t="s">
        <v>76</v>
      </c>
      <c r="H48" s="4" t="s">
        <v>76</v>
      </c>
      <c r="I48" s="4" t="s">
        <v>76</v>
      </c>
      <c r="J48" s="4" t="s">
        <v>76</v>
      </c>
      <c r="K48" s="4" t="s">
        <v>76</v>
      </c>
      <c r="L48" s="4" t="s">
        <v>76</v>
      </c>
      <c r="M48" s="4" t="s">
        <v>76</v>
      </c>
      <c r="N48" s="4" t="str">
        <f aca="false">IF(ARCH!M48="","",ARCH!M48)</f>
        <v>14x24</v>
      </c>
      <c r="O48" s="4" t="str">
        <f aca="false">IF(ARCH!M48="","",ARCH!M48)</f>
        <v>14x24</v>
      </c>
      <c r="P48" s="4" t="str">
        <f aca="false">IF(ARCH!M48="","",ARCH!M48)</f>
        <v>14x24</v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4" t="str">
        <f aca="false">IF(ARCH!F49="","",ARCH!F49)</f>
        <v>14x24</v>
      </c>
      <c r="F49" s="4" t="s">
        <v>76</v>
      </c>
      <c r="G49" s="4" t="s">
        <v>76</v>
      </c>
      <c r="H49" s="4" t="s">
        <v>76</v>
      </c>
      <c r="I49" s="4" t="s">
        <v>76</v>
      </c>
      <c r="J49" s="4" t="s">
        <v>76</v>
      </c>
      <c r="K49" s="4" t="s">
        <v>76</v>
      </c>
      <c r="L49" s="4" t="s">
        <v>76</v>
      </c>
      <c r="M49" s="4" t="s">
        <v>76</v>
      </c>
      <c r="N49" s="4" t="str">
        <f aca="false">IF(ARCH!M49="","",ARCH!M49)</f>
        <v>14x24</v>
      </c>
      <c r="O49" s="4" t="str">
        <f aca="false">IF(ARCH!M49="","",ARCH!M49)</f>
        <v>14x24</v>
      </c>
      <c r="P49" s="4" t="str">
        <f aca="false">IF(ARCH!M49="","",ARCH!M49)</f>
        <v>14x24</v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4" t="str">
        <f aca="false">IF(ARCH!F50="","",ARCH!F50)</f>
        <v>14x24</v>
      </c>
      <c r="F50" s="4" t="s">
        <v>76</v>
      </c>
      <c r="G50" s="4" t="s">
        <v>76</v>
      </c>
      <c r="H50" s="4" t="s">
        <v>76</v>
      </c>
      <c r="I50" s="4" t="s">
        <v>76</v>
      </c>
      <c r="J50" s="4" t="s">
        <v>76</v>
      </c>
      <c r="K50" s="4" t="s">
        <v>76</v>
      </c>
      <c r="L50" s="4" t="s">
        <v>76</v>
      </c>
      <c r="M50" s="4" t="s">
        <v>76</v>
      </c>
      <c r="N50" s="4" t="str">
        <f aca="false">IF(ARCH!M50="","",ARCH!M50)</f>
        <v>14x24</v>
      </c>
      <c r="O50" s="4" t="str">
        <f aca="false">IF(ARCH!M50="","",ARCH!M50)</f>
        <v>14x24</v>
      </c>
      <c r="P50" s="4" t="str">
        <f aca="false">IF(ARCH!M50="","",ARCH!M50)</f>
        <v>14x24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4" t="str">
        <f aca="false">IF(ARCH!F51="","",ARCH!F51)</f>
        <v>14x24</v>
      </c>
      <c r="F51" s="4" t="s">
        <v>76</v>
      </c>
      <c r="G51" s="4" t="s">
        <v>76</v>
      </c>
      <c r="H51" s="4" t="s">
        <v>76</v>
      </c>
      <c r="I51" s="4" t="s">
        <v>76</v>
      </c>
      <c r="J51" s="4" t="s">
        <v>76</v>
      </c>
      <c r="K51" s="4" t="s">
        <v>76</v>
      </c>
      <c r="L51" s="4" t="s">
        <v>76</v>
      </c>
      <c r="M51" s="4" t="s">
        <v>76</v>
      </c>
      <c r="N51" s="4" t="str">
        <f aca="false">IF(ARCH!M51="","",ARCH!M51)</f>
        <v>14x24</v>
      </c>
      <c r="O51" s="4" t="str">
        <f aca="false">IF(ARCH!M51="","",ARCH!M51)</f>
        <v>14x24</v>
      </c>
      <c r="P51" s="4" t="str">
        <f aca="false">IF(ARCH!M51="","",ARCH!M51)</f>
        <v>14x24</v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4" t="str">
        <f aca="false">IF(ARCH!F52="","",ARCH!F52)</f>
        <v>14x24</v>
      </c>
      <c r="F52" s="4" t="s">
        <v>76</v>
      </c>
      <c r="G52" s="4" t="s">
        <v>76</v>
      </c>
      <c r="H52" s="4" t="s">
        <v>76</v>
      </c>
      <c r="I52" s="4" t="s">
        <v>76</v>
      </c>
      <c r="J52" s="4" t="s">
        <v>76</v>
      </c>
      <c r="K52" s="4" t="s">
        <v>76</v>
      </c>
      <c r="L52" s="4" t="s">
        <v>76</v>
      </c>
      <c r="M52" s="4" t="s">
        <v>76</v>
      </c>
      <c r="N52" s="4" t="str">
        <f aca="false">IF(ARCH!M52="","",ARCH!M52)</f>
        <v>14x24</v>
      </c>
      <c r="O52" s="4" t="str">
        <f aca="false">IF(ARCH!M52="","",ARCH!M52)</f>
        <v>14x24</v>
      </c>
      <c r="P52" s="4" t="str">
        <f aca="false">IF(ARCH!M52="","",ARCH!M52)</f>
        <v>14x24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4" t="str">
        <f aca="false">IF(ARCH!F53="","",ARCH!F53)</f>
        <v>14x24</v>
      </c>
      <c r="F53" s="4" t="s">
        <v>76</v>
      </c>
      <c r="G53" s="4" t="s">
        <v>76</v>
      </c>
      <c r="H53" s="4" t="s">
        <v>76</v>
      </c>
      <c r="I53" s="4" t="s">
        <v>76</v>
      </c>
      <c r="J53" s="4" t="s">
        <v>76</v>
      </c>
      <c r="K53" s="4" t="s">
        <v>76</v>
      </c>
      <c r="L53" s="4" t="s">
        <v>76</v>
      </c>
      <c r="M53" s="4" t="s">
        <v>76</v>
      </c>
      <c r="N53" s="4" t="str">
        <f aca="false">IF(ARCH!M53="","",ARCH!M53)</f>
        <v>14x24</v>
      </c>
      <c r="O53" s="4" t="str">
        <f aca="false">IF(ARCH!M53="","",ARCH!M53)</f>
        <v>14x24</v>
      </c>
      <c r="P53" s="4" t="str">
        <f aca="false">IF(ARCH!M53="","",ARCH!M53)</f>
        <v>14x24</v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4" t="str">
        <f aca="false">IF(ARCH!F54="","",ARCH!F54)</f>
        <v>14x24</v>
      </c>
      <c r="F54" s="4" t="s">
        <v>76</v>
      </c>
      <c r="G54" s="4" t="s">
        <v>76</v>
      </c>
      <c r="H54" s="4" t="s">
        <v>76</v>
      </c>
      <c r="I54" s="4" t="s">
        <v>76</v>
      </c>
      <c r="J54" s="4" t="s">
        <v>76</v>
      </c>
      <c r="K54" s="4" t="s">
        <v>76</v>
      </c>
      <c r="L54" s="4" t="s">
        <v>76</v>
      </c>
      <c r="M54" s="4" t="s">
        <v>76</v>
      </c>
      <c r="N54" s="4" t="str">
        <f aca="false">IF(ARCH!M54="","",ARCH!M54)</f>
        <v>14x24</v>
      </c>
      <c r="O54" s="4" t="str">
        <f aca="false">IF(ARCH!M54="","",ARCH!M54)</f>
        <v>14x24</v>
      </c>
      <c r="P54" s="4" t="str">
        <f aca="false">IF(ARCH!M54="","",ARCH!M54)</f>
        <v>14x24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4" t="str">
        <f aca="false">IF(ARCH!F55="","",ARCH!F55)</f>
        <v>14x24</v>
      </c>
      <c r="F55" s="4" t="s">
        <v>76</v>
      </c>
      <c r="G55" s="4" t="s">
        <v>76</v>
      </c>
      <c r="H55" s="4" t="s">
        <v>76</v>
      </c>
      <c r="I55" s="4" t="s">
        <v>76</v>
      </c>
      <c r="J55" s="4" t="s">
        <v>76</v>
      </c>
      <c r="K55" s="4" t="s">
        <v>76</v>
      </c>
      <c r="L55" s="4" t="s">
        <v>76</v>
      </c>
      <c r="M55" s="4" t="s">
        <v>76</v>
      </c>
      <c r="N55" s="4" t="str">
        <f aca="false">IF(ARCH!M55="","",ARCH!M55)</f>
        <v>14x24</v>
      </c>
      <c r="O55" s="4" t="str">
        <f aca="false">IF(ARCH!M55="","",ARCH!M55)</f>
        <v>14x24</v>
      </c>
      <c r="P55" s="4" t="str">
        <f aca="false">IF(ARCH!M55="","",ARCH!M55)</f>
        <v>14x24</v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4" t="str">
        <f aca="false">IF(ARCH!F56="","",ARCH!F56)</f>
        <v>14x36</v>
      </c>
      <c r="F56" s="4" t="s">
        <v>80</v>
      </c>
      <c r="G56" s="4" t="s">
        <v>80</v>
      </c>
      <c r="H56" s="4" t="s">
        <v>80</v>
      </c>
      <c r="I56" s="4" t="s">
        <v>80</v>
      </c>
      <c r="J56" s="4" t="s">
        <v>80</v>
      </c>
      <c r="K56" s="4" t="s">
        <v>80</v>
      </c>
      <c r="L56" s="4" t="s">
        <v>80</v>
      </c>
      <c r="M56" s="4" t="s">
        <v>80</v>
      </c>
      <c r="N56" s="4" t="str">
        <f aca="false">IF(ARCH!M56="","",ARCH!M56)</f>
        <v>14x36</v>
      </c>
      <c r="O56" s="4" t="str">
        <f aca="false">IF(ARCH!M56="","",ARCH!M56)</f>
        <v>14x36</v>
      </c>
      <c r="P56" s="4" t="str">
        <f aca="false">IF(ARCH!M56="","",ARCH!M56)</f>
        <v>14x36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4" t="str">
        <f aca="false">IF(ARCH!F57="","",ARCH!F57)</f>
        <v>14x24</v>
      </c>
      <c r="F57" s="4" t="s">
        <v>76</v>
      </c>
      <c r="G57" s="4" t="s">
        <v>76</v>
      </c>
      <c r="H57" s="4" t="s">
        <v>76</v>
      </c>
      <c r="I57" s="4" t="s">
        <v>76</v>
      </c>
      <c r="J57" s="4" t="s">
        <v>76</v>
      </c>
      <c r="K57" s="4" t="s">
        <v>76</v>
      </c>
      <c r="L57" s="4" t="s">
        <v>76</v>
      </c>
      <c r="M57" s="4" t="s">
        <v>76</v>
      </c>
      <c r="N57" s="4" t="str">
        <f aca="false">IF(ARCH!M57="","",ARCH!M57)</f>
        <v>14x24</v>
      </c>
      <c r="O57" s="4" t="str">
        <f aca="false">IF(ARCH!M57="","",ARCH!M57)</f>
        <v>14x24</v>
      </c>
      <c r="P57" s="4" t="str">
        <f aca="false">IF(ARCH!M57="","",ARCH!M57)</f>
        <v>14x24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4" t="str">
        <f aca="false">IF(ARCH!F58="","",ARCH!F58)</f>
        <v>14x36</v>
      </c>
      <c r="F58" s="4" t="s">
        <v>80</v>
      </c>
      <c r="G58" s="4" t="s">
        <v>80</v>
      </c>
      <c r="H58" s="4" t="s">
        <v>80</v>
      </c>
      <c r="I58" s="4" t="s">
        <v>80</v>
      </c>
      <c r="J58" s="4" t="s">
        <v>80</v>
      </c>
      <c r="K58" s="4" t="s">
        <v>80</v>
      </c>
      <c r="L58" s="4" t="s">
        <v>80</v>
      </c>
      <c r="M58" s="4" t="s">
        <v>80</v>
      </c>
      <c r="N58" s="4" t="str">
        <f aca="false">IF(ARCH!M58="","",ARCH!M58)</f>
        <v>14x36</v>
      </c>
      <c r="O58" s="4" t="str">
        <f aca="false">IF(ARCH!M58="","",ARCH!M58)</f>
        <v>14x36</v>
      </c>
      <c r="P58" s="4" t="str">
        <f aca="false">IF(ARCH!M58="","",ARCH!M58)</f>
        <v>14x36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4" t="str">
        <f aca="false">IF(ARCH!F59="","",ARCH!F59)</f>
        <v>14x36</v>
      </c>
      <c r="F59" s="4" t="s">
        <v>80</v>
      </c>
      <c r="G59" s="4" t="s">
        <v>80</v>
      </c>
      <c r="H59" s="4" t="s">
        <v>80</v>
      </c>
      <c r="I59" s="4" t="s">
        <v>80</v>
      </c>
      <c r="J59" s="4" t="s">
        <v>80</v>
      </c>
      <c r="K59" s="4" t="s">
        <v>80</v>
      </c>
      <c r="L59" s="4" t="s">
        <v>80</v>
      </c>
      <c r="M59" s="4" t="s">
        <v>80</v>
      </c>
      <c r="N59" s="4" t="str">
        <f aca="false">IF(ARCH!M59="","",ARCH!M59)</f>
        <v>14x36</v>
      </c>
      <c r="O59" s="4" t="str">
        <f aca="false">IF(ARCH!M59="","",ARCH!M59)</f>
        <v>14x36</v>
      </c>
      <c r="P59" s="4" t="str">
        <f aca="false">IF(ARCH!M59="","",ARCH!M59)</f>
        <v>14x36</v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4" t="str">
        <f aca="false">IF(ARCH!F60="","",ARCH!F60)</f>
        <v>14x24</v>
      </c>
      <c r="F60" s="4" t="s">
        <v>76</v>
      </c>
      <c r="G60" s="4" t="s">
        <v>76</v>
      </c>
      <c r="H60" s="4" t="s">
        <v>76</v>
      </c>
      <c r="I60" s="4" t="s">
        <v>76</v>
      </c>
      <c r="J60" s="4" t="s">
        <v>76</v>
      </c>
      <c r="K60" s="4" t="s">
        <v>76</v>
      </c>
      <c r="L60" s="4" t="s">
        <v>76</v>
      </c>
      <c r="M60" s="4" t="s">
        <v>76</v>
      </c>
      <c r="N60" s="4" t="str">
        <f aca="false">IF(ARCH!M60="","",ARCH!M60)</f>
        <v>14x24</v>
      </c>
      <c r="O60" s="4" t="str">
        <f aca="false">IF(ARCH!M60="","",ARCH!M60)</f>
        <v>14x24</v>
      </c>
      <c r="P60" s="4" t="str">
        <f aca="false">IF(ARCH!M60="","",ARCH!M60)</f>
        <v>14x24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4" t="str">
        <f aca="false">IF(ARCH!F61="","",ARCH!F61)</f>
        <v>14x36</v>
      </c>
      <c r="F61" s="4" t="s">
        <v>80</v>
      </c>
      <c r="G61" s="4" t="s">
        <v>80</v>
      </c>
      <c r="H61" s="4" t="s">
        <v>80</v>
      </c>
      <c r="I61" s="4" t="s">
        <v>80</v>
      </c>
      <c r="J61" s="4" t="s">
        <v>80</v>
      </c>
      <c r="K61" s="4" t="s">
        <v>80</v>
      </c>
      <c r="L61" s="4" t="s">
        <v>80</v>
      </c>
      <c r="M61" s="4" t="s">
        <v>80</v>
      </c>
      <c r="N61" s="4" t="str">
        <f aca="false">IF(ARCH!M61="","",ARCH!M61)</f>
        <v>14x36</v>
      </c>
      <c r="O61" s="4" t="str">
        <f aca="false">IF(ARCH!M61="","",ARCH!M61)</f>
        <v>14x36</v>
      </c>
      <c r="P61" s="4" t="str">
        <f aca="false">IF(ARCH!M61="","",ARCH!M61)</f>
        <v>14x36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4" t="str">
        <f aca="false">IF(ARCH!F62="","",ARCH!F62)</f>
        <v>14x36</v>
      </c>
      <c r="F62" s="4" t="s">
        <v>80</v>
      </c>
      <c r="G62" s="4" t="s">
        <v>80</v>
      </c>
      <c r="H62" s="4" t="s">
        <v>80</v>
      </c>
      <c r="I62" s="4" t="s">
        <v>80</v>
      </c>
      <c r="J62" s="4" t="s">
        <v>80</v>
      </c>
      <c r="K62" s="4" t="s">
        <v>80</v>
      </c>
      <c r="L62" s="4" t="s">
        <v>80</v>
      </c>
      <c r="M62" s="4" t="s">
        <v>80</v>
      </c>
      <c r="N62" s="4" t="str">
        <f aca="false">IF(ARCH!M62="","",ARCH!M62)</f>
        <v>14x36</v>
      </c>
      <c r="O62" s="4" t="str">
        <f aca="false">IF(ARCH!M62="","",ARCH!M62)</f>
        <v>14x36</v>
      </c>
      <c r="P62" s="4" t="str">
        <f aca="false">IF(ARCH!M62="","",ARCH!M62)</f>
        <v>14x36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4" t="str">
        <f aca="false">IF(ARCH!F63="","",ARCH!F63)</f>
        <v>14x36</v>
      </c>
      <c r="F63" s="4" t="s">
        <v>80</v>
      </c>
      <c r="G63" s="4" t="s">
        <v>80</v>
      </c>
      <c r="H63" s="4" t="s">
        <v>80</v>
      </c>
      <c r="I63" s="4" t="s">
        <v>80</v>
      </c>
      <c r="J63" s="4" t="s">
        <v>80</v>
      </c>
      <c r="K63" s="4" t="s">
        <v>80</v>
      </c>
      <c r="L63" s="4" t="s">
        <v>80</v>
      </c>
      <c r="M63" s="4" t="s">
        <v>80</v>
      </c>
      <c r="N63" s="4" t="str">
        <f aca="false">IF(ARCH!M63="","",ARCH!M63)</f>
        <v>14x36</v>
      </c>
      <c r="O63" s="4" t="str">
        <f aca="false">IF(ARCH!M63="","",ARCH!M63)</f>
        <v>14x36</v>
      </c>
      <c r="P63" s="4" t="str">
        <f aca="false">IF(ARCH!M63="","",ARCH!M63)</f>
        <v>14x36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4" t="str">
        <f aca="false">IF(ARCH!F64="","",ARCH!F64)</f>
        <v>14x36</v>
      </c>
      <c r="F64" s="4" t="s">
        <v>80</v>
      </c>
      <c r="G64" s="4" t="s">
        <v>80</v>
      </c>
      <c r="H64" s="4" t="s">
        <v>80</v>
      </c>
      <c r="I64" s="4" t="s">
        <v>80</v>
      </c>
      <c r="J64" s="4" t="s">
        <v>80</v>
      </c>
      <c r="K64" s="4"/>
      <c r="L64" s="4"/>
      <c r="M64" s="4"/>
      <c r="N64" s="4" t="str">
        <f aca="false">IF(ARCH!M64="","",ARCH!M64)</f>
        <v/>
      </c>
      <c r="O64" s="4" t="str">
        <f aca="false">IF(ARCH!M64="","",ARCH!M64)</f>
        <v/>
      </c>
      <c r="P64" s="4" t="str">
        <f aca="false">IF(ARCH!M64="","",ARCH!M64)</f>
        <v/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4" t="str">
        <f aca="false">IF(ARCH!F65="","",ARCH!F65)</f>
        <v>14x36</v>
      </c>
      <c r="F65" s="4" t="s">
        <v>80</v>
      </c>
      <c r="G65" s="4" t="s">
        <v>80</v>
      </c>
      <c r="H65" s="4" t="s">
        <v>80</v>
      </c>
      <c r="I65" s="4" t="s">
        <v>80</v>
      </c>
      <c r="J65" s="4" t="s">
        <v>80</v>
      </c>
      <c r="K65" s="4"/>
      <c r="L65" s="4"/>
      <c r="M65" s="4"/>
      <c r="N65" s="4" t="str">
        <f aca="false">IF(ARCH!M65="","",ARCH!M65)</f>
        <v/>
      </c>
      <c r="O65" s="4" t="str">
        <f aca="false">IF(ARCH!M65="","",ARCH!M65)</f>
        <v/>
      </c>
      <c r="P65" s="4" t="str">
        <f aca="false">IF(ARCH!M65="","",ARCH!M65)</f>
        <v/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4" t="str">
        <f aca="false">IF(ARCH!F66="","",ARCH!F66)</f>
        <v>14x36</v>
      </c>
      <c r="F66" s="4" t="s">
        <v>80</v>
      </c>
      <c r="G66" s="4" t="s">
        <v>80</v>
      </c>
      <c r="H66" s="4" t="s">
        <v>80</v>
      </c>
      <c r="I66" s="4" t="s">
        <v>80</v>
      </c>
      <c r="J66" s="4" t="s">
        <v>80</v>
      </c>
      <c r="K66" s="4"/>
      <c r="L66" s="4"/>
      <c r="M66" s="4"/>
      <c r="N66" s="4" t="str">
        <f aca="false">IF(ARCH!M66="","",ARCH!M66)</f>
        <v/>
      </c>
      <c r="O66" s="4" t="str">
        <f aca="false">IF(ARCH!M66="","",ARCH!M66)</f>
        <v/>
      </c>
      <c r="P66" s="4" t="str">
        <f aca="false">IF(ARCH!M66="","",ARCH!M66)</f>
        <v/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4" t="str">
        <f aca="false">IF(ARCH!F67="","",ARCH!F67)</f>
        <v>14x36</v>
      </c>
      <c r="F67" s="4" t="s">
        <v>80</v>
      </c>
      <c r="G67" s="4" t="s">
        <v>80</v>
      </c>
      <c r="H67" s="4" t="s">
        <v>80</v>
      </c>
      <c r="I67" s="4" t="s">
        <v>80</v>
      </c>
      <c r="J67" s="4" t="s">
        <v>80</v>
      </c>
      <c r="K67" s="4"/>
      <c r="L67" s="4"/>
      <c r="M67" s="4"/>
      <c r="N67" s="4" t="str">
        <f aca="false">IF(ARCH!M67="","",ARCH!M67)</f>
        <v/>
      </c>
      <c r="O67" s="4" t="str">
        <f aca="false">IF(ARCH!M67="","",ARCH!M67)</f>
        <v/>
      </c>
      <c r="P67" s="4" t="str">
        <f aca="false">IF(ARCH!M67="","",ARCH!M67)</f>
        <v/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4" t="str">
        <f aca="false">IF(ARCH!F68="","",ARCH!F68)</f>
        <v>14x36</v>
      </c>
      <c r="F68" s="4" t="s">
        <v>80</v>
      </c>
      <c r="G68" s="4" t="s">
        <v>80</v>
      </c>
      <c r="H68" s="4" t="s">
        <v>80</v>
      </c>
      <c r="I68" s="4" t="s">
        <v>80</v>
      </c>
      <c r="J68" s="4" t="s">
        <v>80</v>
      </c>
      <c r="K68" s="4"/>
      <c r="L68" s="4"/>
      <c r="M68" s="4"/>
      <c r="N68" s="4" t="str">
        <f aca="false">IF(ARCH!M68="","",ARCH!M68)</f>
        <v/>
      </c>
      <c r="O68" s="4" t="str">
        <f aca="false">IF(ARCH!M68="","",ARCH!M68)</f>
        <v/>
      </c>
      <c r="P68" s="4" t="str">
        <f aca="false">IF(ARCH!M68="","",ARCH!M68)</f>
        <v/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4" t="str">
        <f aca="false">IF(ARCH!F69="","",ARCH!F69)</f>
        <v>14x36</v>
      </c>
      <c r="F69" s="4" t="s">
        <v>80</v>
      </c>
      <c r="G69" s="4" t="s">
        <v>80</v>
      </c>
      <c r="H69" s="4" t="s">
        <v>80</v>
      </c>
      <c r="I69" s="4" t="s">
        <v>80</v>
      </c>
      <c r="J69" s="4" t="s">
        <v>80</v>
      </c>
      <c r="K69" s="4"/>
      <c r="L69" s="4"/>
      <c r="M69" s="4"/>
      <c r="N69" s="4" t="str">
        <f aca="false">IF(ARCH!M69="","",ARCH!M69)</f>
        <v/>
      </c>
      <c r="O69" s="4" t="str">
        <f aca="false">IF(ARCH!M69="","",ARCH!M69)</f>
        <v/>
      </c>
      <c r="P69" s="4" t="str">
        <f aca="false">IF(ARCH!M69="","",ARCH!M69)</f>
        <v/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4" t="str">
        <f aca="false">IF(ARCH!F70="","",ARCH!F70)</f>
        <v>14x36</v>
      </c>
      <c r="F70" s="4" t="s">
        <v>80</v>
      </c>
      <c r="G70" s="4" t="s">
        <v>80</v>
      </c>
      <c r="H70" s="4" t="s">
        <v>80</v>
      </c>
      <c r="I70" s="4" t="s">
        <v>80</v>
      </c>
      <c r="J70" s="4" t="s">
        <v>80</v>
      </c>
      <c r="K70" s="4"/>
      <c r="L70" s="4"/>
      <c r="M70" s="4"/>
      <c r="N70" s="4" t="str">
        <f aca="false">IF(ARCH!M70="","",ARCH!M70)</f>
        <v/>
      </c>
      <c r="O70" s="4" t="str">
        <f aca="false">IF(ARCH!M70="","",ARCH!M70)</f>
        <v/>
      </c>
      <c r="P70" s="4" t="str">
        <f aca="false">IF(ARCH!M70="","",ARCH!M70)</f>
        <v/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4" t="str">
        <f aca="false">IF(ARCH!F71="","",ARCH!F71)</f>
        <v>14x36</v>
      </c>
      <c r="F71" s="4" t="s">
        <v>80</v>
      </c>
      <c r="G71" s="4" t="s">
        <v>80</v>
      </c>
      <c r="H71" s="4" t="s">
        <v>80</v>
      </c>
      <c r="I71" s="4" t="s">
        <v>80</v>
      </c>
      <c r="J71" s="4" t="s">
        <v>80</v>
      </c>
      <c r="K71" s="4"/>
      <c r="L71" s="4"/>
      <c r="M71" s="4"/>
      <c r="N71" s="4" t="str">
        <f aca="false">IF(ARCH!M71="","",ARCH!M71)</f>
        <v/>
      </c>
      <c r="O71" s="4" t="str">
        <f aca="false">IF(ARCH!M71="","",ARCH!M71)</f>
        <v/>
      </c>
      <c r="P71" s="4" t="str">
        <f aca="false">IF(ARCH!M71="","",ARCH!M71)</f>
        <v/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4" t="str">
        <f aca="false">IF(ARCH!F72="","",ARCH!F72)</f>
        <v>14x36</v>
      </c>
      <c r="F72" s="4" t="s">
        <v>80</v>
      </c>
      <c r="G72" s="4" t="s">
        <v>80</v>
      </c>
      <c r="H72" s="4" t="s">
        <v>80</v>
      </c>
      <c r="I72" s="4" t="s">
        <v>80</v>
      </c>
      <c r="J72" s="4" t="s">
        <v>80</v>
      </c>
      <c r="K72" s="4"/>
      <c r="L72" s="4"/>
      <c r="M72" s="4"/>
      <c r="N72" s="4" t="str">
        <f aca="false">IF(ARCH!M72="","",ARCH!M72)</f>
        <v/>
      </c>
      <c r="O72" s="4" t="str">
        <f aca="false">IF(ARCH!M72="","",ARCH!M72)</f>
        <v/>
      </c>
      <c r="P72" s="4" t="str">
        <f aca="false">IF(ARCH!M72="","",ARCH!M72)</f>
        <v/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4" t="str">
        <f aca="false">IF(ARCH!F73="","",ARCH!F73)</f>
        <v>14x36</v>
      </c>
      <c r="F73" s="4" t="s">
        <v>80</v>
      </c>
      <c r="G73" s="4" t="s">
        <v>80</v>
      </c>
      <c r="H73" s="4" t="s">
        <v>80</v>
      </c>
      <c r="I73" s="4" t="s">
        <v>80</v>
      </c>
      <c r="J73" s="4" t="s">
        <v>80</v>
      </c>
      <c r="K73" s="4"/>
      <c r="L73" s="4"/>
      <c r="M73" s="4"/>
      <c r="N73" s="4" t="str">
        <f aca="false">IF(ARCH!M73="","",ARCH!M73)</f>
        <v/>
      </c>
      <c r="O73" s="4" t="str">
        <f aca="false">IF(ARCH!M73="","",ARCH!M73)</f>
        <v/>
      </c>
      <c r="P73" s="4" t="str">
        <f aca="false">IF(ARCH!M73="","",ARCH!M73)</f>
        <v/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4" t="str">
        <f aca="false">IF(ARCH!F74="","",ARCH!F74)</f>
        <v>14x36</v>
      </c>
      <c r="F74" s="4" t="s">
        <v>80</v>
      </c>
      <c r="G74" s="4" t="s">
        <v>80</v>
      </c>
      <c r="H74" s="4" t="s">
        <v>80</v>
      </c>
      <c r="I74" s="4" t="s">
        <v>80</v>
      </c>
      <c r="J74" s="4" t="s">
        <v>80</v>
      </c>
      <c r="K74" s="4"/>
      <c r="L74" s="4"/>
      <c r="M74" s="4"/>
      <c r="N74" s="4" t="str">
        <f aca="false">IF(ARCH!M74="","",ARCH!M74)</f>
        <v/>
      </c>
      <c r="O74" s="4" t="str">
        <f aca="false">IF(ARCH!M74="","",ARCH!M74)</f>
        <v/>
      </c>
      <c r="P74" s="4" t="str">
        <f aca="false">IF(ARCH!M74="","",ARCH!M74)</f>
        <v/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4" t="str">
        <f aca="false">IF(ARCH!F75="","",ARCH!F75)</f>
        <v>14x36</v>
      </c>
      <c r="F75" s="4" t="s">
        <v>80</v>
      </c>
      <c r="G75" s="4" t="s">
        <v>80</v>
      </c>
      <c r="H75" s="4" t="s">
        <v>80</v>
      </c>
      <c r="I75" s="4" t="s">
        <v>80</v>
      </c>
      <c r="J75" s="4" t="s">
        <v>80</v>
      </c>
      <c r="K75" s="4"/>
      <c r="L75" s="4"/>
      <c r="M75" s="4"/>
      <c r="N75" s="4" t="str">
        <f aca="false">IF(ARCH!M75="","",ARCH!M75)</f>
        <v/>
      </c>
      <c r="O75" s="4" t="str">
        <f aca="false">IF(ARCH!M75="","",ARCH!M75)</f>
        <v/>
      </c>
      <c r="P75" s="4" t="str">
        <f aca="false">IF(ARCH!M75="","",ARCH!M75)</f>
        <v/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4" t="str">
        <f aca="false">IF(ARCH!F76="","",ARCH!F76)</f>
        <v>14x36</v>
      </c>
      <c r="F76" s="4" t="s">
        <v>80</v>
      </c>
      <c r="G76" s="4" t="s">
        <v>80</v>
      </c>
      <c r="H76" s="4" t="s">
        <v>80</v>
      </c>
      <c r="I76" s="4" t="s">
        <v>80</v>
      </c>
      <c r="J76" s="4" t="s">
        <v>80</v>
      </c>
      <c r="K76" s="4"/>
      <c r="L76" s="4"/>
      <c r="M76" s="4"/>
      <c r="N76" s="4" t="str">
        <f aca="false">IF(ARCH!M76="","",ARCH!M76)</f>
        <v/>
      </c>
      <c r="O76" s="4" t="str">
        <f aca="false">IF(ARCH!M76="","",ARCH!M76)</f>
        <v/>
      </c>
      <c r="P76" s="4" t="str">
        <f aca="false">IF(ARCH!M76="","",ARCH!M76)</f>
        <v/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4" t="str">
        <f aca="false">IF(ARCH!F77="","",ARCH!F77)</f>
        <v>14x36</v>
      </c>
      <c r="F77" s="4" t="s">
        <v>80</v>
      </c>
      <c r="G77" s="4" t="s">
        <v>80</v>
      </c>
      <c r="H77" s="4" t="s">
        <v>80</v>
      </c>
      <c r="I77" s="4" t="s">
        <v>80</v>
      </c>
      <c r="J77" s="4" t="s">
        <v>80</v>
      </c>
      <c r="K77" s="4"/>
      <c r="L77" s="4"/>
      <c r="M77" s="4"/>
      <c r="N77" s="4" t="str">
        <f aca="false">IF(ARCH!M77="","",ARCH!M77)</f>
        <v/>
      </c>
      <c r="O77" s="4" t="str">
        <f aca="false">IF(ARCH!M77="","",ARCH!M77)</f>
        <v/>
      </c>
      <c r="P77" s="4" t="str">
        <f aca="false">IF(ARCH!M77="","",ARCH!M77)</f>
        <v/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4" t="str">
        <f aca="false">IF(ARCH!F78="","",ARCH!F78)</f>
        <v>14x36</v>
      </c>
      <c r="F78" s="4" t="s">
        <v>80</v>
      </c>
      <c r="G78" s="4" t="s">
        <v>80</v>
      </c>
      <c r="H78" s="4" t="s">
        <v>80</v>
      </c>
      <c r="I78" s="4" t="s">
        <v>80</v>
      </c>
      <c r="J78" s="4" t="s">
        <v>80</v>
      </c>
      <c r="K78" s="4"/>
      <c r="L78" s="4"/>
      <c r="M78" s="4"/>
      <c r="N78" s="4" t="str">
        <f aca="false">IF(ARCH!M78="","",ARCH!M78)</f>
        <v/>
      </c>
      <c r="O78" s="4" t="str">
        <f aca="false">IF(ARCH!M78="","",ARCH!M78)</f>
        <v/>
      </c>
      <c r="P78" s="4" t="str">
        <f aca="false">IF(ARCH!M78="","",ARCH!M78)</f>
        <v/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4" t="str">
        <f aca="false">IF(ARCH!F79="","",ARCH!F79)</f>
        <v>14x36</v>
      </c>
      <c r="F79" s="4" t="s">
        <v>80</v>
      </c>
      <c r="G79" s="4" t="s">
        <v>80</v>
      </c>
      <c r="H79" s="4" t="s">
        <v>80</v>
      </c>
      <c r="I79" s="4" t="s">
        <v>80</v>
      </c>
      <c r="J79" s="4" t="s">
        <v>80</v>
      </c>
      <c r="K79" s="4"/>
      <c r="L79" s="4"/>
      <c r="M79" s="4"/>
      <c r="N79" s="4" t="str">
        <f aca="false">IF(ARCH!M79="","",ARCH!M79)</f>
        <v/>
      </c>
      <c r="O79" s="4" t="str">
        <f aca="false">IF(ARCH!M79="","",ARCH!M79)</f>
        <v/>
      </c>
      <c r="P79" s="4" t="str">
        <f aca="false">IF(ARCH!M79="","",ARCH!M79)</f>
        <v/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4" t="str">
        <f aca="false">IF(ARCH!F80="","",ARCH!F80)</f>
        <v>14x36</v>
      </c>
      <c r="F80" s="4" t="s">
        <v>80</v>
      </c>
      <c r="G80" s="4" t="s">
        <v>80</v>
      </c>
      <c r="H80" s="4" t="s">
        <v>80</v>
      </c>
      <c r="I80" s="4" t="s">
        <v>80</v>
      </c>
      <c r="J80" s="4" t="s">
        <v>80</v>
      </c>
      <c r="K80" s="4"/>
      <c r="L80" s="4"/>
      <c r="M80" s="4"/>
      <c r="N80" s="4" t="str">
        <f aca="false">IF(ARCH!M80="","",ARCH!M80)</f>
        <v/>
      </c>
      <c r="O80" s="4" t="str">
        <f aca="false">IF(ARCH!M80="","",ARCH!M80)</f>
        <v/>
      </c>
      <c r="P80" s="4" t="str">
        <f aca="false">IF(ARCH!M80="","",ARCH!M80)</f>
        <v/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4" t="str">
        <f aca="false">IF(ARCH!F81="","",ARCH!F81)</f>
        <v>14x36</v>
      </c>
      <c r="F81" s="4" t="s">
        <v>80</v>
      </c>
      <c r="G81" s="4" t="s">
        <v>80</v>
      </c>
      <c r="H81" s="4" t="s">
        <v>80</v>
      </c>
      <c r="I81" s="4" t="s">
        <v>80</v>
      </c>
      <c r="J81" s="4" t="s">
        <v>80</v>
      </c>
      <c r="K81" s="4"/>
      <c r="L81" s="4"/>
      <c r="M81" s="4"/>
      <c r="N81" s="4" t="str">
        <f aca="false">IF(ARCH!M81="","",ARCH!M81)</f>
        <v/>
      </c>
      <c r="O81" s="4" t="str">
        <f aca="false">IF(ARCH!M81="","",ARCH!M81)</f>
        <v/>
      </c>
      <c r="P81" s="4" t="str">
        <f aca="false">IF(ARCH!M81="","",ARCH!M81)</f>
        <v/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4" t="str">
        <f aca="false">IF(ARCH!F82="","",ARCH!F82)</f>
        <v>14x36</v>
      </c>
      <c r="F82" s="4" t="s">
        <v>80</v>
      </c>
      <c r="G82" s="4" t="s">
        <v>80</v>
      </c>
      <c r="H82" s="4" t="s">
        <v>80</v>
      </c>
      <c r="I82" s="4" t="s">
        <v>80</v>
      </c>
      <c r="J82" s="4" t="s">
        <v>80</v>
      </c>
      <c r="K82" s="4"/>
      <c r="L82" s="4"/>
      <c r="M82" s="4"/>
      <c r="N82" s="4" t="str">
        <f aca="false">IF(ARCH!M82="","",ARCH!M82)</f>
        <v/>
      </c>
      <c r="O82" s="4" t="str">
        <f aca="false">IF(ARCH!M82="","",ARCH!M82)</f>
        <v/>
      </c>
      <c r="P82" s="4" t="str">
        <f aca="false">IF(ARCH!M82="","",ARCH!M82)</f>
        <v/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4" t="str">
        <f aca="false">IF(ARCH!F83="","",ARCH!F83)</f>
        <v>14x36</v>
      </c>
      <c r="F83" s="4" t="s">
        <v>80</v>
      </c>
      <c r="G83" s="4" t="s">
        <v>80</v>
      </c>
      <c r="H83" s="4" t="s">
        <v>80</v>
      </c>
      <c r="I83" s="4" t="s">
        <v>80</v>
      </c>
      <c r="J83" s="4" t="s">
        <v>80</v>
      </c>
      <c r="K83" s="4"/>
      <c r="L83" s="4"/>
      <c r="M83" s="4"/>
      <c r="N83" s="4" t="str">
        <f aca="false">IF(ARCH!M83="","",ARCH!M83)</f>
        <v/>
      </c>
      <c r="O83" s="4" t="str">
        <f aca="false">IF(ARCH!M83="","",ARCH!M83)</f>
        <v/>
      </c>
      <c r="P83" s="4" t="str">
        <f aca="false">IF(ARCH!M83="","",ARCH!M83)</f>
        <v/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4" t="str">
        <f aca="false">IF(ARCH!F84="","",ARCH!F84)</f>
        <v>14x36</v>
      </c>
      <c r="F84" s="4" t="s">
        <v>80</v>
      </c>
      <c r="G84" s="4" t="s">
        <v>80</v>
      </c>
      <c r="H84" s="4" t="s">
        <v>80</v>
      </c>
      <c r="I84" s="4" t="s">
        <v>80</v>
      </c>
      <c r="J84" s="4" t="s">
        <v>80</v>
      </c>
      <c r="K84" s="4"/>
      <c r="L84" s="4"/>
      <c r="M84" s="4"/>
      <c r="N84" s="4" t="str">
        <f aca="false">IF(ARCH!M84="","",ARCH!M84)</f>
        <v/>
      </c>
      <c r="O84" s="4" t="str">
        <f aca="false">IF(ARCH!M84="","",ARCH!M84)</f>
        <v/>
      </c>
      <c r="P84" s="4" t="str">
        <f aca="false">IF(ARCH!M84="","",ARCH!M84)</f>
        <v/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4" t="str">
        <f aca="false">IF(ARCH!F85="","",ARCH!F85)</f>
        <v>14x36</v>
      </c>
      <c r="F85" s="4" t="s">
        <v>80</v>
      </c>
      <c r="G85" s="4" t="s">
        <v>80</v>
      </c>
      <c r="H85" s="4" t="s">
        <v>80</v>
      </c>
      <c r="I85" s="4" t="s">
        <v>80</v>
      </c>
      <c r="J85" s="4" t="s">
        <v>80</v>
      </c>
      <c r="K85" s="4"/>
      <c r="L85" s="4"/>
      <c r="M85" s="4"/>
      <c r="N85" s="4" t="str">
        <f aca="false">IF(ARCH!M85="","",ARCH!M85)</f>
        <v/>
      </c>
      <c r="O85" s="4" t="str">
        <f aca="false">IF(ARCH!M85="","",ARCH!M85)</f>
        <v/>
      </c>
      <c r="P85" s="4" t="str">
        <f aca="false">IF(ARCH!M85="","",ARCH!M85)</f>
        <v/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4" t="str">
        <f aca="false">IF(ARCH!F86="","",ARCH!F86)</f>
        <v>14x36</v>
      </c>
      <c r="F86" s="4" t="s">
        <v>80</v>
      </c>
      <c r="G86" s="4" t="s">
        <v>80</v>
      </c>
      <c r="H86" s="4" t="s">
        <v>80</v>
      </c>
      <c r="I86" s="4" t="s">
        <v>80</v>
      </c>
      <c r="J86" s="4" t="s">
        <v>80</v>
      </c>
      <c r="K86" s="4"/>
      <c r="L86" s="4"/>
      <c r="M86" s="4"/>
      <c r="N86" s="4" t="str">
        <f aca="false">IF(ARCH!M86="","",ARCH!M86)</f>
        <v/>
      </c>
      <c r="O86" s="4" t="str">
        <f aca="false">IF(ARCH!M86="","",ARCH!M86)</f>
        <v/>
      </c>
      <c r="P86" s="4" t="str">
        <f aca="false">IF(ARCH!M86="","",ARCH!M86)</f>
        <v/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4" t="str">
        <f aca="false">IF(ARCH!F87="","",ARCH!F87)</f>
        <v>14x36</v>
      </c>
      <c r="F87" s="4" t="s">
        <v>80</v>
      </c>
      <c r="G87" s="4" t="s">
        <v>80</v>
      </c>
      <c r="H87" s="4" t="s">
        <v>80</v>
      </c>
      <c r="I87" s="4"/>
      <c r="J87" s="4"/>
      <c r="K87" s="4"/>
      <c r="L87" s="4"/>
      <c r="M87" s="4"/>
      <c r="N87" s="4" t="str">
        <f aca="false">IF(ARCH!M87="","",ARCH!M87)</f>
        <v/>
      </c>
      <c r="O87" s="4" t="str">
        <f aca="false">IF(ARCH!M87="","",ARCH!M87)</f>
        <v/>
      </c>
      <c r="P87" s="4" t="str">
        <f aca="false">IF(ARCH!M87="","",ARCH!M87)</f>
        <v/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4" t="str">
        <f aca="false">IF(ARCH!F88="","",ARCH!F88)</f>
        <v>14x36</v>
      </c>
      <c r="F88" s="4" t="s">
        <v>80</v>
      </c>
      <c r="G88" s="4" t="s">
        <v>80</v>
      </c>
      <c r="H88" s="4" t="s">
        <v>80</v>
      </c>
      <c r="I88" s="4"/>
      <c r="J88" s="4"/>
      <c r="K88" s="4"/>
      <c r="L88" s="4"/>
      <c r="M88" s="4"/>
      <c r="N88" s="4" t="str">
        <f aca="false">IF(ARCH!M88="","",ARCH!M88)</f>
        <v/>
      </c>
      <c r="O88" s="4" t="str">
        <f aca="false">IF(ARCH!M88="","",ARCH!M88)</f>
        <v/>
      </c>
      <c r="P88" s="4" t="str">
        <f aca="false">IF(ARCH!M88="","",ARCH!M88)</f>
        <v/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4" t="str">
        <f aca="false">IF(ARCH!F89="","",ARCH!F89)</f>
        <v>14x36</v>
      </c>
      <c r="F89" s="4" t="s">
        <v>80</v>
      </c>
      <c r="G89" s="4" t="s">
        <v>80</v>
      </c>
      <c r="H89" s="4" t="s">
        <v>80</v>
      </c>
      <c r="I89" s="4" t="s">
        <v>80</v>
      </c>
      <c r="J89" s="4" t="s">
        <v>80</v>
      </c>
      <c r="K89" s="4"/>
      <c r="L89" s="4"/>
      <c r="M89" s="4"/>
      <c r="N89" s="4" t="str">
        <f aca="false">IF(ARCH!M89="","",ARCH!M89)</f>
        <v/>
      </c>
      <c r="O89" s="4" t="str">
        <f aca="false">IF(ARCH!M89="","",ARCH!M89)</f>
        <v/>
      </c>
      <c r="P89" s="4" t="str">
        <f aca="false">IF(ARCH!M89="","",ARCH!M89)</f>
        <v/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4" t="str">
        <f aca="false">IF(ARCH!F90="","",ARCH!F90)</f>
        <v>14x36</v>
      </c>
      <c r="F90" s="4" t="s">
        <v>80</v>
      </c>
      <c r="G90" s="4" t="s">
        <v>80</v>
      </c>
      <c r="H90" s="4" t="s">
        <v>80</v>
      </c>
      <c r="I90" s="4" t="s">
        <v>80</v>
      </c>
      <c r="J90" s="4" t="s">
        <v>80</v>
      </c>
      <c r="K90" s="4"/>
      <c r="L90" s="4"/>
      <c r="M90" s="4"/>
      <c r="N90" s="4" t="str">
        <f aca="false">IF(ARCH!M90="","",ARCH!M90)</f>
        <v/>
      </c>
      <c r="O90" s="4" t="str">
        <f aca="false">IF(ARCH!M90="","",ARCH!M90)</f>
        <v/>
      </c>
      <c r="P90" s="4" t="str">
        <f aca="false">IF(ARCH!M90="","",ARCH!M90)</f>
        <v/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4" t="str">
        <f aca="false">IF(ARCH!F91="","",ARCH!F91)</f>
        <v>14x36</v>
      </c>
      <c r="F91" s="4" t="s">
        <v>80</v>
      </c>
      <c r="G91" s="4" t="s">
        <v>80</v>
      </c>
      <c r="H91" s="4" t="s">
        <v>80</v>
      </c>
      <c r="I91" s="4" t="s">
        <v>80</v>
      </c>
      <c r="J91" s="4" t="s">
        <v>80</v>
      </c>
      <c r="K91" s="4"/>
      <c r="L91" s="4"/>
      <c r="M91" s="4"/>
      <c r="N91" s="4" t="str">
        <f aca="false">IF(ARCH!M91="","",ARCH!M91)</f>
        <v/>
      </c>
      <c r="O91" s="4" t="str">
        <f aca="false">IF(ARCH!M91="","",ARCH!M91)</f>
        <v/>
      </c>
      <c r="P91" s="4" t="str">
        <f aca="false">IF(ARCH!M91="","",ARCH!M91)</f>
        <v/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4" t="str">
        <f aca="false">IF(ARCH!F92="","",ARCH!F92)</f>
        <v>14x36</v>
      </c>
      <c r="F92" s="4" t="s">
        <v>80</v>
      </c>
      <c r="G92" s="4" t="s">
        <v>80</v>
      </c>
      <c r="H92" s="4" t="s">
        <v>80</v>
      </c>
      <c r="I92" s="4" t="s">
        <v>80</v>
      </c>
      <c r="J92" s="4"/>
      <c r="K92" s="4"/>
      <c r="L92" s="4"/>
      <c r="M92" s="4"/>
      <c r="N92" s="4" t="str">
        <f aca="false">IF(ARCH!M92="","",ARCH!M92)</f>
        <v/>
      </c>
      <c r="O92" s="4" t="str">
        <f aca="false">IF(ARCH!M92="","",ARCH!M92)</f>
        <v/>
      </c>
      <c r="P92" s="4" t="str">
        <f aca="false">IF(ARCH!M92="","",ARCH!M92)</f>
        <v/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4" t="str">
        <f aca="false">IF(ARCH!F93="","",ARCH!F93)</f>
        <v>14x36</v>
      </c>
      <c r="F93" s="4" t="s">
        <v>80</v>
      </c>
      <c r="G93" s="4" t="s">
        <v>80</v>
      </c>
      <c r="H93" s="4" t="s">
        <v>80</v>
      </c>
      <c r="I93" s="4" t="s">
        <v>80</v>
      </c>
      <c r="J93" s="4"/>
      <c r="K93" s="4"/>
      <c r="L93" s="4"/>
      <c r="M93" s="4"/>
      <c r="N93" s="4" t="str">
        <f aca="false">IF(ARCH!M93="","",ARCH!M93)</f>
        <v/>
      </c>
      <c r="O93" s="4" t="str">
        <f aca="false">IF(ARCH!M93="","",ARCH!M93)</f>
        <v/>
      </c>
      <c r="P93" s="4" t="str">
        <f aca="false">IF(ARCH!M93="","",ARCH!M93)</f>
        <v/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4" t="str">
        <f aca="false">IF(ARCH!F94="","",ARCH!F94)</f>
        <v>14x36</v>
      </c>
      <c r="F94" s="4" t="s">
        <v>80</v>
      </c>
      <c r="G94" s="4" t="s">
        <v>80</v>
      </c>
      <c r="H94" s="4" t="s">
        <v>80</v>
      </c>
      <c r="I94" s="4" t="s">
        <v>80</v>
      </c>
      <c r="J94" s="4" t="s">
        <v>80</v>
      </c>
      <c r="K94" s="4"/>
      <c r="L94" s="4"/>
      <c r="M94" s="4"/>
      <c r="N94" s="4" t="str">
        <f aca="false">IF(ARCH!M94="","",ARCH!M94)</f>
        <v/>
      </c>
      <c r="O94" s="4" t="str">
        <f aca="false">IF(ARCH!M94="","",ARCH!M94)</f>
        <v/>
      </c>
      <c r="P94" s="4" t="str">
        <f aca="false">IF(ARCH!M94="","",ARCH!M94)</f>
        <v/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4" t="str">
        <f aca="false">IF(ARCH!F95="","",ARCH!F95)</f>
        <v>14x36</v>
      </c>
      <c r="F95" s="4" t="s">
        <v>80</v>
      </c>
      <c r="G95" s="4" t="s">
        <v>80</v>
      </c>
      <c r="H95" s="4" t="s">
        <v>80</v>
      </c>
      <c r="I95" s="4" t="s">
        <v>80</v>
      </c>
      <c r="J95" s="4" t="s">
        <v>80</v>
      </c>
      <c r="K95" s="4"/>
      <c r="L95" s="4"/>
      <c r="M95" s="4"/>
      <c r="N95" s="4" t="str">
        <f aca="false">IF(ARCH!M95="","",ARCH!M95)</f>
        <v/>
      </c>
      <c r="O95" s="4" t="str">
        <f aca="false">IF(ARCH!M95="","",ARCH!M95)</f>
        <v/>
      </c>
      <c r="P95" s="4" t="str">
        <f aca="false">IF(ARCH!M95="","",ARCH!M95)</f>
        <v/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4" t="str">
        <f aca="false">IF(ARCH!F96="","",ARCH!F96)</f>
        <v>14x36</v>
      </c>
      <c r="F96" s="4" t="s">
        <v>80</v>
      </c>
      <c r="G96" s="4" t="s">
        <v>80</v>
      </c>
      <c r="H96" s="4" t="s">
        <v>80</v>
      </c>
      <c r="I96" s="4" t="s">
        <v>80</v>
      </c>
      <c r="J96" s="4"/>
      <c r="K96" s="4"/>
      <c r="L96" s="4"/>
      <c r="M96" s="4"/>
      <c r="N96" s="4" t="str">
        <f aca="false">IF(ARCH!M96="","",ARCH!M96)</f>
        <v/>
      </c>
      <c r="O96" s="4" t="str">
        <f aca="false">IF(ARCH!M96="","",ARCH!M96)</f>
        <v/>
      </c>
      <c r="P96" s="4" t="str">
        <f aca="false">IF(ARCH!M96="","",ARCH!M96)</f>
        <v/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4" t="str">
        <f aca="false">IF(ARCH!F97="","",ARCH!F97)</f>
        <v>14x36</v>
      </c>
      <c r="F97" s="4" t="s">
        <v>80</v>
      </c>
      <c r="G97" s="4" t="s">
        <v>80</v>
      </c>
      <c r="H97" s="4" t="s">
        <v>80</v>
      </c>
      <c r="I97" s="4" t="s">
        <v>80</v>
      </c>
      <c r="J97" s="4"/>
      <c r="K97" s="4"/>
      <c r="L97" s="4"/>
      <c r="M97" s="4"/>
      <c r="N97" s="4" t="str">
        <f aca="false">IF(ARCH!M97="","",ARCH!M97)</f>
        <v/>
      </c>
      <c r="O97" s="4" t="str">
        <f aca="false">IF(ARCH!M97="","",ARCH!M97)</f>
        <v/>
      </c>
      <c r="P97" s="4" t="str">
        <f aca="false">IF(ARCH!M97="","",ARCH!M97)</f>
        <v/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4" t="str">
        <f aca="false">IF(ARCH!F98="","",ARCH!F98)</f>
        <v>14x36</v>
      </c>
      <c r="F98" s="4" t="s">
        <v>80</v>
      </c>
      <c r="G98" s="4" t="s">
        <v>80</v>
      </c>
      <c r="H98" s="4" t="s">
        <v>80</v>
      </c>
      <c r="I98" s="4" t="s">
        <v>80</v>
      </c>
      <c r="J98" s="4"/>
      <c r="K98" s="4"/>
      <c r="L98" s="4"/>
      <c r="M98" s="4"/>
      <c r="N98" s="4" t="str">
        <f aca="false">IF(ARCH!M98="","",ARCH!M98)</f>
        <v/>
      </c>
      <c r="O98" s="4" t="str">
        <f aca="false">IF(ARCH!M98="","",ARCH!M98)</f>
        <v/>
      </c>
      <c r="P98" s="4" t="str">
        <f aca="false">IF(ARCH!M98="","",ARCH!M98)</f>
        <v/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4" t="str">
        <f aca="false">IF(ARCH!F99="","",ARCH!F99)</f>
        <v>14x36</v>
      </c>
      <c r="F99" s="4" t="s">
        <v>80</v>
      </c>
      <c r="G99" s="4" t="s">
        <v>80</v>
      </c>
      <c r="H99" s="4" t="s">
        <v>80</v>
      </c>
      <c r="I99" s="4" t="s">
        <v>80</v>
      </c>
      <c r="J99" s="4"/>
      <c r="K99" s="4"/>
      <c r="L99" s="4"/>
      <c r="M99" s="4"/>
      <c r="N99" s="4" t="str">
        <f aca="false">IF(ARCH!M99="","",ARCH!M99)</f>
        <v/>
      </c>
      <c r="O99" s="4" t="str">
        <f aca="false">IF(ARCH!M99="","",ARCH!M99)</f>
        <v/>
      </c>
      <c r="P99" s="4" t="str">
        <f aca="false">IF(ARCH!M99="","",ARCH!M99)</f>
        <v/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4" t="str">
        <f aca="false">IF(ARCH!F100="","",ARCH!F100)</f>
        <v>14x36</v>
      </c>
      <c r="F100" s="4" t="s">
        <v>80</v>
      </c>
      <c r="G100" s="4" t="s">
        <v>80</v>
      </c>
      <c r="H100" s="4" t="s">
        <v>80</v>
      </c>
      <c r="I100" s="4" t="s">
        <v>80</v>
      </c>
      <c r="J100" s="4"/>
      <c r="K100" s="4"/>
      <c r="L100" s="4"/>
      <c r="M100" s="4"/>
      <c r="N100" s="4" t="str">
        <f aca="false">IF(ARCH!M100="","",ARCH!M100)</f>
        <v/>
      </c>
      <c r="O100" s="4" t="str">
        <f aca="false">IF(ARCH!M100="","",ARCH!M100)</f>
        <v/>
      </c>
      <c r="P100" s="4" t="str">
        <f aca="false">IF(ARCH!M100="","",ARCH!M100)</f>
        <v/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4" t="str">
        <f aca="false">IF(ARCH!F101="","",ARCH!F101)</f>
        <v>14x36</v>
      </c>
      <c r="F101" s="4" t="s">
        <v>80</v>
      </c>
      <c r="G101" s="4" t="s">
        <v>80</v>
      </c>
      <c r="H101" s="4" t="s">
        <v>80</v>
      </c>
      <c r="I101" s="4" t="s">
        <v>80</v>
      </c>
      <c r="J101" s="4" t="s">
        <v>80</v>
      </c>
      <c r="K101" s="4"/>
      <c r="L101" s="4"/>
      <c r="M101" s="4"/>
      <c r="N101" s="4" t="str">
        <f aca="false">IF(ARCH!M101="","",ARCH!M101)</f>
        <v/>
      </c>
      <c r="O101" s="4" t="str">
        <f aca="false">IF(ARCH!M101="","",ARCH!M101)</f>
        <v/>
      </c>
      <c r="P101" s="4" t="str">
        <f aca="false">IF(ARCH!M101="","",ARCH!M101)</f>
        <v/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4" t="str">
        <f aca="false">IF(ARCH!F102="","",ARCH!F102)</f>
        <v>14x36</v>
      </c>
      <c r="F102" s="4" t="s">
        <v>80</v>
      </c>
      <c r="G102" s="4" t="s">
        <v>80</v>
      </c>
      <c r="H102" s="4" t="s">
        <v>80</v>
      </c>
      <c r="I102" s="4" t="s">
        <v>80</v>
      </c>
      <c r="J102" s="4"/>
      <c r="K102" s="4"/>
      <c r="L102" s="4"/>
      <c r="M102" s="4"/>
      <c r="N102" s="4" t="str">
        <f aca="false">IF(ARCH!M102="","",ARCH!M102)</f>
        <v/>
      </c>
      <c r="O102" s="4" t="str">
        <f aca="false">IF(ARCH!M102="","",ARCH!M102)</f>
        <v/>
      </c>
      <c r="P102" s="4" t="str">
        <f aca="false">IF(ARCH!M102="","",ARCH!M102)</f>
        <v/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4" t="str">
        <f aca="false">IF(ARCH!F103="","",ARCH!F103)</f>
        <v>14x36</v>
      </c>
      <c r="F103" s="4" t="s">
        <v>80</v>
      </c>
      <c r="G103" s="4" t="s">
        <v>80</v>
      </c>
      <c r="H103" s="4" t="s">
        <v>80</v>
      </c>
      <c r="I103" s="4" t="s">
        <v>80</v>
      </c>
      <c r="J103" s="4"/>
      <c r="K103" s="4"/>
      <c r="L103" s="4"/>
      <c r="M103" s="4"/>
      <c r="N103" s="4" t="str">
        <f aca="false">IF(ARCH!M103="","",ARCH!M103)</f>
        <v/>
      </c>
      <c r="O103" s="4" t="str">
        <f aca="false">IF(ARCH!M103="","",ARCH!M103)</f>
        <v/>
      </c>
      <c r="P103" s="4" t="str">
        <f aca="false">IF(ARCH!M103="","",ARCH!M103)</f>
        <v/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4" t="str">
        <f aca="false">IF(ARCH!F104="","",ARCH!F104)</f>
        <v>14x36</v>
      </c>
      <c r="F104" s="4" t="s">
        <v>80</v>
      </c>
      <c r="G104" s="4" t="s">
        <v>80</v>
      </c>
      <c r="H104" s="4" t="s">
        <v>80</v>
      </c>
      <c r="I104" s="4" t="s">
        <v>80</v>
      </c>
      <c r="J104" s="4"/>
      <c r="K104" s="4"/>
      <c r="L104" s="4"/>
      <c r="M104" s="4"/>
      <c r="N104" s="4" t="str">
        <f aca="false">IF(ARCH!M104="","",ARCH!M104)</f>
        <v/>
      </c>
      <c r="O104" s="4" t="str">
        <f aca="false">IF(ARCH!M104="","",ARCH!M104)</f>
        <v/>
      </c>
      <c r="P104" s="4" t="str">
        <f aca="false">IF(ARCH!M104="","",ARCH!M104)</f>
        <v/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4" t="str">
        <f aca="false">IF(ARCH!F105="","",ARCH!F105)</f>
        <v>14x36</v>
      </c>
      <c r="F105" s="4" t="s">
        <v>80</v>
      </c>
      <c r="G105" s="4" t="s">
        <v>80</v>
      </c>
      <c r="H105" s="4" t="s">
        <v>80</v>
      </c>
      <c r="I105" s="4" t="s">
        <v>80</v>
      </c>
      <c r="J105" s="4"/>
      <c r="K105" s="4"/>
      <c r="L105" s="4"/>
      <c r="M105" s="4"/>
      <c r="N105" s="4" t="str">
        <f aca="false">IF(ARCH!M105="","",ARCH!M105)</f>
        <v/>
      </c>
      <c r="O105" s="4" t="str">
        <f aca="false">IF(ARCH!M105="","",ARCH!M105)</f>
        <v/>
      </c>
      <c r="P105" s="4" t="str">
        <f aca="false">IF(ARCH!M105="","",ARCH!M105)</f>
        <v/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4" t="str">
        <f aca="false">IF(ARCH!F106="","",ARCH!F106)</f>
        <v>14x36</v>
      </c>
      <c r="F106" s="4" t="s">
        <v>80</v>
      </c>
      <c r="G106" s="4" t="s">
        <v>80</v>
      </c>
      <c r="H106" s="4" t="s">
        <v>80</v>
      </c>
      <c r="I106" s="4" t="s">
        <v>80</v>
      </c>
      <c r="J106" s="4"/>
      <c r="K106" s="4"/>
      <c r="L106" s="4"/>
      <c r="M106" s="4"/>
      <c r="N106" s="4" t="str">
        <f aca="false">IF(ARCH!M106="","",ARCH!M106)</f>
        <v/>
      </c>
      <c r="O106" s="4" t="str">
        <f aca="false">IF(ARCH!M106="","",ARCH!M106)</f>
        <v/>
      </c>
      <c r="P106" s="4" t="str">
        <f aca="false">IF(ARCH!M106="","",ARCH!M106)</f>
        <v/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4" t="str">
        <f aca="false">IF(ARCH!F107="","",ARCH!F107)</f>
        <v>14x36</v>
      </c>
      <c r="F107" s="4" t="s">
        <v>80</v>
      </c>
      <c r="G107" s="4" t="s">
        <v>80</v>
      </c>
      <c r="H107" s="4" t="s">
        <v>80</v>
      </c>
      <c r="I107" s="4" t="s">
        <v>80</v>
      </c>
      <c r="J107" s="4"/>
      <c r="K107" s="4"/>
      <c r="L107" s="4"/>
      <c r="M107" s="4"/>
      <c r="N107" s="4" t="str">
        <f aca="false">IF(ARCH!M107="","",ARCH!M107)</f>
        <v/>
      </c>
      <c r="O107" s="4" t="str">
        <f aca="false">IF(ARCH!M107="","",ARCH!M107)</f>
        <v/>
      </c>
      <c r="P107" s="4" t="str">
        <f aca="false">IF(ARCH!M107="","",ARCH!M107)</f>
        <v/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4" t="str">
        <f aca="false">IF(ARCH!F108="","",ARCH!F108)</f>
        <v>14x36</v>
      </c>
      <c r="F108" s="4" t="s">
        <v>80</v>
      </c>
      <c r="G108" s="4" t="s">
        <v>80</v>
      </c>
      <c r="H108" s="4" t="s">
        <v>80</v>
      </c>
      <c r="I108" s="4" t="s">
        <v>80</v>
      </c>
      <c r="J108" s="4"/>
      <c r="K108" s="4"/>
      <c r="L108" s="4"/>
      <c r="M108" s="4"/>
      <c r="N108" s="4" t="str">
        <f aca="false">IF(ARCH!M108="","",ARCH!M108)</f>
        <v/>
      </c>
      <c r="O108" s="4" t="str">
        <f aca="false">IF(ARCH!M108="","",ARCH!M108)</f>
        <v/>
      </c>
      <c r="P108" s="4" t="str">
        <f aca="false">IF(ARCH!M108="","",ARCH!M108)</f>
        <v/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4" t="str">
        <f aca="false">IF(ARCH!F109="","",ARCH!F109)</f>
        <v>14x36</v>
      </c>
      <c r="F109" s="4" t="s">
        <v>80</v>
      </c>
      <c r="G109" s="4" t="s">
        <v>80</v>
      </c>
      <c r="H109" s="4" t="s">
        <v>80</v>
      </c>
      <c r="I109" s="4" t="s">
        <v>80</v>
      </c>
      <c r="J109" s="4"/>
      <c r="K109" s="4"/>
      <c r="L109" s="4"/>
      <c r="M109" s="4"/>
      <c r="N109" s="4" t="str">
        <f aca="false">IF(ARCH!M109="","",ARCH!M109)</f>
        <v/>
      </c>
      <c r="O109" s="4" t="str">
        <f aca="false">IF(ARCH!M109="","",ARCH!M109)</f>
        <v/>
      </c>
      <c r="P109" s="4" t="str">
        <f aca="false">IF(ARCH!M109="","",ARCH!M109)</f>
        <v/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4" t="str">
        <f aca="false">IF(ARCH!F110="","",ARCH!F110)</f>
        <v>14x36</v>
      </c>
      <c r="F110" s="4" t="s">
        <v>80</v>
      </c>
      <c r="G110" s="4" t="s">
        <v>80</v>
      </c>
      <c r="H110" s="4"/>
      <c r="I110" s="4"/>
      <c r="J110" s="4"/>
      <c r="K110" s="4"/>
      <c r="L110" s="4"/>
      <c r="M110" s="4"/>
      <c r="N110" s="4" t="str">
        <f aca="false">IF(ARCH!M110="","",ARCH!M110)</f>
        <v/>
      </c>
      <c r="O110" s="4" t="str">
        <f aca="false">IF(ARCH!M110="","",ARCH!M110)</f>
        <v/>
      </c>
      <c r="P110" s="4" t="str">
        <f aca="false">IF(ARCH!M110="","",ARCH!M110)</f>
        <v/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4" t="str">
        <f aca="false">IF(ARCH!F111="","",ARCH!F111)</f>
        <v>14x36</v>
      </c>
      <c r="F111" s="4" t="s">
        <v>80</v>
      </c>
      <c r="G111" s="4" t="s">
        <v>80</v>
      </c>
      <c r="H111" s="4"/>
      <c r="I111" s="4"/>
      <c r="J111" s="4"/>
      <c r="K111" s="4"/>
      <c r="L111" s="4"/>
      <c r="M111" s="4"/>
      <c r="N111" s="4" t="str">
        <f aca="false">IF(ARCH!M111="","",ARCH!M111)</f>
        <v/>
      </c>
      <c r="O111" s="4" t="str">
        <f aca="false">IF(ARCH!M111="","",ARCH!M111)</f>
        <v/>
      </c>
      <c r="P111" s="4" t="str">
        <f aca="false">IF(ARCH!M111="","",ARCH!M111)</f>
        <v/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4" t="str">
        <f aca="false">IF(ARCH!F112="","",ARCH!F112)</f>
        <v>14x36</v>
      </c>
      <c r="F112" s="4" t="s">
        <v>80</v>
      </c>
      <c r="G112" s="4"/>
      <c r="H112" s="4"/>
      <c r="I112" s="4"/>
      <c r="J112" s="4"/>
      <c r="K112" s="4"/>
      <c r="L112" s="4"/>
      <c r="M112" s="4"/>
      <c r="N112" s="4" t="str">
        <f aca="false">IF(ARCH!M112="","",ARCH!M112)</f>
        <v/>
      </c>
      <c r="O112" s="4" t="str">
        <f aca="false">IF(ARCH!M112="","",ARCH!M112)</f>
        <v/>
      </c>
      <c r="P112" s="4" t="str">
        <f aca="false">IF(ARCH!M112="","",ARCH!M112)</f>
        <v/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4" t="str">
        <f aca="false">IF(ARCH!F113="","",ARCH!F113)</f>
        <v>22x38</v>
      </c>
      <c r="F113" s="4" t="s">
        <v>263</v>
      </c>
      <c r="G113" s="4"/>
      <c r="H113" s="4"/>
      <c r="I113" s="4"/>
      <c r="J113" s="4"/>
      <c r="K113" s="4"/>
      <c r="L113" s="4"/>
      <c r="M113" s="4"/>
      <c r="N113" s="4" t="str">
        <f aca="false">IF(ARCH!M113="","",ARCH!M113)</f>
        <v/>
      </c>
      <c r="O113" s="4" t="str">
        <f aca="false">IF(ARCH!M113="","",ARCH!M113)</f>
        <v/>
      </c>
      <c r="P113" s="4" t="str">
        <f aca="false">IF(ARCH!M113="","",ARCH!M113)</f>
        <v/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4" t="str">
        <f aca="false">IF(ARCH!F114="","",ARCH!F114)</f>
        <v>14x36</v>
      </c>
      <c r="F114" s="4" t="s">
        <v>80</v>
      </c>
      <c r="G114" s="4"/>
      <c r="H114" s="4"/>
      <c r="I114" s="4"/>
      <c r="J114" s="4"/>
      <c r="K114" s="4"/>
      <c r="L114" s="4"/>
      <c r="M114" s="4"/>
      <c r="N114" s="4" t="str">
        <f aca="false">IF(ARCH!M114="","",ARCH!M114)</f>
        <v/>
      </c>
      <c r="O114" s="4" t="str">
        <f aca="false">IF(ARCH!M114="","",ARCH!M114)</f>
        <v/>
      </c>
      <c r="P114" s="4" t="str">
        <f aca="false">IF(ARCH!M114="","",ARCH!M114)</f>
        <v/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4" t="str">
        <f aca="false">IF(ARCH!F115="","",ARCH!F115)</f>
        <v>14x36</v>
      </c>
      <c r="F115" s="4" t="s">
        <v>80</v>
      </c>
      <c r="G115" s="4"/>
      <c r="H115" s="4"/>
      <c r="I115" s="4"/>
      <c r="J115" s="4"/>
      <c r="K115" s="4"/>
      <c r="L115" s="4"/>
      <c r="M115" s="4"/>
      <c r="N115" s="4" t="str">
        <f aca="false">IF(ARCH!M115="","",ARCH!M115)</f>
        <v/>
      </c>
      <c r="O115" s="4" t="str">
        <f aca="false">IF(ARCH!M115="","",ARCH!M115)</f>
        <v/>
      </c>
      <c r="P115" s="4" t="str">
        <f aca="false">IF(ARCH!M115="","",ARCH!M115)</f>
        <v/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4" t="str">
        <f aca="false">IF(ARCH!F116="","",ARCH!F116)</f>
        <v>14x36</v>
      </c>
      <c r="F116" s="4" t="s">
        <v>80</v>
      </c>
      <c r="G116" s="4"/>
      <c r="H116" s="4"/>
      <c r="I116" s="4"/>
      <c r="J116" s="4"/>
      <c r="K116" s="4"/>
      <c r="L116" s="4"/>
      <c r="M116" s="4"/>
      <c r="N116" s="4" t="str">
        <f aca="false">IF(ARCH!M116="","",ARCH!M116)</f>
        <v/>
      </c>
      <c r="O116" s="4" t="str">
        <f aca="false">IF(ARCH!M116="","",ARCH!M116)</f>
        <v/>
      </c>
      <c r="P116" s="4" t="str">
        <f aca="false">IF(ARCH!M116="","",ARCH!M116)</f>
        <v/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4" t="str">
        <f aca="false">IF(ARCH!F117="","",ARCH!F117)</f>
        <v>14x36</v>
      </c>
      <c r="F117" s="4" t="s">
        <v>80</v>
      </c>
      <c r="G117" s="4"/>
      <c r="H117" s="4"/>
      <c r="I117" s="4"/>
      <c r="J117" s="4"/>
      <c r="K117" s="4"/>
      <c r="L117" s="4"/>
      <c r="M117" s="4"/>
      <c r="N117" s="4" t="str">
        <f aca="false">IF(ARCH!M117="","",ARCH!M117)</f>
        <v/>
      </c>
      <c r="O117" s="4" t="str">
        <f aca="false">IF(ARCH!M117="","",ARCH!M117)</f>
        <v/>
      </c>
      <c r="P117" s="4" t="str">
        <f aca="false">IF(ARCH!M117="","",ARCH!M117)</f>
        <v/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4" t="str">
        <f aca="false">IF(ARCH!F118="","",ARCH!F118)</f>
        <v>14x36</v>
      </c>
      <c r="F118" s="4" t="s">
        <v>80</v>
      </c>
      <c r="G118" s="4"/>
      <c r="H118" s="4"/>
      <c r="I118" s="4"/>
      <c r="J118" s="4"/>
      <c r="K118" s="4"/>
      <c r="L118" s="4"/>
      <c r="M118" s="4"/>
      <c r="N118" s="4" t="str">
        <f aca="false">IF(ARCH!M118="","",ARCH!M118)</f>
        <v/>
      </c>
      <c r="O118" s="4" t="str">
        <f aca="false">IF(ARCH!M118="","",ARCH!M118)</f>
        <v/>
      </c>
      <c r="P118" s="4" t="str">
        <f aca="false">IF(ARCH!M118="","",ARCH!M118)</f>
        <v/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4" t="str">
        <f aca="false">IF(ARCH!F119="","",ARCH!F119)</f>
        <v/>
      </c>
      <c r="F119" s="4"/>
      <c r="G119" s="4"/>
      <c r="H119" s="4"/>
      <c r="I119" s="4"/>
      <c r="J119" s="4" t="s">
        <v>80</v>
      </c>
      <c r="K119" s="4"/>
      <c r="L119" s="4"/>
      <c r="M119" s="4"/>
      <c r="N119" s="4" t="str">
        <f aca="false">IF(ARCH!M119="","",ARCH!M119)</f>
        <v/>
      </c>
      <c r="O119" s="4" t="str">
        <f aca="false">IF(ARCH!M119="","",ARCH!M119)</f>
        <v/>
      </c>
      <c r="P119" s="4" t="str">
        <f aca="false">IF(ARCH!M119="","",ARCH!M119)</f>
        <v/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4" t="str">
        <f aca="false">IF(ARCH!F120="","",ARCH!F120)</f>
        <v/>
      </c>
      <c r="F120" s="4"/>
      <c r="G120" s="4"/>
      <c r="H120" s="4"/>
      <c r="I120" s="4"/>
      <c r="J120" s="4" t="s">
        <v>80</v>
      </c>
      <c r="K120" s="4"/>
      <c r="L120" s="4"/>
      <c r="M120" s="4"/>
      <c r="N120" s="4" t="str">
        <f aca="false">IF(ARCH!M120="","",ARCH!M120)</f>
        <v/>
      </c>
      <c r="O120" s="4" t="str">
        <f aca="false">IF(ARCH!M120="","",ARCH!M120)</f>
        <v/>
      </c>
      <c r="P120" s="4" t="str">
        <f aca="false">IF(ARCH!M120="","",ARCH!M120)</f>
        <v/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4" t="str">
        <f aca="false">IF(ARCH!F121="","",ARCH!F121)</f>
        <v/>
      </c>
      <c r="F121" s="4"/>
      <c r="G121" s="4"/>
      <c r="H121" s="4"/>
      <c r="I121" s="4"/>
      <c r="J121" s="4" t="s">
        <v>80</v>
      </c>
      <c r="K121" s="4"/>
      <c r="L121" s="4"/>
      <c r="M121" s="4"/>
      <c r="N121" s="4" t="str">
        <f aca="false">IF(ARCH!M121="","",ARCH!M121)</f>
        <v/>
      </c>
      <c r="O121" s="4" t="str">
        <f aca="false">IF(ARCH!M121="","",ARCH!M121)</f>
        <v/>
      </c>
      <c r="P121" s="4" t="str">
        <f aca="false">IF(ARCH!M121="","",ARCH!M121)</f>
        <v/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4" t="str">
        <f aca="false">IF(ARCH!F122="","",ARCH!F122)</f>
        <v/>
      </c>
      <c r="F122" s="4"/>
      <c r="G122" s="4"/>
      <c r="H122" s="4"/>
      <c r="I122" s="4"/>
      <c r="J122" s="4" t="s">
        <v>80</v>
      </c>
      <c r="K122" s="4"/>
      <c r="L122" s="4"/>
      <c r="M122" s="4"/>
      <c r="N122" s="4" t="str">
        <f aca="false">IF(ARCH!M122="","",ARCH!M122)</f>
        <v/>
      </c>
      <c r="O122" s="4" t="str">
        <f aca="false">IF(ARCH!M122="","",ARCH!M122)</f>
        <v/>
      </c>
      <c r="P122" s="4" t="str">
        <f aca="false">IF(ARCH!M122="","",ARCH!M122)</f>
        <v/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4" t="str">
        <f aca="false">IF(ARCH!F123="","",ARCH!F123)</f>
        <v/>
      </c>
      <c r="F123" s="4"/>
      <c r="G123" s="4"/>
      <c r="H123" s="4"/>
      <c r="I123" s="4"/>
      <c r="J123" s="4" t="s">
        <v>80</v>
      </c>
      <c r="K123" s="4"/>
      <c r="L123" s="4"/>
      <c r="M123" s="4"/>
      <c r="N123" s="4" t="str">
        <f aca="false">IF(ARCH!M123="","",ARCH!M123)</f>
        <v/>
      </c>
      <c r="O123" s="4" t="str">
        <f aca="false">IF(ARCH!M123="","",ARCH!M123)</f>
        <v/>
      </c>
      <c r="P123" s="4" t="str">
        <f aca="false">IF(ARCH!M123="","",ARCH!M123)</f>
        <v/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4" t="str">
        <f aca="false">IF(ARCH!F124="","",ARCH!F124)</f>
        <v/>
      </c>
      <c r="F124" s="4"/>
      <c r="G124" s="4"/>
      <c r="H124" s="4"/>
      <c r="I124" s="4"/>
      <c r="J124" s="4" t="s">
        <v>80</v>
      </c>
      <c r="K124" s="4"/>
      <c r="L124" s="4"/>
      <c r="M124" s="4"/>
      <c r="N124" s="4" t="str">
        <f aca="false">IF(ARCH!M124="","",ARCH!M124)</f>
        <v/>
      </c>
      <c r="O124" s="4" t="str">
        <f aca="false">IF(ARCH!M124="","",ARCH!M124)</f>
        <v/>
      </c>
      <c r="P124" s="4" t="str">
        <f aca="false">IF(ARCH!M124="","",ARCH!M124)</f>
        <v/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4" t="str">
        <f aca="false">IF(ARCH!F125="","",ARCH!F125)</f>
        <v/>
      </c>
      <c r="F125" s="4"/>
      <c r="G125" s="4"/>
      <c r="H125" s="4"/>
      <c r="I125" s="4"/>
      <c r="J125" s="4" t="s">
        <v>80</v>
      </c>
      <c r="K125" s="4"/>
      <c r="L125" s="4"/>
      <c r="M125" s="4"/>
      <c r="N125" s="4" t="str">
        <f aca="false">IF(ARCH!M125="","",ARCH!M125)</f>
        <v/>
      </c>
      <c r="O125" s="4" t="str">
        <f aca="false">IF(ARCH!M125="","",ARCH!M125)</f>
        <v/>
      </c>
      <c r="P125" s="4" t="str">
        <f aca="false">IF(ARCH!M125="","",ARCH!M125)</f>
        <v/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4" t="str">
        <f aca="false">IF(ARCH!F126="","",ARCH!F126)</f>
        <v/>
      </c>
      <c r="F126" s="4"/>
      <c r="G126" s="4"/>
      <c r="H126" s="4"/>
      <c r="I126" s="4"/>
      <c r="J126" s="4" t="s">
        <v>80</v>
      </c>
      <c r="K126" s="4"/>
      <c r="L126" s="4"/>
      <c r="M126" s="4"/>
      <c r="N126" s="4" t="str">
        <f aca="false">IF(ARCH!M126="","",ARCH!M126)</f>
        <v/>
      </c>
      <c r="O126" s="4" t="str">
        <f aca="false">IF(ARCH!M126="","",ARCH!M126)</f>
        <v/>
      </c>
      <c r="P126" s="4" t="str">
        <f aca="false">IF(ARCH!M126="","",ARCH!M126)</f>
        <v/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4" t="str">
        <f aca="false">IF(ARCH!F127="","",ARCH!F127)</f>
        <v/>
      </c>
      <c r="F127" s="4"/>
      <c r="G127" s="4"/>
      <c r="H127" s="4"/>
      <c r="I127" s="4"/>
      <c r="J127" s="4" t="s">
        <v>80</v>
      </c>
      <c r="K127" s="4"/>
      <c r="L127" s="4"/>
      <c r="M127" s="4"/>
      <c r="N127" s="4" t="str">
        <f aca="false">IF(ARCH!M127="","",ARCH!M127)</f>
        <v/>
      </c>
      <c r="O127" s="4" t="str">
        <f aca="false">IF(ARCH!M127="","",ARCH!M127)</f>
        <v/>
      </c>
      <c r="P127" s="4" t="str">
        <f aca="false">IF(ARCH!M127="","",ARCH!M127)</f>
        <v/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4" t="str">
        <f aca="false">IF(ARCH!F128="","",ARCH!F128)</f>
        <v/>
      </c>
      <c r="F128" s="4"/>
      <c r="G128" s="4"/>
      <c r="H128" s="4"/>
      <c r="I128" s="4"/>
      <c r="J128" s="4" t="s">
        <v>80</v>
      </c>
      <c r="K128" s="4"/>
      <c r="L128" s="4"/>
      <c r="M128" s="4"/>
      <c r="N128" s="4" t="str">
        <f aca="false">IF(ARCH!M128="","",ARCH!M128)</f>
        <v/>
      </c>
      <c r="O128" s="4" t="str">
        <f aca="false">IF(ARCH!M128="","",ARCH!M128)</f>
        <v/>
      </c>
      <c r="P128" s="4" t="str">
        <f aca="false">IF(ARCH!M128="","",ARCH!M128)</f>
        <v/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4" t="str">
        <f aca="false">IF(ARCH!F129="","",ARCH!F129)</f>
        <v/>
      </c>
      <c r="F129" s="4"/>
      <c r="G129" s="4"/>
      <c r="H129" s="4"/>
      <c r="I129" s="4"/>
      <c r="J129" s="4" t="s">
        <v>80</v>
      </c>
      <c r="K129" s="4"/>
      <c r="L129" s="4"/>
      <c r="M129" s="4"/>
      <c r="N129" s="4" t="str">
        <f aca="false">IF(ARCH!M129="","",ARCH!M129)</f>
        <v/>
      </c>
      <c r="O129" s="4" t="str">
        <f aca="false">IF(ARCH!M129="","",ARCH!M129)</f>
        <v/>
      </c>
      <c r="P129" s="4" t="str">
        <f aca="false">IF(ARCH!M129="","",ARCH!M129)</f>
        <v/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4" t="str">
        <f aca="false">IF(ARCH!F130="","",ARCH!F130)</f>
        <v/>
      </c>
      <c r="F130" s="4"/>
      <c r="G130" s="4"/>
      <c r="H130" s="4"/>
      <c r="I130" s="4"/>
      <c r="J130" s="4" t="s">
        <v>80</v>
      </c>
      <c r="K130" s="4"/>
      <c r="L130" s="4"/>
      <c r="M130" s="4"/>
      <c r="N130" s="4" t="str">
        <f aca="false">IF(ARCH!M130="","",ARCH!M130)</f>
        <v/>
      </c>
      <c r="O130" s="4" t="str">
        <f aca="false">IF(ARCH!M130="","",ARCH!M130)</f>
        <v/>
      </c>
      <c r="P130" s="4" t="str">
        <f aca="false">IF(ARCH!M130="","",ARCH!M130)</f>
        <v/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4" t="str">
        <f aca="false">IF(ARCH!F131="","",ARCH!F131)</f>
        <v/>
      </c>
      <c r="F131" s="4"/>
      <c r="G131" s="4"/>
      <c r="H131" s="4"/>
      <c r="I131" s="4"/>
      <c r="J131" s="4" t="s">
        <v>80</v>
      </c>
      <c r="K131" s="4"/>
      <c r="L131" s="4"/>
      <c r="M131" s="4"/>
      <c r="N131" s="4" t="str">
        <f aca="false">IF(ARCH!M131="","",ARCH!M131)</f>
        <v/>
      </c>
      <c r="O131" s="4" t="str">
        <f aca="false">IF(ARCH!M131="","",ARCH!M131)</f>
        <v/>
      </c>
      <c r="P131" s="4" t="str">
        <f aca="false">IF(ARCH!M131="","",ARCH!M131)</f>
        <v/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4" t="str">
        <f aca="false">IF(ARCH!F132="","",ARCH!F132)</f>
        <v/>
      </c>
      <c r="F132" s="4"/>
      <c r="G132" s="4"/>
      <c r="H132" s="4"/>
      <c r="I132" s="4"/>
      <c r="J132" s="4" t="s">
        <v>80</v>
      </c>
      <c r="K132" s="4"/>
      <c r="L132" s="4"/>
      <c r="M132" s="4"/>
      <c r="N132" s="4" t="str">
        <f aca="false">IF(ARCH!M132="","",ARCH!M132)</f>
        <v/>
      </c>
      <c r="O132" s="4" t="str">
        <f aca="false">IF(ARCH!M132="","",ARCH!M132)</f>
        <v/>
      </c>
      <c r="P132" s="4" t="str">
        <f aca="false">IF(ARCH!M132="","",ARCH!M132)</f>
        <v/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4" t="str">
        <f aca="false">IF(ARCH!F133="","",ARCH!F133)</f>
        <v/>
      </c>
      <c r="F133" s="4"/>
      <c r="G133" s="4"/>
      <c r="H133" s="4"/>
      <c r="I133" s="4" t="s">
        <v>80</v>
      </c>
      <c r="J133" s="4"/>
      <c r="K133" s="4"/>
      <c r="L133" s="4"/>
      <c r="M133" s="4"/>
      <c r="N133" s="4" t="str">
        <f aca="false">IF(ARCH!M133="","",ARCH!M133)</f>
        <v/>
      </c>
      <c r="O133" s="4" t="str">
        <f aca="false">IF(ARCH!M133="","",ARCH!M133)</f>
        <v/>
      </c>
      <c r="P133" s="4" t="str">
        <f aca="false">IF(ARCH!M133="","",ARCH!M133)</f>
        <v/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4" t="str">
        <f aca="false">IF(ARCH!F134="","",ARCH!F134)</f>
        <v/>
      </c>
      <c r="F134" s="4"/>
      <c r="G134" s="4"/>
      <c r="H134" s="4"/>
      <c r="I134" s="4" t="s">
        <v>80</v>
      </c>
      <c r="J134" s="4"/>
      <c r="K134" s="4"/>
      <c r="L134" s="4"/>
      <c r="M134" s="4"/>
      <c r="N134" s="4" t="str">
        <f aca="false">IF(ARCH!M134="","",ARCH!M134)</f>
        <v/>
      </c>
      <c r="O134" s="4" t="str">
        <f aca="false">IF(ARCH!M134="","",ARCH!M134)</f>
        <v/>
      </c>
      <c r="P134" s="4" t="str">
        <f aca="false">IF(ARCH!M134="","",ARCH!M134)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264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10" t="n">
        <f aca="false">IF(ARCH!E2="",INPUTS!$B$19,IF(LEFT(ARCH!E2,1)="d",PI()/4*VALUE(MID(ARCH!E2,2,9))^2,VALUE(LEFT(ARCH!E2,FIND("x",ARCH!E2)-1))*VALUE(MID(ARCH!E2,FIND("x",ARCH!E2)+1,9))))</f>
        <v>504</v>
      </c>
      <c r="F2" s="10" t="n">
        <f aca="false">IF(ARCH!F2="",INPUTS!$B$19,IF(LEFT(ARCH!F2,1)="d",PI()/4*VALUE(MID(ARCH!F2,2,9))^2,VALUE(LEFT(ARCH!F2,FIND("x",ARCH!F2)-1))*VALUE(MID(ARCH!F2,FIND("x",ARCH!F2)+1,9))))</f>
        <v>504</v>
      </c>
      <c r="G2" s="10" t="n">
        <f aca="false">IF(ARCH!G2="",INPUTS!$B$19,IF(LEFT(ARCH!G2,1)="d",PI()/4*VALUE(MID(ARCH!G2,2,9))^2,VALUE(LEFT(ARCH!G2,FIND("x",ARCH!G2)-1))*VALUE(MID(ARCH!G2,FIND("x",ARCH!G2)+1,9))))</f>
        <v>504</v>
      </c>
      <c r="H2" s="10" t="n">
        <f aca="false">IF(ARCH!H2="",INPUTS!$B$19,IF(LEFT(ARCH!H2,1)="d",PI()/4*VALUE(MID(ARCH!H2,2,9))^2,VALUE(LEFT(ARCH!H2,FIND("x",ARCH!H2)-1))*VALUE(MID(ARCH!H2,FIND("x",ARCH!H2)+1,9))))</f>
        <v>504</v>
      </c>
      <c r="I2" s="10" t="n">
        <f aca="false">IF(ARCH!I2="",INPUTS!$B$19,IF(LEFT(ARCH!I2,1)="d",PI()/4*VALUE(MID(ARCH!I2,2,9))^2,VALUE(LEFT(ARCH!I2,FIND("x",ARCH!I2)-1))*VALUE(MID(ARCH!I2,FIND("x",ARCH!I2)+1,9))))</f>
        <v>504</v>
      </c>
      <c r="J2" s="10" t="n">
        <f aca="false">IF(ARCH!J2="",INPUTS!$B$19,IF(LEFT(ARCH!J2,1)="d",PI()/4*VALUE(MID(ARCH!J2,2,9))^2,VALUE(LEFT(ARCH!J2,FIND("x",ARCH!J2)-1))*VALUE(MID(ARCH!J2,FIND("x",ARCH!J2)+1,9))))</f>
        <v>504</v>
      </c>
      <c r="K2" s="10" t="n">
        <f aca="false">IF(ARCH!K2="",INPUTS!$B$19,IF(LEFT(ARCH!K2,1)="d",PI()/4*VALUE(MID(ARCH!K2,2,9))^2,VALUE(LEFT(ARCH!K2,FIND("x",ARCH!K2)-1))*VALUE(MID(ARCH!K2,FIND("x",ARCH!K2)+1,9))))</f>
        <v>504</v>
      </c>
      <c r="L2" s="10" t="n">
        <f aca="false">IF(ARCH!L2="",INPUTS!$B$19,IF(LEFT(ARCH!L2,1)="d",PI()/4*VALUE(MID(ARCH!L2,2,9))^2,VALUE(LEFT(ARCH!L2,FIND("x",ARCH!L2)-1))*VALUE(MID(ARCH!L2,FIND("x",ARCH!L2)+1,9))))</f>
        <v>504</v>
      </c>
      <c r="M2" s="10" t="n">
        <f aca="false">IF(ARCH!M2="",INPUTS!$B$19,IF(LEFT(ARCH!M2,1)="d",PI()/4*VALUE(MID(ARCH!M2,2,9))^2,VALUE(LEFT(ARCH!M2,FIND("x",ARCH!M2)-1))*VALUE(MID(ARCH!M2,FIND("x",ARCH!M2)+1,9))))</f>
        <v>504</v>
      </c>
      <c r="N2" s="10" t="n">
        <f aca="false">IF(ARCH!N2="",INPUTS!$B$19,IF(LEFT(ARCH!N2,1)="d",PI()/4*VALUE(MID(ARCH!N2,2,9))^2,VALUE(LEFT(ARCH!N2,FIND("x",ARCH!N2)-1))*VALUE(MID(ARCH!N2,FIND("x",ARCH!N2)+1,9))))</f>
        <v>504</v>
      </c>
      <c r="O2" s="10" t="n">
        <f aca="false">IF(ARCH!O2="",INPUTS!$B$19,IF(LEFT(ARCH!O2,1)="d",PI()/4*VALUE(MID(ARCH!O2,2,9))^2,VALUE(LEFT(ARCH!O2,FIND("x",ARCH!O2)-1))*VALUE(MID(ARCH!O2,FIND("x",ARCH!O2)+1,9))))</f>
        <v>504</v>
      </c>
      <c r="P2" s="10" t="n">
        <f aca="false">IF(ARCH!P2="",INPUTS!$B$19,IF(LEFT(ARCH!P2,1)="d",PI()/4*VALUE(MID(ARCH!P2,2,9))^2,VALUE(LEFT(ARCH!P2,FIND("x",ARCH!P2)-1))*VALUE(MID(ARCH!P2,FIND("x",ARCH!P2)+1,9))))</f>
        <v>504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10" t="n">
        <f aca="false">IF(ARCH!E3="",INPUTS!$B$19,IF(LEFT(ARCH!E3,1)="d",PI()/4*VALUE(MID(ARCH!E3,2,9))^2,VALUE(LEFT(ARCH!E3,FIND("x",ARCH!E3)-1))*VALUE(MID(ARCH!E3,FIND("x",ARCH!E3)+1,9))))</f>
        <v>336</v>
      </c>
      <c r="F3" s="10" t="n">
        <f aca="false">IF(ARCH!F3="",INPUTS!$B$19,IF(LEFT(ARCH!F3,1)="d",PI()/4*VALUE(MID(ARCH!F3,2,9))^2,VALUE(LEFT(ARCH!F3,FIND("x",ARCH!F3)-1))*VALUE(MID(ARCH!F3,FIND("x",ARCH!F3)+1,9))))</f>
        <v>336</v>
      </c>
      <c r="G3" s="10" t="n">
        <f aca="false">IF(ARCH!G3="",INPUTS!$B$19,IF(LEFT(ARCH!G3,1)="d",PI()/4*VALUE(MID(ARCH!G3,2,9))^2,VALUE(LEFT(ARCH!G3,FIND("x",ARCH!G3)-1))*VALUE(MID(ARCH!G3,FIND("x",ARCH!G3)+1,9))))</f>
        <v>452.38934211693</v>
      </c>
      <c r="H3" s="10" t="n">
        <f aca="false">IF(ARCH!H3="",INPUTS!$B$19,IF(LEFT(ARCH!H3,1)="d",PI()/4*VALUE(MID(ARCH!H3,2,9))^2,VALUE(LEFT(ARCH!H3,FIND("x",ARCH!H3)-1))*VALUE(MID(ARCH!H3,FIND("x",ARCH!H3)+1,9))))</f>
        <v>452.38934211693</v>
      </c>
      <c r="I3" s="10" t="n">
        <f aca="false">IF(ARCH!I3="",INPUTS!$B$19,IF(LEFT(ARCH!I3,1)="d",PI()/4*VALUE(MID(ARCH!I3,2,9))^2,VALUE(LEFT(ARCH!I3,FIND("x",ARCH!I3)-1))*VALUE(MID(ARCH!I3,FIND("x",ARCH!I3)+1,9))))</f>
        <v>452.38934211693</v>
      </c>
      <c r="J3" s="10" t="n">
        <f aca="false">IF(ARCH!J3="",INPUTS!$B$19,IF(LEFT(ARCH!J3,1)="d",PI()/4*VALUE(MID(ARCH!J3,2,9))^2,VALUE(LEFT(ARCH!J3,FIND("x",ARCH!J3)-1))*VALUE(MID(ARCH!J3,FIND("x",ARCH!J3)+1,9))))</f>
        <v>452.38934211693</v>
      </c>
      <c r="K3" s="10" t="n">
        <f aca="false">IF(ARCH!K3="",INPUTS!$B$19,IF(LEFT(ARCH!K3,1)="d",PI()/4*VALUE(MID(ARCH!K3,2,9))^2,VALUE(LEFT(ARCH!K3,FIND("x",ARCH!K3)-1))*VALUE(MID(ARCH!K3,FIND("x",ARCH!K3)+1,9))))</f>
        <v>452.38934211693</v>
      </c>
      <c r="L3" s="10" t="n">
        <f aca="false">IF(ARCH!L3="",INPUTS!$B$19,IF(LEFT(ARCH!L3,1)="d",PI()/4*VALUE(MID(ARCH!L3,2,9))^2,VALUE(LEFT(ARCH!L3,FIND("x",ARCH!L3)-1))*VALUE(MID(ARCH!L3,FIND("x",ARCH!L3)+1,9))))</f>
        <v>452.38934211693</v>
      </c>
      <c r="M3" s="10" t="n">
        <f aca="false">IF(ARCH!M3="",INPUTS!$B$19,IF(LEFT(ARCH!M3,1)="d",PI()/4*VALUE(MID(ARCH!M3,2,9))^2,VALUE(LEFT(ARCH!M3,FIND("x",ARCH!M3)-1))*VALUE(MID(ARCH!M3,FIND("x",ARCH!M3)+1,9))))</f>
        <v>452.38934211693</v>
      </c>
      <c r="N3" s="10" t="n">
        <f aca="false">IF(ARCH!N3="",INPUTS!$B$19,IF(LEFT(ARCH!N3,1)="d",PI()/4*VALUE(MID(ARCH!N3,2,9))^2,VALUE(LEFT(ARCH!N3,FIND("x",ARCH!N3)-1))*VALUE(MID(ARCH!N3,FIND("x",ARCH!N3)+1,9))))</f>
        <v>452.38934211693</v>
      </c>
      <c r="O3" s="10" t="n">
        <f aca="false">IF(ARCH!O3="",INPUTS!$B$19,IF(LEFT(ARCH!O3,1)="d",PI()/4*VALUE(MID(ARCH!O3,2,9))^2,VALUE(LEFT(ARCH!O3,FIND("x",ARCH!O3)-1))*VALUE(MID(ARCH!O3,FIND("x",ARCH!O3)+1,9))))</f>
        <v>452.38934211693</v>
      </c>
      <c r="P3" s="10" t="n">
        <f aca="false">IF(ARCH!P3="",INPUTS!$B$19,IF(LEFT(ARCH!P3,1)="d",PI()/4*VALUE(MID(ARCH!P3,2,9))^2,VALUE(LEFT(ARCH!P3,FIND("x",ARCH!P3)-1))*VALUE(MID(ARCH!P3,FIND("x",ARCH!P3)+1,9))))</f>
        <v>452.38934211693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10" t="n">
        <f aca="false">IF(ARCH!E4="",INPUTS!$B$19,IF(LEFT(ARCH!E4,1)="d",PI()/4*VALUE(MID(ARCH!E4,2,9))^2,VALUE(LEFT(ARCH!E4,FIND("x",ARCH!E4)-1))*VALUE(MID(ARCH!E4,FIND("x",ARCH!E4)+1,9))))</f>
        <v>504</v>
      </c>
      <c r="F4" s="10" t="n">
        <f aca="false">IF(ARCH!F4="",INPUTS!$B$19,IF(LEFT(ARCH!F4,1)="d",PI()/4*VALUE(MID(ARCH!F4,2,9))^2,VALUE(LEFT(ARCH!F4,FIND("x",ARCH!F4)-1))*VALUE(MID(ARCH!F4,FIND("x",ARCH!F4)+1,9))))</f>
        <v>504</v>
      </c>
      <c r="G4" s="10" t="n">
        <f aca="false">IF(ARCH!G4="",INPUTS!$B$19,IF(LEFT(ARCH!G4,1)="d",PI()/4*VALUE(MID(ARCH!G4,2,9))^2,VALUE(LEFT(ARCH!G4,FIND("x",ARCH!G4)-1))*VALUE(MID(ARCH!G4,FIND("x",ARCH!G4)+1,9))))</f>
        <v>504</v>
      </c>
      <c r="H4" s="10" t="n">
        <f aca="false">IF(ARCH!H4="",INPUTS!$B$19,IF(LEFT(ARCH!H4,1)="d",PI()/4*VALUE(MID(ARCH!H4,2,9))^2,VALUE(LEFT(ARCH!H4,FIND("x",ARCH!H4)-1))*VALUE(MID(ARCH!H4,FIND("x",ARCH!H4)+1,9))))</f>
        <v>504</v>
      </c>
      <c r="I4" s="10" t="n">
        <f aca="false">IF(ARCH!I4="",INPUTS!$B$19,IF(LEFT(ARCH!I4,1)="d",PI()/4*VALUE(MID(ARCH!I4,2,9))^2,VALUE(LEFT(ARCH!I4,FIND("x",ARCH!I4)-1))*VALUE(MID(ARCH!I4,FIND("x",ARCH!I4)+1,9))))</f>
        <v>504</v>
      </c>
      <c r="J4" s="10" t="n">
        <f aca="false">IF(ARCH!J4="",INPUTS!$B$19,IF(LEFT(ARCH!J4,1)="d",PI()/4*VALUE(MID(ARCH!J4,2,9))^2,VALUE(LEFT(ARCH!J4,FIND("x",ARCH!J4)-1))*VALUE(MID(ARCH!J4,FIND("x",ARCH!J4)+1,9))))</f>
        <v>504</v>
      </c>
      <c r="K4" s="10" t="n">
        <f aca="false">IF(ARCH!K4="",INPUTS!$B$19,IF(LEFT(ARCH!K4,1)="d",PI()/4*VALUE(MID(ARCH!K4,2,9))^2,VALUE(LEFT(ARCH!K4,FIND("x",ARCH!K4)-1))*VALUE(MID(ARCH!K4,FIND("x",ARCH!K4)+1,9))))</f>
        <v>504</v>
      </c>
      <c r="L4" s="10" t="n">
        <f aca="false">IF(ARCH!L4="",INPUTS!$B$19,IF(LEFT(ARCH!L4,1)="d",PI()/4*VALUE(MID(ARCH!L4,2,9))^2,VALUE(LEFT(ARCH!L4,FIND("x",ARCH!L4)-1))*VALUE(MID(ARCH!L4,FIND("x",ARCH!L4)+1,9))))</f>
        <v>504</v>
      </c>
      <c r="M4" s="10" t="n">
        <f aca="false">IF(ARCH!M4="",INPUTS!$B$19,IF(LEFT(ARCH!M4,1)="d",PI()/4*VALUE(MID(ARCH!M4,2,9))^2,VALUE(LEFT(ARCH!M4,FIND("x",ARCH!M4)-1))*VALUE(MID(ARCH!M4,FIND("x",ARCH!M4)+1,9))))</f>
        <v>504</v>
      </c>
      <c r="N4" s="10" t="n">
        <f aca="false">IF(ARCH!N4="",INPUTS!$B$19,IF(LEFT(ARCH!N4,1)="d",PI()/4*VALUE(MID(ARCH!N4,2,9))^2,VALUE(LEFT(ARCH!N4,FIND("x",ARCH!N4)-1))*VALUE(MID(ARCH!N4,FIND("x",ARCH!N4)+1,9))))</f>
        <v>504</v>
      </c>
      <c r="O4" s="10" t="n">
        <f aca="false">IF(ARCH!O4="",INPUTS!$B$19,IF(LEFT(ARCH!O4,1)="d",PI()/4*VALUE(MID(ARCH!O4,2,9))^2,VALUE(LEFT(ARCH!O4,FIND("x",ARCH!O4)-1))*VALUE(MID(ARCH!O4,FIND("x",ARCH!O4)+1,9))))</f>
        <v>504</v>
      </c>
      <c r="P4" s="10" t="n">
        <f aca="false">IF(ARCH!P4="",INPUTS!$B$19,IF(LEFT(ARCH!P4,1)="d",PI()/4*VALUE(MID(ARCH!P4,2,9))^2,VALUE(LEFT(ARCH!P4,FIND("x",ARCH!P4)-1))*VALUE(MID(ARCH!P4,FIND("x",ARCH!P4)+1,9))))</f>
        <v>504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10" t="n">
        <f aca="false">IF(ARCH!E5="",INPUTS!$B$19,IF(LEFT(ARCH!E5,1)="d",PI()/4*VALUE(MID(ARCH!E5,2,9))^2,VALUE(LEFT(ARCH!E5,FIND("x",ARCH!E5)-1))*VALUE(MID(ARCH!E5,FIND("x",ARCH!E5)+1,9))))</f>
        <v>336</v>
      </c>
      <c r="F5" s="10" t="n">
        <f aca="false">IF(ARCH!F5="",INPUTS!$B$19,IF(LEFT(ARCH!F5,1)="d",PI()/4*VALUE(MID(ARCH!F5,2,9))^2,VALUE(LEFT(ARCH!F5,FIND("x",ARCH!F5)-1))*VALUE(MID(ARCH!F5,FIND("x",ARCH!F5)+1,9))))</f>
        <v>336</v>
      </c>
      <c r="G5" s="10" t="n">
        <f aca="false">IF(ARCH!G5="",INPUTS!$B$19,IF(LEFT(ARCH!G5,1)="d",PI()/4*VALUE(MID(ARCH!G5,2,9))^2,VALUE(LEFT(ARCH!G5,FIND("x",ARCH!G5)-1))*VALUE(MID(ARCH!G5,FIND("x",ARCH!G5)+1,9))))</f>
        <v>336</v>
      </c>
      <c r="H5" s="10" t="n">
        <f aca="false">IF(ARCH!H5="",INPUTS!$B$19,IF(LEFT(ARCH!H5,1)="d",PI()/4*VALUE(MID(ARCH!H5,2,9))^2,VALUE(LEFT(ARCH!H5,FIND("x",ARCH!H5)-1))*VALUE(MID(ARCH!H5,FIND("x",ARCH!H5)+1,9))))</f>
        <v>336</v>
      </c>
      <c r="I5" s="10" t="n">
        <f aca="false">IF(ARCH!I5="",INPUTS!$B$19,IF(LEFT(ARCH!I5,1)="d",PI()/4*VALUE(MID(ARCH!I5,2,9))^2,VALUE(LEFT(ARCH!I5,FIND("x",ARCH!I5)-1))*VALUE(MID(ARCH!I5,FIND("x",ARCH!I5)+1,9))))</f>
        <v>336</v>
      </c>
      <c r="J5" s="10" t="n">
        <f aca="false">IF(ARCH!J5="",INPUTS!$B$19,IF(LEFT(ARCH!J5,1)="d",PI()/4*VALUE(MID(ARCH!J5,2,9))^2,VALUE(LEFT(ARCH!J5,FIND("x",ARCH!J5)-1))*VALUE(MID(ARCH!J5,FIND("x",ARCH!J5)+1,9))))</f>
        <v>336</v>
      </c>
      <c r="K5" s="10" t="n">
        <f aca="false">IF(ARCH!K5="",INPUTS!$B$19,IF(LEFT(ARCH!K5,1)="d",PI()/4*VALUE(MID(ARCH!K5,2,9))^2,VALUE(LEFT(ARCH!K5,FIND("x",ARCH!K5)-1))*VALUE(MID(ARCH!K5,FIND("x",ARCH!K5)+1,9))))</f>
        <v>336</v>
      </c>
      <c r="L5" s="10" t="n">
        <f aca="false">IF(ARCH!L5="",INPUTS!$B$19,IF(LEFT(ARCH!L5,1)="d",PI()/4*VALUE(MID(ARCH!L5,2,9))^2,VALUE(LEFT(ARCH!L5,FIND("x",ARCH!L5)-1))*VALUE(MID(ARCH!L5,FIND("x",ARCH!L5)+1,9))))</f>
        <v>336</v>
      </c>
      <c r="M5" s="10" t="n">
        <f aca="false">IF(ARCH!M5="",INPUTS!$B$19,IF(LEFT(ARCH!M5,1)="d",PI()/4*VALUE(MID(ARCH!M5,2,9))^2,VALUE(LEFT(ARCH!M5,FIND("x",ARCH!M5)-1))*VALUE(MID(ARCH!M5,FIND("x",ARCH!M5)+1,9))))</f>
        <v>336</v>
      </c>
      <c r="N5" s="10" t="n">
        <f aca="false">IF(ARCH!N5="",INPUTS!$B$19,IF(LEFT(ARCH!N5,1)="d",PI()/4*VALUE(MID(ARCH!N5,2,9))^2,VALUE(LEFT(ARCH!N5,FIND("x",ARCH!N5)-1))*VALUE(MID(ARCH!N5,FIND("x",ARCH!N5)+1,9))))</f>
        <v>336</v>
      </c>
      <c r="O5" s="10" t="n">
        <f aca="false">IF(ARCH!O5="",INPUTS!$B$19,IF(LEFT(ARCH!O5,1)="d",PI()/4*VALUE(MID(ARCH!O5,2,9))^2,VALUE(LEFT(ARCH!O5,FIND("x",ARCH!O5)-1))*VALUE(MID(ARCH!O5,FIND("x",ARCH!O5)+1,9))))</f>
        <v>336</v>
      </c>
      <c r="P5" s="10" t="n">
        <f aca="false">IF(ARCH!P5="",INPUTS!$B$19,IF(LEFT(ARCH!P5,1)="d",PI()/4*VALUE(MID(ARCH!P5,2,9))^2,VALUE(LEFT(ARCH!P5,FIND("x",ARCH!P5)-1))*VALUE(MID(ARCH!P5,FIND("x",ARCH!P5)+1,9))))</f>
        <v>336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10" t="n">
        <f aca="false">IF(ARCH!E6="",INPUTS!$B$19,IF(LEFT(ARCH!E6,1)="d",PI()/4*VALUE(MID(ARCH!E6,2,9))^2,VALUE(LEFT(ARCH!E6,FIND("x",ARCH!E6)-1))*VALUE(MID(ARCH!E6,FIND("x",ARCH!E6)+1,9))))</f>
        <v>336</v>
      </c>
      <c r="F6" s="10" t="n">
        <f aca="false">IF(ARCH!F6="",INPUTS!$B$19,IF(LEFT(ARCH!F6,1)="d",PI()/4*VALUE(MID(ARCH!F6,2,9))^2,VALUE(LEFT(ARCH!F6,FIND("x",ARCH!F6)-1))*VALUE(MID(ARCH!F6,FIND("x",ARCH!F6)+1,9))))</f>
        <v>336</v>
      </c>
      <c r="G6" s="10" t="n">
        <f aca="false">IF(ARCH!G6="",INPUTS!$B$19,IF(LEFT(ARCH!G6,1)="d",PI()/4*VALUE(MID(ARCH!G6,2,9))^2,VALUE(LEFT(ARCH!G6,FIND("x",ARCH!G6)-1))*VALUE(MID(ARCH!G6,FIND("x",ARCH!G6)+1,9))))</f>
        <v>336</v>
      </c>
      <c r="H6" s="10" t="n">
        <f aca="false">IF(ARCH!H6="",INPUTS!$B$19,IF(LEFT(ARCH!H6,1)="d",PI()/4*VALUE(MID(ARCH!H6,2,9))^2,VALUE(LEFT(ARCH!H6,FIND("x",ARCH!H6)-1))*VALUE(MID(ARCH!H6,FIND("x",ARCH!H6)+1,9))))</f>
        <v>336</v>
      </c>
      <c r="I6" s="10" t="n">
        <f aca="false">IF(ARCH!I6="",INPUTS!$B$19,IF(LEFT(ARCH!I6,1)="d",PI()/4*VALUE(MID(ARCH!I6,2,9))^2,VALUE(LEFT(ARCH!I6,FIND("x",ARCH!I6)-1))*VALUE(MID(ARCH!I6,FIND("x",ARCH!I6)+1,9))))</f>
        <v>336</v>
      </c>
      <c r="J6" s="10" t="n">
        <f aca="false">IF(ARCH!J6="",INPUTS!$B$19,IF(LEFT(ARCH!J6,1)="d",PI()/4*VALUE(MID(ARCH!J6,2,9))^2,VALUE(LEFT(ARCH!J6,FIND("x",ARCH!J6)-1))*VALUE(MID(ARCH!J6,FIND("x",ARCH!J6)+1,9))))</f>
        <v>336</v>
      </c>
      <c r="K6" s="10" t="n">
        <f aca="false">IF(ARCH!K6="",INPUTS!$B$19,IF(LEFT(ARCH!K6,1)="d",PI()/4*VALUE(MID(ARCH!K6,2,9))^2,VALUE(LEFT(ARCH!K6,FIND("x",ARCH!K6)-1))*VALUE(MID(ARCH!K6,FIND("x",ARCH!K6)+1,9))))</f>
        <v>336</v>
      </c>
      <c r="L6" s="10" t="n">
        <f aca="false">IF(ARCH!L6="",INPUTS!$B$19,IF(LEFT(ARCH!L6,1)="d",PI()/4*VALUE(MID(ARCH!L6,2,9))^2,VALUE(LEFT(ARCH!L6,FIND("x",ARCH!L6)-1))*VALUE(MID(ARCH!L6,FIND("x",ARCH!L6)+1,9))))</f>
        <v>336</v>
      </c>
      <c r="M6" s="10" t="n">
        <f aca="false">IF(ARCH!M6="",INPUTS!$B$19,IF(LEFT(ARCH!M6,1)="d",PI()/4*VALUE(MID(ARCH!M6,2,9))^2,VALUE(LEFT(ARCH!M6,FIND("x",ARCH!M6)-1))*VALUE(MID(ARCH!M6,FIND("x",ARCH!M6)+1,9))))</f>
        <v>336</v>
      </c>
      <c r="N6" s="10" t="n">
        <f aca="false">IF(ARCH!N6="",INPUTS!$B$19,IF(LEFT(ARCH!N6,1)="d",PI()/4*VALUE(MID(ARCH!N6,2,9))^2,VALUE(LEFT(ARCH!N6,FIND("x",ARCH!N6)-1))*VALUE(MID(ARCH!N6,FIND("x",ARCH!N6)+1,9))))</f>
        <v>336</v>
      </c>
      <c r="O6" s="10" t="n">
        <f aca="false">IF(ARCH!O6="",INPUTS!$B$19,IF(LEFT(ARCH!O6,1)="d",PI()/4*VALUE(MID(ARCH!O6,2,9))^2,VALUE(LEFT(ARCH!O6,FIND("x",ARCH!O6)-1))*VALUE(MID(ARCH!O6,FIND("x",ARCH!O6)+1,9))))</f>
        <v>336</v>
      </c>
      <c r="P6" s="10" t="n">
        <f aca="false">IF(ARCH!P6="",INPUTS!$B$19,IF(LEFT(ARCH!P6,1)="d",PI()/4*VALUE(MID(ARCH!P6,2,9))^2,VALUE(LEFT(ARCH!P6,FIND("x",ARCH!P6)-1))*VALUE(MID(ARCH!P6,FIND("x",ARCH!P6)+1,9))))</f>
        <v>336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10" t="n">
        <f aca="false">IF(ARCH!E7="",INPUTS!$B$19,IF(LEFT(ARCH!E7,1)="d",PI()/4*VALUE(MID(ARCH!E7,2,9))^2,VALUE(LEFT(ARCH!E7,FIND("x",ARCH!E7)-1))*VALUE(MID(ARCH!E7,FIND("x",ARCH!E7)+1,9))))</f>
        <v>336</v>
      </c>
      <c r="F7" s="10" t="n">
        <f aca="false">IF(ARCH!F7="",INPUTS!$B$19,IF(LEFT(ARCH!F7,1)="d",PI()/4*VALUE(MID(ARCH!F7,2,9))^2,VALUE(LEFT(ARCH!F7,FIND("x",ARCH!F7)-1))*VALUE(MID(ARCH!F7,FIND("x",ARCH!F7)+1,9))))</f>
        <v>336</v>
      </c>
      <c r="G7" s="10" t="n">
        <f aca="false">IF(ARCH!G7="",INPUTS!$B$19,IF(LEFT(ARCH!G7,1)="d",PI()/4*VALUE(MID(ARCH!G7,2,9))^2,VALUE(LEFT(ARCH!G7,FIND("x",ARCH!G7)-1))*VALUE(MID(ARCH!G7,FIND("x",ARCH!G7)+1,9))))</f>
        <v>336</v>
      </c>
      <c r="H7" s="10" t="n">
        <f aca="false">IF(ARCH!H7="",INPUTS!$B$19,IF(LEFT(ARCH!H7,1)="d",PI()/4*VALUE(MID(ARCH!H7,2,9))^2,VALUE(LEFT(ARCH!H7,FIND("x",ARCH!H7)-1))*VALUE(MID(ARCH!H7,FIND("x",ARCH!H7)+1,9))))</f>
        <v>336</v>
      </c>
      <c r="I7" s="10" t="n">
        <f aca="false">IF(ARCH!I7="",INPUTS!$B$19,IF(LEFT(ARCH!I7,1)="d",PI()/4*VALUE(MID(ARCH!I7,2,9))^2,VALUE(LEFT(ARCH!I7,FIND("x",ARCH!I7)-1))*VALUE(MID(ARCH!I7,FIND("x",ARCH!I7)+1,9))))</f>
        <v>336</v>
      </c>
      <c r="J7" s="10" t="n">
        <f aca="false">IF(ARCH!J7="",INPUTS!$B$19,IF(LEFT(ARCH!J7,1)="d",PI()/4*VALUE(MID(ARCH!J7,2,9))^2,VALUE(LEFT(ARCH!J7,FIND("x",ARCH!J7)-1))*VALUE(MID(ARCH!J7,FIND("x",ARCH!J7)+1,9))))</f>
        <v>336</v>
      </c>
      <c r="K7" s="10" t="n">
        <f aca="false">IF(ARCH!K7="",INPUTS!$B$19,IF(LEFT(ARCH!K7,1)="d",PI()/4*VALUE(MID(ARCH!K7,2,9))^2,VALUE(LEFT(ARCH!K7,FIND("x",ARCH!K7)-1))*VALUE(MID(ARCH!K7,FIND("x",ARCH!K7)+1,9))))</f>
        <v>336</v>
      </c>
      <c r="L7" s="10" t="n">
        <f aca="false">IF(ARCH!L7="",INPUTS!$B$19,IF(LEFT(ARCH!L7,1)="d",PI()/4*VALUE(MID(ARCH!L7,2,9))^2,VALUE(LEFT(ARCH!L7,FIND("x",ARCH!L7)-1))*VALUE(MID(ARCH!L7,FIND("x",ARCH!L7)+1,9))))</f>
        <v>336</v>
      </c>
      <c r="M7" s="10" t="n">
        <f aca="false">IF(ARCH!M7="",INPUTS!$B$19,IF(LEFT(ARCH!M7,1)="d",PI()/4*VALUE(MID(ARCH!M7,2,9))^2,VALUE(LEFT(ARCH!M7,FIND("x",ARCH!M7)-1))*VALUE(MID(ARCH!M7,FIND("x",ARCH!M7)+1,9))))</f>
        <v>336</v>
      </c>
      <c r="N7" s="10" t="n">
        <f aca="false">IF(ARCH!N7="",INPUTS!$B$19,IF(LEFT(ARCH!N7,1)="d",PI()/4*VALUE(MID(ARCH!N7,2,9))^2,VALUE(LEFT(ARCH!N7,FIND("x",ARCH!N7)-1))*VALUE(MID(ARCH!N7,FIND("x",ARCH!N7)+1,9))))</f>
        <v>336</v>
      </c>
      <c r="O7" s="10" t="n">
        <f aca="false">IF(ARCH!O7="",INPUTS!$B$19,IF(LEFT(ARCH!O7,1)="d",PI()/4*VALUE(MID(ARCH!O7,2,9))^2,VALUE(LEFT(ARCH!O7,FIND("x",ARCH!O7)-1))*VALUE(MID(ARCH!O7,FIND("x",ARCH!O7)+1,9))))</f>
        <v>336</v>
      </c>
      <c r="P7" s="10" t="n">
        <f aca="false">IF(ARCH!P7="",INPUTS!$B$19,IF(LEFT(ARCH!P7,1)="d",PI()/4*VALUE(MID(ARCH!P7,2,9))^2,VALUE(LEFT(ARCH!P7,FIND("x",ARCH!P7)-1))*VALUE(MID(ARCH!P7,FIND("x",ARCH!P7)+1,9))))</f>
        <v>336</v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10" t="n">
        <f aca="false">IF(ARCH!E8="",INPUTS!$B$19,IF(LEFT(ARCH!E8,1)="d",PI()/4*VALUE(MID(ARCH!E8,2,9))^2,VALUE(LEFT(ARCH!E8,FIND("x",ARCH!E8)-1))*VALUE(MID(ARCH!E8,FIND("x",ARCH!E8)+1,9))))</f>
        <v>504</v>
      </c>
      <c r="F8" s="10" t="n">
        <f aca="false">IF(ARCH!F8="",INPUTS!$B$19,IF(LEFT(ARCH!F8,1)="d",PI()/4*VALUE(MID(ARCH!F8,2,9))^2,VALUE(LEFT(ARCH!F8,FIND("x",ARCH!F8)-1))*VALUE(MID(ARCH!F8,FIND("x",ARCH!F8)+1,9))))</f>
        <v>504</v>
      </c>
      <c r="G8" s="10" t="n">
        <f aca="false">IF(ARCH!G8="",INPUTS!$B$19,IF(LEFT(ARCH!G8,1)="d",PI()/4*VALUE(MID(ARCH!G8,2,9))^2,VALUE(LEFT(ARCH!G8,FIND("x",ARCH!G8)-1))*VALUE(MID(ARCH!G8,FIND("x",ARCH!G8)+1,9))))</f>
        <v>504</v>
      </c>
      <c r="H8" s="10" t="n">
        <f aca="false">IF(ARCH!H8="",INPUTS!$B$19,IF(LEFT(ARCH!H8,1)="d",PI()/4*VALUE(MID(ARCH!H8,2,9))^2,VALUE(LEFT(ARCH!H8,FIND("x",ARCH!H8)-1))*VALUE(MID(ARCH!H8,FIND("x",ARCH!H8)+1,9))))</f>
        <v>504</v>
      </c>
      <c r="I8" s="10" t="n">
        <f aca="false">IF(ARCH!I8="",INPUTS!$B$19,IF(LEFT(ARCH!I8,1)="d",PI()/4*VALUE(MID(ARCH!I8,2,9))^2,VALUE(LEFT(ARCH!I8,FIND("x",ARCH!I8)-1))*VALUE(MID(ARCH!I8,FIND("x",ARCH!I8)+1,9))))</f>
        <v>504</v>
      </c>
      <c r="J8" s="10" t="n">
        <f aca="false">IF(ARCH!J8="",INPUTS!$B$19,IF(LEFT(ARCH!J8,1)="d",PI()/4*VALUE(MID(ARCH!J8,2,9))^2,VALUE(LEFT(ARCH!J8,FIND("x",ARCH!J8)-1))*VALUE(MID(ARCH!J8,FIND("x",ARCH!J8)+1,9))))</f>
        <v>504</v>
      </c>
      <c r="K8" s="10" t="n">
        <f aca="false">IF(ARCH!K8="",INPUTS!$B$19,IF(LEFT(ARCH!K8,1)="d",PI()/4*VALUE(MID(ARCH!K8,2,9))^2,VALUE(LEFT(ARCH!K8,FIND("x",ARCH!K8)-1))*VALUE(MID(ARCH!K8,FIND("x",ARCH!K8)+1,9))))</f>
        <v>504</v>
      </c>
      <c r="L8" s="10" t="n">
        <f aca="false">IF(ARCH!L8="",INPUTS!$B$19,IF(LEFT(ARCH!L8,1)="d",PI()/4*VALUE(MID(ARCH!L8,2,9))^2,VALUE(LEFT(ARCH!L8,FIND("x",ARCH!L8)-1))*VALUE(MID(ARCH!L8,FIND("x",ARCH!L8)+1,9))))</f>
        <v>504</v>
      </c>
      <c r="M8" s="10" t="n">
        <f aca="false">IF(ARCH!M8="",INPUTS!$B$19,IF(LEFT(ARCH!M8,1)="d",PI()/4*VALUE(MID(ARCH!M8,2,9))^2,VALUE(LEFT(ARCH!M8,FIND("x",ARCH!M8)-1))*VALUE(MID(ARCH!M8,FIND("x",ARCH!M8)+1,9))))</f>
        <v>504</v>
      </c>
      <c r="N8" s="10" t="n">
        <f aca="false">IF(ARCH!N8="",INPUTS!$B$19,IF(LEFT(ARCH!N8,1)="d",PI()/4*VALUE(MID(ARCH!N8,2,9))^2,VALUE(LEFT(ARCH!N8,FIND("x",ARCH!N8)-1))*VALUE(MID(ARCH!N8,FIND("x",ARCH!N8)+1,9))))</f>
        <v>504</v>
      </c>
      <c r="O8" s="10" t="n">
        <f aca="false">IF(ARCH!O8="",INPUTS!$B$19,IF(LEFT(ARCH!O8,1)="d",PI()/4*VALUE(MID(ARCH!O8,2,9))^2,VALUE(LEFT(ARCH!O8,FIND("x",ARCH!O8)-1))*VALUE(MID(ARCH!O8,FIND("x",ARCH!O8)+1,9))))</f>
        <v>504</v>
      </c>
      <c r="P8" s="10" t="n">
        <f aca="false">IF(ARCH!P8="",INPUTS!$B$19,IF(LEFT(ARCH!P8,1)="d",PI()/4*VALUE(MID(ARCH!P8,2,9))^2,VALUE(LEFT(ARCH!P8,FIND("x",ARCH!P8)-1))*VALUE(MID(ARCH!P8,FIND("x",ARCH!P8)+1,9))))</f>
        <v>504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10" t="n">
        <f aca="false">IF(ARCH!E9="",INPUTS!$B$19,IF(LEFT(ARCH!E9,1)="d",PI()/4*VALUE(MID(ARCH!E9,2,9))^2,VALUE(LEFT(ARCH!E9,FIND("x",ARCH!E9)-1))*VALUE(MID(ARCH!E9,FIND("x",ARCH!E9)+1,9))))</f>
        <v>504</v>
      </c>
      <c r="F9" s="10" t="n">
        <f aca="false">IF(ARCH!F9="",INPUTS!$B$19,IF(LEFT(ARCH!F9,1)="d",PI()/4*VALUE(MID(ARCH!F9,2,9))^2,VALUE(LEFT(ARCH!F9,FIND("x",ARCH!F9)-1))*VALUE(MID(ARCH!F9,FIND("x",ARCH!F9)+1,9))))</f>
        <v>504</v>
      </c>
      <c r="G9" s="10" t="n">
        <f aca="false">IF(ARCH!G9="",INPUTS!$B$19,IF(LEFT(ARCH!G9,1)="d",PI()/4*VALUE(MID(ARCH!G9,2,9))^2,VALUE(LEFT(ARCH!G9,FIND("x",ARCH!G9)-1))*VALUE(MID(ARCH!G9,FIND("x",ARCH!G9)+1,9))))</f>
        <v>504</v>
      </c>
      <c r="H9" s="10" t="n">
        <f aca="false">IF(ARCH!H9="",INPUTS!$B$19,IF(LEFT(ARCH!H9,1)="d",PI()/4*VALUE(MID(ARCH!H9,2,9))^2,VALUE(LEFT(ARCH!H9,FIND("x",ARCH!H9)-1))*VALUE(MID(ARCH!H9,FIND("x",ARCH!H9)+1,9))))</f>
        <v>504</v>
      </c>
      <c r="I9" s="10" t="n">
        <f aca="false">IF(ARCH!I9="",INPUTS!$B$19,IF(LEFT(ARCH!I9,1)="d",PI()/4*VALUE(MID(ARCH!I9,2,9))^2,VALUE(LEFT(ARCH!I9,FIND("x",ARCH!I9)-1))*VALUE(MID(ARCH!I9,FIND("x",ARCH!I9)+1,9))))</f>
        <v>504</v>
      </c>
      <c r="J9" s="10" t="n">
        <f aca="false">IF(ARCH!J9="",INPUTS!$B$19,IF(LEFT(ARCH!J9,1)="d",PI()/4*VALUE(MID(ARCH!J9,2,9))^2,VALUE(LEFT(ARCH!J9,FIND("x",ARCH!J9)-1))*VALUE(MID(ARCH!J9,FIND("x",ARCH!J9)+1,9))))</f>
        <v>504</v>
      </c>
      <c r="K9" s="10" t="n">
        <f aca="false">IF(ARCH!K9="",INPUTS!$B$19,IF(LEFT(ARCH!K9,1)="d",PI()/4*VALUE(MID(ARCH!K9,2,9))^2,VALUE(LEFT(ARCH!K9,FIND("x",ARCH!K9)-1))*VALUE(MID(ARCH!K9,FIND("x",ARCH!K9)+1,9))))</f>
        <v>504</v>
      </c>
      <c r="L9" s="10" t="n">
        <f aca="false">IF(ARCH!L9="",INPUTS!$B$19,IF(LEFT(ARCH!L9,1)="d",PI()/4*VALUE(MID(ARCH!L9,2,9))^2,VALUE(LEFT(ARCH!L9,FIND("x",ARCH!L9)-1))*VALUE(MID(ARCH!L9,FIND("x",ARCH!L9)+1,9))))</f>
        <v>504</v>
      </c>
      <c r="M9" s="10" t="n">
        <f aca="false">IF(ARCH!M9="",INPUTS!$B$19,IF(LEFT(ARCH!M9,1)="d",PI()/4*VALUE(MID(ARCH!M9,2,9))^2,VALUE(LEFT(ARCH!M9,FIND("x",ARCH!M9)-1))*VALUE(MID(ARCH!M9,FIND("x",ARCH!M9)+1,9))))</f>
        <v>504</v>
      </c>
      <c r="N9" s="10" t="n">
        <f aca="false">IF(ARCH!N9="",INPUTS!$B$19,IF(LEFT(ARCH!N9,1)="d",PI()/4*VALUE(MID(ARCH!N9,2,9))^2,VALUE(LEFT(ARCH!N9,FIND("x",ARCH!N9)-1))*VALUE(MID(ARCH!N9,FIND("x",ARCH!N9)+1,9))))</f>
        <v>504</v>
      </c>
      <c r="O9" s="10" t="n">
        <f aca="false">IF(ARCH!O9="",INPUTS!$B$19,IF(LEFT(ARCH!O9,1)="d",PI()/4*VALUE(MID(ARCH!O9,2,9))^2,VALUE(LEFT(ARCH!O9,FIND("x",ARCH!O9)-1))*VALUE(MID(ARCH!O9,FIND("x",ARCH!O9)+1,9))))</f>
        <v>504</v>
      </c>
      <c r="P9" s="10" t="n">
        <f aca="false">IF(ARCH!P9="",INPUTS!$B$19,IF(LEFT(ARCH!P9,1)="d",PI()/4*VALUE(MID(ARCH!P9,2,9))^2,VALUE(LEFT(ARCH!P9,FIND("x",ARCH!P9)-1))*VALUE(MID(ARCH!P9,FIND("x",ARCH!P9)+1,9))))</f>
        <v>504</v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10" t="n">
        <f aca="false">IF(ARCH!E10="",INPUTS!$B$19,IF(LEFT(ARCH!E10,1)="d",PI()/4*VALUE(MID(ARCH!E10,2,9))^2,VALUE(LEFT(ARCH!E10,FIND("x",ARCH!E10)-1))*VALUE(MID(ARCH!E10,FIND("x",ARCH!E10)+1,9))))</f>
        <v>504</v>
      </c>
      <c r="F10" s="10" t="n">
        <f aca="false">IF(ARCH!F10="",INPUTS!$B$19,IF(LEFT(ARCH!F10,1)="d",PI()/4*VALUE(MID(ARCH!F10,2,9))^2,VALUE(LEFT(ARCH!F10,FIND("x",ARCH!F10)-1))*VALUE(MID(ARCH!F10,FIND("x",ARCH!F10)+1,9))))</f>
        <v>504</v>
      </c>
      <c r="G10" s="10" t="n">
        <f aca="false">IF(ARCH!G10="",INPUTS!$B$19,IF(LEFT(ARCH!G10,1)="d",PI()/4*VALUE(MID(ARCH!G10,2,9))^2,VALUE(LEFT(ARCH!G10,FIND("x",ARCH!G10)-1))*VALUE(MID(ARCH!G10,FIND("x",ARCH!G10)+1,9))))</f>
        <v>504</v>
      </c>
      <c r="H10" s="10" t="n">
        <f aca="false">IF(ARCH!H10="",INPUTS!$B$19,IF(LEFT(ARCH!H10,1)="d",PI()/4*VALUE(MID(ARCH!H10,2,9))^2,VALUE(LEFT(ARCH!H10,FIND("x",ARCH!H10)-1))*VALUE(MID(ARCH!H10,FIND("x",ARCH!H10)+1,9))))</f>
        <v>504</v>
      </c>
      <c r="I10" s="10" t="n">
        <f aca="false">IF(ARCH!I10="",INPUTS!$B$19,IF(LEFT(ARCH!I10,1)="d",PI()/4*VALUE(MID(ARCH!I10,2,9))^2,VALUE(LEFT(ARCH!I10,FIND("x",ARCH!I10)-1))*VALUE(MID(ARCH!I10,FIND("x",ARCH!I10)+1,9))))</f>
        <v>504</v>
      </c>
      <c r="J10" s="10" t="n">
        <f aca="false">IF(ARCH!J10="",INPUTS!$B$19,IF(LEFT(ARCH!J10,1)="d",PI()/4*VALUE(MID(ARCH!J10,2,9))^2,VALUE(LEFT(ARCH!J10,FIND("x",ARCH!J10)-1))*VALUE(MID(ARCH!J10,FIND("x",ARCH!J10)+1,9))))</f>
        <v>504</v>
      </c>
      <c r="K10" s="10" t="n">
        <f aca="false">IF(ARCH!K10="",INPUTS!$B$19,IF(LEFT(ARCH!K10,1)="d",PI()/4*VALUE(MID(ARCH!K10,2,9))^2,VALUE(LEFT(ARCH!K10,FIND("x",ARCH!K10)-1))*VALUE(MID(ARCH!K10,FIND("x",ARCH!K10)+1,9))))</f>
        <v>504</v>
      </c>
      <c r="L10" s="10" t="n">
        <f aca="false">IF(ARCH!L10="",INPUTS!$B$19,IF(LEFT(ARCH!L10,1)="d",PI()/4*VALUE(MID(ARCH!L10,2,9))^2,VALUE(LEFT(ARCH!L10,FIND("x",ARCH!L10)-1))*VALUE(MID(ARCH!L10,FIND("x",ARCH!L10)+1,9))))</f>
        <v>504</v>
      </c>
      <c r="M10" s="10" t="n">
        <f aca="false">IF(ARCH!M10="",INPUTS!$B$19,IF(LEFT(ARCH!M10,1)="d",PI()/4*VALUE(MID(ARCH!M10,2,9))^2,VALUE(LEFT(ARCH!M10,FIND("x",ARCH!M10)-1))*VALUE(MID(ARCH!M10,FIND("x",ARCH!M10)+1,9))))</f>
        <v>504</v>
      </c>
      <c r="N10" s="10" t="n">
        <f aca="false">IF(ARCH!N10="",INPUTS!$B$19,IF(LEFT(ARCH!N10,1)="d",PI()/4*VALUE(MID(ARCH!N10,2,9))^2,VALUE(LEFT(ARCH!N10,FIND("x",ARCH!N10)-1))*VALUE(MID(ARCH!N10,FIND("x",ARCH!N10)+1,9))))</f>
        <v>504</v>
      </c>
      <c r="O10" s="10" t="n">
        <f aca="false">IF(ARCH!O10="",INPUTS!$B$19,IF(LEFT(ARCH!O10,1)="d",PI()/4*VALUE(MID(ARCH!O10,2,9))^2,VALUE(LEFT(ARCH!O10,FIND("x",ARCH!O10)-1))*VALUE(MID(ARCH!O10,FIND("x",ARCH!O10)+1,9))))</f>
        <v>504</v>
      </c>
      <c r="P10" s="10" t="n">
        <f aca="false">IF(ARCH!P10="",INPUTS!$B$19,IF(LEFT(ARCH!P10,1)="d",PI()/4*VALUE(MID(ARCH!P10,2,9))^2,VALUE(LEFT(ARCH!P10,FIND("x",ARCH!P10)-1))*VALUE(MID(ARCH!P10,FIND("x",ARCH!P10)+1,9))))</f>
        <v>504</v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10" t="n">
        <f aca="false">IF(ARCH!E11="",INPUTS!$B$19,IF(LEFT(ARCH!E11,1)="d",PI()/4*VALUE(MID(ARCH!E11,2,9))^2,VALUE(LEFT(ARCH!E11,FIND("x",ARCH!E11)-1))*VALUE(MID(ARCH!E11,FIND("x",ARCH!E11)+1,9))))</f>
        <v>504</v>
      </c>
      <c r="F11" s="10" t="n">
        <f aca="false">IF(ARCH!F11="",INPUTS!$B$19,IF(LEFT(ARCH!F11,1)="d",PI()/4*VALUE(MID(ARCH!F11,2,9))^2,VALUE(LEFT(ARCH!F11,FIND("x",ARCH!F11)-1))*VALUE(MID(ARCH!F11,FIND("x",ARCH!F11)+1,9))))</f>
        <v>504</v>
      </c>
      <c r="G11" s="10" t="n">
        <f aca="false">IF(ARCH!G11="",INPUTS!$B$19,IF(LEFT(ARCH!G11,1)="d",PI()/4*VALUE(MID(ARCH!G11,2,9))^2,VALUE(LEFT(ARCH!G11,FIND("x",ARCH!G11)-1))*VALUE(MID(ARCH!G11,FIND("x",ARCH!G11)+1,9))))</f>
        <v>504</v>
      </c>
      <c r="H11" s="10" t="n">
        <f aca="false">IF(ARCH!H11="",INPUTS!$B$19,IF(LEFT(ARCH!H11,1)="d",PI()/4*VALUE(MID(ARCH!H11,2,9))^2,VALUE(LEFT(ARCH!H11,FIND("x",ARCH!H11)-1))*VALUE(MID(ARCH!H11,FIND("x",ARCH!H11)+1,9))))</f>
        <v>504</v>
      </c>
      <c r="I11" s="10" t="n">
        <f aca="false">IF(ARCH!I11="",INPUTS!$B$19,IF(LEFT(ARCH!I11,1)="d",PI()/4*VALUE(MID(ARCH!I11,2,9))^2,VALUE(LEFT(ARCH!I11,FIND("x",ARCH!I11)-1))*VALUE(MID(ARCH!I11,FIND("x",ARCH!I11)+1,9))))</f>
        <v>504</v>
      </c>
      <c r="J11" s="10" t="n">
        <f aca="false">IF(ARCH!J11="",INPUTS!$B$19,IF(LEFT(ARCH!J11,1)="d",PI()/4*VALUE(MID(ARCH!J11,2,9))^2,VALUE(LEFT(ARCH!J11,FIND("x",ARCH!J11)-1))*VALUE(MID(ARCH!J11,FIND("x",ARCH!J11)+1,9))))</f>
        <v>504</v>
      </c>
      <c r="K11" s="10" t="n">
        <f aca="false">IF(ARCH!K11="",INPUTS!$B$19,IF(LEFT(ARCH!K11,1)="d",PI()/4*VALUE(MID(ARCH!K11,2,9))^2,VALUE(LEFT(ARCH!K11,FIND("x",ARCH!K11)-1))*VALUE(MID(ARCH!K11,FIND("x",ARCH!K11)+1,9))))</f>
        <v>504</v>
      </c>
      <c r="L11" s="10" t="n">
        <f aca="false">IF(ARCH!L11="",INPUTS!$B$19,IF(LEFT(ARCH!L11,1)="d",PI()/4*VALUE(MID(ARCH!L11,2,9))^2,VALUE(LEFT(ARCH!L11,FIND("x",ARCH!L11)-1))*VALUE(MID(ARCH!L11,FIND("x",ARCH!L11)+1,9))))</f>
        <v>504</v>
      </c>
      <c r="M11" s="10" t="n">
        <f aca="false">IF(ARCH!M11="",INPUTS!$B$19,IF(LEFT(ARCH!M11,1)="d",PI()/4*VALUE(MID(ARCH!M11,2,9))^2,VALUE(LEFT(ARCH!M11,FIND("x",ARCH!M11)-1))*VALUE(MID(ARCH!M11,FIND("x",ARCH!M11)+1,9))))</f>
        <v>504</v>
      </c>
      <c r="N11" s="10" t="n">
        <f aca="false">IF(ARCH!N11="",INPUTS!$B$19,IF(LEFT(ARCH!N11,1)="d",PI()/4*VALUE(MID(ARCH!N11,2,9))^2,VALUE(LEFT(ARCH!N11,FIND("x",ARCH!N11)-1))*VALUE(MID(ARCH!N11,FIND("x",ARCH!N11)+1,9))))</f>
        <v>504</v>
      </c>
      <c r="O11" s="10" t="n">
        <f aca="false">IF(ARCH!O11="",INPUTS!$B$19,IF(LEFT(ARCH!O11,1)="d",PI()/4*VALUE(MID(ARCH!O11,2,9))^2,VALUE(LEFT(ARCH!O11,FIND("x",ARCH!O11)-1))*VALUE(MID(ARCH!O11,FIND("x",ARCH!O11)+1,9))))</f>
        <v>504</v>
      </c>
      <c r="P11" s="10" t="n">
        <f aca="false">IF(ARCH!P11="",INPUTS!$B$19,IF(LEFT(ARCH!P11,1)="d",PI()/4*VALUE(MID(ARCH!P11,2,9))^2,VALUE(LEFT(ARCH!P11,FIND("x",ARCH!P11)-1))*VALUE(MID(ARCH!P11,FIND("x",ARCH!P11)+1,9))))</f>
        <v>504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10" t="n">
        <f aca="false">IF(ARCH!E12="",INPUTS!$B$19,IF(LEFT(ARCH!E12,1)="d",PI()/4*VALUE(MID(ARCH!E12,2,9))^2,VALUE(LEFT(ARCH!E12,FIND("x",ARCH!E12)-1))*VALUE(MID(ARCH!E12,FIND("x",ARCH!E12)+1,9))))</f>
        <v>336</v>
      </c>
      <c r="F12" s="10" t="n">
        <f aca="false">IF(ARCH!F12="",INPUTS!$B$19,IF(LEFT(ARCH!F12,1)="d",PI()/4*VALUE(MID(ARCH!F12,2,9))^2,VALUE(LEFT(ARCH!F12,FIND("x",ARCH!F12)-1))*VALUE(MID(ARCH!F12,FIND("x",ARCH!F12)+1,9))))</f>
        <v>336</v>
      </c>
      <c r="G12" s="10" t="n">
        <f aca="false">IF(ARCH!G12="",INPUTS!$B$19,IF(LEFT(ARCH!G12,1)="d",PI()/4*VALUE(MID(ARCH!G12,2,9))^2,VALUE(LEFT(ARCH!G12,FIND("x",ARCH!G12)-1))*VALUE(MID(ARCH!G12,FIND("x",ARCH!G12)+1,9))))</f>
        <v>336</v>
      </c>
      <c r="H12" s="10" t="n">
        <f aca="false">IF(ARCH!H12="",INPUTS!$B$19,IF(LEFT(ARCH!H12,1)="d",PI()/4*VALUE(MID(ARCH!H12,2,9))^2,VALUE(LEFT(ARCH!H12,FIND("x",ARCH!H12)-1))*VALUE(MID(ARCH!H12,FIND("x",ARCH!H12)+1,9))))</f>
        <v>336</v>
      </c>
      <c r="I12" s="10" t="n">
        <f aca="false">IF(ARCH!I12="",INPUTS!$B$19,IF(LEFT(ARCH!I12,1)="d",PI()/4*VALUE(MID(ARCH!I12,2,9))^2,VALUE(LEFT(ARCH!I12,FIND("x",ARCH!I12)-1))*VALUE(MID(ARCH!I12,FIND("x",ARCH!I12)+1,9))))</f>
        <v>336</v>
      </c>
      <c r="J12" s="10" t="n">
        <f aca="false">IF(ARCH!J12="",INPUTS!$B$19,IF(LEFT(ARCH!J12,1)="d",PI()/4*VALUE(MID(ARCH!J12,2,9))^2,VALUE(LEFT(ARCH!J12,FIND("x",ARCH!J12)-1))*VALUE(MID(ARCH!J12,FIND("x",ARCH!J12)+1,9))))</f>
        <v>336</v>
      </c>
      <c r="K12" s="10" t="n">
        <f aca="false">IF(ARCH!K12="",INPUTS!$B$19,IF(LEFT(ARCH!K12,1)="d",PI()/4*VALUE(MID(ARCH!K12,2,9))^2,VALUE(LEFT(ARCH!K12,FIND("x",ARCH!K12)-1))*VALUE(MID(ARCH!K12,FIND("x",ARCH!K12)+1,9))))</f>
        <v>336</v>
      </c>
      <c r="L12" s="10" t="n">
        <f aca="false">IF(ARCH!L12="",INPUTS!$B$19,IF(LEFT(ARCH!L12,1)="d",PI()/4*VALUE(MID(ARCH!L12,2,9))^2,VALUE(LEFT(ARCH!L12,FIND("x",ARCH!L12)-1))*VALUE(MID(ARCH!L12,FIND("x",ARCH!L12)+1,9))))</f>
        <v>336</v>
      </c>
      <c r="M12" s="10" t="n">
        <f aca="false">IF(ARCH!M12="",INPUTS!$B$19,IF(LEFT(ARCH!M12,1)="d",PI()/4*VALUE(MID(ARCH!M12,2,9))^2,VALUE(LEFT(ARCH!M12,FIND("x",ARCH!M12)-1))*VALUE(MID(ARCH!M12,FIND("x",ARCH!M12)+1,9))))</f>
        <v>336</v>
      </c>
      <c r="N12" s="10" t="n">
        <f aca="false">IF(ARCH!N12="",INPUTS!$B$19,IF(LEFT(ARCH!N12,1)="d",PI()/4*VALUE(MID(ARCH!N12,2,9))^2,VALUE(LEFT(ARCH!N12,FIND("x",ARCH!N12)-1))*VALUE(MID(ARCH!N12,FIND("x",ARCH!N12)+1,9))))</f>
        <v>336</v>
      </c>
      <c r="O12" s="10" t="n">
        <f aca="false">IF(ARCH!O12="",INPUTS!$B$19,IF(LEFT(ARCH!O12,1)="d",PI()/4*VALUE(MID(ARCH!O12,2,9))^2,VALUE(LEFT(ARCH!O12,FIND("x",ARCH!O12)-1))*VALUE(MID(ARCH!O12,FIND("x",ARCH!O12)+1,9))))</f>
        <v>336</v>
      </c>
      <c r="P12" s="10" t="n">
        <f aca="false">IF(ARCH!P12="",INPUTS!$B$19,IF(LEFT(ARCH!P12,1)="d",PI()/4*VALUE(MID(ARCH!P12,2,9))^2,VALUE(LEFT(ARCH!P12,FIND("x",ARCH!P12)-1))*VALUE(MID(ARCH!P12,FIND("x",ARCH!P12)+1,9))))</f>
        <v>336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10" t="n">
        <f aca="false">IF(ARCH!E13="",INPUTS!$B$19,IF(LEFT(ARCH!E13,1)="d",PI()/4*VALUE(MID(ARCH!E13,2,9))^2,VALUE(LEFT(ARCH!E13,FIND("x",ARCH!E13)-1))*VALUE(MID(ARCH!E13,FIND("x",ARCH!E13)+1,9))))</f>
        <v>504</v>
      </c>
      <c r="F13" s="10" t="n">
        <f aca="false">IF(ARCH!F13="",INPUTS!$B$19,IF(LEFT(ARCH!F13,1)="d",PI()/4*VALUE(MID(ARCH!F13,2,9))^2,VALUE(LEFT(ARCH!F13,FIND("x",ARCH!F13)-1))*VALUE(MID(ARCH!F13,FIND("x",ARCH!F13)+1,9))))</f>
        <v>504</v>
      </c>
      <c r="G13" s="10" t="n">
        <f aca="false">IF(ARCH!G13="",INPUTS!$B$19,IF(LEFT(ARCH!G13,1)="d",PI()/4*VALUE(MID(ARCH!G13,2,9))^2,VALUE(LEFT(ARCH!G13,FIND("x",ARCH!G13)-1))*VALUE(MID(ARCH!G13,FIND("x",ARCH!G13)+1,9))))</f>
        <v>504</v>
      </c>
      <c r="H13" s="10" t="n">
        <f aca="false">IF(ARCH!H13="",INPUTS!$B$19,IF(LEFT(ARCH!H13,1)="d",PI()/4*VALUE(MID(ARCH!H13,2,9))^2,VALUE(LEFT(ARCH!H13,FIND("x",ARCH!H13)-1))*VALUE(MID(ARCH!H13,FIND("x",ARCH!H13)+1,9))))</f>
        <v>504</v>
      </c>
      <c r="I13" s="10" t="n">
        <f aca="false">IF(ARCH!I13="",INPUTS!$B$19,IF(LEFT(ARCH!I13,1)="d",PI()/4*VALUE(MID(ARCH!I13,2,9))^2,VALUE(LEFT(ARCH!I13,FIND("x",ARCH!I13)-1))*VALUE(MID(ARCH!I13,FIND("x",ARCH!I13)+1,9))))</f>
        <v>504</v>
      </c>
      <c r="J13" s="10" t="n">
        <f aca="false">IF(ARCH!J13="",INPUTS!$B$19,IF(LEFT(ARCH!J13,1)="d",PI()/4*VALUE(MID(ARCH!J13,2,9))^2,VALUE(LEFT(ARCH!J13,FIND("x",ARCH!J13)-1))*VALUE(MID(ARCH!J13,FIND("x",ARCH!J13)+1,9))))</f>
        <v>504</v>
      </c>
      <c r="K13" s="10" t="n">
        <f aca="false">IF(ARCH!K13="",INPUTS!$B$19,IF(LEFT(ARCH!K13,1)="d",PI()/4*VALUE(MID(ARCH!K13,2,9))^2,VALUE(LEFT(ARCH!K13,FIND("x",ARCH!K13)-1))*VALUE(MID(ARCH!K13,FIND("x",ARCH!K13)+1,9))))</f>
        <v>504</v>
      </c>
      <c r="L13" s="10" t="n">
        <f aca="false">IF(ARCH!L13="",INPUTS!$B$19,IF(LEFT(ARCH!L13,1)="d",PI()/4*VALUE(MID(ARCH!L13,2,9))^2,VALUE(LEFT(ARCH!L13,FIND("x",ARCH!L13)-1))*VALUE(MID(ARCH!L13,FIND("x",ARCH!L13)+1,9))))</f>
        <v>504</v>
      </c>
      <c r="M13" s="10" t="n">
        <f aca="false">IF(ARCH!M13="",INPUTS!$B$19,IF(LEFT(ARCH!M13,1)="d",PI()/4*VALUE(MID(ARCH!M13,2,9))^2,VALUE(LEFT(ARCH!M13,FIND("x",ARCH!M13)-1))*VALUE(MID(ARCH!M13,FIND("x",ARCH!M13)+1,9))))</f>
        <v>504</v>
      </c>
      <c r="N13" s="10" t="n">
        <f aca="false">IF(ARCH!N13="",INPUTS!$B$19,IF(LEFT(ARCH!N13,1)="d",PI()/4*VALUE(MID(ARCH!N13,2,9))^2,VALUE(LEFT(ARCH!N13,FIND("x",ARCH!N13)-1))*VALUE(MID(ARCH!N13,FIND("x",ARCH!N13)+1,9))))</f>
        <v>504</v>
      </c>
      <c r="O13" s="10" t="n">
        <f aca="false">IF(ARCH!O13="",INPUTS!$B$19,IF(LEFT(ARCH!O13,1)="d",PI()/4*VALUE(MID(ARCH!O13,2,9))^2,VALUE(LEFT(ARCH!O13,FIND("x",ARCH!O13)-1))*VALUE(MID(ARCH!O13,FIND("x",ARCH!O13)+1,9))))</f>
        <v>504</v>
      </c>
      <c r="P13" s="10" t="n">
        <f aca="false">IF(ARCH!P13="",INPUTS!$B$19,IF(LEFT(ARCH!P13,1)="d",PI()/4*VALUE(MID(ARCH!P13,2,9))^2,VALUE(LEFT(ARCH!P13,FIND("x",ARCH!P13)-1))*VALUE(MID(ARCH!P13,FIND("x",ARCH!P13)+1,9))))</f>
        <v>504</v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10" t="n">
        <f aca="false">IF(ARCH!E14="",INPUTS!$B$19,IF(LEFT(ARCH!E14,1)="d",PI()/4*VALUE(MID(ARCH!E14,2,9))^2,VALUE(LEFT(ARCH!E14,FIND("x",ARCH!E14)-1))*VALUE(MID(ARCH!E14,FIND("x",ARCH!E14)+1,9))))</f>
        <v>504</v>
      </c>
      <c r="F14" s="10" t="n">
        <f aca="false">IF(ARCH!F14="",INPUTS!$B$19,IF(LEFT(ARCH!F14,1)="d",PI()/4*VALUE(MID(ARCH!F14,2,9))^2,VALUE(LEFT(ARCH!F14,FIND("x",ARCH!F14)-1))*VALUE(MID(ARCH!F14,FIND("x",ARCH!F14)+1,9))))</f>
        <v>504</v>
      </c>
      <c r="G14" s="10" t="n">
        <f aca="false">IF(ARCH!G14="",INPUTS!$B$19,IF(LEFT(ARCH!G14,1)="d",PI()/4*VALUE(MID(ARCH!G14,2,9))^2,VALUE(LEFT(ARCH!G14,FIND("x",ARCH!G14)-1))*VALUE(MID(ARCH!G14,FIND("x",ARCH!G14)+1,9))))</f>
        <v>504</v>
      </c>
      <c r="H14" s="10" t="n">
        <f aca="false">IF(ARCH!H14="",INPUTS!$B$19,IF(LEFT(ARCH!H14,1)="d",PI()/4*VALUE(MID(ARCH!H14,2,9))^2,VALUE(LEFT(ARCH!H14,FIND("x",ARCH!H14)-1))*VALUE(MID(ARCH!H14,FIND("x",ARCH!H14)+1,9))))</f>
        <v>504</v>
      </c>
      <c r="I14" s="10" t="n">
        <f aca="false">IF(ARCH!I14="",INPUTS!$B$19,IF(LEFT(ARCH!I14,1)="d",PI()/4*VALUE(MID(ARCH!I14,2,9))^2,VALUE(LEFT(ARCH!I14,FIND("x",ARCH!I14)-1))*VALUE(MID(ARCH!I14,FIND("x",ARCH!I14)+1,9))))</f>
        <v>504</v>
      </c>
      <c r="J14" s="10" t="n">
        <f aca="false">IF(ARCH!J14="",INPUTS!$B$19,IF(LEFT(ARCH!J14,1)="d",PI()/4*VALUE(MID(ARCH!J14,2,9))^2,VALUE(LEFT(ARCH!J14,FIND("x",ARCH!J14)-1))*VALUE(MID(ARCH!J14,FIND("x",ARCH!J14)+1,9))))</f>
        <v>504</v>
      </c>
      <c r="K14" s="10" t="n">
        <f aca="false">IF(ARCH!K14="",INPUTS!$B$19,IF(LEFT(ARCH!K14,1)="d",PI()/4*VALUE(MID(ARCH!K14,2,9))^2,VALUE(LEFT(ARCH!K14,FIND("x",ARCH!K14)-1))*VALUE(MID(ARCH!K14,FIND("x",ARCH!K14)+1,9))))</f>
        <v>504</v>
      </c>
      <c r="L14" s="10" t="n">
        <f aca="false">IF(ARCH!L14="",INPUTS!$B$19,IF(LEFT(ARCH!L14,1)="d",PI()/4*VALUE(MID(ARCH!L14,2,9))^2,VALUE(LEFT(ARCH!L14,FIND("x",ARCH!L14)-1))*VALUE(MID(ARCH!L14,FIND("x",ARCH!L14)+1,9))))</f>
        <v>504</v>
      </c>
      <c r="M14" s="10" t="n">
        <f aca="false">IF(ARCH!M14="",INPUTS!$B$19,IF(LEFT(ARCH!M14,1)="d",PI()/4*VALUE(MID(ARCH!M14,2,9))^2,VALUE(LEFT(ARCH!M14,FIND("x",ARCH!M14)-1))*VALUE(MID(ARCH!M14,FIND("x",ARCH!M14)+1,9))))</f>
        <v>504</v>
      </c>
      <c r="N14" s="10" t="n">
        <f aca="false">IF(ARCH!N14="",INPUTS!$B$19,IF(LEFT(ARCH!N14,1)="d",PI()/4*VALUE(MID(ARCH!N14,2,9))^2,VALUE(LEFT(ARCH!N14,FIND("x",ARCH!N14)-1))*VALUE(MID(ARCH!N14,FIND("x",ARCH!N14)+1,9))))</f>
        <v>504</v>
      </c>
      <c r="O14" s="10" t="n">
        <f aca="false">IF(ARCH!O14="",INPUTS!$B$19,IF(LEFT(ARCH!O14,1)="d",PI()/4*VALUE(MID(ARCH!O14,2,9))^2,VALUE(LEFT(ARCH!O14,FIND("x",ARCH!O14)-1))*VALUE(MID(ARCH!O14,FIND("x",ARCH!O14)+1,9))))</f>
        <v>504</v>
      </c>
      <c r="P14" s="10" t="n">
        <f aca="false">IF(ARCH!P14="",INPUTS!$B$19,IF(LEFT(ARCH!P14,1)="d",PI()/4*VALUE(MID(ARCH!P14,2,9))^2,VALUE(LEFT(ARCH!P14,FIND("x",ARCH!P14)-1))*VALUE(MID(ARCH!P14,FIND("x",ARCH!P14)+1,9))))</f>
        <v>504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10" t="n">
        <f aca="false">IF(ARCH!E15="",INPUTS!$B$19,IF(LEFT(ARCH!E15,1)="d",PI()/4*VALUE(MID(ARCH!E15,2,9))^2,VALUE(LEFT(ARCH!E15,FIND("x",ARCH!E15)-1))*VALUE(MID(ARCH!E15,FIND("x",ARCH!E15)+1,9))))</f>
        <v>336</v>
      </c>
      <c r="F15" s="10" t="n">
        <f aca="false">IF(ARCH!F15="",INPUTS!$B$19,IF(LEFT(ARCH!F15,1)="d",PI()/4*VALUE(MID(ARCH!F15,2,9))^2,VALUE(LEFT(ARCH!F15,FIND("x",ARCH!F15)-1))*VALUE(MID(ARCH!F15,FIND("x",ARCH!F15)+1,9))))</f>
        <v>336</v>
      </c>
      <c r="G15" s="10" t="n">
        <f aca="false">IF(ARCH!G15="",INPUTS!$B$19,IF(LEFT(ARCH!G15,1)="d",PI()/4*VALUE(MID(ARCH!G15,2,9))^2,VALUE(LEFT(ARCH!G15,FIND("x",ARCH!G15)-1))*VALUE(MID(ARCH!G15,FIND("x",ARCH!G15)+1,9))))</f>
        <v>336</v>
      </c>
      <c r="H15" s="10" t="n">
        <f aca="false">IF(ARCH!H15="",INPUTS!$B$19,IF(LEFT(ARCH!H15,1)="d",PI()/4*VALUE(MID(ARCH!H15,2,9))^2,VALUE(LEFT(ARCH!H15,FIND("x",ARCH!H15)-1))*VALUE(MID(ARCH!H15,FIND("x",ARCH!H15)+1,9))))</f>
        <v>336</v>
      </c>
      <c r="I15" s="10" t="n">
        <f aca="false">IF(ARCH!I15="",INPUTS!$B$19,IF(LEFT(ARCH!I15,1)="d",PI()/4*VALUE(MID(ARCH!I15,2,9))^2,VALUE(LEFT(ARCH!I15,FIND("x",ARCH!I15)-1))*VALUE(MID(ARCH!I15,FIND("x",ARCH!I15)+1,9))))</f>
        <v>336</v>
      </c>
      <c r="J15" s="10" t="n">
        <f aca="false">IF(ARCH!J15="",INPUTS!$B$19,IF(LEFT(ARCH!J15,1)="d",PI()/4*VALUE(MID(ARCH!J15,2,9))^2,VALUE(LEFT(ARCH!J15,FIND("x",ARCH!J15)-1))*VALUE(MID(ARCH!J15,FIND("x",ARCH!J15)+1,9))))</f>
        <v>336</v>
      </c>
      <c r="K15" s="10" t="n">
        <f aca="false">IF(ARCH!K15="",INPUTS!$B$19,IF(LEFT(ARCH!K15,1)="d",PI()/4*VALUE(MID(ARCH!K15,2,9))^2,VALUE(LEFT(ARCH!K15,FIND("x",ARCH!K15)-1))*VALUE(MID(ARCH!K15,FIND("x",ARCH!K15)+1,9))))</f>
        <v>336</v>
      </c>
      <c r="L15" s="10" t="n">
        <f aca="false">IF(ARCH!L15="",INPUTS!$B$19,IF(LEFT(ARCH!L15,1)="d",PI()/4*VALUE(MID(ARCH!L15,2,9))^2,VALUE(LEFT(ARCH!L15,FIND("x",ARCH!L15)-1))*VALUE(MID(ARCH!L15,FIND("x",ARCH!L15)+1,9))))</f>
        <v>336</v>
      </c>
      <c r="M15" s="10" t="n">
        <f aca="false">IF(ARCH!M15="",INPUTS!$B$19,IF(LEFT(ARCH!M15,1)="d",PI()/4*VALUE(MID(ARCH!M15,2,9))^2,VALUE(LEFT(ARCH!M15,FIND("x",ARCH!M15)-1))*VALUE(MID(ARCH!M15,FIND("x",ARCH!M15)+1,9))))</f>
        <v>336</v>
      </c>
      <c r="N15" s="10" t="n">
        <f aca="false">IF(ARCH!N15="",INPUTS!$B$19,IF(LEFT(ARCH!N15,1)="d",PI()/4*VALUE(MID(ARCH!N15,2,9))^2,VALUE(LEFT(ARCH!N15,FIND("x",ARCH!N15)-1))*VALUE(MID(ARCH!N15,FIND("x",ARCH!N15)+1,9))))</f>
        <v>336</v>
      </c>
      <c r="O15" s="10" t="n">
        <f aca="false">IF(ARCH!O15="",INPUTS!$B$19,IF(LEFT(ARCH!O15,1)="d",PI()/4*VALUE(MID(ARCH!O15,2,9))^2,VALUE(LEFT(ARCH!O15,FIND("x",ARCH!O15)-1))*VALUE(MID(ARCH!O15,FIND("x",ARCH!O15)+1,9))))</f>
        <v>336</v>
      </c>
      <c r="P15" s="10" t="n">
        <f aca="false">IF(ARCH!P15="",INPUTS!$B$19,IF(LEFT(ARCH!P15,1)="d",PI()/4*VALUE(MID(ARCH!P15,2,9))^2,VALUE(LEFT(ARCH!P15,FIND("x",ARCH!P15)-1))*VALUE(MID(ARCH!P15,FIND("x",ARCH!P15)+1,9))))</f>
        <v>336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10" t="n">
        <f aca="false">IF(ARCH!E16="",INPUTS!$B$19,IF(LEFT(ARCH!E16,1)="d",PI()/4*VALUE(MID(ARCH!E16,2,9))^2,VALUE(LEFT(ARCH!E16,FIND("x",ARCH!E16)-1))*VALUE(MID(ARCH!E16,FIND("x",ARCH!E16)+1,9))))</f>
        <v>336</v>
      </c>
      <c r="F16" s="10" t="n">
        <f aca="false">IF(ARCH!F16="",INPUTS!$B$19,IF(LEFT(ARCH!F16,1)="d",PI()/4*VALUE(MID(ARCH!F16,2,9))^2,VALUE(LEFT(ARCH!F16,FIND("x",ARCH!F16)-1))*VALUE(MID(ARCH!F16,FIND("x",ARCH!F16)+1,9))))</f>
        <v>336</v>
      </c>
      <c r="G16" s="10" t="n">
        <f aca="false">IF(ARCH!G16="",INPUTS!$B$19,IF(LEFT(ARCH!G16,1)="d",PI()/4*VALUE(MID(ARCH!G16,2,9))^2,VALUE(LEFT(ARCH!G16,FIND("x",ARCH!G16)-1))*VALUE(MID(ARCH!G16,FIND("x",ARCH!G16)+1,9))))</f>
        <v>336</v>
      </c>
      <c r="H16" s="10" t="n">
        <f aca="false">IF(ARCH!H16="",INPUTS!$B$19,IF(LEFT(ARCH!H16,1)="d",PI()/4*VALUE(MID(ARCH!H16,2,9))^2,VALUE(LEFT(ARCH!H16,FIND("x",ARCH!H16)-1))*VALUE(MID(ARCH!H16,FIND("x",ARCH!H16)+1,9))))</f>
        <v>336</v>
      </c>
      <c r="I16" s="10" t="n">
        <f aca="false">IF(ARCH!I16="",INPUTS!$B$19,IF(LEFT(ARCH!I16,1)="d",PI()/4*VALUE(MID(ARCH!I16,2,9))^2,VALUE(LEFT(ARCH!I16,FIND("x",ARCH!I16)-1))*VALUE(MID(ARCH!I16,FIND("x",ARCH!I16)+1,9))))</f>
        <v>336</v>
      </c>
      <c r="J16" s="10" t="n">
        <f aca="false">IF(ARCH!J16="",INPUTS!$B$19,IF(LEFT(ARCH!J16,1)="d",PI()/4*VALUE(MID(ARCH!J16,2,9))^2,VALUE(LEFT(ARCH!J16,FIND("x",ARCH!J16)-1))*VALUE(MID(ARCH!J16,FIND("x",ARCH!J16)+1,9))))</f>
        <v>336</v>
      </c>
      <c r="K16" s="10" t="n">
        <f aca="false">IF(ARCH!K16="",INPUTS!$B$19,IF(LEFT(ARCH!K16,1)="d",PI()/4*VALUE(MID(ARCH!K16,2,9))^2,VALUE(LEFT(ARCH!K16,FIND("x",ARCH!K16)-1))*VALUE(MID(ARCH!K16,FIND("x",ARCH!K16)+1,9))))</f>
        <v>336</v>
      </c>
      <c r="L16" s="10" t="n">
        <f aca="false">IF(ARCH!L16="",INPUTS!$B$19,IF(LEFT(ARCH!L16,1)="d",PI()/4*VALUE(MID(ARCH!L16,2,9))^2,VALUE(LEFT(ARCH!L16,FIND("x",ARCH!L16)-1))*VALUE(MID(ARCH!L16,FIND("x",ARCH!L16)+1,9))))</f>
        <v>336</v>
      </c>
      <c r="M16" s="10" t="n">
        <f aca="false">IF(ARCH!M16="",INPUTS!$B$19,IF(LEFT(ARCH!M16,1)="d",PI()/4*VALUE(MID(ARCH!M16,2,9))^2,VALUE(LEFT(ARCH!M16,FIND("x",ARCH!M16)-1))*VALUE(MID(ARCH!M16,FIND("x",ARCH!M16)+1,9))))</f>
        <v>336</v>
      </c>
      <c r="N16" s="10" t="n">
        <f aca="false">IF(ARCH!N16="",INPUTS!$B$19,IF(LEFT(ARCH!N16,1)="d",PI()/4*VALUE(MID(ARCH!N16,2,9))^2,VALUE(LEFT(ARCH!N16,FIND("x",ARCH!N16)-1))*VALUE(MID(ARCH!N16,FIND("x",ARCH!N16)+1,9))))</f>
        <v>336</v>
      </c>
      <c r="O16" s="10" t="n">
        <f aca="false">IF(ARCH!O16="",INPUTS!$B$19,IF(LEFT(ARCH!O16,1)="d",PI()/4*VALUE(MID(ARCH!O16,2,9))^2,VALUE(LEFT(ARCH!O16,FIND("x",ARCH!O16)-1))*VALUE(MID(ARCH!O16,FIND("x",ARCH!O16)+1,9))))</f>
        <v>336</v>
      </c>
      <c r="P16" s="10" t="n">
        <f aca="false">IF(ARCH!P16="",INPUTS!$B$19,IF(LEFT(ARCH!P16,1)="d",PI()/4*VALUE(MID(ARCH!P16,2,9))^2,VALUE(LEFT(ARCH!P16,FIND("x",ARCH!P16)-1))*VALUE(MID(ARCH!P16,FIND("x",ARCH!P16)+1,9))))</f>
        <v>336</v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10" t="n">
        <f aca="false">IF(ARCH!E17="",INPUTS!$B$19,IF(LEFT(ARCH!E17,1)="d",PI()/4*VALUE(MID(ARCH!E17,2,9))^2,VALUE(LEFT(ARCH!E17,FIND("x",ARCH!E17)-1))*VALUE(MID(ARCH!E17,FIND("x",ARCH!E17)+1,9))))</f>
        <v>504</v>
      </c>
      <c r="F17" s="10" t="n">
        <f aca="false">IF(ARCH!F17="",INPUTS!$B$19,IF(LEFT(ARCH!F17,1)="d",PI()/4*VALUE(MID(ARCH!F17,2,9))^2,VALUE(LEFT(ARCH!F17,FIND("x",ARCH!F17)-1))*VALUE(MID(ARCH!F17,FIND("x",ARCH!F17)+1,9))))</f>
        <v>504</v>
      </c>
      <c r="G17" s="10" t="n">
        <f aca="false">IF(ARCH!G17="",INPUTS!$B$19,IF(LEFT(ARCH!G17,1)="d",PI()/4*VALUE(MID(ARCH!G17,2,9))^2,VALUE(LEFT(ARCH!G17,FIND("x",ARCH!G17)-1))*VALUE(MID(ARCH!G17,FIND("x",ARCH!G17)+1,9))))</f>
        <v>504</v>
      </c>
      <c r="H17" s="10" t="n">
        <f aca="false">IF(ARCH!H17="",INPUTS!$B$19,IF(LEFT(ARCH!H17,1)="d",PI()/4*VALUE(MID(ARCH!H17,2,9))^2,VALUE(LEFT(ARCH!H17,FIND("x",ARCH!H17)-1))*VALUE(MID(ARCH!H17,FIND("x",ARCH!H17)+1,9))))</f>
        <v>504</v>
      </c>
      <c r="I17" s="10" t="n">
        <f aca="false">IF(ARCH!I17="",INPUTS!$B$19,IF(LEFT(ARCH!I17,1)="d",PI()/4*VALUE(MID(ARCH!I17,2,9))^2,VALUE(LEFT(ARCH!I17,FIND("x",ARCH!I17)-1))*VALUE(MID(ARCH!I17,FIND("x",ARCH!I17)+1,9))))</f>
        <v>504</v>
      </c>
      <c r="J17" s="10" t="n">
        <f aca="false">IF(ARCH!J17="",INPUTS!$B$19,IF(LEFT(ARCH!J17,1)="d",PI()/4*VALUE(MID(ARCH!J17,2,9))^2,VALUE(LEFT(ARCH!J17,FIND("x",ARCH!J17)-1))*VALUE(MID(ARCH!J17,FIND("x",ARCH!J17)+1,9))))</f>
        <v>504</v>
      </c>
      <c r="K17" s="10" t="n">
        <f aca="false">IF(ARCH!K17="",INPUTS!$B$19,IF(LEFT(ARCH!K17,1)="d",PI()/4*VALUE(MID(ARCH!K17,2,9))^2,VALUE(LEFT(ARCH!K17,FIND("x",ARCH!K17)-1))*VALUE(MID(ARCH!K17,FIND("x",ARCH!K17)+1,9))))</f>
        <v>504</v>
      </c>
      <c r="L17" s="10" t="n">
        <f aca="false">IF(ARCH!L17="",INPUTS!$B$19,IF(LEFT(ARCH!L17,1)="d",PI()/4*VALUE(MID(ARCH!L17,2,9))^2,VALUE(LEFT(ARCH!L17,FIND("x",ARCH!L17)-1))*VALUE(MID(ARCH!L17,FIND("x",ARCH!L17)+1,9))))</f>
        <v>504</v>
      </c>
      <c r="M17" s="10" t="n">
        <f aca="false">IF(ARCH!M17="",INPUTS!$B$19,IF(LEFT(ARCH!M17,1)="d",PI()/4*VALUE(MID(ARCH!M17,2,9))^2,VALUE(LEFT(ARCH!M17,FIND("x",ARCH!M17)-1))*VALUE(MID(ARCH!M17,FIND("x",ARCH!M17)+1,9))))</f>
        <v>504</v>
      </c>
      <c r="N17" s="10" t="n">
        <f aca="false">IF(ARCH!N17="",INPUTS!$B$19,IF(LEFT(ARCH!N17,1)="d",PI()/4*VALUE(MID(ARCH!N17,2,9))^2,VALUE(LEFT(ARCH!N17,FIND("x",ARCH!N17)-1))*VALUE(MID(ARCH!N17,FIND("x",ARCH!N17)+1,9))))</f>
        <v>504</v>
      </c>
      <c r="O17" s="10" t="n">
        <f aca="false">IF(ARCH!O17="",INPUTS!$B$19,IF(LEFT(ARCH!O17,1)="d",PI()/4*VALUE(MID(ARCH!O17,2,9))^2,VALUE(LEFT(ARCH!O17,FIND("x",ARCH!O17)-1))*VALUE(MID(ARCH!O17,FIND("x",ARCH!O17)+1,9))))</f>
        <v>504</v>
      </c>
      <c r="P17" s="10" t="n">
        <f aca="false">IF(ARCH!P17="",INPUTS!$B$19,IF(LEFT(ARCH!P17,1)="d",PI()/4*VALUE(MID(ARCH!P17,2,9))^2,VALUE(LEFT(ARCH!P17,FIND("x",ARCH!P17)-1))*VALUE(MID(ARCH!P17,FIND("x",ARCH!P17)+1,9))))</f>
        <v>504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10" t="n">
        <f aca="false">IF(ARCH!E18="",INPUTS!$B$19,IF(LEFT(ARCH!E18,1)="d",PI()/4*VALUE(MID(ARCH!E18,2,9))^2,VALUE(LEFT(ARCH!E18,FIND("x",ARCH!E18)-1))*VALUE(MID(ARCH!E18,FIND("x",ARCH!E18)+1,9))))</f>
        <v>504</v>
      </c>
      <c r="F18" s="10" t="n">
        <f aca="false">IF(ARCH!F18="",INPUTS!$B$19,IF(LEFT(ARCH!F18,1)="d",PI()/4*VALUE(MID(ARCH!F18,2,9))^2,VALUE(LEFT(ARCH!F18,FIND("x",ARCH!F18)-1))*VALUE(MID(ARCH!F18,FIND("x",ARCH!F18)+1,9))))</f>
        <v>504</v>
      </c>
      <c r="G18" s="10" t="n">
        <f aca="false">IF(ARCH!G18="",INPUTS!$B$19,IF(LEFT(ARCH!G18,1)="d",PI()/4*VALUE(MID(ARCH!G18,2,9))^2,VALUE(LEFT(ARCH!G18,FIND("x",ARCH!G18)-1))*VALUE(MID(ARCH!G18,FIND("x",ARCH!G18)+1,9))))</f>
        <v>504</v>
      </c>
      <c r="H18" s="10" t="n">
        <f aca="false">IF(ARCH!H18="",INPUTS!$B$19,IF(LEFT(ARCH!H18,1)="d",PI()/4*VALUE(MID(ARCH!H18,2,9))^2,VALUE(LEFT(ARCH!H18,FIND("x",ARCH!H18)-1))*VALUE(MID(ARCH!H18,FIND("x",ARCH!H18)+1,9))))</f>
        <v>504</v>
      </c>
      <c r="I18" s="10" t="n">
        <f aca="false">IF(ARCH!I18="",INPUTS!$B$19,IF(LEFT(ARCH!I18,1)="d",PI()/4*VALUE(MID(ARCH!I18,2,9))^2,VALUE(LEFT(ARCH!I18,FIND("x",ARCH!I18)-1))*VALUE(MID(ARCH!I18,FIND("x",ARCH!I18)+1,9))))</f>
        <v>504</v>
      </c>
      <c r="J18" s="10" t="n">
        <f aca="false">IF(ARCH!J18="",INPUTS!$B$19,IF(LEFT(ARCH!J18,1)="d",PI()/4*VALUE(MID(ARCH!J18,2,9))^2,VALUE(LEFT(ARCH!J18,FIND("x",ARCH!J18)-1))*VALUE(MID(ARCH!J18,FIND("x",ARCH!J18)+1,9))))</f>
        <v>504</v>
      </c>
      <c r="K18" s="10" t="n">
        <f aca="false">IF(ARCH!K18="",INPUTS!$B$19,IF(LEFT(ARCH!K18,1)="d",PI()/4*VALUE(MID(ARCH!K18,2,9))^2,VALUE(LEFT(ARCH!K18,FIND("x",ARCH!K18)-1))*VALUE(MID(ARCH!K18,FIND("x",ARCH!K18)+1,9))))</f>
        <v>504</v>
      </c>
      <c r="L18" s="10" t="n">
        <f aca="false">IF(ARCH!L18="",INPUTS!$B$19,IF(LEFT(ARCH!L18,1)="d",PI()/4*VALUE(MID(ARCH!L18,2,9))^2,VALUE(LEFT(ARCH!L18,FIND("x",ARCH!L18)-1))*VALUE(MID(ARCH!L18,FIND("x",ARCH!L18)+1,9))))</f>
        <v>504</v>
      </c>
      <c r="M18" s="10" t="n">
        <f aca="false">IF(ARCH!M18="",INPUTS!$B$19,IF(LEFT(ARCH!M18,1)="d",PI()/4*VALUE(MID(ARCH!M18,2,9))^2,VALUE(LEFT(ARCH!M18,FIND("x",ARCH!M18)-1))*VALUE(MID(ARCH!M18,FIND("x",ARCH!M18)+1,9))))</f>
        <v>504</v>
      </c>
      <c r="N18" s="10" t="n">
        <f aca="false">IF(ARCH!N18="",INPUTS!$B$19,IF(LEFT(ARCH!N18,1)="d",PI()/4*VALUE(MID(ARCH!N18,2,9))^2,VALUE(LEFT(ARCH!N18,FIND("x",ARCH!N18)-1))*VALUE(MID(ARCH!N18,FIND("x",ARCH!N18)+1,9))))</f>
        <v>504</v>
      </c>
      <c r="O18" s="10" t="n">
        <f aca="false">IF(ARCH!O18="",INPUTS!$B$19,IF(LEFT(ARCH!O18,1)="d",PI()/4*VALUE(MID(ARCH!O18,2,9))^2,VALUE(LEFT(ARCH!O18,FIND("x",ARCH!O18)-1))*VALUE(MID(ARCH!O18,FIND("x",ARCH!O18)+1,9))))</f>
        <v>504</v>
      </c>
      <c r="P18" s="10" t="n">
        <f aca="false">IF(ARCH!P18="",INPUTS!$B$19,IF(LEFT(ARCH!P18,1)="d",PI()/4*VALUE(MID(ARCH!P18,2,9))^2,VALUE(LEFT(ARCH!P18,FIND("x",ARCH!P18)-1))*VALUE(MID(ARCH!P18,FIND("x",ARCH!P18)+1,9))))</f>
        <v>504</v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10" t="n">
        <f aca="false">IF(ARCH!E19="",INPUTS!$B$19,IF(LEFT(ARCH!E19,1)="d",PI()/4*VALUE(MID(ARCH!E19,2,9))^2,VALUE(LEFT(ARCH!E19,FIND("x",ARCH!E19)-1))*VALUE(MID(ARCH!E19,FIND("x",ARCH!E19)+1,9))))</f>
        <v>504</v>
      </c>
      <c r="F19" s="10" t="n">
        <f aca="false">IF(ARCH!F19="",INPUTS!$B$19,IF(LEFT(ARCH!F19,1)="d",PI()/4*VALUE(MID(ARCH!F19,2,9))^2,VALUE(LEFT(ARCH!F19,FIND("x",ARCH!F19)-1))*VALUE(MID(ARCH!F19,FIND("x",ARCH!F19)+1,9))))</f>
        <v>504</v>
      </c>
      <c r="G19" s="10" t="n">
        <f aca="false">IF(ARCH!G19="",INPUTS!$B$19,IF(LEFT(ARCH!G19,1)="d",PI()/4*VALUE(MID(ARCH!G19,2,9))^2,VALUE(LEFT(ARCH!G19,FIND("x",ARCH!G19)-1))*VALUE(MID(ARCH!G19,FIND("x",ARCH!G19)+1,9))))</f>
        <v>504</v>
      </c>
      <c r="H19" s="10" t="n">
        <f aca="false">IF(ARCH!H19="",INPUTS!$B$19,IF(LEFT(ARCH!H19,1)="d",PI()/4*VALUE(MID(ARCH!H19,2,9))^2,VALUE(LEFT(ARCH!H19,FIND("x",ARCH!H19)-1))*VALUE(MID(ARCH!H19,FIND("x",ARCH!H19)+1,9))))</f>
        <v>504</v>
      </c>
      <c r="I19" s="10" t="n">
        <f aca="false">IF(ARCH!I19="",INPUTS!$B$19,IF(LEFT(ARCH!I19,1)="d",PI()/4*VALUE(MID(ARCH!I19,2,9))^2,VALUE(LEFT(ARCH!I19,FIND("x",ARCH!I19)-1))*VALUE(MID(ARCH!I19,FIND("x",ARCH!I19)+1,9))))</f>
        <v>504</v>
      </c>
      <c r="J19" s="10" t="n">
        <f aca="false">IF(ARCH!J19="",INPUTS!$B$19,IF(LEFT(ARCH!J19,1)="d",PI()/4*VALUE(MID(ARCH!J19,2,9))^2,VALUE(LEFT(ARCH!J19,FIND("x",ARCH!J19)-1))*VALUE(MID(ARCH!J19,FIND("x",ARCH!J19)+1,9))))</f>
        <v>504</v>
      </c>
      <c r="K19" s="10" t="n">
        <f aca="false">IF(ARCH!K19="",INPUTS!$B$19,IF(LEFT(ARCH!K19,1)="d",PI()/4*VALUE(MID(ARCH!K19,2,9))^2,VALUE(LEFT(ARCH!K19,FIND("x",ARCH!K19)-1))*VALUE(MID(ARCH!K19,FIND("x",ARCH!K19)+1,9))))</f>
        <v>504</v>
      </c>
      <c r="L19" s="10" t="n">
        <f aca="false">IF(ARCH!L19="",INPUTS!$B$19,IF(LEFT(ARCH!L19,1)="d",PI()/4*VALUE(MID(ARCH!L19,2,9))^2,VALUE(LEFT(ARCH!L19,FIND("x",ARCH!L19)-1))*VALUE(MID(ARCH!L19,FIND("x",ARCH!L19)+1,9))))</f>
        <v>504</v>
      </c>
      <c r="M19" s="10" t="n">
        <f aca="false">IF(ARCH!M19="",INPUTS!$B$19,IF(LEFT(ARCH!M19,1)="d",PI()/4*VALUE(MID(ARCH!M19,2,9))^2,VALUE(LEFT(ARCH!M19,FIND("x",ARCH!M19)-1))*VALUE(MID(ARCH!M19,FIND("x",ARCH!M19)+1,9))))</f>
        <v>504</v>
      </c>
      <c r="N19" s="10" t="n">
        <f aca="false">IF(ARCH!N19="",INPUTS!$B$19,IF(LEFT(ARCH!N19,1)="d",PI()/4*VALUE(MID(ARCH!N19,2,9))^2,VALUE(LEFT(ARCH!N19,FIND("x",ARCH!N19)-1))*VALUE(MID(ARCH!N19,FIND("x",ARCH!N19)+1,9))))</f>
        <v>504</v>
      </c>
      <c r="O19" s="10" t="n">
        <f aca="false">IF(ARCH!O19="",INPUTS!$B$19,IF(LEFT(ARCH!O19,1)="d",PI()/4*VALUE(MID(ARCH!O19,2,9))^2,VALUE(LEFT(ARCH!O19,FIND("x",ARCH!O19)-1))*VALUE(MID(ARCH!O19,FIND("x",ARCH!O19)+1,9))))</f>
        <v>504</v>
      </c>
      <c r="P19" s="10" t="n">
        <f aca="false">IF(ARCH!P19="",INPUTS!$B$19,IF(LEFT(ARCH!P19,1)="d",PI()/4*VALUE(MID(ARCH!P19,2,9))^2,VALUE(LEFT(ARCH!P19,FIND("x",ARCH!P19)-1))*VALUE(MID(ARCH!P19,FIND("x",ARCH!P19)+1,9))))</f>
        <v>504</v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10" t="n">
        <f aca="false">IF(ARCH!E20="",INPUTS!$B$19,IF(LEFT(ARCH!E20,1)="d",PI()/4*VALUE(MID(ARCH!E20,2,9))^2,VALUE(LEFT(ARCH!E20,FIND("x",ARCH!E20)-1))*VALUE(MID(ARCH!E20,FIND("x",ARCH!E20)+1,9))))</f>
        <v>216</v>
      </c>
      <c r="F20" s="10" t="n">
        <f aca="false">IF(ARCH!F20="",INPUTS!$B$19,IF(LEFT(ARCH!F20,1)="d",PI()/4*VALUE(MID(ARCH!F20,2,9))^2,VALUE(LEFT(ARCH!F20,FIND("x",ARCH!F20)-1))*VALUE(MID(ARCH!F20,FIND("x",ARCH!F20)+1,9))))</f>
        <v>216</v>
      </c>
      <c r="G20" s="10" t="n">
        <f aca="false">IF(ARCH!G20="",INPUTS!$B$19,IF(LEFT(ARCH!G20,1)="d",PI()/4*VALUE(MID(ARCH!G20,2,9))^2,VALUE(LEFT(ARCH!G20,FIND("x",ARCH!G20)-1))*VALUE(MID(ARCH!G20,FIND("x",ARCH!G20)+1,9))))</f>
        <v>216</v>
      </c>
      <c r="H20" s="10" t="n">
        <f aca="false">IF(ARCH!H20="",INPUTS!$B$19,IF(LEFT(ARCH!H20,1)="d",PI()/4*VALUE(MID(ARCH!H20,2,9))^2,VALUE(LEFT(ARCH!H20,FIND("x",ARCH!H20)-1))*VALUE(MID(ARCH!H20,FIND("x",ARCH!H20)+1,9))))</f>
        <v>216</v>
      </c>
      <c r="I20" s="10" t="n">
        <f aca="false">IF(ARCH!I20="",INPUTS!$B$19,IF(LEFT(ARCH!I20,1)="d",PI()/4*VALUE(MID(ARCH!I20,2,9))^2,VALUE(LEFT(ARCH!I20,FIND("x",ARCH!I20)-1))*VALUE(MID(ARCH!I20,FIND("x",ARCH!I20)+1,9))))</f>
        <v>216</v>
      </c>
      <c r="J20" s="10" t="n">
        <f aca="false">IF(ARCH!J20="",INPUTS!$B$19,IF(LEFT(ARCH!J20,1)="d",PI()/4*VALUE(MID(ARCH!J20,2,9))^2,VALUE(LEFT(ARCH!J20,FIND("x",ARCH!J20)-1))*VALUE(MID(ARCH!J20,FIND("x",ARCH!J20)+1,9))))</f>
        <v>216</v>
      </c>
      <c r="K20" s="10" t="n">
        <f aca="false">IF(ARCH!K20="",INPUTS!$B$19,IF(LEFT(ARCH!K20,1)="d",PI()/4*VALUE(MID(ARCH!K20,2,9))^2,VALUE(LEFT(ARCH!K20,FIND("x",ARCH!K20)-1))*VALUE(MID(ARCH!K20,FIND("x",ARCH!K20)+1,9))))</f>
        <v>216</v>
      </c>
      <c r="L20" s="10" t="n">
        <f aca="false">IF(ARCH!L20="",INPUTS!$B$19,IF(LEFT(ARCH!L20,1)="d",PI()/4*VALUE(MID(ARCH!L20,2,9))^2,VALUE(LEFT(ARCH!L20,FIND("x",ARCH!L20)-1))*VALUE(MID(ARCH!L20,FIND("x",ARCH!L20)+1,9))))</f>
        <v>216</v>
      </c>
      <c r="M20" s="10" t="n">
        <f aca="false">IF(ARCH!M20="",INPUTS!$B$19,IF(LEFT(ARCH!M20,1)="d",PI()/4*VALUE(MID(ARCH!M20,2,9))^2,VALUE(LEFT(ARCH!M20,FIND("x",ARCH!M20)-1))*VALUE(MID(ARCH!M20,FIND("x",ARCH!M20)+1,9))))</f>
        <v>216</v>
      </c>
      <c r="N20" s="10" t="n">
        <f aca="false">IF(ARCH!N20="",INPUTS!$B$19,IF(LEFT(ARCH!N20,1)="d",PI()/4*VALUE(MID(ARCH!N20,2,9))^2,VALUE(LEFT(ARCH!N20,FIND("x",ARCH!N20)-1))*VALUE(MID(ARCH!N20,FIND("x",ARCH!N20)+1,9))))</f>
        <v>216</v>
      </c>
      <c r="O20" s="10" t="n">
        <f aca="false">IF(ARCH!O20="",INPUTS!$B$19,IF(LEFT(ARCH!O20,1)="d",PI()/4*VALUE(MID(ARCH!O20,2,9))^2,VALUE(LEFT(ARCH!O20,FIND("x",ARCH!O20)-1))*VALUE(MID(ARCH!O20,FIND("x",ARCH!O20)+1,9))))</f>
        <v>216</v>
      </c>
      <c r="P20" s="10" t="n">
        <f aca="false">IF(ARCH!P20="",INPUTS!$B$19,IF(LEFT(ARCH!P20,1)="d",PI()/4*VALUE(MID(ARCH!P20,2,9))^2,VALUE(LEFT(ARCH!P20,FIND("x",ARCH!P20)-1))*VALUE(MID(ARCH!P20,FIND("x",ARCH!P20)+1,9))))</f>
        <v>216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10" t="n">
        <f aca="false">IF(ARCH!E21="",INPUTS!$B$19,IF(LEFT(ARCH!E21,1)="d",PI()/4*VALUE(MID(ARCH!E21,2,9))^2,VALUE(LEFT(ARCH!E21,FIND("x",ARCH!E21)-1))*VALUE(MID(ARCH!E21,FIND("x",ARCH!E21)+1,9))))</f>
        <v>504</v>
      </c>
      <c r="F21" s="10" t="n">
        <f aca="false">IF(ARCH!F21="",INPUTS!$B$19,IF(LEFT(ARCH!F21,1)="d",PI()/4*VALUE(MID(ARCH!F21,2,9))^2,VALUE(LEFT(ARCH!F21,FIND("x",ARCH!F21)-1))*VALUE(MID(ARCH!F21,FIND("x",ARCH!F21)+1,9))))</f>
        <v>504</v>
      </c>
      <c r="G21" s="10" t="n">
        <f aca="false">IF(ARCH!G21="",INPUTS!$B$19,IF(LEFT(ARCH!G21,1)="d",PI()/4*VALUE(MID(ARCH!G21,2,9))^2,VALUE(LEFT(ARCH!G21,FIND("x",ARCH!G21)-1))*VALUE(MID(ARCH!G21,FIND("x",ARCH!G21)+1,9))))</f>
        <v>504</v>
      </c>
      <c r="H21" s="10" t="n">
        <f aca="false">IF(ARCH!H21="",INPUTS!$B$19,IF(LEFT(ARCH!H21,1)="d",PI()/4*VALUE(MID(ARCH!H21,2,9))^2,VALUE(LEFT(ARCH!H21,FIND("x",ARCH!H21)-1))*VALUE(MID(ARCH!H21,FIND("x",ARCH!H21)+1,9))))</f>
        <v>504</v>
      </c>
      <c r="I21" s="10" t="n">
        <f aca="false">IF(ARCH!I21="",INPUTS!$B$19,IF(LEFT(ARCH!I21,1)="d",PI()/4*VALUE(MID(ARCH!I21,2,9))^2,VALUE(LEFT(ARCH!I21,FIND("x",ARCH!I21)-1))*VALUE(MID(ARCH!I21,FIND("x",ARCH!I21)+1,9))))</f>
        <v>504</v>
      </c>
      <c r="J21" s="10" t="n">
        <f aca="false">IF(ARCH!J21="",INPUTS!$B$19,IF(LEFT(ARCH!J21,1)="d",PI()/4*VALUE(MID(ARCH!J21,2,9))^2,VALUE(LEFT(ARCH!J21,FIND("x",ARCH!J21)-1))*VALUE(MID(ARCH!J21,FIND("x",ARCH!J21)+1,9))))</f>
        <v>504</v>
      </c>
      <c r="K21" s="10" t="n">
        <f aca="false">IF(ARCH!K21="",INPUTS!$B$19,IF(LEFT(ARCH!K21,1)="d",PI()/4*VALUE(MID(ARCH!K21,2,9))^2,VALUE(LEFT(ARCH!K21,FIND("x",ARCH!K21)-1))*VALUE(MID(ARCH!K21,FIND("x",ARCH!K21)+1,9))))</f>
        <v>504</v>
      </c>
      <c r="L21" s="10" t="n">
        <f aca="false">IF(ARCH!L21="",INPUTS!$B$19,IF(LEFT(ARCH!L21,1)="d",PI()/4*VALUE(MID(ARCH!L21,2,9))^2,VALUE(LEFT(ARCH!L21,FIND("x",ARCH!L21)-1))*VALUE(MID(ARCH!L21,FIND("x",ARCH!L21)+1,9))))</f>
        <v>504</v>
      </c>
      <c r="M21" s="10" t="n">
        <f aca="false">IF(ARCH!M21="",INPUTS!$B$19,IF(LEFT(ARCH!M21,1)="d",PI()/4*VALUE(MID(ARCH!M21,2,9))^2,VALUE(LEFT(ARCH!M21,FIND("x",ARCH!M21)-1))*VALUE(MID(ARCH!M21,FIND("x",ARCH!M21)+1,9))))</f>
        <v>504</v>
      </c>
      <c r="N21" s="10" t="n">
        <f aca="false">IF(ARCH!N21="",INPUTS!$B$19,IF(LEFT(ARCH!N21,1)="d",PI()/4*VALUE(MID(ARCH!N21,2,9))^2,VALUE(LEFT(ARCH!N21,FIND("x",ARCH!N21)-1))*VALUE(MID(ARCH!N21,FIND("x",ARCH!N21)+1,9))))</f>
        <v>504</v>
      </c>
      <c r="O21" s="10" t="n">
        <f aca="false">IF(ARCH!O21="",INPUTS!$B$19,IF(LEFT(ARCH!O21,1)="d",PI()/4*VALUE(MID(ARCH!O21,2,9))^2,VALUE(LEFT(ARCH!O21,FIND("x",ARCH!O21)-1))*VALUE(MID(ARCH!O21,FIND("x",ARCH!O21)+1,9))))</f>
        <v>504</v>
      </c>
      <c r="P21" s="10" t="n">
        <f aca="false">IF(ARCH!P21="",INPUTS!$B$19,IF(LEFT(ARCH!P21,1)="d",PI()/4*VALUE(MID(ARCH!P21,2,9))^2,VALUE(LEFT(ARCH!P21,FIND("x",ARCH!P21)-1))*VALUE(MID(ARCH!P21,FIND("x",ARCH!P21)+1,9))))</f>
        <v>504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10" t="n">
        <f aca="false">IF(ARCH!E22="",INPUTS!$B$19,IF(LEFT(ARCH!E22,1)="d",PI()/4*VALUE(MID(ARCH!E22,2,9))^2,VALUE(LEFT(ARCH!E22,FIND("x",ARCH!E22)-1))*VALUE(MID(ARCH!E22,FIND("x",ARCH!E22)+1,9))))</f>
        <v>504</v>
      </c>
      <c r="F22" s="10" t="n">
        <f aca="false">IF(ARCH!F22="",INPUTS!$B$19,IF(LEFT(ARCH!F22,1)="d",PI()/4*VALUE(MID(ARCH!F22,2,9))^2,VALUE(LEFT(ARCH!F22,FIND("x",ARCH!F22)-1))*VALUE(MID(ARCH!F22,FIND("x",ARCH!F22)+1,9))))</f>
        <v>504</v>
      </c>
      <c r="G22" s="10" t="n">
        <f aca="false">IF(ARCH!G22="",INPUTS!$B$19,IF(LEFT(ARCH!G22,1)="d",PI()/4*VALUE(MID(ARCH!G22,2,9))^2,VALUE(LEFT(ARCH!G22,FIND("x",ARCH!G22)-1))*VALUE(MID(ARCH!G22,FIND("x",ARCH!G22)+1,9))))</f>
        <v>504</v>
      </c>
      <c r="H22" s="10" t="n">
        <f aca="false">IF(ARCH!H22="",INPUTS!$B$19,IF(LEFT(ARCH!H22,1)="d",PI()/4*VALUE(MID(ARCH!H22,2,9))^2,VALUE(LEFT(ARCH!H22,FIND("x",ARCH!H22)-1))*VALUE(MID(ARCH!H22,FIND("x",ARCH!H22)+1,9))))</f>
        <v>504</v>
      </c>
      <c r="I22" s="10" t="n">
        <f aca="false">IF(ARCH!I22="",INPUTS!$B$19,IF(LEFT(ARCH!I22,1)="d",PI()/4*VALUE(MID(ARCH!I22,2,9))^2,VALUE(LEFT(ARCH!I22,FIND("x",ARCH!I22)-1))*VALUE(MID(ARCH!I22,FIND("x",ARCH!I22)+1,9))))</f>
        <v>504</v>
      </c>
      <c r="J22" s="10" t="n">
        <f aca="false">IF(ARCH!J22="",INPUTS!$B$19,IF(LEFT(ARCH!J22,1)="d",PI()/4*VALUE(MID(ARCH!J22,2,9))^2,VALUE(LEFT(ARCH!J22,FIND("x",ARCH!J22)-1))*VALUE(MID(ARCH!J22,FIND("x",ARCH!J22)+1,9))))</f>
        <v>504</v>
      </c>
      <c r="K22" s="10" t="n">
        <f aca="false">IF(ARCH!K22="",INPUTS!$B$19,IF(LEFT(ARCH!K22,1)="d",PI()/4*VALUE(MID(ARCH!K22,2,9))^2,VALUE(LEFT(ARCH!K22,FIND("x",ARCH!K22)-1))*VALUE(MID(ARCH!K22,FIND("x",ARCH!K22)+1,9))))</f>
        <v>504</v>
      </c>
      <c r="L22" s="10" t="n">
        <f aca="false">IF(ARCH!L22="",INPUTS!$B$19,IF(LEFT(ARCH!L22,1)="d",PI()/4*VALUE(MID(ARCH!L22,2,9))^2,VALUE(LEFT(ARCH!L22,FIND("x",ARCH!L22)-1))*VALUE(MID(ARCH!L22,FIND("x",ARCH!L22)+1,9))))</f>
        <v>504</v>
      </c>
      <c r="M22" s="10" t="n">
        <f aca="false">IF(ARCH!M22="",INPUTS!$B$19,IF(LEFT(ARCH!M22,1)="d",PI()/4*VALUE(MID(ARCH!M22,2,9))^2,VALUE(LEFT(ARCH!M22,FIND("x",ARCH!M22)-1))*VALUE(MID(ARCH!M22,FIND("x",ARCH!M22)+1,9))))</f>
        <v>504</v>
      </c>
      <c r="N22" s="10" t="n">
        <f aca="false">IF(ARCH!N22="",INPUTS!$B$19,IF(LEFT(ARCH!N22,1)="d",PI()/4*VALUE(MID(ARCH!N22,2,9))^2,VALUE(LEFT(ARCH!N22,FIND("x",ARCH!N22)-1))*VALUE(MID(ARCH!N22,FIND("x",ARCH!N22)+1,9))))</f>
        <v>504</v>
      </c>
      <c r="O22" s="10" t="n">
        <f aca="false">IF(ARCH!O22="",INPUTS!$B$19,IF(LEFT(ARCH!O22,1)="d",PI()/4*VALUE(MID(ARCH!O22,2,9))^2,VALUE(LEFT(ARCH!O22,FIND("x",ARCH!O22)-1))*VALUE(MID(ARCH!O22,FIND("x",ARCH!O22)+1,9))))</f>
        <v>504</v>
      </c>
      <c r="P22" s="10" t="n">
        <f aca="false">IF(ARCH!P22="",INPUTS!$B$19,IF(LEFT(ARCH!P22,1)="d",PI()/4*VALUE(MID(ARCH!P22,2,9))^2,VALUE(LEFT(ARCH!P22,FIND("x",ARCH!P22)-1))*VALUE(MID(ARCH!P22,FIND("x",ARCH!P22)+1,9))))</f>
        <v>504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10" t="n">
        <f aca="false">IF(ARCH!E23="",INPUTS!$B$19,IF(LEFT(ARCH!E23,1)="d",PI()/4*VALUE(MID(ARCH!E23,2,9))^2,VALUE(LEFT(ARCH!E23,FIND("x",ARCH!E23)-1))*VALUE(MID(ARCH!E23,FIND("x",ARCH!E23)+1,9))))</f>
        <v>504</v>
      </c>
      <c r="F23" s="10" t="n">
        <f aca="false">IF(ARCH!F23="",INPUTS!$B$19,IF(LEFT(ARCH!F23,1)="d",PI()/4*VALUE(MID(ARCH!F23,2,9))^2,VALUE(LEFT(ARCH!F23,FIND("x",ARCH!F23)-1))*VALUE(MID(ARCH!F23,FIND("x",ARCH!F23)+1,9))))</f>
        <v>504</v>
      </c>
      <c r="G23" s="10" t="n">
        <f aca="false">IF(ARCH!G23="",INPUTS!$B$19,IF(LEFT(ARCH!G23,1)="d",PI()/4*VALUE(MID(ARCH!G23,2,9))^2,VALUE(LEFT(ARCH!G23,FIND("x",ARCH!G23)-1))*VALUE(MID(ARCH!G23,FIND("x",ARCH!G23)+1,9))))</f>
        <v>504</v>
      </c>
      <c r="H23" s="10" t="n">
        <f aca="false">IF(ARCH!H23="",INPUTS!$B$19,IF(LEFT(ARCH!H23,1)="d",PI()/4*VALUE(MID(ARCH!H23,2,9))^2,VALUE(LEFT(ARCH!H23,FIND("x",ARCH!H23)-1))*VALUE(MID(ARCH!H23,FIND("x",ARCH!H23)+1,9))))</f>
        <v>504</v>
      </c>
      <c r="I23" s="10" t="n">
        <f aca="false">IF(ARCH!I23="",INPUTS!$B$19,IF(LEFT(ARCH!I23,1)="d",PI()/4*VALUE(MID(ARCH!I23,2,9))^2,VALUE(LEFT(ARCH!I23,FIND("x",ARCH!I23)-1))*VALUE(MID(ARCH!I23,FIND("x",ARCH!I23)+1,9))))</f>
        <v>504</v>
      </c>
      <c r="J23" s="10" t="n">
        <f aca="false">IF(ARCH!J23="",INPUTS!$B$19,IF(LEFT(ARCH!J23,1)="d",PI()/4*VALUE(MID(ARCH!J23,2,9))^2,VALUE(LEFT(ARCH!J23,FIND("x",ARCH!J23)-1))*VALUE(MID(ARCH!J23,FIND("x",ARCH!J23)+1,9))))</f>
        <v>504</v>
      </c>
      <c r="K23" s="10" t="n">
        <f aca="false">IF(ARCH!K23="",INPUTS!$B$19,IF(LEFT(ARCH!K23,1)="d",PI()/4*VALUE(MID(ARCH!K23,2,9))^2,VALUE(LEFT(ARCH!K23,FIND("x",ARCH!K23)-1))*VALUE(MID(ARCH!K23,FIND("x",ARCH!K23)+1,9))))</f>
        <v>504</v>
      </c>
      <c r="L23" s="10" t="n">
        <f aca="false">IF(ARCH!L23="",INPUTS!$B$19,IF(LEFT(ARCH!L23,1)="d",PI()/4*VALUE(MID(ARCH!L23,2,9))^2,VALUE(LEFT(ARCH!L23,FIND("x",ARCH!L23)-1))*VALUE(MID(ARCH!L23,FIND("x",ARCH!L23)+1,9))))</f>
        <v>504</v>
      </c>
      <c r="M23" s="10" t="n">
        <f aca="false">IF(ARCH!M23="",INPUTS!$B$19,IF(LEFT(ARCH!M23,1)="d",PI()/4*VALUE(MID(ARCH!M23,2,9))^2,VALUE(LEFT(ARCH!M23,FIND("x",ARCH!M23)-1))*VALUE(MID(ARCH!M23,FIND("x",ARCH!M23)+1,9))))</f>
        <v>504</v>
      </c>
      <c r="N23" s="10" t="n">
        <f aca="false">IF(ARCH!N23="",INPUTS!$B$19,IF(LEFT(ARCH!N23,1)="d",PI()/4*VALUE(MID(ARCH!N23,2,9))^2,VALUE(LEFT(ARCH!N23,FIND("x",ARCH!N23)-1))*VALUE(MID(ARCH!N23,FIND("x",ARCH!N23)+1,9))))</f>
        <v>504</v>
      </c>
      <c r="O23" s="10" t="n">
        <f aca="false">IF(ARCH!O23="",INPUTS!$B$19,IF(LEFT(ARCH!O23,1)="d",PI()/4*VALUE(MID(ARCH!O23,2,9))^2,VALUE(LEFT(ARCH!O23,FIND("x",ARCH!O23)-1))*VALUE(MID(ARCH!O23,FIND("x",ARCH!O23)+1,9))))</f>
        <v>504</v>
      </c>
      <c r="P23" s="10" t="n">
        <f aca="false">IF(ARCH!P23="",INPUTS!$B$19,IF(LEFT(ARCH!P23,1)="d",PI()/4*VALUE(MID(ARCH!P23,2,9))^2,VALUE(LEFT(ARCH!P23,FIND("x",ARCH!P23)-1))*VALUE(MID(ARCH!P23,FIND("x",ARCH!P23)+1,9))))</f>
        <v>504</v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10" t="n">
        <f aca="false">IF(ARCH!E24="",INPUTS!$B$19,IF(LEFT(ARCH!E24,1)="d",PI()/4*VALUE(MID(ARCH!E24,2,9))^2,VALUE(LEFT(ARCH!E24,FIND("x",ARCH!E24)-1))*VALUE(MID(ARCH!E24,FIND("x",ARCH!E24)+1,9))))</f>
        <v>336</v>
      </c>
      <c r="F24" s="10" t="n">
        <f aca="false">IF(ARCH!F24="",INPUTS!$B$19,IF(LEFT(ARCH!F24,1)="d",PI()/4*VALUE(MID(ARCH!F24,2,9))^2,VALUE(LEFT(ARCH!F24,FIND("x",ARCH!F24)-1))*VALUE(MID(ARCH!F24,FIND("x",ARCH!F24)+1,9))))</f>
        <v>336</v>
      </c>
      <c r="G24" s="10" t="n">
        <f aca="false">IF(ARCH!G24="",INPUTS!$B$19,IF(LEFT(ARCH!G24,1)="d",PI()/4*VALUE(MID(ARCH!G24,2,9))^2,VALUE(LEFT(ARCH!G24,FIND("x",ARCH!G24)-1))*VALUE(MID(ARCH!G24,FIND("x",ARCH!G24)+1,9))))</f>
        <v>336</v>
      </c>
      <c r="H24" s="10" t="n">
        <f aca="false">IF(ARCH!H24="",INPUTS!$B$19,IF(LEFT(ARCH!H24,1)="d",PI()/4*VALUE(MID(ARCH!H24,2,9))^2,VALUE(LEFT(ARCH!H24,FIND("x",ARCH!H24)-1))*VALUE(MID(ARCH!H24,FIND("x",ARCH!H24)+1,9))))</f>
        <v>336</v>
      </c>
      <c r="I24" s="10" t="n">
        <f aca="false">IF(ARCH!I24="",INPUTS!$B$19,IF(LEFT(ARCH!I24,1)="d",PI()/4*VALUE(MID(ARCH!I24,2,9))^2,VALUE(LEFT(ARCH!I24,FIND("x",ARCH!I24)-1))*VALUE(MID(ARCH!I24,FIND("x",ARCH!I24)+1,9))))</f>
        <v>336</v>
      </c>
      <c r="J24" s="10" t="n">
        <f aca="false">IF(ARCH!J24="",INPUTS!$B$19,IF(LEFT(ARCH!J24,1)="d",PI()/4*VALUE(MID(ARCH!J24,2,9))^2,VALUE(LEFT(ARCH!J24,FIND("x",ARCH!J24)-1))*VALUE(MID(ARCH!J24,FIND("x",ARCH!J24)+1,9))))</f>
        <v>336</v>
      </c>
      <c r="K24" s="10" t="n">
        <f aca="false">IF(ARCH!K24="",INPUTS!$B$19,IF(LEFT(ARCH!K24,1)="d",PI()/4*VALUE(MID(ARCH!K24,2,9))^2,VALUE(LEFT(ARCH!K24,FIND("x",ARCH!K24)-1))*VALUE(MID(ARCH!K24,FIND("x",ARCH!K24)+1,9))))</f>
        <v>336</v>
      </c>
      <c r="L24" s="10" t="n">
        <f aca="false">IF(ARCH!L24="",INPUTS!$B$19,IF(LEFT(ARCH!L24,1)="d",PI()/4*VALUE(MID(ARCH!L24,2,9))^2,VALUE(LEFT(ARCH!L24,FIND("x",ARCH!L24)-1))*VALUE(MID(ARCH!L24,FIND("x",ARCH!L24)+1,9))))</f>
        <v>336</v>
      </c>
      <c r="M24" s="10" t="n">
        <f aca="false">IF(ARCH!M24="",INPUTS!$B$19,IF(LEFT(ARCH!M24,1)="d",PI()/4*VALUE(MID(ARCH!M24,2,9))^2,VALUE(LEFT(ARCH!M24,FIND("x",ARCH!M24)-1))*VALUE(MID(ARCH!M24,FIND("x",ARCH!M24)+1,9))))</f>
        <v>336</v>
      </c>
      <c r="N24" s="10" t="n">
        <f aca="false">IF(ARCH!N24="",INPUTS!$B$19,IF(LEFT(ARCH!N24,1)="d",PI()/4*VALUE(MID(ARCH!N24,2,9))^2,VALUE(LEFT(ARCH!N24,FIND("x",ARCH!N24)-1))*VALUE(MID(ARCH!N24,FIND("x",ARCH!N24)+1,9))))</f>
        <v>336</v>
      </c>
      <c r="O24" s="10" t="n">
        <f aca="false">IF(ARCH!O24="",INPUTS!$B$19,IF(LEFT(ARCH!O24,1)="d",PI()/4*VALUE(MID(ARCH!O24,2,9))^2,VALUE(LEFT(ARCH!O24,FIND("x",ARCH!O24)-1))*VALUE(MID(ARCH!O24,FIND("x",ARCH!O24)+1,9))))</f>
        <v>336</v>
      </c>
      <c r="P24" s="10" t="n">
        <f aca="false">IF(ARCH!P24="",INPUTS!$B$19,IF(LEFT(ARCH!P24,1)="d",PI()/4*VALUE(MID(ARCH!P24,2,9))^2,VALUE(LEFT(ARCH!P24,FIND("x",ARCH!P24)-1))*VALUE(MID(ARCH!P24,FIND("x",ARCH!P24)+1,9))))</f>
        <v>336</v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10" t="n">
        <f aca="false">IF(ARCH!E25="",INPUTS!$B$19,IF(LEFT(ARCH!E25,1)="d",PI()/4*VALUE(MID(ARCH!E25,2,9))^2,VALUE(LEFT(ARCH!E25,FIND("x",ARCH!E25)-1))*VALUE(MID(ARCH!E25,FIND("x",ARCH!E25)+1,9))))</f>
        <v>336</v>
      </c>
      <c r="F25" s="10" t="n">
        <f aca="false">IF(ARCH!F25="",INPUTS!$B$19,IF(LEFT(ARCH!F25,1)="d",PI()/4*VALUE(MID(ARCH!F25,2,9))^2,VALUE(LEFT(ARCH!F25,FIND("x",ARCH!F25)-1))*VALUE(MID(ARCH!F25,FIND("x",ARCH!F25)+1,9))))</f>
        <v>336</v>
      </c>
      <c r="G25" s="10" t="n">
        <f aca="false">IF(ARCH!G25="",INPUTS!$B$19,IF(LEFT(ARCH!G25,1)="d",PI()/4*VALUE(MID(ARCH!G25,2,9))^2,VALUE(LEFT(ARCH!G25,FIND("x",ARCH!G25)-1))*VALUE(MID(ARCH!G25,FIND("x",ARCH!G25)+1,9))))</f>
        <v>336</v>
      </c>
      <c r="H25" s="10" t="n">
        <f aca="false">IF(ARCH!H25="",INPUTS!$B$19,IF(LEFT(ARCH!H25,1)="d",PI()/4*VALUE(MID(ARCH!H25,2,9))^2,VALUE(LEFT(ARCH!H25,FIND("x",ARCH!H25)-1))*VALUE(MID(ARCH!H25,FIND("x",ARCH!H25)+1,9))))</f>
        <v>336</v>
      </c>
      <c r="I25" s="10" t="n">
        <f aca="false">IF(ARCH!I25="",INPUTS!$B$19,IF(LEFT(ARCH!I25,1)="d",PI()/4*VALUE(MID(ARCH!I25,2,9))^2,VALUE(LEFT(ARCH!I25,FIND("x",ARCH!I25)-1))*VALUE(MID(ARCH!I25,FIND("x",ARCH!I25)+1,9))))</f>
        <v>336</v>
      </c>
      <c r="J25" s="10" t="n">
        <f aca="false">IF(ARCH!J25="",INPUTS!$B$19,IF(LEFT(ARCH!J25,1)="d",PI()/4*VALUE(MID(ARCH!J25,2,9))^2,VALUE(LEFT(ARCH!J25,FIND("x",ARCH!J25)-1))*VALUE(MID(ARCH!J25,FIND("x",ARCH!J25)+1,9))))</f>
        <v>336</v>
      </c>
      <c r="K25" s="10" t="n">
        <f aca="false">IF(ARCH!K25="",INPUTS!$B$19,IF(LEFT(ARCH!K25,1)="d",PI()/4*VALUE(MID(ARCH!K25,2,9))^2,VALUE(LEFT(ARCH!K25,FIND("x",ARCH!K25)-1))*VALUE(MID(ARCH!K25,FIND("x",ARCH!K25)+1,9))))</f>
        <v>336</v>
      </c>
      <c r="L25" s="10" t="n">
        <f aca="false">IF(ARCH!L25="",INPUTS!$B$19,IF(LEFT(ARCH!L25,1)="d",PI()/4*VALUE(MID(ARCH!L25,2,9))^2,VALUE(LEFT(ARCH!L25,FIND("x",ARCH!L25)-1))*VALUE(MID(ARCH!L25,FIND("x",ARCH!L25)+1,9))))</f>
        <v>336</v>
      </c>
      <c r="M25" s="10" t="n">
        <f aca="false">IF(ARCH!M25="",INPUTS!$B$19,IF(LEFT(ARCH!M25,1)="d",PI()/4*VALUE(MID(ARCH!M25,2,9))^2,VALUE(LEFT(ARCH!M25,FIND("x",ARCH!M25)-1))*VALUE(MID(ARCH!M25,FIND("x",ARCH!M25)+1,9))))</f>
        <v>336</v>
      </c>
      <c r="N25" s="10" t="n">
        <f aca="false">IF(ARCH!N25="",INPUTS!$B$19,IF(LEFT(ARCH!N25,1)="d",PI()/4*VALUE(MID(ARCH!N25,2,9))^2,VALUE(LEFT(ARCH!N25,FIND("x",ARCH!N25)-1))*VALUE(MID(ARCH!N25,FIND("x",ARCH!N25)+1,9))))</f>
        <v>336</v>
      </c>
      <c r="O25" s="10" t="n">
        <f aca="false">IF(ARCH!O25="",INPUTS!$B$19,IF(LEFT(ARCH!O25,1)="d",PI()/4*VALUE(MID(ARCH!O25,2,9))^2,VALUE(LEFT(ARCH!O25,FIND("x",ARCH!O25)-1))*VALUE(MID(ARCH!O25,FIND("x",ARCH!O25)+1,9))))</f>
        <v>336</v>
      </c>
      <c r="P25" s="10" t="n">
        <f aca="false">IF(ARCH!P25="",INPUTS!$B$19,IF(LEFT(ARCH!P25,1)="d",PI()/4*VALUE(MID(ARCH!P25,2,9))^2,VALUE(LEFT(ARCH!P25,FIND("x",ARCH!P25)-1))*VALUE(MID(ARCH!P25,FIND("x",ARCH!P25)+1,9))))</f>
        <v>336</v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10" t="n">
        <f aca="false">IF(ARCH!E26="",INPUTS!$B$19,IF(LEFT(ARCH!E26,1)="d",PI()/4*VALUE(MID(ARCH!E26,2,9))^2,VALUE(LEFT(ARCH!E26,FIND("x",ARCH!E26)-1))*VALUE(MID(ARCH!E26,FIND("x",ARCH!E26)+1,9))))</f>
        <v>504</v>
      </c>
      <c r="F26" s="10" t="n">
        <f aca="false">IF(ARCH!F26="",INPUTS!$B$19,IF(LEFT(ARCH!F26,1)="d",PI()/4*VALUE(MID(ARCH!F26,2,9))^2,VALUE(LEFT(ARCH!F26,FIND("x",ARCH!F26)-1))*VALUE(MID(ARCH!F26,FIND("x",ARCH!F26)+1,9))))</f>
        <v>504</v>
      </c>
      <c r="G26" s="10" t="n">
        <f aca="false">IF(ARCH!G26="",INPUTS!$B$19,IF(LEFT(ARCH!G26,1)="d",PI()/4*VALUE(MID(ARCH!G26,2,9))^2,VALUE(LEFT(ARCH!G26,FIND("x",ARCH!G26)-1))*VALUE(MID(ARCH!G26,FIND("x",ARCH!G26)+1,9))))</f>
        <v>504</v>
      </c>
      <c r="H26" s="10" t="n">
        <f aca="false">IF(ARCH!H26="",INPUTS!$B$19,IF(LEFT(ARCH!H26,1)="d",PI()/4*VALUE(MID(ARCH!H26,2,9))^2,VALUE(LEFT(ARCH!H26,FIND("x",ARCH!H26)-1))*VALUE(MID(ARCH!H26,FIND("x",ARCH!H26)+1,9))))</f>
        <v>504</v>
      </c>
      <c r="I26" s="10" t="n">
        <f aca="false">IF(ARCH!I26="",INPUTS!$B$19,IF(LEFT(ARCH!I26,1)="d",PI()/4*VALUE(MID(ARCH!I26,2,9))^2,VALUE(LEFT(ARCH!I26,FIND("x",ARCH!I26)-1))*VALUE(MID(ARCH!I26,FIND("x",ARCH!I26)+1,9))))</f>
        <v>504</v>
      </c>
      <c r="J26" s="10" t="n">
        <f aca="false">IF(ARCH!J26="",INPUTS!$B$19,IF(LEFT(ARCH!J26,1)="d",PI()/4*VALUE(MID(ARCH!J26,2,9))^2,VALUE(LEFT(ARCH!J26,FIND("x",ARCH!J26)-1))*VALUE(MID(ARCH!J26,FIND("x",ARCH!J26)+1,9))))</f>
        <v>504</v>
      </c>
      <c r="K26" s="10" t="n">
        <f aca="false">IF(ARCH!K26="",INPUTS!$B$19,IF(LEFT(ARCH!K26,1)="d",PI()/4*VALUE(MID(ARCH!K26,2,9))^2,VALUE(LEFT(ARCH!K26,FIND("x",ARCH!K26)-1))*VALUE(MID(ARCH!K26,FIND("x",ARCH!K26)+1,9))))</f>
        <v>504</v>
      </c>
      <c r="L26" s="10" t="n">
        <f aca="false">IF(ARCH!L26="",INPUTS!$B$19,IF(LEFT(ARCH!L26,1)="d",PI()/4*VALUE(MID(ARCH!L26,2,9))^2,VALUE(LEFT(ARCH!L26,FIND("x",ARCH!L26)-1))*VALUE(MID(ARCH!L26,FIND("x",ARCH!L26)+1,9))))</f>
        <v>504</v>
      </c>
      <c r="M26" s="10" t="n">
        <f aca="false">IF(ARCH!M26="",INPUTS!$B$19,IF(LEFT(ARCH!M26,1)="d",PI()/4*VALUE(MID(ARCH!M26,2,9))^2,VALUE(LEFT(ARCH!M26,FIND("x",ARCH!M26)-1))*VALUE(MID(ARCH!M26,FIND("x",ARCH!M26)+1,9))))</f>
        <v>504</v>
      </c>
      <c r="N26" s="10" t="n">
        <f aca="false">IF(ARCH!N26="",INPUTS!$B$19,IF(LEFT(ARCH!N26,1)="d",PI()/4*VALUE(MID(ARCH!N26,2,9))^2,VALUE(LEFT(ARCH!N26,FIND("x",ARCH!N26)-1))*VALUE(MID(ARCH!N26,FIND("x",ARCH!N26)+1,9))))</f>
        <v>504</v>
      </c>
      <c r="O26" s="10" t="n">
        <f aca="false">IF(ARCH!O26="",INPUTS!$B$19,IF(LEFT(ARCH!O26,1)="d",PI()/4*VALUE(MID(ARCH!O26,2,9))^2,VALUE(LEFT(ARCH!O26,FIND("x",ARCH!O26)-1))*VALUE(MID(ARCH!O26,FIND("x",ARCH!O26)+1,9))))</f>
        <v>504</v>
      </c>
      <c r="P26" s="10" t="n">
        <f aca="false">IF(ARCH!P26="",INPUTS!$B$19,IF(LEFT(ARCH!P26,1)="d",PI()/4*VALUE(MID(ARCH!P26,2,9))^2,VALUE(LEFT(ARCH!P26,FIND("x",ARCH!P26)-1))*VALUE(MID(ARCH!P26,FIND("x",ARCH!P26)+1,9))))</f>
        <v>504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10" t="n">
        <f aca="false">IF(ARCH!E27="",INPUTS!$B$19,IF(LEFT(ARCH!E27,1)="d",PI()/4*VALUE(MID(ARCH!E27,2,9))^2,VALUE(LEFT(ARCH!E27,FIND("x",ARCH!E27)-1))*VALUE(MID(ARCH!E27,FIND("x",ARCH!E27)+1,9))))</f>
        <v>336</v>
      </c>
      <c r="F27" s="10" t="n">
        <f aca="false">IF(ARCH!F27="",INPUTS!$B$19,IF(LEFT(ARCH!F27,1)="d",PI()/4*VALUE(MID(ARCH!F27,2,9))^2,VALUE(LEFT(ARCH!F27,FIND("x",ARCH!F27)-1))*VALUE(MID(ARCH!F27,FIND("x",ARCH!F27)+1,9))))</f>
        <v>336</v>
      </c>
      <c r="G27" s="10" t="n">
        <f aca="false">IF(ARCH!G27="",INPUTS!$B$19,IF(LEFT(ARCH!G27,1)="d",PI()/4*VALUE(MID(ARCH!G27,2,9))^2,VALUE(LEFT(ARCH!G27,FIND("x",ARCH!G27)-1))*VALUE(MID(ARCH!G27,FIND("x",ARCH!G27)+1,9))))</f>
        <v>336</v>
      </c>
      <c r="H27" s="10" t="n">
        <f aca="false">IF(ARCH!H27="",INPUTS!$B$19,IF(LEFT(ARCH!H27,1)="d",PI()/4*VALUE(MID(ARCH!H27,2,9))^2,VALUE(LEFT(ARCH!H27,FIND("x",ARCH!H27)-1))*VALUE(MID(ARCH!H27,FIND("x",ARCH!H27)+1,9))))</f>
        <v>336</v>
      </c>
      <c r="I27" s="10" t="n">
        <f aca="false">IF(ARCH!I27="",INPUTS!$B$19,IF(LEFT(ARCH!I27,1)="d",PI()/4*VALUE(MID(ARCH!I27,2,9))^2,VALUE(LEFT(ARCH!I27,FIND("x",ARCH!I27)-1))*VALUE(MID(ARCH!I27,FIND("x",ARCH!I27)+1,9))))</f>
        <v>336</v>
      </c>
      <c r="J27" s="10" t="n">
        <f aca="false">IF(ARCH!J27="",INPUTS!$B$19,IF(LEFT(ARCH!J27,1)="d",PI()/4*VALUE(MID(ARCH!J27,2,9))^2,VALUE(LEFT(ARCH!J27,FIND("x",ARCH!J27)-1))*VALUE(MID(ARCH!J27,FIND("x",ARCH!J27)+1,9))))</f>
        <v>336</v>
      </c>
      <c r="K27" s="10" t="n">
        <f aca="false">IF(ARCH!K27="",INPUTS!$B$19,IF(LEFT(ARCH!K27,1)="d",PI()/4*VALUE(MID(ARCH!K27,2,9))^2,VALUE(LEFT(ARCH!K27,FIND("x",ARCH!K27)-1))*VALUE(MID(ARCH!K27,FIND("x",ARCH!K27)+1,9))))</f>
        <v>336</v>
      </c>
      <c r="L27" s="10" t="n">
        <f aca="false">IF(ARCH!L27="",INPUTS!$B$19,IF(LEFT(ARCH!L27,1)="d",PI()/4*VALUE(MID(ARCH!L27,2,9))^2,VALUE(LEFT(ARCH!L27,FIND("x",ARCH!L27)-1))*VALUE(MID(ARCH!L27,FIND("x",ARCH!L27)+1,9))))</f>
        <v>336</v>
      </c>
      <c r="M27" s="10" t="n">
        <f aca="false">IF(ARCH!M27="",INPUTS!$B$19,IF(LEFT(ARCH!M27,1)="d",PI()/4*VALUE(MID(ARCH!M27,2,9))^2,VALUE(LEFT(ARCH!M27,FIND("x",ARCH!M27)-1))*VALUE(MID(ARCH!M27,FIND("x",ARCH!M27)+1,9))))</f>
        <v>336</v>
      </c>
      <c r="N27" s="10" t="n">
        <f aca="false">IF(ARCH!N27="",INPUTS!$B$19,IF(LEFT(ARCH!N27,1)="d",PI()/4*VALUE(MID(ARCH!N27,2,9))^2,VALUE(LEFT(ARCH!N27,FIND("x",ARCH!N27)-1))*VALUE(MID(ARCH!N27,FIND("x",ARCH!N27)+1,9))))</f>
        <v>336</v>
      </c>
      <c r="O27" s="10" t="n">
        <f aca="false">IF(ARCH!O27="",INPUTS!$B$19,IF(LEFT(ARCH!O27,1)="d",PI()/4*VALUE(MID(ARCH!O27,2,9))^2,VALUE(LEFT(ARCH!O27,FIND("x",ARCH!O27)-1))*VALUE(MID(ARCH!O27,FIND("x",ARCH!O27)+1,9))))</f>
        <v>336</v>
      </c>
      <c r="P27" s="10" t="n">
        <f aca="false">IF(ARCH!P27="",INPUTS!$B$19,IF(LEFT(ARCH!P27,1)="d",PI()/4*VALUE(MID(ARCH!P27,2,9))^2,VALUE(LEFT(ARCH!P27,FIND("x",ARCH!P27)-1))*VALUE(MID(ARCH!P27,FIND("x",ARCH!P27)+1,9))))</f>
        <v>336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10" t="n">
        <f aca="false">IF(ARCH!E28="",INPUTS!$B$19,IF(LEFT(ARCH!E28,1)="d",PI()/4*VALUE(MID(ARCH!E28,2,9))^2,VALUE(LEFT(ARCH!E28,FIND("x",ARCH!E28)-1))*VALUE(MID(ARCH!E28,FIND("x",ARCH!E28)+1,9))))</f>
        <v>504</v>
      </c>
      <c r="F28" s="10" t="n">
        <f aca="false">IF(ARCH!F28="",INPUTS!$B$19,IF(LEFT(ARCH!F28,1)="d",PI()/4*VALUE(MID(ARCH!F28,2,9))^2,VALUE(LEFT(ARCH!F28,FIND("x",ARCH!F28)-1))*VALUE(MID(ARCH!F28,FIND("x",ARCH!F28)+1,9))))</f>
        <v>504</v>
      </c>
      <c r="G28" s="10" t="n">
        <f aca="false">IF(ARCH!G28="",INPUTS!$B$19,IF(LEFT(ARCH!G28,1)="d",PI()/4*VALUE(MID(ARCH!G28,2,9))^2,VALUE(LEFT(ARCH!G28,FIND("x",ARCH!G28)-1))*VALUE(MID(ARCH!G28,FIND("x",ARCH!G28)+1,9))))</f>
        <v>504</v>
      </c>
      <c r="H28" s="10" t="n">
        <f aca="false">IF(ARCH!H28="",INPUTS!$B$19,IF(LEFT(ARCH!H28,1)="d",PI()/4*VALUE(MID(ARCH!H28,2,9))^2,VALUE(LEFT(ARCH!H28,FIND("x",ARCH!H28)-1))*VALUE(MID(ARCH!H28,FIND("x",ARCH!H28)+1,9))))</f>
        <v>504</v>
      </c>
      <c r="I28" s="10" t="n">
        <f aca="false">IF(ARCH!I28="",INPUTS!$B$19,IF(LEFT(ARCH!I28,1)="d",PI()/4*VALUE(MID(ARCH!I28,2,9))^2,VALUE(LEFT(ARCH!I28,FIND("x",ARCH!I28)-1))*VALUE(MID(ARCH!I28,FIND("x",ARCH!I28)+1,9))))</f>
        <v>504</v>
      </c>
      <c r="J28" s="10" t="n">
        <f aca="false">IF(ARCH!J28="",INPUTS!$B$19,IF(LEFT(ARCH!J28,1)="d",PI()/4*VALUE(MID(ARCH!J28,2,9))^2,VALUE(LEFT(ARCH!J28,FIND("x",ARCH!J28)-1))*VALUE(MID(ARCH!J28,FIND("x",ARCH!J28)+1,9))))</f>
        <v>504</v>
      </c>
      <c r="K28" s="10" t="n">
        <f aca="false">IF(ARCH!K28="",INPUTS!$B$19,IF(LEFT(ARCH!K28,1)="d",PI()/4*VALUE(MID(ARCH!K28,2,9))^2,VALUE(LEFT(ARCH!K28,FIND("x",ARCH!K28)-1))*VALUE(MID(ARCH!K28,FIND("x",ARCH!K28)+1,9))))</f>
        <v>504</v>
      </c>
      <c r="L28" s="10" t="n">
        <f aca="false">IF(ARCH!L28="",INPUTS!$B$19,IF(LEFT(ARCH!L28,1)="d",PI()/4*VALUE(MID(ARCH!L28,2,9))^2,VALUE(LEFT(ARCH!L28,FIND("x",ARCH!L28)-1))*VALUE(MID(ARCH!L28,FIND("x",ARCH!L28)+1,9))))</f>
        <v>504</v>
      </c>
      <c r="M28" s="10" t="n">
        <f aca="false">IF(ARCH!M28="",INPUTS!$B$19,IF(LEFT(ARCH!M28,1)="d",PI()/4*VALUE(MID(ARCH!M28,2,9))^2,VALUE(LEFT(ARCH!M28,FIND("x",ARCH!M28)-1))*VALUE(MID(ARCH!M28,FIND("x",ARCH!M28)+1,9))))</f>
        <v>504</v>
      </c>
      <c r="N28" s="10" t="n">
        <f aca="false">IF(ARCH!N28="",INPUTS!$B$19,IF(LEFT(ARCH!N28,1)="d",PI()/4*VALUE(MID(ARCH!N28,2,9))^2,VALUE(LEFT(ARCH!N28,FIND("x",ARCH!N28)-1))*VALUE(MID(ARCH!N28,FIND("x",ARCH!N28)+1,9))))</f>
        <v>504</v>
      </c>
      <c r="O28" s="10" t="n">
        <f aca="false">IF(ARCH!O28="",INPUTS!$B$19,IF(LEFT(ARCH!O28,1)="d",PI()/4*VALUE(MID(ARCH!O28,2,9))^2,VALUE(LEFT(ARCH!O28,FIND("x",ARCH!O28)-1))*VALUE(MID(ARCH!O28,FIND("x",ARCH!O28)+1,9))))</f>
        <v>504</v>
      </c>
      <c r="P28" s="10" t="n">
        <f aca="false">IF(ARCH!P28="",INPUTS!$B$19,IF(LEFT(ARCH!P28,1)="d",PI()/4*VALUE(MID(ARCH!P28,2,9))^2,VALUE(LEFT(ARCH!P28,FIND("x",ARCH!P28)-1))*VALUE(MID(ARCH!P28,FIND("x",ARCH!P28)+1,9))))</f>
        <v>504</v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10" t="n">
        <f aca="false">IF(ARCH!E29="",INPUTS!$B$19,IF(LEFT(ARCH!E29,1)="d",PI()/4*VALUE(MID(ARCH!E29,2,9))^2,VALUE(LEFT(ARCH!E29,FIND("x",ARCH!E29)-1))*VALUE(MID(ARCH!E29,FIND("x",ARCH!E29)+1,9))))</f>
        <v>504</v>
      </c>
      <c r="F29" s="10" t="n">
        <f aca="false">IF(ARCH!F29="",INPUTS!$B$19,IF(LEFT(ARCH!F29,1)="d",PI()/4*VALUE(MID(ARCH!F29,2,9))^2,VALUE(LEFT(ARCH!F29,FIND("x",ARCH!F29)-1))*VALUE(MID(ARCH!F29,FIND("x",ARCH!F29)+1,9))))</f>
        <v>504</v>
      </c>
      <c r="G29" s="10" t="n">
        <f aca="false">IF(ARCH!G29="",INPUTS!$B$19,IF(LEFT(ARCH!G29,1)="d",PI()/4*VALUE(MID(ARCH!G29,2,9))^2,VALUE(LEFT(ARCH!G29,FIND("x",ARCH!G29)-1))*VALUE(MID(ARCH!G29,FIND("x",ARCH!G29)+1,9))))</f>
        <v>504</v>
      </c>
      <c r="H29" s="10" t="n">
        <f aca="false">IF(ARCH!H29="",INPUTS!$B$19,IF(LEFT(ARCH!H29,1)="d",PI()/4*VALUE(MID(ARCH!H29,2,9))^2,VALUE(LEFT(ARCH!H29,FIND("x",ARCH!H29)-1))*VALUE(MID(ARCH!H29,FIND("x",ARCH!H29)+1,9))))</f>
        <v>504</v>
      </c>
      <c r="I29" s="10" t="n">
        <f aca="false">IF(ARCH!I29="",INPUTS!$B$19,IF(LEFT(ARCH!I29,1)="d",PI()/4*VALUE(MID(ARCH!I29,2,9))^2,VALUE(LEFT(ARCH!I29,FIND("x",ARCH!I29)-1))*VALUE(MID(ARCH!I29,FIND("x",ARCH!I29)+1,9))))</f>
        <v>504</v>
      </c>
      <c r="J29" s="10" t="n">
        <f aca="false">IF(ARCH!J29="",INPUTS!$B$19,IF(LEFT(ARCH!J29,1)="d",PI()/4*VALUE(MID(ARCH!J29,2,9))^2,VALUE(LEFT(ARCH!J29,FIND("x",ARCH!J29)-1))*VALUE(MID(ARCH!J29,FIND("x",ARCH!J29)+1,9))))</f>
        <v>504</v>
      </c>
      <c r="K29" s="10" t="n">
        <f aca="false">IF(ARCH!K29="",INPUTS!$B$19,IF(LEFT(ARCH!K29,1)="d",PI()/4*VALUE(MID(ARCH!K29,2,9))^2,VALUE(LEFT(ARCH!K29,FIND("x",ARCH!K29)-1))*VALUE(MID(ARCH!K29,FIND("x",ARCH!K29)+1,9))))</f>
        <v>504</v>
      </c>
      <c r="L29" s="10" t="n">
        <f aca="false">IF(ARCH!L29="",INPUTS!$B$19,IF(LEFT(ARCH!L29,1)="d",PI()/4*VALUE(MID(ARCH!L29,2,9))^2,VALUE(LEFT(ARCH!L29,FIND("x",ARCH!L29)-1))*VALUE(MID(ARCH!L29,FIND("x",ARCH!L29)+1,9))))</f>
        <v>504</v>
      </c>
      <c r="M29" s="10" t="n">
        <f aca="false">IF(ARCH!M29="",INPUTS!$B$19,IF(LEFT(ARCH!M29,1)="d",PI()/4*VALUE(MID(ARCH!M29,2,9))^2,VALUE(LEFT(ARCH!M29,FIND("x",ARCH!M29)-1))*VALUE(MID(ARCH!M29,FIND("x",ARCH!M29)+1,9))))</f>
        <v>504</v>
      </c>
      <c r="N29" s="10" t="n">
        <f aca="false">IF(ARCH!N29="",INPUTS!$B$19,IF(LEFT(ARCH!N29,1)="d",PI()/4*VALUE(MID(ARCH!N29,2,9))^2,VALUE(LEFT(ARCH!N29,FIND("x",ARCH!N29)-1))*VALUE(MID(ARCH!N29,FIND("x",ARCH!N29)+1,9))))</f>
        <v>504</v>
      </c>
      <c r="O29" s="10" t="n">
        <f aca="false">IF(ARCH!O29="",INPUTS!$B$19,IF(LEFT(ARCH!O29,1)="d",PI()/4*VALUE(MID(ARCH!O29,2,9))^2,VALUE(LEFT(ARCH!O29,FIND("x",ARCH!O29)-1))*VALUE(MID(ARCH!O29,FIND("x",ARCH!O29)+1,9))))</f>
        <v>504</v>
      </c>
      <c r="P29" s="10" t="n">
        <f aca="false">IF(ARCH!P29="",INPUTS!$B$19,IF(LEFT(ARCH!P29,1)="d",PI()/4*VALUE(MID(ARCH!P29,2,9))^2,VALUE(LEFT(ARCH!P29,FIND("x",ARCH!P29)-1))*VALUE(MID(ARCH!P29,FIND("x",ARCH!P29)+1,9))))</f>
        <v>504</v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10" t="n">
        <f aca="false">IF(ARCH!E30="",INPUTS!$B$19,IF(LEFT(ARCH!E30,1)="d",PI()/4*VALUE(MID(ARCH!E30,2,9))^2,VALUE(LEFT(ARCH!E30,FIND("x",ARCH!E30)-1))*VALUE(MID(ARCH!E30,FIND("x",ARCH!E30)+1,9))))</f>
        <v>336</v>
      </c>
      <c r="F30" s="10" t="n">
        <f aca="false">IF(ARCH!F30="",INPUTS!$B$19,IF(LEFT(ARCH!F30,1)="d",PI()/4*VALUE(MID(ARCH!F30,2,9))^2,VALUE(LEFT(ARCH!F30,FIND("x",ARCH!F30)-1))*VALUE(MID(ARCH!F30,FIND("x",ARCH!F30)+1,9))))</f>
        <v>336</v>
      </c>
      <c r="G30" s="10" t="n">
        <f aca="false">IF(ARCH!G30="",INPUTS!$B$19,IF(LEFT(ARCH!G30,1)="d",PI()/4*VALUE(MID(ARCH!G30,2,9))^2,VALUE(LEFT(ARCH!G30,FIND("x",ARCH!G30)-1))*VALUE(MID(ARCH!G30,FIND("x",ARCH!G30)+1,9))))</f>
        <v>336</v>
      </c>
      <c r="H30" s="10" t="n">
        <f aca="false">IF(ARCH!H30="",INPUTS!$B$19,IF(LEFT(ARCH!H30,1)="d",PI()/4*VALUE(MID(ARCH!H30,2,9))^2,VALUE(LEFT(ARCH!H30,FIND("x",ARCH!H30)-1))*VALUE(MID(ARCH!H30,FIND("x",ARCH!H30)+1,9))))</f>
        <v>336</v>
      </c>
      <c r="I30" s="10" t="n">
        <f aca="false">IF(ARCH!I30="",INPUTS!$B$19,IF(LEFT(ARCH!I30,1)="d",PI()/4*VALUE(MID(ARCH!I30,2,9))^2,VALUE(LEFT(ARCH!I30,FIND("x",ARCH!I30)-1))*VALUE(MID(ARCH!I30,FIND("x",ARCH!I30)+1,9))))</f>
        <v>336</v>
      </c>
      <c r="J30" s="10" t="n">
        <f aca="false">IF(ARCH!J30="",INPUTS!$B$19,IF(LEFT(ARCH!J30,1)="d",PI()/4*VALUE(MID(ARCH!J30,2,9))^2,VALUE(LEFT(ARCH!J30,FIND("x",ARCH!J30)-1))*VALUE(MID(ARCH!J30,FIND("x",ARCH!J30)+1,9))))</f>
        <v>336</v>
      </c>
      <c r="K30" s="10" t="n">
        <f aca="false">IF(ARCH!K30="",INPUTS!$B$19,IF(LEFT(ARCH!K30,1)="d",PI()/4*VALUE(MID(ARCH!K30,2,9))^2,VALUE(LEFT(ARCH!K30,FIND("x",ARCH!K30)-1))*VALUE(MID(ARCH!K30,FIND("x",ARCH!K30)+1,9))))</f>
        <v>336</v>
      </c>
      <c r="L30" s="10" t="n">
        <f aca="false">IF(ARCH!L30="",INPUTS!$B$19,IF(LEFT(ARCH!L30,1)="d",PI()/4*VALUE(MID(ARCH!L30,2,9))^2,VALUE(LEFT(ARCH!L30,FIND("x",ARCH!L30)-1))*VALUE(MID(ARCH!L30,FIND("x",ARCH!L30)+1,9))))</f>
        <v>336</v>
      </c>
      <c r="M30" s="10" t="n">
        <f aca="false">IF(ARCH!M30="",INPUTS!$B$19,IF(LEFT(ARCH!M30,1)="d",PI()/4*VALUE(MID(ARCH!M30,2,9))^2,VALUE(LEFT(ARCH!M30,FIND("x",ARCH!M30)-1))*VALUE(MID(ARCH!M30,FIND("x",ARCH!M30)+1,9))))</f>
        <v>336</v>
      </c>
      <c r="N30" s="10" t="n">
        <f aca="false">IF(ARCH!N30="",INPUTS!$B$19,IF(LEFT(ARCH!N30,1)="d",PI()/4*VALUE(MID(ARCH!N30,2,9))^2,VALUE(LEFT(ARCH!N30,FIND("x",ARCH!N30)-1))*VALUE(MID(ARCH!N30,FIND("x",ARCH!N30)+1,9))))</f>
        <v>336</v>
      </c>
      <c r="O30" s="10" t="n">
        <f aca="false">IF(ARCH!O30="",INPUTS!$B$19,IF(LEFT(ARCH!O30,1)="d",PI()/4*VALUE(MID(ARCH!O30,2,9))^2,VALUE(LEFT(ARCH!O30,FIND("x",ARCH!O30)-1))*VALUE(MID(ARCH!O30,FIND("x",ARCH!O30)+1,9))))</f>
        <v>336</v>
      </c>
      <c r="P30" s="10" t="n">
        <f aca="false">IF(ARCH!P30="",INPUTS!$B$19,IF(LEFT(ARCH!P30,1)="d",PI()/4*VALUE(MID(ARCH!P30,2,9))^2,VALUE(LEFT(ARCH!P30,FIND("x",ARCH!P30)-1))*VALUE(MID(ARCH!P30,FIND("x",ARCH!P30)+1,9))))</f>
        <v>336</v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10" t="n">
        <f aca="false">IF(ARCH!E31="",INPUTS!$B$19,IF(LEFT(ARCH!E31,1)="d",PI()/4*VALUE(MID(ARCH!E31,2,9))^2,VALUE(LEFT(ARCH!E31,FIND("x",ARCH!E31)-1))*VALUE(MID(ARCH!E31,FIND("x",ARCH!E31)+1,9))))</f>
        <v>504</v>
      </c>
      <c r="F31" s="10" t="n">
        <f aca="false">IF(ARCH!F31="",INPUTS!$B$19,IF(LEFT(ARCH!F31,1)="d",PI()/4*VALUE(MID(ARCH!F31,2,9))^2,VALUE(LEFT(ARCH!F31,FIND("x",ARCH!F31)-1))*VALUE(MID(ARCH!F31,FIND("x",ARCH!F31)+1,9))))</f>
        <v>504</v>
      </c>
      <c r="G31" s="10" t="n">
        <f aca="false">IF(ARCH!G31="",INPUTS!$B$19,IF(LEFT(ARCH!G31,1)="d",PI()/4*VALUE(MID(ARCH!G31,2,9))^2,VALUE(LEFT(ARCH!G31,FIND("x",ARCH!G31)-1))*VALUE(MID(ARCH!G31,FIND("x",ARCH!G31)+1,9))))</f>
        <v>504</v>
      </c>
      <c r="H31" s="10" t="n">
        <f aca="false">IF(ARCH!H31="",INPUTS!$B$19,IF(LEFT(ARCH!H31,1)="d",PI()/4*VALUE(MID(ARCH!H31,2,9))^2,VALUE(LEFT(ARCH!H31,FIND("x",ARCH!H31)-1))*VALUE(MID(ARCH!H31,FIND("x",ARCH!H31)+1,9))))</f>
        <v>504</v>
      </c>
      <c r="I31" s="10" t="n">
        <f aca="false">IF(ARCH!I31="",INPUTS!$B$19,IF(LEFT(ARCH!I31,1)="d",PI()/4*VALUE(MID(ARCH!I31,2,9))^2,VALUE(LEFT(ARCH!I31,FIND("x",ARCH!I31)-1))*VALUE(MID(ARCH!I31,FIND("x",ARCH!I31)+1,9))))</f>
        <v>504</v>
      </c>
      <c r="J31" s="10" t="n">
        <f aca="false">IF(ARCH!J31="",INPUTS!$B$19,IF(LEFT(ARCH!J31,1)="d",PI()/4*VALUE(MID(ARCH!J31,2,9))^2,VALUE(LEFT(ARCH!J31,FIND("x",ARCH!J31)-1))*VALUE(MID(ARCH!J31,FIND("x",ARCH!J31)+1,9))))</f>
        <v>504</v>
      </c>
      <c r="K31" s="10" t="n">
        <f aca="false">IF(ARCH!K31="",INPUTS!$B$19,IF(LEFT(ARCH!K31,1)="d",PI()/4*VALUE(MID(ARCH!K31,2,9))^2,VALUE(LEFT(ARCH!K31,FIND("x",ARCH!K31)-1))*VALUE(MID(ARCH!K31,FIND("x",ARCH!K31)+1,9))))</f>
        <v>504</v>
      </c>
      <c r="L31" s="10" t="n">
        <f aca="false">IF(ARCH!L31="",INPUTS!$B$19,IF(LEFT(ARCH!L31,1)="d",PI()/4*VALUE(MID(ARCH!L31,2,9))^2,VALUE(LEFT(ARCH!L31,FIND("x",ARCH!L31)-1))*VALUE(MID(ARCH!L31,FIND("x",ARCH!L31)+1,9))))</f>
        <v>504</v>
      </c>
      <c r="M31" s="10" t="n">
        <f aca="false">IF(ARCH!M31="",INPUTS!$B$19,IF(LEFT(ARCH!M31,1)="d",PI()/4*VALUE(MID(ARCH!M31,2,9))^2,VALUE(LEFT(ARCH!M31,FIND("x",ARCH!M31)-1))*VALUE(MID(ARCH!M31,FIND("x",ARCH!M31)+1,9))))</f>
        <v>504</v>
      </c>
      <c r="N31" s="10" t="n">
        <f aca="false">IF(ARCH!N31="",INPUTS!$B$19,IF(LEFT(ARCH!N31,1)="d",PI()/4*VALUE(MID(ARCH!N31,2,9))^2,VALUE(LEFT(ARCH!N31,FIND("x",ARCH!N31)-1))*VALUE(MID(ARCH!N31,FIND("x",ARCH!N31)+1,9))))</f>
        <v>504</v>
      </c>
      <c r="O31" s="10" t="n">
        <f aca="false">IF(ARCH!O31="",INPUTS!$B$19,IF(LEFT(ARCH!O31,1)="d",PI()/4*VALUE(MID(ARCH!O31,2,9))^2,VALUE(LEFT(ARCH!O31,FIND("x",ARCH!O31)-1))*VALUE(MID(ARCH!O31,FIND("x",ARCH!O31)+1,9))))</f>
        <v>504</v>
      </c>
      <c r="P31" s="10" t="n">
        <f aca="false">IF(ARCH!P31="",INPUTS!$B$19,IF(LEFT(ARCH!P31,1)="d",PI()/4*VALUE(MID(ARCH!P31,2,9))^2,VALUE(LEFT(ARCH!P31,FIND("x",ARCH!P31)-1))*VALUE(MID(ARCH!P31,FIND("x",ARCH!P31)+1,9))))</f>
        <v>504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10" t="n">
        <f aca="false">IF(ARCH!E32="",INPUTS!$B$19,IF(LEFT(ARCH!E32,1)="d",PI()/4*VALUE(MID(ARCH!E32,2,9))^2,VALUE(LEFT(ARCH!E32,FIND("x",ARCH!E32)-1))*VALUE(MID(ARCH!E32,FIND("x",ARCH!E32)+1,9))))</f>
        <v>504</v>
      </c>
      <c r="F32" s="10" t="n">
        <f aca="false">IF(ARCH!F32="",INPUTS!$B$19,IF(LEFT(ARCH!F32,1)="d",PI()/4*VALUE(MID(ARCH!F32,2,9))^2,VALUE(LEFT(ARCH!F32,FIND("x",ARCH!F32)-1))*VALUE(MID(ARCH!F32,FIND("x",ARCH!F32)+1,9))))</f>
        <v>504</v>
      </c>
      <c r="G32" s="10" t="n">
        <f aca="false">IF(ARCH!G32="",INPUTS!$B$19,IF(LEFT(ARCH!G32,1)="d",PI()/4*VALUE(MID(ARCH!G32,2,9))^2,VALUE(LEFT(ARCH!G32,FIND("x",ARCH!G32)-1))*VALUE(MID(ARCH!G32,FIND("x",ARCH!G32)+1,9))))</f>
        <v>504</v>
      </c>
      <c r="H32" s="10" t="n">
        <f aca="false">IF(ARCH!H32="",INPUTS!$B$19,IF(LEFT(ARCH!H32,1)="d",PI()/4*VALUE(MID(ARCH!H32,2,9))^2,VALUE(LEFT(ARCH!H32,FIND("x",ARCH!H32)-1))*VALUE(MID(ARCH!H32,FIND("x",ARCH!H32)+1,9))))</f>
        <v>504</v>
      </c>
      <c r="I32" s="10" t="n">
        <f aca="false">IF(ARCH!I32="",INPUTS!$B$19,IF(LEFT(ARCH!I32,1)="d",PI()/4*VALUE(MID(ARCH!I32,2,9))^2,VALUE(LEFT(ARCH!I32,FIND("x",ARCH!I32)-1))*VALUE(MID(ARCH!I32,FIND("x",ARCH!I32)+1,9))))</f>
        <v>504</v>
      </c>
      <c r="J32" s="10" t="n">
        <f aca="false">IF(ARCH!J32="",INPUTS!$B$19,IF(LEFT(ARCH!J32,1)="d",PI()/4*VALUE(MID(ARCH!J32,2,9))^2,VALUE(LEFT(ARCH!J32,FIND("x",ARCH!J32)-1))*VALUE(MID(ARCH!J32,FIND("x",ARCH!J32)+1,9))))</f>
        <v>504</v>
      </c>
      <c r="K32" s="10" t="n">
        <f aca="false">IF(ARCH!K32="",INPUTS!$B$19,IF(LEFT(ARCH!K32,1)="d",PI()/4*VALUE(MID(ARCH!K32,2,9))^2,VALUE(LEFT(ARCH!K32,FIND("x",ARCH!K32)-1))*VALUE(MID(ARCH!K32,FIND("x",ARCH!K32)+1,9))))</f>
        <v>504</v>
      </c>
      <c r="L32" s="10" t="n">
        <f aca="false">IF(ARCH!L32="",INPUTS!$B$19,IF(LEFT(ARCH!L32,1)="d",PI()/4*VALUE(MID(ARCH!L32,2,9))^2,VALUE(LEFT(ARCH!L32,FIND("x",ARCH!L32)-1))*VALUE(MID(ARCH!L32,FIND("x",ARCH!L32)+1,9))))</f>
        <v>504</v>
      </c>
      <c r="M32" s="10" t="n">
        <f aca="false">IF(ARCH!M32="",INPUTS!$B$19,IF(LEFT(ARCH!M32,1)="d",PI()/4*VALUE(MID(ARCH!M32,2,9))^2,VALUE(LEFT(ARCH!M32,FIND("x",ARCH!M32)-1))*VALUE(MID(ARCH!M32,FIND("x",ARCH!M32)+1,9))))</f>
        <v>504</v>
      </c>
      <c r="N32" s="10" t="n">
        <f aca="false">IF(ARCH!N32="",INPUTS!$B$19,IF(LEFT(ARCH!N32,1)="d",PI()/4*VALUE(MID(ARCH!N32,2,9))^2,VALUE(LEFT(ARCH!N32,FIND("x",ARCH!N32)-1))*VALUE(MID(ARCH!N32,FIND("x",ARCH!N32)+1,9))))</f>
        <v>504</v>
      </c>
      <c r="O32" s="10" t="n">
        <f aca="false">IF(ARCH!O32="",INPUTS!$B$19,IF(LEFT(ARCH!O32,1)="d",PI()/4*VALUE(MID(ARCH!O32,2,9))^2,VALUE(LEFT(ARCH!O32,FIND("x",ARCH!O32)-1))*VALUE(MID(ARCH!O32,FIND("x",ARCH!O32)+1,9))))</f>
        <v>504</v>
      </c>
      <c r="P32" s="10" t="n">
        <f aca="false">IF(ARCH!P32="",INPUTS!$B$19,IF(LEFT(ARCH!P32,1)="d",PI()/4*VALUE(MID(ARCH!P32,2,9))^2,VALUE(LEFT(ARCH!P32,FIND("x",ARCH!P32)-1))*VALUE(MID(ARCH!P32,FIND("x",ARCH!P32)+1,9))))</f>
        <v>504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10" t="n">
        <f aca="false">IF(ARCH!E33="",INPUTS!$B$19,IF(LEFT(ARCH!E33,1)="d",PI()/4*VALUE(MID(ARCH!E33,2,9))^2,VALUE(LEFT(ARCH!E33,FIND("x",ARCH!E33)-1))*VALUE(MID(ARCH!E33,FIND("x",ARCH!E33)+1,9))))</f>
        <v>336</v>
      </c>
      <c r="F33" s="10" t="n">
        <f aca="false">IF(ARCH!F33="",INPUTS!$B$19,IF(LEFT(ARCH!F33,1)="d",PI()/4*VALUE(MID(ARCH!F33,2,9))^2,VALUE(LEFT(ARCH!F33,FIND("x",ARCH!F33)-1))*VALUE(MID(ARCH!F33,FIND("x",ARCH!F33)+1,9))))</f>
        <v>336</v>
      </c>
      <c r="G33" s="10" t="n">
        <f aca="false">IF(ARCH!G33="",INPUTS!$B$19,IF(LEFT(ARCH!G33,1)="d",PI()/4*VALUE(MID(ARCH!G33,2,9))^2,VALUE(LEFT(ARCH!G33,FIND("x",ARCH!G33)-1))*VALUE(MID(ARCH!G33,FIND("x",ARCH!G33)+1,9))))</f>
        <v>504</v>
      </c>
      <c r="H33" s="10" t="n">
        <f aca="false">IF(ARCH!H33="",INPUTS!$B$19,IF(LEFT(ARCH!H33,1)="d",PI()/4*VALUE(MID(ARCH!H33,2,9))^2,VALUE(LEFT(ARCH!H33,FIND("x",ARCH!H33)-1))*VALUE(MID(ARCH!H33,FIND("x",ARCH!H33)+1,9))))</f>
        <v>504</v>
      </c>
      <c r="I33" s="10" t="n">
        <f aca="false">IF(ARCH!I33="",INPUTS!$B$19,IF(LEFT(ARCH!I33,1)="d",PI()/4*VALUE(MID(ARCH!I33,2,9))^2,VALUE(LEFT(ARCH!I33,FIND("x",ARCH!I33)-1))*VALUE(MID(ARCH!I33,FIND("x",ARCH!I33)+1,9))))</f>
        <v>504</v>
      </c>
      <c r="J33" s="10" t="n">
        <f aca="false">IF(ARCH!J33="",INPUTS!$B$19,IF(LEFT(ARCH!J33,1)="d",PI()/4*VALUE(MID(ARCH!J33,2,9))^2,VALUE(LEFT(ARCH!J33,FIND("x",ARCH!J33)-1))*VALUE(MID(ARCH!J33,FIND("x",ARCH!J33)+1,9))))</f>
        <v>504</v>
      </c>
      <c r="K33" s="10" t="n">
        <f aca="false">IF(ARCH!K33="",INPUTS!$B$19,IF(LEFT(ARCH!K33,1)="d",PI()/4*VALUE(MID(ARCH!K33,2,9))^2,VALUE(LEFT(ARCH!K33,FIND("x",ARCH!K33)-1))*VALUE(MID(ARCH!K33,FIND("x",ARCH!K33)+1,9))))</f>
        <v>504</v>
      </c>
      <c r="L33" s="10" t="n">
        <f aca="false">IF(ARCH!L33="",INPUTS!$B$19,IF(LEFT(ARCH!L33,1)="d",PI()/4*VALUE(MID(ARCH!L33,2,9))^2,VALUE(LEFT(ARCH!L33,FIND("x",ARCH!L33)-1))*VALUE(MID(ARCH!L33,FIND("x",ARCH!L33)+1,9))))</f>
        <v>504</v>
      </c>
      <c r="M33" s="10" t="n">
        <f aca="false">IF(ARCH!M33="",INPUTS!$B$19,IF(LEFT(ARCH!M33,1)="d",PI()/4*VALUE(MID(ARCH!M33,2,9))^2,VALUE(LEFT(ARCH!M33,FIND("x",ARCH!M33)-1))*VALUE(MID(ARCH!M33,FIND("x",ARCH!M33)+1,9))))</f>
        <v>504</v>
      </c>
      <c r="N33" s="10" t="n">
        <f aca="false">IF(ARCH!N33="",INPUTS!$B$19,IF(LEFT(ARCH!N33,1)="d",PI()/4*VALUE(MID(ARCH!N33,2,9))^2,VALUE(LEFT(ARCH!N33,FIND("x",ARCH!N33)-1))*VALUE(MID(ARCH!N33,FIND("x",ARCH!N33)+1,9))))</f>
        <v>504</v>
      </c>
      <c r="O33" s="10" t="n">
        <f aca="false">IF(ARCH!O33="",INPUTS!$B$19,IF(LEFT(ARCH!O33,1)="d",PI()/4*VALUE(MID(ARCH!O33,2,9))^2,VALUE(LEFT(ARCH!O33,FIND("x",ARCH!O33)-1))*VALUE(MID(ARCH!O33,FIND("x",ARCH!O33)+1,9))))</f>
        <v>504</v>
      </c>
      <c r="P33" s="10" t="n">
        <f aca="false">IF(ARCH!P33="",INPUTS!$B$19,IF(LEFT(ARCH!P33,1)="d",PI()/4*VALUE(MID(ARCH!P33,2,9))^2,VALUE(LEFT(ARCH!P33,FIND("x",ARCH!P33)-1))*VALUE(MID(ARCH!P33,FIND("x",ARCH!P33)+1,9))))</f>
        <v>504</v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10" t="n">
        <f aca="false">IF(ARCH!E34="",INPUTS!$B$19,IF(LEFT(ARCH!E34,1)="d",PI()/4*VALUE(MID(ARCH!E34,2,9))^2,VALUE(LEFT(ARCH!E34,FIND("x",ARCH!E34)-1))*VALUE(MID(ARCH!E34,FIND("x",ARCH!E34)+1,9))))</f>
        <v>504</v>
      </c>
      <c r="F34" s="10" t="n">
        <f aca="false">IF(ARCH!F34="",INPUTS!$B$19,IF(LEFT(ARCH!F34,1)="d",PI()/4*VALUE(MID(ARCH!F34,2,9))^2,VALUE(LEFT(ARCH!F34,FIND("x",ARCH!F34)-1))*VALUE(MID(ARCH!F34,FIND("x",ARCH!F34)+1,9))))</f>
        <v>504</v>
      </c>
      <c r="G34" s="10" t="n">
        <f aca="false">IF(ARCH!G34="",INPUTS!$B$19,IF(LEFT(ARCH!G34,1)="d",PI()/4*VALUE(MID(ARCH!G34,2,9))^2,VALUE(LEFT(ARCH!G34,FIND("x",ARCH!G34)-1))*VALUE(MID(ARCH!G34,FIND("x",ARCH!G34)+1,9))))</f>
        <v>504</v>
      </c>
      <c r="H34" s="10" t="n">
        <f aca="false">IF(ARCH!H34="",INPUTS!$B$19,IF(LEFT(ARCH!H34,1)="d",PI()/4*VALUE(MID(ARCH!H34,2,9))^2,VALUE(LEFT(ARCH!H34,FIND("x",ARCH!H34)-1))*VALUE(MID(ARCH!H34,FIND("x",ARCH!H34)+1,9))))</f>
        <v>504</v>
      </c>
      <c r="I34" s="10" t="n">
        <f aca="false">IF(ARCH!I34="",INPUTS!$B$19,IF(LEFT(ARCH!I34,1)="d",PI()/4*VALUE(MID(ARCH!I34,2,9))^2,VALUE(LEFT(ARCH!I34,FIND("x",ARCH!I34)-1))*VALUE(MID(ARCH!I34,FIND("x",ARCH!I34)+1,9))))</f>
        <v>504</v>
      </c>
      <c r="J34" s="10" t="n">
        <f aca="false">IF(ARCH!J34="",INPUTS!$B$19,IF(LEFT(ARCH!J34,1)="d",PI()/4*VALUE(MID(ARCH!J34,2,9))^2,VALUE(LEFT(ARCH!J34,FIND("x",ARCH!J34)-1))*VALUE(MID(ARCH!J34,FIND("x",ARCH!J34)+1,9))))</f>
        <v>504</v>
      </c>
      <c r="K34" s="10" t="n">
        <f aca="false">IF(ARCH!K34="",INPUTS!$B$19,IF(LEFT(ARCH!K34,1)="d",PI()/4*VALUE(MID(ARCH!K34,2,9))^2,VALUE(LEFT(ARCH!K34,FIND("x",ARCH!K34)-1))*VALUE(MID(ARCH!K34,FIND("x",ARCH!K34)+1,9))))</f>
        <v>504</v>
      </c>
      <c r="L34" s="10" t="n">
        <f aca="false">IF(ARCH!L34="",INPUTS!$B$19,IF(LEFT(ARCH!L34,1)="d",PI()/4*VALUE(MID(ARCH!L34,2,9))^2,VALUE(LEFT(ARCH!L34,FIND("x",ARCH!L34)-1))*VALUE(MID(ARCH!L34,FIND("x",ARCH!L34)+1,9))))</f>
        <v>504</v>
      </c>
      <c r="M34" s="10" t="n">
        <f aca="false">IF(ARCH!M34="",INPUTS!$B$19,IF(LEFT(ARCH!M34,1)="d",PI()/4*VALUE(MID(ARCH!M34,2,9))^2,VALUE(LEFT(ARCH!M34,FIND("x",ARCH!M34)-1))*VALUE(MID(ARCH!M34,FIND("x",ARCH!M34)+1,9))))</f>
        <v>504</v>
      </c>
      <c r="N34" s="10" t="n">
        <f aca="false">IF(ARCH!N34="",INPUTS!$B$19,IF(LEFT(ARCH!N34,1)="d",PI()/4*VALUE(MID(ARCH!N34,2,9))^2,VALUE(LEFT(ARCH!N34,FIND("x",ARCH!N34)-1))*VALUE(MID(ARCH!N34,FIND("x",ARCH!N34)+1,9))))</f>
        <v>504</v>
      </c>
      <c r="O34" s="10" t="n">
        <f aca="false">IF(ARCH!O34="",INPUTS!$B$19,IF(LEFT(ARCH!O34,1)="d",PI()/4*VALUE(MID(ARCH!O34,2,9))^2,VALUE(LEFT(ARCH!O34,FIND("x",ARCH!O34)-1))*VALUE(MID(ARCH!O34,FIND("x",ARCH!O34)+1,9))))</f>
        <v>504</v>
      </c>
      <c r="P34" s="10" t="n">
        <f aca="false">IF(ARCH!P34="",INPUTS!$B$19,IF(LEFT(ARCH!P34,1)="d",PI()/4*VALUE(MID(ARCH!P34,2,9))^2,VALUE(LEFT(ARCH!P34,FIND("x",ARCH!P34)-1))*VALUE(MID(ARCH!P34,FIND("x",ARCH!P34)+1,9))))</f>
        <v>504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10" t="n">
        <f aca="false">IF(ARCH!E35="",INPUTS!$B$19,IF(LEFT(ARCH!E35,1)="d",PI()/4*VALUE(MID(ARCH!E35,2,9))^2,VALUE(LEFT(ARCH!E35,FIND("x",ARCH!E35)-1))*VALUE(MID(ARCH!E35,FIND("x",ARCH!E35)+1,9))))</f>
        <v>336</v>
      </c>
      <c r="F35" s="10" t="n">
        <f aca="false">IF(ARCH!F35="",INPUTS!$B$19,IF(LEFT(ARCH!F35,1)="d",PI()/4*VALUE(MID(ARCH!F35,2,9))^2,VALUE(LEFT(ARCH!F35,FIND("x",ARCH!F35)-1))*VALUE(MID(ARCH!F35,FIND("x",ARCH!F35)+1,9))))</f>
        <v>336</v>
      </c>
      <c r="G35" s="10" t="n">
        <f aca="false">IF(ARCH!G35="",INPUTS!$B$19,IF(LEFT(ARCH!G35,1)="d",PI()/4*VALUE(MID(ARCH!G35,2,9))^2,VALUE(LEFT(ARCH!G35,FIND("x",ARCH!G35)-1))*VALUE(MID(ARCH!G35,FIND("x",ARCH!G35)+1,9))))</f>
        <v>504</v>
      </c>
      <c r="H35" s="10" t="n">
        <f aca="false">IF(ARCH!H35="",INPUTS!$B$19,IF(LEFT(ARCH!H35,1)="d",PI()/4*VALUE(MID(ARCH!H35,2,9))^2,VALUE(LEFT(ARCH!H35,FIND("x",ARCH!H35)-1))*VALUE(MID(ARCH!H35,FIND("x",ARCH!H35)+1,9))))</f>
        <v>504</v>
      </c>
      <c r="I35" s="10" t="n">
        <f aca="false">IF(ARCH!I35="",INPUTS!$B$19,IF(LEFT(ARCH!I35,1)="d",PI()/4*VALUE(MID(ARCH!I35,2,9))^2,VALUE(LEFT(ARCH!I35,FIND("x",ARCH!I35)-1))*VALUE(MID(ARCH!I35,FIND("x",ARCH!I35)+1,9))))</f>
        <v>504</v>
      </c>
      <c r="J35" s="10" t="n">
        <f aca="false">IF(ARCH!J35="",INPUTS!$B$19,IF(LEFT(ARCH!J35,1)="d",PI()/4*VALUE(MID(ARCH!J35,2,9))^2,VALUE(LEFT(ARCH!J35,FIND("x",ARCH!J35)-1))*VALUE(MID(ARCH!J35,FIND("x",ARCH!J35)+1,9))))</f>
        <v>504</v>
      </c>
      <c r="K35" s="10" t="n">
        <f aca="false">IF(ARCH!K35="",INPUTS!$B$19,IF(LEFT(ARCH!K35,1)="d",PI()/4*VALUE(MID(ARCH!K35,2,9))^2,VALUE(LEFT(ARCH!K35,FIND("x",ARCH!K35)-1))*VALUE(MID(ARCH!K35,FIND("x",ARCH!K35)+1,9))))</f>
        <v>504</v>
      </c>
      <c r="L35" s="10" t="n">
        <f aca="false">IF(ARCH!L35="",INPUTS!$B$19,IF(LEFT(ARCH!L35,1)="d",PI()/4*VALUE(MID(ARCH!L35,2,9))^2,VALUE(LEFT(ARCH!L35,FIND("x",ARCH!L35)-1))*VALUE(MID(ARCH!L35,FIND("x",ARCH!L35)+1,9))))</f>
        <v>504</v>
      </c>
      <c r="M35" s="10" t="n">
        <f aca="false">IF(ARCH!M35="",INPUTS!$B$19,IF(LEFT(ARCH!M35,1)="d",PI()/4*VALUE(MID(ARCH!M35,2,9))^2,VALUE(LEFT(ARCH!M35,FIND("x",ARCH!M35)-1))*VALUE(MID(ARCH!M35,FIND("x",ARCH!M35)+1,9))))</f>
        <v>504</v>
      </c>
      <c r="N35" s="10" t="n">
        <f aca="false">IF(ARCH!N35="",INPUTS!$B$19,IF(LEFT(ARCH!N35,1)="d",PI()/4*VALUE(MID(ARCH!N35,2,9))^2,VALUE(LEFT(ARCH!N35,FIND("x",ARCH!N35)-1))*VALUE(MID(ARCH!N35,FIND("x",ARCH!N35)+1,9))))</f>
        <v>504</v>
      </c>
      <c r="O35" s="10" t="n">
        <f aca="false">IF(ARCH!O35="",INPUTS!$B$19,IF(LEFT(ARCH!O35,1)="d",PI()/4*VALUE(MID(ARCH!O35,2,9))^2,VALUE(LEFT(ARCH!O35,FIND("x",ARCH!O35)-1))*VALUE(MID(ARCH!O35,FIND("x",ARCH!O35)+1,9))))</f>
        <v>504</v>
      </c>
      <c r="P35" s="10" t="n">
        <f aca="false">IF(ARCH!P35="",INPUTS!$B$19,IF(LEFT(ARCH!P35,1)="d",PI()/4*VALUE(MID(ARCH!P35,2,9))^2,VALUE(LEFT(ARCH!P35,FIND("x",ARCH!P35)-1))*VALUE(MID(ARCH!P35,FIND("x",ARCH!P35)+1,9))))</f>
        <v>504</v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10" t="n">
        <f aca="false">IF(ARCH!E36="",INPUTS!$B$19,IF(LEFT(ARCH!E36,1)="d",PI()/4*VALUE(MID(ARCH!E36,2,9))^2,VALUE(LEFT(ARCH!E36,FIND("x",ARCH!E36)-1))*VALUE(MID(ARCH!E36,FIND("x",ARCH!E36)+1,9))))</f>
        <v>504</v>
      </c>
      <c r="F36" s="10" t="n">
        <f aca="false">IF(ARCH!F36="",INPUTS!$B$19,IF(LEFT(ARCH!F36,1)="d",PI()/4*VALUE(MID(ARCH!F36,2,9))^2,VALUE(LEFT(ARCH!F36,FIND("x",ARCH!F36)-1))*VALUE(MID(ARCH!F36,FIND("x",ARCH!F36)+1,9))))</f>
        <v>504</v>
      </c>
      <c r="G36" s="10" t="n">
        <f aca="false">IF(ARCH!G36="",INPUTS!$B$19,IF(LEFT(ARCH!G36,1)="d",PI()/4*VALUE(MID(ARCH!G36,2,9))^2,VALUE(LEFT(ARCH!G36,FIND("x",ARCH!G36)-1))*VALUE(MID(ARCH!G36,FIND("x",ARCH!G36)+1,9))))</f>
        <v>504</v>
      </c>
      <c r="H36" s="10" t="n">
        <f aca="false">IF(ARCH!H36="",INPUTS!$B$19,IF(LEFT(ARCH!H36,1)="d",PI()/4*VALUE(MID(ARCH!H36,2,9))^2,VALUE(LEFT(ARCH!H36,FIND("x",ARCH!H36)-1))*VALUE(MID(ARCH!H36,FIND("x",ARCH!H36)+1,9))))</f>
        <v>504</v>
      </c>
      <c r="I36" s="10" t="n">
        <f aca="false">IF(ARCH!I36="",INPUTS!$B$19,IF(LEFT(ARCH!I36,1)="d",PI()/4*VALUE(MID(ARCH!I36,2,9))^2,VALUE(LEFT(ARCH!I36,FIND("x",ARCH!I36)-1))*VALUE(MID(ARCH!I36,FIND("x",ARCH!I36)+1,9))))</f>
        <v>504</v>
      </c>
      <c r="J36" s="10" t="n">
        <f aca="false">IF(ARCH!J36="",INPUTS!$B$19,IF(LEFT(ARCH!J36,1)="d",PI()/4*VALUE(MID(ARCH!J36,2,9))^2,VALUE(LEFT(ARCH!J36,FIND("x",ARCH!J36)-1))*VALUE(MID(ARCH!J36,FIND("x",ARCH!J36)+1,9))))</f>
        <v>504</v>
      </c>
      <c r="K36" s="10" t="n">
        <f aca="false">IF(ARCH!K36="",INPUTS!$B$19,IF(LEFT(ARCH!K36,1)="d",PI()/4*VALUE(MID(ARCH!K36,2,9))^2,VALUE(LEFT(ARCH!K36,FIND("x",ARCH!K36)-1))*VALUE(MID(ARCH!K36,FIND("x",ARCH!K36)+1,9))))</f>
        <v>504</v>
      </c>
      <c r="L36" s="10" t="n">
        <f aca="false">IF(ARCH!L36="",INPUTS!$B$19,IF(LEFT(ARCH!L36,1)="d",PI()/4*VALUE(MID(ARCH!L36,2,9))^2,VALUE(LEFT(ARCH!L36,FIND("x",ARCH!L36)-1))*VALUE(MID(ARCH!L36,FIND("x",ARCH!L36)+1,9))))</f>
        <v>504</v>
      </c>
      <c r="M36" s="10" t="n">
        <f aca="false">IF(ARCH!M36="",INPUTS!$B$19,IF(LEFT(ARCH!M36,1)="d",PI()/4*VALUE(MID(ARCH!M36,2,9))^2,VALUE(LEFT(ARCH!M36,FIND("x",ARCH!M36)-1))*VALUE(MID(ARCH!M36,FIND("x",ARCH!M36)+1,9))))</f>
        <v>504</v>
      </c>
      <c r="N36" s="10" t="n">
        <f aca="false">IF(ARCH!N36="",INPUTS!$B$19,IF(LEFT(ARCH!N36,1)="d",PI()/4*VALUE(MID(ARCH!N36,2,9))^2,VALUE(LEFT(ARCH!N36,FIND("x",ARCH!N36)-1))*VALUE(MID(ARCH!N36,FIND("x",ARCH!N36)+1,9))))</f>
        <v>504</v>
      </c>
      <c r="O36" s="10" t="n">
        <f aca="false">IF(ARCH!O36="",INPUTS!$B$19,IF(LEFT(ARCH!O36,1)="d",PI()/4*VALUE(MID(ARCH!O36,2,9))^2,VALUE(LEFT(ARCH!O36,FIND("x",ARCH!O36)-1))*VALUE(MID(ARCH!O36,FIND("x",ARCH!O36)+1,9))))</f>
        <v>504</v>
      </c>
      <c r="P36" s="10" t="n">
        <f aca="false">IF(ARCH!P36="",INPUTS!$B$19,IF(LEFT(ARCH!P36,1)="d",PI()/4*VALUE(MID(ARCH!P36,2,9))^2,VALUE(LEFT(ARCH!P36,FIND("x",ARCH!P36)-1))*VALUE(MID(ARCH!P36,FIND("x",ARCH!P36)+1,9))))</f>
        <v>504</v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10" t="n">
        <f aca="false">IF(ARCH!E37="",INPUTS!$B$19,IF(LEFT(ARCH!E37,1)="d",PI()/4*VALUE(MID(ARCH!E37,2,9))^2,VALUE(LEFT(ARCH!E37,FIND("x",ARCH!E37)-1))*VALUE(MID(ARCH!E37,FIND("x",ARCH!E37)+1,9))))</f>
        <v>504</v>
      </c>
      <c r="F37" s="10" t="n">
        <f aca="false">IF(ARCH!F37="",INPUTS!$B$19,IF(LEFT(ARCH!F37,1)="d",PI()/4*VALUE(MID(ARCH!F37,2,9))^2,VALUE(LEFT(ARCH!F37,FIND("x",ARCH!F37)-1))*VALUE(MID(ARCH!F37,FIND("x",ARCH!F37)+1,9))))</f>
        <v>504</v>
      </c>
      <c r="G37" s="10" t="n">
        <f aca="false">IF(ARCH!G37="",INPUTS!$B$19,IF(LEFT(ARCH!G37,1)="d",PI()/4*VALUE(MID(ARCH!G37,2,9))^2,VALUE(LEFT(ARCH!G37,FIND("x",ARCH!G37)-1))*VALUE(MID(ARCH!G37,FIND("x",ARCH!G37)+1,9))))</f>
        <v>504</v>
      </c>
      <c r="H37" s="10" t="n">
        <f aca="false">IF(ARCH!H37="",INPUTS!$B$19,IF(LEFT(ARCH!H37,1)="d",PI()/4*VALUE(MID(ARCH!H37,2,9))^2,VALUE(LEFT(ARCH!H37,FIND("x",ARCH!H37)-1))*VALUE(MID(ARCH!H37,FIND("x",ARCH!H37)+1,9))))</f>
        <v>504</v>
      </c>
      <c r="I37" s="10" t="n">
        <f aca="false">IF(ARCH!I37="",INPUTS!$B$19,IF(LEFT(ARCH!I37,1)="d",PI()/4*VALUE(MID(ARCH!I37,2,9))^2,VALUE(LEFT(ARCH!I37,FIND("x",ARCH!I37)-1))*VALUE(MID(ARCH!I37,FIND("x",ARCH!I37)+1,9))))</f>
        <v>504</v>
      </c>
      <c r="J37" s="10" t="n">
        <f aca="false">IF(ARCH!J37="",INPUTS!$B$19,IF(LEFT(ARCH!J37,1)="d",PI()/4*VALUE(MID(ARCH!J37,2,9))^2,VALUE(LEFT(ARCH!J37,FIND("x",ARCH!J37)-1))*VALUE(MID(ARCH!J37,FIND("x",ARCH!J37)+1,9))))</f>
        <v>504</v>
      </c>
      <c r="K37" s="10" t="n">
        <f aca="false">IF(ARCH!K37="",INPUTS!$B$19,IF(LEFT(ARCH!K37,1)="d",PI()/4*VALUE(MID(ARCH!K37,2,9))^2,VALUE(LEFT(ARCH!K37,FIND("x",ARCH!K37)-1))*VALUE(MID(ARCH!K37,FIND("x",ARCH!K37)+1,9))))</f>
        <v>504</v>
      </c>
      <c r="L37" s="10" t="n">
        <f aca="false">IF(ARCH!L37="",INPUTS!$B$19,IF(LEFT(ARCH!L37,1)="d",PI()/4*VALUE(MID(ARCH!L37,2,9))^2,VALUE(LEFT(ARCH!L37,FIND("x",ARCH!L37)-1))*VALUE(MID(ARCH!L37,FIND("x",ARCH!L37)+1,9))))</f>
        <v>504</v>
      </c>
      <c r="M37" s="10" t="n">
        <f aca="false">IF(ARCH!M37="",INPUTS!$B$19,IF(LEFT(ARCH!M37,1)="d",PI()/4*VALUE(MID(ARCH!M37,2,9))^2,VALUE(LEFT(ARCH!M37,FIND("x",ARCH!M37)-1))*VALUE(MID(ARCH!M37,FIND("x",ARCH!M37)+1,9))))</f>
        <v>504</v>
      </c>
      <c r="N37" s="10" t="n">
        <f aca="false">IF(ARCH!N37="",INPUTS!$B$19,IF(LEFT(ARCH!N37,1)="d",PI()/4*VALUE(MID(ARCH!N37,2,9))^2,VALUE(LEFT(ARCH!N37,FIND("x",ARCH!N37)-1))*VALUE(MID(ARCH!N37,FIND("x",ARCH!N37)+1,9))))</f>
        <v>504</v>
      </c>
      <c r="O37" s="10" t="n">
        <f aca="false">IF(ARCH!O37="",INPUTS!$B$19,IF(LEFT(ARCH!O37,1)="d",PI()/4*VALUE(MID(ARCH!O37,2,9))^2,VALUE(LEFT(ARCH!O37,FIND("x",ARCH!O37)-1))*VALUE(MID(ARCH!O37,FIND("x",ARCH!O37)+1,9))))</f>
        <v>504</v>
      </c>
      <c r="P37" s="10" t="n">
        <f aca="false">IF(ARCH!P37="",INPUTS!$B$19,IF(LEFT(ARCH!P37,1)="d",PI()/4*VALUE(MID(ARCH!P37,2,9))^2,VALUE(LEFT(ARCH!P37,FIND("x",ARCH!P37)-1))*VALUE(MID(ARCH!P37,FIND("x",ARCH!P37)+1,9))))</f>
        <v>504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10" t="n">
        <f aca="false">IF(ARCH!E38="",INPUTS!$B$19,IF(LEFT(ARCH!E38,1)="d",PI()/4*VALUE(MID(ARCH!E38,2,9))^2,VALUE(LEFT(ARCH!E38,FIND("x",ARCH!E38)-1))*VALUE(MID(ARCH!E38,FIND("x",ARCH!E38)+1,9))))</f>
        <v>336</v>
      </c>
      <c r="F38" s="10" t="n">
        <f aca="false">IF(ARCH!F38="",INPUTS!$B$19,IF(LEFT(ARCH!F38,1)="d",PI()/4*VALUE(MID(ARCH!F38,2,9))^2,VALUE(LEFT(ARCH!F38,FIND("x",ARCH!F38)-1))*VALUE(MID(ARCH!F38,FIND("x",ARCH!F38)+1,9))))</f>
        <v>336</v>
      </c>
      <c r="G38" s="10" t="n">
        <f aca="false">IF(ARCH!G38="",INPUTS!$B$19,IF(LEFT(ARCH!G38,1)="d",PI()/4*VALUE(MID(ARCH!G38,2,9))^2,VALUE(LEFT(ARCH!G38,FIND("x",ARCH!G38)-1))*VALUE(MID(ARCH!G38,FIND("x",ARCH!G38)+1,9))))</f>
        <v>336</v>
      </c>
      <c r="H38" s="10" t="n">
        <f aca="false">IF(ARCH!H38="",INPUTS!$B$19,IF(LEFT(ARCH!H38,1)="d",PI()/4*VALUE(MID(ARCH!H38,2,9))^2,VALUE(LEFT(ARCH!H38,FIND("x",ARCH!H38)-1))*VALUE(MID(ARCH!H38,FIND("x",ARCH!H38)+1,9))))</f>
        <v>336</v>
      </c>
      <c r="I38" s="10" t="n">
        <f aca="false">IF(ARCH!I38="",INPUTS!$B$19,IF(LEFT(ARCH!I38,1)="d",PI()/4*VALUE(MID(ARCH!I38,2,9))^2,VALUE(LEFT(ARCH!I38,FIND("x",ARCH!I38)-1))*VALUE(MID(ARCH!I38,FIND("x",ARCH!I38)+1,9))))</f>
        <v>336</v>
      </c>
      <c r="J38" s="10" t="n">
        <f aca="false">IF(ARCH!J38="",INPUTS!$B$19,IF(LEFT(ARCH!J38,1)="d",PI()/4*VALUE(MID(ARCH!J38,2,9))^2,VALUE(LEFT(ARCH!J38,FIND("x",ARCH!J38)-1))*VALUE(MID(ARCH!J38,FIND("x",ARCH!J38)+1,9))))</f>
        <v>336</v>
      </c>
      <c r="K38" s="10" t="n">
        <f aca="false">IF(ARCH!K38="",INPUTS!$B$19,IF(LEFT(ARCH!K38,1)="d",PI()/4*VALUE(MID(ARCH!K38,2,9))^2,VALUE(LEFT(ARCH!K38,FIND("x",ARCH!K38)-1))*VALUE(MID(ARCH!K38,FIND("x",ARCH!K38)+1,9))))</f>
        <v>336</v>
      </c>
      <c r="L38" s="10" t="n">
        <f aca="false">IF(ARCH!L38="",INPUTS!$B$19,IF(LEFT(ARCH!L38,1)="d",PI()/4*VALUE(MID(ARCH!L38,2,9))^2,VALUE(LEFT(ARCH!L38,FIND("x",ARCH!L38)-1))*VALUE(MID(ARCH!L38,FIND("x",ARCH!L38)+1,9))))</f>
        <v>336</v>
      </c>
      <c r="M38" s="10" t="n">
        <f aca="false">IF(ARCH!M38="",INPUTS!$B$19,IF(LEFT(ARCH!M38,1)="d",PI()/4*VALUE(MID(ARCH!M38,2,9))^2,VALUE(LEFT(ARCH!M38,FIND("x",ARCH!M38)-1))*VALUE(MID(ARCH!M38,FIND("x",ARCH!M38)+1,9))))</f>
        <v>336</v>
      </c>
      <c r="N38" s="10" t="n">
        <f aca="false">IF(ARCH!N38="",INPUTS!$B$19,IF(LEFT(ARCH!N38,1)="d",PI()/4*VALUE(MID(ARCH!N38,2,9))^2,VALUE(LEFT(ARCH!N38,FIND("x",ARCH!N38)-1))*VALUE(MID(ARCH!N38,FIND("x",ARCH!N38)+1,9))))</f>
        <v>336</v>
      </c>
      <c r="O38" s="10" t="n">
        <f aca="false">IF(ARCH!O38="",INPUTS!$B$19,IF(LEFT(ARCH!O38,1)="d",PI()/4*VALUE(MID(ARCH!O38,2,9))^2,VALUE(LEFT(ARCH!O38,FIND("x",ARCH!O38)-1))*VALUE(MID(ARCH!O38,FIND("x",ARCH!O38)+1,9))))</f>
        <v>336</v>
      </c>
      <c r="P38" s="10" t="n">
        <f aca="false">IF(ARCH!P38="",INPUTS!$B$19,IF(LEFT(ARCH!P38,1)="d",PI()/4*VALUE(MID(ARCH!P38,2,9))^2,VALUE(LEFT(ARCH!P38,FIND("x",ARCH!P38)-1))*VALUE(MID(ARCH!P38,FIND("x",ARCH!P38)+1,9))))</f>
        <v>336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10" t="n">
        <f aca="false">IF(ARCH!E39="",INPUTS!$B$19,IF(LEFT(ARCH!E39,1)="d",PI()/4*VALUE(MID(ARCH!E39,2,9))^2,VALUE(LEFT(ARCH!E39,FIND("x",ARCH!E39)-1))*VALUE(MID(ARCH!E39,FIND("x",ARCH!E39)+1,9))))</f>
        <v>336</v>
      </c>
      <c r="F39" s="10" t="n">
        <f aca="false">IF(ARCH!F39="",INPUTS!$B$19,IF(LEFT(ARCH!F39,1)="d",PI()/4*VALUE(MID(ARCH!F39,2,9))^2,VALUE(LEFT(ARCH!F39,FIND("x",ARCH!F39)-1))*VALUE(MID(ARCH!F39,FIND("x",ARCH!F39)+1,9))))</f>
        <v>336</v>
      </c>
      <c r="G39" s="10" t="n">
        <f aca="false">IF(ARCH!G39="",INPUTS!$B$19,IF(LEFT(ARCH!G39,1)="d",PI()/4*VALUE(MID(ARCH!G39,2,9))^2,VALUE(LEFT(ARCH!G39,FIND("x",ARCH!G39)-1))*VALUE(MID(ARCH!G39,FIND("x",ARCH!G39)+1,9))))</f>
        <v>336</v>
      </c>
      <c r="H39" s="10" t="n">
        <f aca="false">IF(ARCH!H39="",INPUTS!$B$19,IF(LEFT(ARCH!H39,1)="d",PI()/4*VALUE(MID(ARCH!H39,2,9))^2,VALUE(LEFT(ARCH!H39,FIND("x",ARCH!H39)-1))*VALUE(MID(ARCH!H39,FIND("x",ARCH!H39)+1,9))))</f>
        <v>336</v>
      </c>
      <c r="I39" s="10" t="n">
        <f aca="false">IF(ARCH!I39="",INPUTS!$B$19,IF(LEFT(ARCH!I39,1)="d",PI()/4*VALUE(MID(ARCH!I39,2,9))^2,VALUE(LEFT(ARCH!I39,FIND("x",ARCH!I39)-1))*VALUE(MID(ARCH!I39,FIND("x",ARCH!I39)+1,9))))</f>
        <v>336</v>
      </c>
      <c r="J39" s="10" t="n">
        <f aca="false">IF(ARCH!J39="",INPUTS!$B$19,IF(LEFT(ARCH!J39,1)="d",PI()/4*VALUE(MID(ARCH!J39,2,9))^2,VALUE(LEFT(ARCH!J39,FIND("x",ARCH!J39)-1))*VALUE(MID(ARCH!J39,FIND("x",ARCH!J39)+1,9))))</f>
        <v>336</v>
      </c>
      <c r="K39" s="10" t="n">
        <f aca="false">IF(ARCH!K39="",INPUTS!$B$19,IF(LEFT(ARCH!K39,1)="d",PI()/4*VALUE(MID(ARCH!K39,2,9))^2,VALUE(LEFT(ARCH!K39,FIND("x",ARCH!K39)-1))*VALUE(MID(ARCH!K39,FIND("x",ARCH!K39)+1,9))))</f>
        <v>336</v>
      </c>
      <c r="L39" s="10" t="n">
        <f aca="false">IF(ARCH!L39="",INPUTS!$B$19,IF(LEFT(ARCH!L39,1)="d",PI()/4*VALUE(MID(ARCH!L39,2,9))^2,VALUE(LEFT(ARCH!L39,FIND("x",ARCH!L39)-1))*VALUE(MID(ARCH!L39,FIND("x",ARCH!L39)+1,9))))</f>
        <v>336</v>
      </c>
      <c r="M39" s="10" t="n">
        <f aca="false">IF(ARCH!M39="",INPUTS!$B$19,IF(LEFT(ARCH!M39,1)="d",PI()/4*VALUE(MID(ARCH!M39,2,9))^2,VALUE(LEFT(ARCH!M39,FIND("x",ARCH!M39)-1))*VALUE(MID(ARCH!M39,FIND("x",ARCH!M39)+1,9))))</f>
        <v>336</v>
      </c>
      <c r="N39" s="10" t="n">
        <f aca="false">IF(ARCH!N39="",INPUTS!$B$19,IF(LEFT(ARCH!N39,1)="d",PI()/4*VALUE(MID(ARCH!N39,2,9))^2,VALUE(LEFT(ARCH!N39,FIND("x",ARCH!N39)-1))*VALUE(MID(ARCH!N39,FIND("x",ARCH!N39)+1,9))))</f>
        <v>336</v>
      </c>
      <c r="O39" s="10" t="n">
        <f aca="false">IF(ARCH!O39="",INPUTS!$B$19,IF(LEFT(ARCH!O39,1)="d",PI()/4*VALUE(MID(ARCH!O39,2,9))^2,VALUE(LEFT(ARCH!O39,FIND("x",ARCH!O39)-1))*VALUE(MID(ARCH!O39,FIND("x",ARCH!O39)+1,9))))</f>
        <v>336</v>
      </c>
      <c r="P39" s="10" t="n">
        <f aca="false">IF(ARCH!P39="",INPUTS!$B$19,IF(LEFT(ARCH!P39,1)="d",PI()/4*VALUE(MID(ARCH!P39,2,9))^2,VALUE(LEFT(ARCH!P39,FIND("x",ARCH!P39)-1))*VALUE(MID(ARCH!P39,FIND("x",ARCH!P39)+1,9))))</f>
        <v>336</v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10" t="n">
        <f aca="false">IF(ARCH!E40="",INPUTS!$B$19,IF(LEFT(ARCH!E40,1)="d",PI()/4*VALUE(MID(ARCH!E40,2,9))^2,VALUE(LEFT(ARCH!E40,FIND("x",ARCH!E40)-1))*VALUE(MID(ARCH!E40,FIND("x",ARCH!E40)+1,9))))</f>
        <v>504</v>
      </c>
      <c r="F40" s="10" t="n">
        <f aca="false">IF(ARCH!F40="",INPUTS!$B$19,IF(LEFT(ARCH!F40,1)="d",PI()/4*VALUE(MID(ARCH!F40,2,9))^2,VALUE(LEFT(ARCH!F40,FIND("x",ARCH!F40)-1))*VALUE(MID(ARCH!F40,FIND("x",ARCH!F40)+1,9))))</f>
        <v>504</v>
      </c>
      <c r="G40" s="10" t="n">
        <f aca="false">IF(ARCH!G40="",INPUTS!$B$19,IF(LEFT(ARCH!G40,1)="d",PI()/4*VALUE(MID(ARCH!G40,2,9))^2,VALUE(LEFT(ARCH!G40,FIND("x",ARCH!G40)-1))*VALUE(MID(ARCH!G40,FIND("x",ARCH!G40)+1,9))))</f>
        <v>504</v>
      </c>
      <c r="H40" s="10" t="n">
        <f aca="false">IF(ARCH!H40="",INPUTS!$B$19,IF(LEFT(ARCH!H40,1)="d",PI()/4*VALUE(MID(ARCH!H40,2,9))^2,VALUE(LEFT(ARCH!H40,FIND("x",ARCH!H40)-1))*VALUE(MID(ARCH!H40,FIND("x",ARCH!H40)+1,9))))</f>
        <v>504</v>
      </c>
      <c r="I40" s="10" t="n">
        <f aca="false">IF(ARCH!I40="",INPUTS!$B$19,IF(LEFT(ARCH!I40,1)="d",PI()/4*VALUE(MID(ARCH!I40,2,9))^2,VALUE(LEFT(ARCH!I40,FIND("x",ARCH!I40)-1))*VALUE(MID(ARCH!I40,FIND("x",ARCH!I40)+1,9))))</f>
        <v>504</v>
      </c>
      <c r="J40" s="10" t="n">
        <f aca="false">IF(ARCH!J40="",INPUTS!$B$19,IF(LEFT(ARCH!J40,1)="d",PI()/4*VALUE(MID(ARCH!J40,2,9))^2,VALUE(LEFT(ARCH!J40,FIND("x",ARCH!J40)-1))*VALUE(MID(ARCH!J40,FIND("x",ARCH!J40)+1,9))))</f>
        <v>504</v>
      </c>
      <c r="K40" s="10" t="n">
        <f aca="false">IF(ARCH!K40="",INPUTS!$B$19,IF(LEFT(ARCH!K40,1)="d",PI()/4*VALUE(MID(ARCH!K40,2,9))^2,VALUE(LEFT(ARCH!K40,FIND("x",ARCH!K40)-1))*VALUE(MID(ARCH!K40,FIND("x",ARCH!K40)+1,9))))</f>
        <v>504</v>
      </c>
      <c r="L40" s="10" t="n">
        <f aca="false">IF(ARCH!L40="",INPUTS!$B$19,IF(LEFT(ARCH!L40,1)="d",PI()/4*VALUE(MID(ARCH!L40,2,9))^2,VALUE(LEFT(ARCH!L40,FIND("x",ARCH!L40)-1))*VALUE(MID(ARCH!L40,FIND("x",ARCH!L40)+1,9))))</f>
        <v>504</v>
      </c>
      <c r="M40" s="10" t="n">
        <f aca="false">IF(ARCH!M40="",INPUTS!$B$19,IF(LEFT(ARCH!M40,1)="d",PI()/4*VALUE(MID(ARCH!M40,2,9))^2,VALUE(LEFT(ARCH!M40,FIND("x",ARCH!M40)-1))*VALUE(MID(ARCH!M40,FIND("x",ARCH!M40)+1,9))))</f>
        <v>504</v>
      </c>
      <c r="N40" s="10" t="n">
        <f aca="false">IF(ARCH!N40="",INPUTS!$B$19,IF(LEFT(ARCH!N40,1)="d",PI()/4*VALUE(MID(ARCH!N40,2,9))^2,VALUE(LEFT(ARCH!N40,FIND("x",ARCH!N40)-1))*VALUE(MID(ARCH!N40,FIND("x",ARCH!N40)+1,9))))</f>
        <v>504</v>
      </c>
      <c r="O40" s="10" t="n">
        <f aca="false">IF(ARCH!O40="",INPUTS!$B$19,IF(LEFT(ARCH!O40,1)="d",PI()/4*VALUE(MID(ARCH!O40,2,9))^2,VALUE(LEFT(ARCH!O40,FIND("x",ARCH!O40)-1))*VALUE(MID(ARCH!O40,FIND("x",ARCH!O40)+1,9))))</f>
        <v>504</v>
      </c>
      <c r="P40" s="10" t="n">
        <f aca="false">IF(ARCH!P40="",INPUTS!$B$19,IF(LEFT(ARCH!P40,1)="d",PI()/4*VALUE(MID(ARCH!P40,2,9))^2,VALUE(LEFT(ARCH!P40,FIND("x",ARCH!P40)-1))*VALUE(MID(ARCH!P40,FIND("x",ARCH!P40)+1,9))))</f>
        <v>504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10" t="n">
        <f aca="false">IF(ARCH!E41="",INPUTS!$B$19,IF(LEFT(ARCH!E41,1)="d",PI()/4*VALUE(MID(ARCH!E41,2,9))^2,VALUE(LEFT(ARCH!E41,FIND("x",ARCH!E41)-1))*VALUE(MID(ARCH!E41,FIND("x",ARCH!E41)+1,9))))</f>
        <v>504</v>
      </c>
      <c r="F41" s="10" t="n">
        <f aca="false">IF(ARCH!F41="",INPUTS!$B$19,IF(LEFT(ARCH!F41,1)="d",PI()/4*VALUE(MID(ARCH!F41,2,9))^2,VALUE(LEFT(ARCH!F41,FIND("x",ARCH!F41)-1))*VALUE(MID(ARCH!F41,FIND("x",ARCH!F41)+1,9))))</f>
        <v>504</v>
      </c>
      <c r="G41" s="10" t="n">
        <f aca="false">IF(ARCH!G41="",INPUTS!$B$19,IF(LEFT(ARCH!G41,1)="d",PI()/4*VALUE(MID(ARCH!G41,2,9))^2,VALUE(LEFT(ARCH!G41,FIND("x",ARCH!G41)-1))*VALUE(MID(ARCH!G41,FIND("x",ARCH!G41)+1,9))))</f>
        <v>504</v>
      </c>
      <c r="H41" s="10" t="n">
        <f aca="false">IF(ARCH!H41="",INPUTS!$B$19,IF(LEFT(ARCH!H41,1)="d",PI()/4*VALUE(MID(ARCH!H41,2,9))^2,VALUE(LEFT(ARCH!H41,FIND("x",ARCH!H41)-1))*VALUE(MID(ARCH!H41,FIND("x",ARCH!H41)+1,9))))</f>
        <v>504</v>
      </c>
      <c r="I41" s="10" t="n">
        <f aca="false">IF(ARCH!I41="",INPUTS!$B$19,IF(LEFT(ARCH!I41,1)="d",PI()/4*VALUE(MID(ARCH!I41,2,9))^2,VALUE(LEFT(ARCH!I41,FIND("x",ARCH!I41)-1))*VALUE(MID(ARCH!I41,FIND("x",ARCH!I41)+1,9))))</f>
        <v>504</v>
      </c>
      <c r="J41" s="10" t="n">
        <f aca="false">IF(ARCH!J41="",INPUTS!$B$19,IF(LEFT(ARCH!J41,1)="d",PI()/4*VALUE(MID(ARCH!J41,2,9))^2,VALUE(LEFT(ARCH!J41,FIND("x",ARCH!J41)-1))*VALUE(MID(ARCH!J41,FIND("x",ARCH!J41)+1,9))))</f>
        <v>504</v>
      </c>
      <c r="K41" s="10" t="n">
        <f aca="false">IF(ARCH!K41="",INPUTS!$B$19,IF(LEFT(ARCH!K41,1)="d",PI()/4*VALUE(MID(ARCH!K41,2,9))^2,VALUE(LEFT(ARCH!K41,FIND("x",ARCH!K41)-1))*VALUE(MID(ARCH!K41,FIND("x",ARCH!K41)+1,9))))</f>
        <v>504</v>
      </c>
      <c r="L41" s="10" t="n">
        <f aca="false">IF(ARCH!L41="",INPUTS!$B$19,IF(LEFT(ARCH!L41,1)="d",PI()/4*VALUE(MID(ARCH!L41,2,9))^2,VALUE(LEFT(ARCH!L41,FIND("x",ARCH!L41)-1))*VALUE(MID(ARCH!L41,FIND("x",ARCH!L41)+1,9))))</f>
        <v>504</v>
      </c>
      <c r="M41" s="10" t="n">
        <f aca="false">IF(ARCH!M41="",INPUTS!$B$19,IF(LEFT(ARCH!M41,1)="d",PI()/4*VALUE(MID(ARCH!M41,2,9))^2,VALUE(LEFT(ARCH!M41,FIND("x",ARCH!M41)-1))*VALUE(MID(ARCH!M41,FIND("x",ARCH!M41)+1,9))))</f>
        <v>504</v>
      </c>
      <c r="N41" s="10" t="n">
        <f aca="false">IF(ARCH!N41="",INPUTS!$B$19,IF(LEFT(ARCH!N41,1)="d",PI()/4*VALUE(MID(ARCH!N41,2,9))^2,VALUE(LEFT(ARCH!N41,FIND("x",ARCH!N41)-1))*VALUE(MID(ARCH!N41,FIND("x",ARCH!N41)+1,9))))</f>
        <v>504</v>
      </c>
      <c r="O41" s="10" t="n">
        <f aca="false">IF(ARCH!O41="",INPUTS!$B$19,IF(LEFT(ARCH!O41,1)="d",PI()/4*VALUE(MID(ARCH!O41,2,9))^2,VALUE(LEFT(ARCH!O41,FIND("x",ARCH!O41)-1))*VALUE(MID(ARCH!O41,FIND("x",ARCH!O41)+1,9))))</f>
        <v>504</v>
      </c>
      <c r="P41" s="10" t="n">
        <f aca="false">IF(ARCH!P41="",INPUTS!$B$19,IF(LEFT(ARCH!P41,1)="d",PI()/4*VALUE(MID(ARCH!P41,2,9))^2,VALUE(LEFT(ARCH!P41,FIND("x",ARCH!P41)-1))*VALUE(MID(ARCH!P41,FIND("x",ARCH!P41)+1,9))))</f>
        <v>504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10" t="n">
        <f aca="false">IF(ARCH!E42="",INPUTS!$B$19,IF(LEFT(ARCH!E42,1)="d",PI()/4*VALUE(MID(ARCH!E42,2,9))^2,VALUE(LEFT(ARCH!E42,FIND("x",ARCH!E42)-1))*VALUE(MID(ARCH!E42,FIND("x",ARCH!E42)+1,9))))</f>
        <v>336</v>
      </c>
      <c r="F42" s="10" t="n">
        <f aca="false">IF(ARCH!F42="",INPUTS!$B$19,IF(LEFT(ARCH!F42,1)="d",PI()/4*VALUE(MID(ARCH!F42,2,9))^2,VALUE(LEFT(ARCH!F42,FIND("x",ARCH!F42)-1))*VALUE(MID(ARCH!F42,FIND("x",ARCH!F42)+1,9))))</f>
        <v>336</v>
      </c>
      <c r="G42" s="10" t="n">
        <f aca="false">IF(ARCH!G42="",INPUTS!$B$19,IF(LEFT(ARCH!G42,1)="d",PI()/4*VALUE(MID(ARCH!G42,2,9))^2,VALUE(LEFT(ARCH!G42,FIND("x",ARCH!G42)-1))*VALUE(MID(ARCH!G42,FIND("x",ARCH!G42)+1,9))))</f>
        <v>336</v>
      </c>
      <c r="H42" s="10" t="n">
        <f aca="false">IF(ARCH!H42="",INPUTS!$B$19,IF(LEFT(ARCH!H42,1)="d",PI()/4*VALUE(MID(ARCH!H42,2,9))^2,VALUE(LEFT(ARCH!H42,FIND("x",ARCH!H42)-1))*VALUE(MID(ARCH!H42,FIND("x",ARCH!H42)+1,9))))</f>
        <v>336</v>
      </c>
      <c r="I42" s="10" t="n">
        <f aca="false">IF(ARCH!I42="",INPUTS!$B$19,IF(LEFT(ARCH!I42,1)="d",PI()/4*VALUE(MID(ARCH!I42,2,9))^2,VALUE(LEFT(ARCH!I42,FIND("x",ARCH!I42)-1))*VALUE(MID(ARCH!I42,FIND("x",ARCH!I42)+1,9))))</f>
        <v>336</v>
      </c>
      <c r="J42" s="10" t="n">
        <f aca="false">IF(ARCH!J42="",INPUTS!$B$19,IF(LEFT(ARCH!J42,1)="d",PI()/4*VALUE(MID(ARCH!J42,2,9))^2,VALUE(LEFT(ARCH!J42,FIND("x",ARCH!J42)-1))*VALUE(MID(ARCH!J42,FIND("x",ARCH!J42)+1,9))))</f>
        <v>336</v>
      </c>
      <c r="K42" s="10" t="n">
        <f aca="false">IF(ARCH!K42="",INPUTS!$B$19,IF(LEFT(ARCH!K42,1)="d",PI()/4*VALUE(MID(ARCH!K42,2,9))^2,VALUE(LEFT(ARCH!K42,FIND("x",ARCH!K42)-1))*VALUE(MID(ARCH!K42,FIND("x",ARCH!K42)+1,9))))</f>
        <v>336</v>
      </c>
      <c r="L42" s="10" t="n">
        <f aca="false">IF(ARCH!L42="",INPUTS!$B$19,IF(LEFT(ARCH!L42,1)="d",PI()/4*VALUE(MID(ARCH!L42,2,9))^2,VALUE(LEFT(ARCH!L42,FIND("x",ARCH!L42)-1))*VALUE(MID(ARCH!L42,FIND("x",ARCH!L42)+1,9))))</f>
        <v>336</v>
      </c>
      <c r="M42" s="10" t="n">
        <f aca="false">IF(ARCH!M42="",INPUTS!$B$19,IF(LEFT(ARCH!M42,1)="d",PI()/4*VALUE(MID(ARCH!M42,2,9))^2,VALUE(LEFT(ARCH!M42,FIND("x",ARCH!M42)-1))*VALUE(MID(ARCH!M42,FIND("x",ARCH!M42)+1,9))))</f>
        <v>336</v>
      </c>
      <c r="N42" s="10" t="n">
        <f aca="false">IF(ARCH!N42="",INPUTS!$B$19,IF(LEFT(ARCH!N42,1)="d",PI()/4*VALUE(MID(ARCH!N42,2,9))^2,VALUE(LEFT(ARCH!N42,FIND("x",ARCH!N42)-1))*VALUE(MID(ARCH!N42,FIND("x",ARCH!N42)+1,9))))</f>
        <v>336</v>
      </c>
      <c r="O42" s="10" t="n">
        <f aca="false">IF(ARCH!O42="",INPUTS!$B$19,IF(LEFT(ARCH!O42,1)="d",PI()/4*VALUE(MID(ARCH!O42,2,9))^2,VALUE(LEFT(ARCH!O42,FIND("x",ARCH!O42)-1))*VALUE(MID(ARCH!O42,FIND("x",ARCH!O42)+1,9))))</f>
        <v>336</v>
      </c>
      <c r="P42" s="10" t="n">
        <f aca="false">IF(ARCH!P42="",INPUTS!$B$19,IF(LEFT(ARCH!P42,1)="d",PI()/4*VALUE(MID(ARCH!P42,2,9))^2,VALUE(LEFT(ARCH!P42,FIND("x",ARCH!P42)-1))*VALUE(MID(ARCH!P42,FIND("x",ARCH!P42)+1,9))))</f>
        <v>336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10" t="n">
        <f aca="false">IF(ARCH!E43="",INPUTS!$B$19,IF(LEFT(ARCH!E43,1)="d",PI()/4*VALUE(MID(ARCH!E43,2,9))^2,VALUE(LEFT(ARCH!E43,FIND("x",ARCH!E43)-1))*VALUE(MID(ARCH!E43,FIND("x",ARCH!E43)+1,9))))</f>
        <v>504</v>
      </c>
      <c r="F43" s="10" t="n">
        <f aca="false">IF(ARCH!F43="",INPUTS!$B$19,IF(LEFT(ARCH!F43,1)="d",PI()/4*VALUE(MID(ARCH!F43,2,9))^2,VALUE(LEFT(ARCH!F43,FIND("x",ARCH!F43)-1))*VALUE(MID(ARCH!F43,FIND("x",ARCH!F43)+1,9))))</f>
        <v>504</v>
      </c>
      <c r="G43" s="10" t="n">
        <f aca="false">IF(ARCH!G43="",INPUTS!$B$19,IF(LEFT(ARCH!G43,1)="d",PI()/4*VALUE(MID(ARCH!G43,2,9))^2,VALUE(LEFT(ARCH!G43,FIND("x",ARCH!G43)-1))*VALUE(MID(ARCH!G43,FIND("x",ARCH!G43)+1,9))))</f>
        <v>504</v>
      </c>
      <c r="H43" s="10" t="n">
        <f aca="false">IF(ARCH!H43="",INPUTS!$B$19,IF(LEFT(ARCH!H43,1)="d",PI()/4*VALUE(MID(ARCH!H43,2,9))^2,VALUE(LEFT(ARCH!H43,FIND("x",ARCH!H43)-1))*VALUE(MID(ARCH!H43,FIND("x",ARCH!H43)+1,9))))</f>
        <v>504</v>
      </c>
      <c r="I43" s="10" t="n">
        <f aca="false">IF(ARCH!I43="",INPUTS!$B$19,IF(LEFT(ARCH!I43,1)="d",PI()/4*VALUE(MID(ARCH!I43,2,9))^2,VALUE(LEFT(ARCH!I43,FIND("x",ARCH!I43)-1))*VALUE(MID(ARCH!I43,FIND("x",ARCH!I43)+1,9))))</f>
        <v>504</v>
      </c>
      <c r="J43" s="10" t="n">
        <f aca="false">IF(ARCH!J43="",INPUTS!$B$19,IF(LEFT(ARCH!J43,1)="d",PI()/4*VALUE(MID(ARCH!J43,2,9))^2,VALUE(LEFT(ARCH!J43,FIND("x",ARCH!J43)-1))*VALUE(MID(ARCH!J43,FIND("x",ARCH!J43)+1,9))))</f>
        <v>504</v>
      </c>
      <c r="K43" s="10" t="n">
        <f aca="false">IF(ARCH!K43="",INPUTS!$B$19,IF(LEFT(ARCH!K43,1)="d",PI()/4*VALUE(MID(ARCH!K43,2,9))^2,VALUE(LEFT(ARCH!K43,FIND("x",ARCH!K43)-1))*VALUE(MID(ARCH!K43,FIND("x",ARCH!K43)+1,9))))</f>
        <v>504</v>
      </c>
      <c r="L43" s="10" t="n">
        <f aca="false">IF(ARCH!L43="",INPUTS!$B$19,IF(LEFT(ARCH!L43,1)="d",PI()/4*VALUE(MID(ARCH!L43,2,9))^2,VALUE(LEFT(ARCH!L43,FIND("x",ARCH!L43)-1))*VALUE(MID(ARCH!L43,FIND("x",ARCH!L43)+1,9))))</f>
        <v>504</v>
      </c>
      <c r="M43" s="10" t="n">
        <f aca="false">IF(ARCH!M43="",INPUTS!$B$19,IF(LEFT(ARCH!M43,1)="d",PI()/4*VALUE(MID(ARCH!M43,2,9))^2,VALUE(LEFT(ARCH!M43,FIND("x",ARCH!M43)-1))*VALUE(MID(ARCH!M43,FIND("x",ARCH!M43)+1,9))))</f>
        <v>504</v>
      </c>
      <c r="N43" s="10" t="n">
        <f aca="false">IF(ARCH!N43="",INPUTS!$B$19,IF(LEFT(ARCH!N43,1)="d",PI()/4*VALUE(MID(ARCH!N43,2,9))^2,VALUE(LEFT(ARCH!N43,FIND("x",ARCH!N43)-1))*VALUE(MID(ARCH!N43,FIND("x",ARCH!N43)+1,9))))</f>
        <v>504</v>
      </c>
      <c r="O43" s="10" t="n">
        <f aca="false">IF(ARCH!O43="",INPUTS!$B$19,IF(LEFT(ARCH!O43,1)="d",PI()/4*VALUE(MID(ARCH!O43,2,9))^2,VALUE(LEFT(ARCH!O43,FIND("x",ARCH!O43)-1))*VALUE(MID(ARCH!O43,FIND("x",ARCH!O43)+1,9))))</f>
        <v>504</v>
      </c>
      <c r="P43" s="10" t="n">
        <f aca="false">IF(ARCH!P43="",INPUTS!$B$19,IF(LEFT(ARCH!P43,1)="d",PI()/4*VALUE(MID(ARCH!P43,2,9))^2,VALUE(LEFT(ARCH!P43,FIND("x",ARCH!P43)-1))*VALUE(MID(ARCH!P43,FIND("x",ARCH!P43)+1,9))))</f>
        <v>504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10" t="n">
        <f aca="false">IF(ARCH!E44="",INPUTS!$B$19,IF(LEFT(ARCH!E44,1)="d",PI()/4*VALUE(MID(ARCH!E44,2,9))^2,VALUE(LEFT(ARCH!E44,FIND("x",ARCH!E44)-1))*VALUE(MID(ARCH!E44,FIND("x",ARCH!E44)+1,9))))</f>
        <v>336</v>
      </c>
      <c r="F44" s="10" t="n">
        <f aca="false">IF(ARCH!F44="",INPUTS!$B$19,IF(LEFT(ARCH!F44,1)="d",PI()/4*VALUE(MID(ARCH!F44,2,9))^2,VALUE(LEFT(ARCH!F44,FIND("x",ARCH!F44)-1))*VALUE(MID(ARCH!F44,FIND("x",ARCH!F44)+1,9))))</f>
        <v>336</v>
      </c>
      <c r="G44" s="10" t="n">
        <f aca="false">IF(ARCH!G44="",INPUTS!$B$19,IF(LEFT(ARCH!G44,1)="d",PI()/4*VALUE(MID(ARCH!G44,2,9))^2,VALUE(LEFT(ARCH!G44,FIND("x",ARCH!G44)-1))*VALUE(MID(ARCH!G44,FIND("x",ARCH!G44)+1,9))))</f>
        <v>336</v>
      </c>
      <c r="H44" s="10" t="n">
        <f aca="false">IF(ARCH!H44="",INPUTS!$B$19,IF(LEFT(ARCH!H44,1)="d",PI()/4*VALUE(MID(ARCH!H44,2,9))^2,VALUE(LEFT(ARCH!H44,FIND("x",ARCH!H44)-1))*VALUE(MID(ARCH!H44,FIND("x",ARCH!H44)+1,9))))</f>
        <v>336</v>
      </c>
      <c r="I44" s="10" t="n">
        <f aca="false">IF(ARCH!I44="",INPUTS!$B$19,IF(LEFT(ARCH!I44,1)="d",PI()/4*VALUE(MID(ARCH!I44,2,9))^2,VALUE(LEFT(ARCH!I44,FIND("x",ARCH!I44)-1))*VALUE(MID(ARCH!I44,FIND("x",ARCH!I44)+1,9))))</f>
        <v>336</v>
      </c>
      <c r="J44" s="10" t="n">
        <f aca="false">IF(ARCH!J44="",INPUTS!$B$19,IF(LEFT(ARCH!J44,1)="d",PI()/4*VALUE(MID(ARCH!J44,2,9))^2,VALUE(LEFT(ARCH!J44,FIND("x",ARCH!J44)-1))*VALUE(MID(ARCH!J44,FIND("x",ARCH!J44)+1,9))))</f>
        <v>336</v>
      </c>
      <c r="K44" s="10" t="n">
        <f aca="false">IF(ARCH!K44="",INPUTS!$B$19,IF(LEFT(ARCH!K44,1)="d",PI()/4*VALUE(MID(ARCH!K44,2,9))^2,VALUE(LEFT(ARCH!K44,FIND("x",ARCH!K44)-1))*VALUE(MID(ARCH!K44,FIND("x",ARCH!K44)+1,9))))</f>
        <v>336</v>
      </c>
      <c r="L44" s="10" t="n">
        <f aca="false">IF(ARCH!L44="",INPUTS!$B$19,IF(LEFT(ARCH!L44,1)="d",PI()/4*VALUE(MID(ARCH!L44,2,9))^2,VALUE(LEFT(ARCH!L44,FIND("x",ARCH!L44)-1))*VALUE(MID(ARCH!L44,FIND("x",ARCH!L44)+1,9))))</f>
        <v>336</v>
      </c>
      <c r="M44" s="10" t="n">
        <f aca="false">IF(ARCH!M44="",INPUTS!$B$19,IF(LEFT(ARCH!M44,1)="d",PI()/4*VALUE(MID(ARCH!M44,2,9))^2,VALUE(LEFT(ARCH!M44,FIND("x",ARCH!M44)-1))*VALUE(MID(ARCH!M44,FIND("x",ARCH!M44)+1,9))))</f>
        <v>336</v>
      </c>
      <c r="N44" s="10" t="n">
        <f aca="false">IF(ARCH!N44="",INPUTS!$B$19,IF(LEFT(ARCH!N44,1)="d",PI()/4*VALUE(MID(ARCH!N44,2,9))^2,VALUE(LEFT(ARCH!N44,FIND("x",ARCH!N44)-1))*VALUE(MID(ARCH!N44,FIND("x",ARCH!N44)+1,9))))</f>
        <v>336</v>
      </c>
      <c r="O44" s="10" t="n">
        <f aca="false">IF(ARCH!O44="",INPUTS!$B$19,IF(LEFT(ARCH!O44,1)="d",PI()/4*VALUE(MID(ARCH!O44,2,9))^2,VALUE(LEFT(ARCH!O44,FIND("x",ARCH!O44)-1))*VALUE(MID(ARCH!O44,FIND("x",ARCH!O44)+1,9))))</f>
        <v>336</v>
      </c>
      <c r="P44" s="10" t="n">
        <f aca="false">IF(ARCH!P44="",INPUTS!$B$19,IF(LEFT(ARCH!P44,1)="d",PI()/4*VALUE(MID(ARCH!P44,2,9))^2,VALUE(LEFT(ARCH!P44,FIND("x",ARCH!P44)-1))*VALUE(MID(ARCH!P44,FIND("x",ARCH!P44)+1,9))))</f>
        <v>336</v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10" t="n">
        <f aca="false">IF(ARCH!E45="",INPUTS!$B$19,IF(LEFT(ARCH!E45,1)="d",PI()/4*VALUE(MID(ARCH!E45,2,9))^2,VALUE(LEFT(ARCH!E45,FIND("x",ARCH!E45)-1))*VALUE(MID(ARCH!E45,FIND("x",ARCH!E45)+1,9))))</f>
        <v>336</v>
      </c>
      <c r="F45" s="10" t="n">
        <f aca="false">IF(ARCH!F45="",INPUTS!$B$19,IF(LEFT(ARCH!F45,1)="d",PI()/4*VALUE(MID(ARCH!F45,2,9))^2,VALUE(LEFT(ARCH!F45,FIND("x",ARCH!F45)-1))*VALUE(MID(ARCH!F45,FIND("x",ARCH!F45)+1,9))))</f>
        <v>336</v>
      </c>
      <c r="G45" s="10" t="n">
        <f aca="false">IF(ARCH!G45="",INPUTS!$B$19,IF(LEFT(ARCH!G45,1)="d",PI()/4*VALUE(MID(ARCH!G45,2,9))^2,VALUE(LEFT(ARCH!G45,FIND("x",ARCH!G45)-1))*VALUE(MID(ARCH!G45,FIND("x",ARCH!G45)+1,9))))</f>
        <v>336</v>
      </c>
      <c r="H45" s="10" t="n">
        <f aca="false">IF(ARCH!H45="",INPUTS!$B$19,IF(LEFT(ARCH!H45,1)="d",PI()/4*VALUE(MID(ARCH!H45,2,9))^2,VALUE(LEFT(ARCH!H45,FIND("x",ARCH!H45)-1))*VALUE(MID(ARCH!H45,FIND("x",ARCH!H45)+1,9))))</f>
        <v>336</v>
      </c>
      <c r="I45" s="10" t="n">
        <f aca="false">IF(ARCH!I45="",INPUTS!$B$19,IF(LEFT(ARCH!I45,1)="d",PI()/4*VALUE(MID(ARCH!I45,2,9))^2,VALUE(LEFT(ARCH!I45,FIND("x",ARCH!I45)-1))*VALUE(MID(ARCH!I45,FIND("x",ARCH!I45)+1,9))))</f>
        <v>336</v>
      </c>
      <c r="J45" s="10" t="n">
        <f aca="false">IF(ARCH!J45="",INPUTS!$B$19,IF(LEFT(ARCH!J45,1)="d",PI()/4*VALUE(MID(ARCH!J45,2,9))^2,VALUE(LEFT(ARCH!J45,FIND("x",ARCH!J45)-1))*VALUE(MID(ARCH!J45,FIND("x",ARCH!J45)+1,9))))</f>
        <v>336</v>
      </c>
      <c r="K45" s="10" t="n">
        <f aca="false">IF(ARCH!K45="",INPUTS!$B$19,IF(LEFT(ARCH!K45,1)="d",PI()/4*VALUE(MID(ARCH!K45,2,9))^2,VALUE(LEFT(ARCH!K45,FIND("x",ARCH!K45)-1))*VALUE(MID(ARCH!K45,FIND("x",ARCH!K45)+1,9))))</f>
        <v>336</v>
      </c>
      <c r="L45" s="10" t="n">
        <f aca="false">IF(ARCH!L45="",INPUTS!$B$19,IF(LEFT(ARCH!L45,1)="d",PI()/4*VALUE(MID(ARCH!L45,2,9))^2,VALUE(LEFT(ARCH!L45,FIND("x",ARCH!L45)-1))*VALUE(MID(ARCH!L45,FIND("x",ARCH!L45)+1,9))))</f>
        <v>336</v>
      </c>
      <c r="M45" s="10" t="n">
        <f aca="false">IF(ARCH!M45="",INPUTS!$B$19,IF(LEFT(ARCH!M45,1)="d",PI()/4*VALUE(MID(ARCH!M45,2,9))^2,VALUE(LEFT(ARCH!M45,FIND("x",ARCH!M45)-1))*VALUE(MID(ARCH!M45,FIND("x",ARCH!M45)+1,9))))</f>
        <v>336</v>
      </c>
      <c r="N45" s="10" t="n">
        <f aca="false">IF(ARCH!N45="",INPUTS!$B$19,IF(LEFT(ARCH!N45,1)="d",PI()/4*VALUE(MID(ARCH!N45,2,9))^2,VALUE(LEFT(ARCH!N45,FIND("x",ARCH!N45)-1))*VALUE(MID(ARCH!N45,FIND("x",ARCH!N45)+1,9))))</f>
        <v>336</v>
      </c>
      <c r="O45" s="10" t="n">
        <f aca="false">IF(ARCH!O45="",INPUTS!$B$19,IF(LEFT(ARCH!O45,1)="d",PI()/4*VALUE(MID(ARCH!O45,2,9))^2,VALUE(LEFT(ARCH!O45,FIND("x",ARCH!O45)-1))*VALUE(MID(ARCH!O45,FIND("x",ARCH!O45)+1,9))))</f>
        <v>336</v>
      </c>
      <c r="P45" s="10" t="n">
        <f aca="false">IF(ARCH!P45="",INPUTS!$B$19,IF(LEFT(ARCH!P45,1)="d",PI()/4*VALUE(MID(ARCH!P45,2,9))^2,VALUE(LEFT(ARCH!P45,FIND("x",ARCH!P45)-1))*VALUE(MID(ARCH!P45,FIND("x",ARCH!P45)+1,9))))</f>
        <v>336</v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10" t="n">
        <f aca="false">IF(ARCH!E46="",INPUTS!$B$19,IF(LEFT(ARCH!E46,1)="d",PI()/4*VALUE(MID(ARCH!E46,2,9))^2,VALUE(LEFT(ARCH!E46,FIND("x",ARCH!E46)-1))*VALUE(MID(ARCH!E46,FIND("x",ARCH!E46)+1,9))))</f>
        <v>504</v>
      </c>
      <c r="F46" s="10" t="n">
        <f aca="false">IF(ARCH!F46="",INPUTS!$B$19,IF(LEFT(ARCH!F46,1)="d",PI()/4*VALUE(MID(ARCH!F46,2,9))^2,VALUE(LEFT(ARCH!F46,FIND("x",ARCH!F46)-1))*VALUE(MID(ARCH!F46,FIND("x",ARCH!F46)+1,9))))</f>
        <v>504</v>
      </c>
      <c r="G46" s="10" t="n">
        <f aca="false">IF(ARCH!G46="",INPUTS!$B$19,IF(LEFT(ARCH!G46,1)="d",PI()/4*VALUE(MID(ARCH!G46,2,9))^2,VALUE(LEFT(ARCH!G46,FIND("x",ARCH!G46)-1))*VALUE(MID(ARCH!G46,FIND("x",ARCH!G46)+1,9))))</f>
        <v>504</v>
      </c>
      <c r="H46" s="10" t="n">
        <f aca="false">IF(ARCH!H46="",INPUTS!$B$19,IF(LEFT(ARCH!H46,1)="d",PI()/4*VALUE(MID(ARCH!H46,2,9))^2,VALUE(LEFT(ARCH!H46,FIND("x",ARCH!H46)-1))*VALUE(MID(ARCH!H46,FIND("x",ARCH!H46)+1,9))))</f>
        <v>504</v>
      </c>
      <c r="I46" s="10" t="n">
        <f aca="false">IF(ARCH!I46="",INPUTS!$B$19,IF(LEFT(ARCH!I46,1)="d",PI()/4*VALUE(MID(ARCH!I46,2,9))^2,VALUE(LEFT(ARCH!I46,FIND("x",ARCH!I46)-1))*VALUE(MID(ARCH!I46,FIND("x",ARCH!I46)+1,9))))</f>
        <v>504</v>
      </c>
      <c r="J46" s="10" t="n">
        <f aca="false">IF(ARCH!J46="",INPUTS!$B$19,IF(LEFT(ARCH!J46,1)="d",PI()/4*VALUE(MID(ARCH!J46,2,9))^2,VALUE(LEFT(ARCH!J46,FIND("x",ARCH!J46)-1))*VALUE(MID(ARCH!J46,FIND("x",ARCH!J46)+1,9))))</f>
        <v>504</v>
      </c>
      <c r="K46" s="10" t="n">
        <f aca="false">IF(ARCH!K46="",INPUTS!$B$19,IF(LEFT(ARCH!K46,1)="d",PI()/4*VALUE(MID(ARCH!K46,2,9))^2,VALUE(LEFT(ARCH!K46,FIND("x",ARCH!K46)-1))*VALUE(MID(ARCH!K46,FIND("x",ARCH!K46)+1,9))))</f>
        <v>504</v>
      </c>
      <c r="L46" s="10" t="n">
        <f aca="false">IF(ARCH!L46="",INPUTS!$B$19,IF(LEFT(ARCH!L46,1)="d",PI()/4*VALUE(MID(ARCH!L46,2,9))^2,VALUE(LEFT(ARCH!L46,FIND("x",ARCH!L46)-1))*VALUE(MID(ARCH!L46,FIND("x",ARCH!L46)+1,9))))</f>
        <v>504</v>
      </c>
      <c r="M46" s="10" t="n">
        <f aca="false">IF(ARCH!M46="",INPUTS!$B$19,IF(LEFT(ARCH!M46,1)="d",PI()/4*VALUE(MID(ARCH!M46,2,9))^2,VALUE(LEFT(ARCH!M46,FIND("x",ARCH!M46)-1))*VALUE(MID(ARCH!M46,FIND("x",ARCH!M46)+1,9))))</f>
        <v>504</v>
      </c>
      <c r="N46" s="10" t="n">
        <f aca="false">IF(ARCH!N46="",INPUTS!$B$19,IF(LEFT(ARCH!N46,1)="d",PI()/4*VALUE(MID(ARCH!N46,2,9))^2,VALUE(LEFT(ARCH!N46,FIND("x",ARCH!N46)-1))*VALUE(MID(ARCH!N46,FIND("x",ARCH!N46)+1,9))))</f>
        <v>504</v>
      </c>
      <c r="O46" s="10" t="n">
        <f aca="false">IF(ARCH!O46="",INPUTS!$B$19,IF(LEFT(ARCH!O46,1)="d",PI()/4*VALUE(MID(ARCH!O46,2,9))^2,VALUE(LEFT(ARCH!O46,FIND("x",ARCH!O46)-1))*VALUE(MID(ARCH!O46,FIND("x",ARCH!O46)+1,9))))</f>
        <v>504</v>
      </c>
      <c r="P46" s="10" t="n">
        <f aca="false">IF(ARCH!P46="",INPUTS!$B$19,IF(LEFT(ARCH!P46,1)="d",PI()/4*VALUE(MID(ARCH!P46,2,9))^2,VALUE(LEFT(ARCH!P46,FIND("x",ARCH!P46)-1))*VALUE(MID(ARCH!P46,FIND("x",ARCH!P46)+1,9))))</f>
        <v>504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10" t="n">
        <f aca="false">IF(ARCH!E47="",INPUTS!$B$19,IF(LEFT(ARCH!E47,1)="d",PI()/4*VALUE(MID(ARCH!E47,2,9))^2,VALUE(LEFT(ARCH!E47,FIND("x",ARCH!E47)-1))*VALUE(MID(ARCH!E47,FIND("x",ARCH!E47)+1,9))))</f>
        <v>504</v>
      </c>
      <c r="F47" s="10" t="n">
        <f aca="false">IF(ARCH!F47="",INPUTS!$B$19,IF(LEFT(ARCH!F47,1)="d",PI()/4*VALUE(MID(ARCH!F47,2,9))^2,VALUE(LEFT(ARCH!F47,FIND("x",ARCH!F47)-1))*VALUE(MID(ARCH!F47,FIND("x",ARCH!F47)+1,9))))</f>
        <v>504</v>
      </c>
      <c r="G47" s="10" t="n">
        <f aca="false">IF(ARCH!G47="",INPUTS!$B$19,IF(LEFT(ARCH!G47,1)="d",PI()/4*VALUE(MID(ARCH!G47,2,9))^2,VALUE(LEFT(ARCH!G47,FIND("x",ARCH!G47)-1))*VALUE(MID(ARCH!G47,FIND("x",ARCH!G47)+1,9))))</f>
        <v>504</v>
      </c>
      <c r="H47" s="10" t="n">
        <f aca="false">IF(ARCH!H47="",INPUTS!$B$19,IF(LEFT(ARCH!H47,1)="d",PI()/4*VALUE(MID(ARCH!H47,2,9))^2,VALUE(LEFT(ARCH!H47,FIND("x",ARCH!H47)-1))*VALUE(MID(ARCH!H47,FIND("x",ARCH!H47)+1,9))))</f>
        <v>504</v>
      </c>
      <c r="I47" s="10" t="n">
        <f aca="false">IF(ARCH!I47="",INPUTS!$B$19,IF(LEFT(ARCH!I47,1)="d",PI()/4*VALUE(MID(ARCH!I47,2,9))^2,VALUE(LEFT(ARCH!I47,FIND("x",ARCH!I47)-1))*VALUE(MID(ARCH!I47,FIND("x",ARCH!I47)+1,9))))</f>
        <v>504</v>
      </c>
      <c r="J47" s="10" t="n">
        <f aca="false">IF(ARCH!J47="",INPUTS!$B$19,IF(LEFT(ARCH!J47,1)="d",PI()/4*VALUE(MID(ARCH!J47,2,9))^2,VALUE(LEFT(ARCH!J47,FIND("x",ARCH!J47)-1))*VALUE(MID(ARCH!J47,FIND("x",ARCH!J47)+1,9))))</f>
        <v>504</v>
      </c>
      <c r="K47" s="10" t="n">
        <f aca="false">IF(ARCH!K47="",INPUTS!$B$19,IF(LEFT(ARCH!K47,1)="d",PI()/4*VALUE(MID(ARCH!K47,2,9))^2,VALUE(LEFT(ARCH!K47,FIND("x",ARCH!K47)-1))*VALUE(MID(ARCH!K47,FIND("x",ARCH!K47)+1,9))))</f>
        <v>504</v>
      </c>
      <c r="L47" s="10" t="n">
        <f aca="false">IF(ARCH!L47="",INPUTS!$B$19,IF(LEFT(ARCH!L47,1)="d",PI()/4*VALUE(MID(ARCH!L47,2,9))^2,VALUE(LEFT(ARCH!L47,FIND("x",ARCH!L47)-1))*VALUE(MID(ARCH!L47,FIND("x",ARCH!L47)+1,9))))</f>
        <v>504</v>
      </c>
      <c r="M47" s="10" t="n">
        <f aca="false">IF(ARCH!M47="",INPUTS!$B$19,IF(LEFT(ARCH!M47,1)="d",PI()/4*VALUE(MID(ARCH!M47,2,9))^2,VALUE(LEFT(ARCH!M47,FIND("x",ARCH!M47)-1))*VALUE(MID(ARCH!M47,FIND("x",ARCH!M47)+1,9))))</f>
        <v>504</v>
      </c>
      <c r="N47" s="10" t="n">
        <f aca="false">IF(ARCH!N47="",INPUTS!$B$19,IF(LEFT(ARCH!N47,1)="d",PI()/4*VALUE(MID(ARCH!N47,2,9))^2,VALUE(LEFT(ARCH!N47,FIND("x",ARCH!N47)-1))*VALUE(MID(ARCH!N47,FIND("x",ARCH!N47)+1,9))))</f>
        <v>504</v>
      </c>
      <c r="O47" s="10" t="n">
        <f aca="false">IF(ARCH!O47="",INPUTS!$B$19,IF(LEFT(ARCH!O47,1)="d",PI()/4*VALUE(MID(ARCH!O47,2,9))^2,VALUE(LEFT(ARCH!O47,FIND("x",ARCH!O47)-1))*VALUE(MID(ARCH!O47,FIND("x",ARCH!O47)+1,9))))</f>
        <v>504</v>
      </c>
      <c r="P47" s="10" t="n">
        <f aca="false">IF(ARCH!P47="",INPUTS!$B$19,IF(LEFT(ARCH!P47,1)="d",PI()/4*VALUE(MID(ARCH!P47,2,9))^2,VALUE(LEFT(ARCH!P47,FIND("x",ARCH!P47)-1))*VALUE(MID(ARCH!P47,FIND("x",ARCH!P47)+1,9))))</f>
        <v>504</v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10" t="n">
        <f aca="false">IF(ARCH!E48="",INPUTS!$B$19,IF(LEFT(ARCH!E48,1)="d",PI()/4*VALUE(MID(ARCH!E48,2,9))^2,VALUE(LEFT(ARCH!E48,FIND("x",ARCH!E48)-1))*VALUE(MID(ARCH!E48,FIND("x",ARCH!E48)+1,9))))</f>
        <v>336</v>
      </c>
      <c r="F48" s="10" t="n">
        <f aca="false">IF(ARCH!F48="",INPUTS!$B$19,IF(LEFT(ARCH!F48,1)="d",PI()/4*VALUE(MID(ARCH!F48,2,9))^2,VALUE(LEFT(ARCH!F48,FIND("x",ARCH!F48)-1))*VALUE(MID(ARCH!F48,FIND("x",ARCH!F48)+1,9))))</f>
        <v>336</v>
      </c>
      <c r="G48" s="10" t="n">
        <f aca="false">IF(ARCH!G48="",INPUTS!$B$19,IF(LEFT(ARCH!G48,1)="d",PI()/4*VALUE(MID(ARCH!G48,2,9))^2,VALUE(LEFT(ARCH!G48,FIND("x",ARCH!G48)-1))*VALUE(MID(ARCH!G48,FIND("x",ARCH!G48)+1,9))))</f>
        <v>336</v>
      </c>
      <c r="H48" s="10" t="n">
        <f aca="false">IF(ARCH!H48="",INPUTS!$B$19,IF(LEFT(ARCH!H48,1)="d",PI()/4*VALUE(MID(ARCH!H48,2,9))^2,VALUE(LEFT(ARCH!H48,FIND("x",ARCH!H48)-1))*VALUE(MID(ARCH!H48,FIND("x",ARCH!H48)+1,9))))</f>
        <v>336</v>
      </c>
      <c r="I48" s="10" t="n">
        <f aca="false">IF(ARCH!I48="",INPUTS!$B$19,IF(LEFT(ARCH!I48,1)="d",PI()/4*VALUE(MID(ARCH!I48,2,9))^2,VALUE(LEFT(ARCH!I48,FIND("x",ARCH!I48)-1))*VALUE(MID(ARCH!I48,FIND("x",ARCH!I48)+1,9))))</f>
        <v>336</v>
      </c>
      <c r="J48" s="10" t="n">
        <f aca="false">IF(ARCH!J48="",INPUTS!$B$19,IF(LEFT(ARCH!J48,1)="d",PI()/4*VALUE(MID(ARCH!J48,2,9))^2,VALUE(LEFT(ARCH!J48,FIND("x",ARCH!J48)-1))*VALUE(MID(ARCH!J48,FIND("x",ARCH!J48)+1,9))))</f>
        <v>336</v>
      </c>
      <c r="K48" s="10" t="n">
        <f aca="false">IF(ARCH!K48="",INPUTS!$B$19,IF(LEFT(ARCH!K48,1)="d",PI()/4*VALUE(MID(ARCH!K48,2,9))^2,VALUE(LEFT(ARCH!K48,FIND("x",ARCH!K48)-1))*VALUE(MID(ARCH!K48,FIND("x",ARCH!K48)+1,9))))</f>
        <v>336</v>
      </c>
      <c r="L48" s="10" t="n">
        <f aca="false">IF(ARCH!L48="",INPUTS!$B$19,IF(LEFT(ARCH!L48,1)="d",PI()/4*VALUE(MID(ARCH!L48,2,9))^2,VALUE(LEFT(ARCH!L48,FIND("x",ARCH!L48)-1))*VALUE(MID(ARCH!L48,FIND("x",ARCH!L48)+1,9))))</f>
        <v>336</v>
      </c>
      <c r="M48" s="10" t="n">
        <f aca="false">IF(ARCH!M48="",INPUTS!$B$19,IF(LEFT(ARCH!M48,1)="d",PI()/4*VALUE(MID(ARCH!M48,2,9))^2,VALUE(LEFT(ARCH!M48,FIND("x",ARCH!M48)-1))*VALUE(MID(ARCH!M48,FIND("x",ARCH!M48)+1,9))))</f>
        <v>336</v>
      </c>
      <c r="N48" s="10" t="n">
        <f aca="false">IF(ARCH!N48="",INPUTS!$B$19,IF(LEFT(ARCH!N48,1)="d",PI()/4*VALUE(MID(ARCH!N48,2,9))^2,VALUE(LEFT(ARCH!N48,FIND("x",ARCH!N48)-1))*VALUE(MID(ARCH!N48,FIND("x",ARCH!N48)+1,9))))</f>
        <v>336</v>
      </c>
      <c r="O48" s="10" t="n">
        <f aca="false">IF(ARCH!O48="",INPUTS!$B$19,IF(LEFT(ARCH!O48,1)="d",PI()/4*VALUE(MID(ARCH!O48,2,9))^2,VALUE(LEFT(ARCH!O48,FIND("x",ARCH!O48)-1))*VALUE(MID(ARCH!O48,FIND("x",ARCH!O48)+1,9))))</f>
        <v>336</v>
      </c>
      <c r="P48" s="10" t="n">
        <f aca="false">IF(ARCH!P48="",INPUTS!$B$19,IF(LEFT(ARCH!P48,1)="d",PI()/4*VALUE(MID(ARCH!P48,2,9))^2,VALUE(LEFT(ARCH!P48,FIND("x",ARCH!P48)-1))*VALUE(MID(ARCH!P48,FIND("x",ARCH!P48)+1,9))))</f>
        <v>336</v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10" t="n">
        <f aca="false">IF(ARCH!E49="",INPUTS!$B$19,IF(LEFT(ARCH!E49,1)="d",PI()/4*VALUE(MID(ARCH!E49,2,9))^2,VALUE(LEFT(ARCH!E49,FIND("x",ARCH!E49)-1))*VALUE(MID(ARCH!E49,FIND("x",ARCH!E49)+1,9))))</f>
        <v>336</v>
      </c>
      <c r="F49" s="10" t="n">
        <f aca="false">IF(ARCH!F49="",INPUTS!$B$19,IF(LEFT(ARCH!F49,1)="d",PI()/4*VALUE(MID(ARCH!F49,2,9))^2,VALUE(LEFT(ARCH!F49,FIND("x",ARCH!F49)-1))*VALUE(MID(ARCH!F49,FIND("x",ARCH!F49)+1,9))))</f>
        <v>336</v>
      </c>
      <c r="G49" s="10" t="n">
        <f aca="false">IF(ARCH!G49="",INPUTS!$B$19,IF(LEFT(ARCH!G49,1)="d",PI()/4*VALUE(MID(ARCH!G49,2,9))^2,VALUE(LEFT(ARCH!G49,FIND("x",ARCH!G49)-1))*VALUE(MID(ARCH!G49,FIND("x",ARCH!G49)+1,9))))</f>
        <v>336</v>
      </c>
      <c r="H49" s="10" t="n">
        <f aca="false">IF(ARCH!H49="",INPUTS!$B$19,IF(LEFT(ARCH!H49,1)="d",PI()/4*VALUE(MID(ARCH!H49,2,9))^2,VALUE(LEFT(ARCH!H49,FIND("x",ARCH!H49)-1))*VALUE(MID(ARCH!H49,FIND("x",ARCH!H49)+1,9))))</f>
        <v>336</v>
      </c>
      <c r="I49" s="10" t="n">
        <f aca="false">IF(ARCH!I49="",INPUTS!$B$19,IF(LEFT(ARCH!I49,1)="d",PI()/4*VALUE(MID(ARCH!I49,2,9))^2,VALUE(LEFT(ARCH!I49,FIND("x",ARCH!I49)-1))*VALUE(MID(ARCH!I49,FIND("x",ARCH!I49)+1,9))))</f>
        <v>336</v>
      </c>
      <c r="J49" s="10" t="n">
        <f aca="false">IF(ARCH!J49="",INPUTS!$B$19,IF(LEFT(ARCH!J49,1)="d",PI()/4*VALUE(MID(ARCH!J49,2,9))^2,VALUE(LEFT(ARCH!J49,FIND("x",ARCH!J49)-1))*VALUE(MID(ARCH!J49,FIND("x",ARCH!J49)+1,9))))</f>
        <v>336</v>
      </c>
      <c r="K49" s="10" t="n">
        <f aca="false">IF(ARCH!K49="",INPUTS!$B$19,IF(LEFT(ARCH!K49,1)="d",PI()/4*VALUE(MID(ARCH!K49,2,9))^2,VALUE(LEFT(ARCH!K49,FIND("x",ARCH!K49)-1))*VALUE(MID(ARCH!K49,FIND("x",ARCH!K49)+1,9))))</f>
        <v>336</v>
      </c>
      <c r="L49" s="10" t="n">
        <f aca="false">IF(ARCH!L49="",INPUTS!$B$19,IF(LEFT(ARCH!L49,1)="d",PI()/4*VALUE(MID(ARCH!L49,2,9))^2,VALUE(LEFT(ARCH!L49,FIND("x",ARCH!L49)-1))*VALUE(MID(ARCH!L49,FIND("x",ARCH!L49)+1,9))))</f>
        <v>336</v>
      </c>
      <c r="M49" s="10" t="n">
        <f aca="false">IF(ARCH!M49="",INPUTS!$B$19,IF(LEFT(ARCH!M49,1)="d",PI()/4*VALUE(MID(ARCH!M49,2,9))^2,VALUE(LEFT(ARCH!M49,FIND("x",ARCH!M49)-1))*VALUE(MID(ARCH!M49,FIND("x",ARCH!M49)+1,9))))</f>
        <v>336</v>
      </c>
      <c r="N49" s="10" t="n">
        <f aca="false">IF(ARCH!N49="",INPUTS!$B$19,IF(LEFT(ARCH!N49,1)="d",PI()/4*VALUE(MID(ARCH!N49,2,9))^2,VALUE(LEFT(ARCH!N49,FIND("x",ARCH!N49)-1))*VALUE(MID(ARCH!N49,FIND("x",ARCH!N49)+1,9))))</f>
        <v>336</v>
      </c>
      <c r="O49" s="10" t="n">
        <f aca="false">IF(ARCH!O49="",INPUTS!$B$19,IF(LEFT(ARCH!O49,1)="d",PI()/4*VALUE(MID(ARCH!O49,2,9))^2,VALUE(LEFT(ARCH!O49,FIND("x",ARCH!O49)-1))*VALUE(MID(ARCH!O49,FIND("x",ARCH!O49)+1,9))))</f>
        <v>336</v>
      </c>
      <c r="P49" s="10" t="n">
        <f aca="false">IF(ARCH!P49="",INPUTS!$B$19,IF(LEFT(ARCH!P49,1)="d",PI()/4*VALUE(MID(ARCH!P49,2,9))^2,VALUE(LEFT(ARCH!P49,FIND("x",ARCH!P49)-1))*VALUE(MID(ARCH!P49,FIND("x",ARCH!P49)+1,9))))</f>
        <v>336</v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10" t="n">
        <f aca="false">IF(ARCH!E50="",INPUTS!$B$19,IF(LEFT(ARCH!E50,1)="d",PI()/4*VALUE(MID(ARCH!E50,2,9))^2,VALUE(LEFT(ARCH!E50,FIND("x",ARCH!E50)-1))*VALUE(MID(ARCH!E50,FIND("x",ARCH!E50)+1,9))))</f>
        <v>336</v>
      </c>
      <c r="F50" s="10" t="n">
        <f aca="false">IF(ARCH!F50="",INPUTS!$B$19,IF(LEFT(ARCH!F50,1)="d",PI()/4*VALUE(MID(ARCH!F50,2,9))^2,VALUE(LEFT(ARCH!F50,FIND("x",ARCH!F50)-1))*VALUE(MID(ARCH!F50,FIND("x",ARCH!F50)+1,9))))</f>
        <v>336</v>
      </c>
      <c r="G50" s="10" t="n">
        <f aca="false">IF(ARCH!G50="",INPUTS!$B$19,IF(LEFT(ARCH!G50,1)="d",PI()/4*VALUE(MID(ARCH!G50,2,9))^2,VALUE(LEFT(ARCH!G50,FIND("x",ARCH!G50)-1))*VALUE(MID(ARCH!G50,FIND("x",ARCH!G50)+1,9))))</f>
        <v>336</v>
      </c>
      <c r="H50" s="10" t="n">
        <f aca="false">IF(ARCH!H50="",INPUTS!$B$19,IF(LEFT(ARCH!H50,1)="d",PI()/4*VALUE(MID(ARCH!H50,2,9))^2,VALUE(LEFT(ARCH!H50,FIND("x",ARCH!H50)-1))*VALUE(MID(ARCH!H50,FIND("x",ARCH!H50)+1,9))))</f>
        <v>336</v>
      </c>
      <c r="I50" s="10" t="n">
        <f aca="false">IF(ARCH!I50="",INPUTS!$B$19,IF(LEFT(ARCH!I50,1)="d",PI()/4*VALUE(MID(ARCH!I50,2,9))^2,VALUE(LEFT(ARCH!I50,FIND("x",ARCH!I50)-1))*VALUE(MID(ARCH!I50,FIND("x",ARCH!I50)+1,9))))</f>
        <v>336</v>
      </c>
      <c r="J50" s="10" t="n">
        <f aca="false">IF(ARCH!J50="",INPUTS!$B$19,IF(LEFT(ARCH!J50,1)="d",PI()/4*VALUE(MID(ARCH!J50,2,9))^2,VALUE(LEFT(ARCH!J50,FIND("x",ARCH!J50)-1))*VALUE(MID(ARCH!J50,FIND("x",ARCH!J50)+1,9))))</f>
        <v>336</v>
      </c>
      <c r="K50" s="10" t="n">
        <f aca="false">IF(ARCH!K50="",INPUTS!$B$19,IF(LEFT(ARCH!K50,1)="d",PI()/4*VALUE(MID(ARCH!K50,2,9))^2,VALUE(LEFT(ARCH!K50,FIND("x",ARCH!K50)-1))*VALUE(MID(ARCH!K50,FIND("x",ARCH!K50)+1,9))))</f>
        <v>336</v>
      </c>
      <c r="L50" s="10" t="n">
        <f aca="false">IF(ARCH!L50="",INPUTS!$B$19,IF(LEFT(ARCH!L50,1)="d",PI()/4*VALUE(MID(ARCH!L50,2,9))^2,VALUE(LEFT(ARCH!L50,FIND("x",ARCH!L50)-1))*VALUE(MID(ARCH!L50,FIND("x",ARCH!L50)+1,9))))</f>
        <v>336</v>
      </c>
      <c r="M50" s="10" t="n">
        <f aca="false">IF(ARCH!M50="",INPUTS!$B$19,IF(LEFT(ARCH!M50,1)="d",PI()/4*VALUE(MID(ARCH!M50,2,9))^2,VALUE(LEFT(ARCH!M50,FIND("x",ARCH!M50)-1))*VALUE(MID(ARCH!M50,FIND("x",ARCH!M50)+1,9))))</f>
        <v>336</v>
      </c>
      <c r="N50" s="10" t="n">
        <f aca="false">IF(ARCH!N50="",INPUTS!$B$19,IF(LEFT(ARCH!N50,1)="d",PI()/4*VALUE(MID(ARCH!N50,2,9))^2,VALUE(LEFT(ARCH!N50,FIND("x",ARCH!N50)-1))*VALUE(MID(ARCH!N50,FIND("x",ARCH!N50)+1,9))))</f>
        <v>336</v>
      </c>
      <c r="O50" s="10" t="n">
        <f aca="false">IF(ARCH!O50="",INPUTS!$B$19,IF(LEFT(ARCH!O50,1)="d",PI()/4*VALUE(MID(ARCH!O50,2,9))^2,VALUE(LEFT(ARCH!O50,FIND("x",ARCH!O50)-1))*VALUE(MID(ARCH!O50,FIND("x",ARCH!O50)+1,9))))</f>
        <v>336</v>
      </c>
      <c r="P50" s="10" t="n">
        <f aca="false">IF(ARCH!P50="",INPUTS!$B$19,IF(LEFT(ARCH!P50,1)="d",PI()/4*VALUE(MID(ARCH!P50,2,9))^2,VALUE(LEFT(ARCH!P50,FIND("x",ARCH!P50)-1))*VALUE(MID(ARCH!P50,FIND("x",ARCH!P50)+1,9))))</f>
        <v>336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10" t="n">
        <f aca="false">IF(ARCH!E51="",INPUTS!$B$19,IF(LEFT(ARCH!E51,1)="d",PI()/4*VALUE(MID(ARCH!E51,2,9))^2,VALUE(LEFT(ARCH!E51,FIND("x",ARCH!E51)-1))*VALUE(MID(ARCH!E51,FIND("x",ARCH!E51)+1,9))))</f>
        <v>336</v>
      </c>
      <c r="F51" s="10" t="n">
        <f aca="false">IF(ARCH!F51="",INPUTS!$B$19,IF(LEFT(ARCH!F51,1)="d",PI()/4*VALUE(MID(ARCH!F51,2,9))^2,VALUE(LEFT(ARCH!F51,FIND("x",ARCH!F51)-1))*VALUE(MID(ARCH!F51,FIND("x",ARCH!F51)+1,9))))</f>
        <v>336</v>
      </c>
      <c r="G51" s="10" t="n">
        <f aca="false">IF(ARCH!G51="",INPUTS!$B$19,IF(LEFT(ARCH!G51,1)="d",PI()/4*VALUE(MID(ARCH!G51,2,9))^2,VALUE(LEFT(ARCH!G51,FIND("x",ARCH!G51)-1))*VALUE(MID(ARCH!G51,FIND("x",ARCH!G51)+1,9))))</f>
        <v>336</v>
      </c>
      <c r="H51" s="10" t="n">
        <f aca="false">IF(ARCH!H51="",INPUTS!$B$19,IF(LEFT(ARCH!H51,1)="d",PI()/4*VALUE(MID(ARCH!H51,2,9))^2,VALUE(LEFT(ARCH!H51,FIND("x",ARCH!H51)-1))*VALUE(MID(ARCH!H51,FIND("x",ARCH!H51)+1,9))))</f>
        <v>336</v>
      </c>
      <c r="I51" s="10" t="n">
        <f aca="false">IF(ARCH!I51="",INPUTS!$B$19,IF(LEFT(ARCH!I51,1)="d",PI()/4*VALUE(MID(ARCH!I51,2,9))^2,VALUE(LEFT(ARCH!I51,FIND("x",ARCH!I51)-1))*VALUE(MID(ARCH!I51,FIND("x",ARCH!I51)+1,9))))</f>
        <v>336</v>
      </c>
      <c r="J51" s="10" t="n">
        <f aca="false">IF(ARCH!J51="",INPUTS!$B$19,IF(LEFT(ARCH!J51,1)="d",PI()/4*VALUE(MID(ARCH!J51,2,9))^2,VALUE(LEFT(ARCH!J51,FIND("x",ARCH!J51)-1))*VALUE(MID(ARCH!J51,FIND("x",ARCH!J51)+1,9))))</f>
        <v>336</v>
      </c>
      <c r="K51" s="10" t="n">
        <f aca="false">IF(ARCH!K51="",INPUTS!$B$19,IF(LEFT(ARCH!K51,1)="d",PI()/4*VALUE(MID(ARCH!K51,2,9))^2,VALUE(LEFT(ARCH!K51,FIND("x",ARCH!K51)-1))*VALUE(MID(ARCH!K51,FIND("x",ARCH!K51)+1,9))))</f>
        <v>336</v>
      </c>
      <c r="L51" s="10" t="n">
        <f aca="false">IF(ARCH!L51="",INPUTS!$B$19,IF(LEFT(ARCH!L51,1)="d",PI()/4*VALUE(MID(ARCH!L51,2,9))^2,VALUE(LEFT(ARCH!L51,FIND("x",ARCH!L51)-1))*VALUE(MID(ARCH!L51,FIND("x",ARCH!L51)+1,9))))</f>
        <v>336</v>
      </c>
      <c r="M51" s="10" t="n">
        <f aca="false">IF(ARCH!M51="",INPUTS!$B$19,IF(LEFT(ARCH!M51,1)="d",PI()/4*VALUE(MID(ARCH!M51,2,9))^2,VALUE(LEFT(ARCH!M51,FIND("x",ARCH!M51)-1))*VALUE(MID(ARCH!M51,FIND("x",ARCH!M51)+1,9))))</f>
        <v>336</v>
      </c>
      <c r="N51" s="10" t="n">
        <f aca="false">IF(ARCH!N51="",INPUTS!$B$19,IF(LEFT(ARCH!N51,1)="d",PI()/4*VALUE(MID(ARCH!N51,2,9))^2,VALUE(LEFT(ARCH!N51,FIND("x",ARCH!N51)-1))*VALUE(MID(ARCH!N51,FIND("x",ARCH!N51)+1,9))))</f>
        <v>336</v>
      </c>
      <c r="O51" s="10" t="n">
        <f aca="false">IF(ARCH!O51="",INPUTS!$B$19,IF(LEFT(ARCH!O51,1)="d",PI()/4*VALUE(MID(ARCH!O51,2,9))^2,VALUE(LEFT(ARCH!O51,FIND("x",ARCH!O51)-1))*VALUE(MID(ARCH!O51,FIND("x",ARCH!O51)+1,9))))</f>
        <v>336</v>
      </c>
      <c r="P51" s="10" t="n">
        <f aca="false">IF(ARCH!P51="",INPUTS!$B$19,IF(LEFT(ARCH!P51,1)="d",PI()/4*VALUE(MID(ARCH!P51,2,9))^2,VALUE(LEFT(ARCH!P51,FIND("x",ARCH!P51)-1))*VALUE(MID(ARCH!P51,FIND("x",ARCH!P51)+1,9))))</f>
        <v>336</v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10" t="n">
        <f aca="false">IF(ARCH!E52="",INPUTS!$B$19,IF(LEFT(ARCH!E52,1)="d",PI()/4*VALUE(MID(ARCH!E52,2,9))^2,VALUE(LEFT(ARCH!E52,FIND("x",ARCH!E52)-1))*VALUE(MID(ARCH!E52,FIND("x",ARCH!E52)+1,9))))</f>
        <v>336</v>
      </c>
      <c r="F52" s="10" t="n">
        <f aca="false">IF(ARCH!F52="",INPUTS!$B$19,IF(LEFT(ARCH!F52,1)="d",PI()/4*VALUE(MID(ARCH!F52,2,9))^2,VALUE(LEFT(ARCH!F52,FIND("x",ARCH!F52)-1))*VALUE(MID(ARCH!F52,FIND("x",ARCH!F52)+1,9))))</f>
        <v>336</v>
      </c>
      <c r="G52" s="10" t="n">
        <f aca="false">IF(ARCH!G52="",INPUTS!$B$19,IF(LEFT(ARCH!G52,1)="d",PI()/4*VALUE(MID(ARCH!G52,2,9))^2,VALUE(LEFT(ARCH!G52,FIND("x",ARCH!G52)-1))*VALUE(MID(ARCH!G52,FIND("x",ARCH!G52)+1,9))))</f>
        <v>336</v>
      </c>
      <c r="H52" s="10" t="n">
        <f aca="false">IF(ARCH!H52="",INPUTS!$B$19,IF(LEFT(ARCH!H52,1)="d",PI()/4*VALUE(MID(ARCH!H52,2,9))^2,VALUE(LEFT(ARCH!H52,FIND("x",ARCH!H52)-1))*VALUE(MID(ARCH!H52,FIND("x",ARCH!H52)+1,9))))</f>
        <v>336</v>
      </c>
      <c r="I52" s="10" t="n">
        <f aca="false">IF(ARCH!I52="",INPUTS!$B$19,IF(LEFT(ARCH!I52,1)="d",PI()/4*VALUE(MID(ARCH!I52,2,9))^2,VALUE(LEFT(ARCH!I52,FIND("x",ARCH!I52)-1))*VALUE(MID(ARCH!I52,FIND("x",ARCH!I52)+1,9))))</f>
        <v>336</v>
      </c>
      <c r="J52" s="10" t="n">
        <f aca="false">IF(ARCH!J52="",INPUTS!$B$19,IF(LEFT(ARCH!J52,1)="d",PI()/4*VALUE(MID(ARCH!J52,2,9))^2,VALUE(LEFT(ARCH!J52,FIND("x",ARCH!J52)-1))*VALUE(MID(ARCH!J52,FIND("x",ARCH!J52)+1,9))))</f>
        <v>336</v>
      </c>
      <c r="K52" s="10" t="n">
        <f aca="false">IF(ARCH!K52="",INPUTS!$B$19,IF(LEFT(ARCH!K52,1)="d",PI()/4*VALUE(MID(ARCH!K52,2,9))^2,VALUE(LEFT(ARCH!K52,FIND("x",ARCH!K52)-1))*VALUE(MID(ARCH!K52,FIND("x",ARCH!K52)+1,9))))</f>
        <v>336</v>
      </c>
      <c r="L52" s="10" t="n">
        <f aca="false">IF(ARCH!L52="",INPUTS!$B$19,IF(LEFT(ARCH!L52,1)="d",PI()/4*VALUE(MID(ARCH!L52,2,9))^2,VALUE(LEFT(ARCH!L52,FIND("x",ARCH!L52)-1))*VALUE(MID(ARCH!L52,FIND("x",ARCH!L52)+1,9))))</f>
        <v>336</v>
      </c>
      <c r="M52" s="10" t="n">
        <f aca="false">IF(ARCH!M52="",INPUTS!$B$19,IF(LEFT(ARCH!M52,1)="d",PI()/4*VALUE(MID(ARCH!M52,2,9))^2,VALUE(LEFT(ARCH!M52,FIND("x",ARCH!M52)-1))*VALUE(MID(ARCH!M52,FIND("x",ARCH!M52)+1,9))))</f>
        <v>336</v>
      </c>
      <c r="N52" s="10" t="n">
        <f aca="false">IF(ARCH!N52="",INPUTS!$B$19,IF(LEFT(ARCH!N52,1)="d",PI()/4*VALUE(MID(ARCH!N52,2,9))^2,VALUE(LEFT(ARCH!N52,FIND("x",ARCH!N52)-1))*VALUE(MID(ARCH!N52,FIND("x",ARCH!N52)+1,9))))</f>
        <v>336</v>
      </c>
      <c r="O52" s="10" t="n">
        <f aca="false">IF(ARCH!O52="",INPUTS!$B$19,IF(LEFT(ARCH!O52,1)="d",PI()/4*VALUE(MID(ARCH!O52,2,9))^2,VALUE(LEFT(ARCH!O52,FIND("x",ARCH!O52)-1))*VALUE(MID(ARCH!O52,FIND("x",ARCH!O52)+1,9))))</f>
        <v>336</v>
      </c>
      <c r="P52" s="10" t="n">
        <f aca="false">IF(ARCH!P52="",INPUTS!$B$19,IF(LEFT(ARCH!P52,1)="d",PI()/4*VALUE(MID(ARCH!P52,2,9))^2,VALUE(LEFT(ARCH!P52,FIND("x",ARCH!P52)-1))*VALUE(MID(ARCH!P52,FIND("x",ARCH!P52)+1,9))))</f>
        <v>336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10" t="n">
        <f aca="false">IF(ARCH!E53="",INPUTS!$B$19,IF(LEFT(ARCH!E53,1)="d",PI()/4*VALUE(MID(ARCH!E53,2,9))^2,VALUE(LEFT(ARCH!E53,FIND("x",ARCH!E53)-1))*VALUE(MID(ARCH!E53,FIND("x",ARCH!E53)+1,9))))</f>
        <v>336</v>
      </c>
      <c r="F53" s="10" t="n">
        <f aca="false">IF(ARCH!F53="",INPUTS!$B$19,IF(LEFT(ARCH!F53,1)="d",PI()/4*VALUE(MID(ARCH!F53,2,9))^2,VALUE(LEFT(ARCH!F53,FIND("x",ARCH!F53)-1))*VALUE(MID(ARCH!F53,FIND("x",ARCH!F53)+1,9))))</f>
        <v>336</v>
      </c>
      <c r="G53" s="10" t="n">
        <f aca="false">IF(ARCH!G53="",INPUTS!$B$19,IF(LEFT(ARCH!G53,1)="d",PI()/4*VALUE(MID(ARCH!G53,2,9))^2,VALUE(LEFT(ARCH!G53,FIND("x",ARCH!G53)-1))*VALUE(MID(ARCH!G53,FIND("x",ARCH!G53)+1,9))))</f>
        <v>336</v>
      </c>
      <c r="H53" s="10" t="n">
        <f aca="false">IF(ARCH!H53="",INPUTS!$B$19,IF(LEFT(ARCH!H53,1)="d",PI()/4*VALUE(MID(ARCH!H53,2,9))^2,VALUE(LEFT(ARCH!H53,FIND("x",ARCH!H53)-1))*VALUE(MID(ARCH!H53,FIND("x",ARCH!H53)+1,9))))</f>
        <v>336</v>
      </c>
      <c r="I53" s="10" t="n">
        <f aca="false">IF(ARCH!I53="",INPUTS!$B$19,IF(LEFT(ARCH!I53,1)="d",PI()/4*VALUE(MID(ARCH!I53,2,9))^2,VALUE(LEFT(ARCH!I53,FIND("x",ARCH!I53)-1))*VALUE(MID(ARCH!I53,FIND("x",ARCH!I53)+1,9))))</f>
        <v>336</v>
      </c>
      <c r="J53" s="10" t="n">
        <f aca="false">IF(ARCH!J53="",INPUTS!$B$19,IF(LEFT(ARCH!J53,1)="d",PI()/4*VALUE(MID(ARCH!J53,2,9))^2,VALUE(LEFT(ARCH!J53,FIND("x",ARCH!J53)-1))*VALUE(MID(ARCH!J53,FIND("x",ARCH!J53)+1,9))))</f>
        <v>336</v>
      </c>
      <c r="K53" s="10" t="n">
        <f aca="false">IF(ARCH!K53="",INPUTS!$B$19,IF(LEFT(ARCH!K53,1)="d",PI()/4*VALUE(MID(ARCH!K53,2,9))^2,VALUE(LEFT(ARCH!K53,FIND("x",ARCH!K53)-1))*VALUE(MID(ARCH!K53,FIND("x",ARCH!K53)+1,9))))</f>
        <v>336</v>
      </c>
      <c r="L53" s="10" t="n">
        <f aca="false">IF(ARCH!L53="",INPUTS!$B$19,IF(LEFT(ARCH!L53,1)="d",PI()/4*VALUE(MID(ARCH!L53,2,9))^2,VALUE(LEFT(ARCH!L53,FIND("x",ARCH!L53)-1))*VALUE(MID(ARCH!L53,FIND("x",ARCH!L53)+1,9))))</f>
        <v>336</v>
      </c>
      <c r="M53" s="10" t="n">
        <f aca="false">IF(ARCH!M53="",INPUTS!$B$19,IF(LEFT(ARCH!M53,1)="d",PI()/4*VALUE(MID(ARCH!M53,2,9))^2,VALUE(LEFT(ARCH!M53,FIND("x",ARCH!M53)-1))*VALUE(MID(ARCH!M53,FIND("x",ARCH!M53)+1,9))))</f>
        <v>336</v>
      </c>
      <c r="N53" s="10" t="n">
        <f aca="false">IF(ARCH!N53="",INPUTS!$B$19,IF(LEFT(ARCH!N53,1)="d",PI()/4*VALUE(MID(ARCH!N53,2,9))^2,VALUE(LEFT(ARCH!N53,FIND("x",ARCH!N53)-1))*VALUE(MID(ARCH!N53,FIND("x",ARCH!N53)+1,9))))</f>
        <v>336</v>
      </c>
      <c r="O53" s="10" t="n">
        <f aca="false">IF(ARCH!O53="",INPUTS!$B$19,IF(LEFT(ARCH!O53,1)="d",PI()/4*VALUE(MID(ARCH!O53,2,9))^2,VALUE(LEFT(ARCH!O53,FIND("x",ARCH!O53)-1))*VALUE(MID(ARCH!O53,FIND("x",ARCH!O53)+1,9))))</f>
        <v>336</v>
      </c>
      <c r="P53" s="10" t="n">
        <f aca="false">IF(ARCH!P53="",INPUTS!$B$19,IF(LEFT(ARCH!P53,1)="d",PI()/4*VALUE(MID(ARCH!P53,2,9))^2,VALUE(LEFT(ARCH!P53,FIND("x",ARCH!P53)-1))*VALUE(MID(ARCH!P53,FIND("x",ARCH!P53)+1,9))))</f>
        <v>336</v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10" t="n">
        <f aca="false">IF(ARCH!E54="",INPUTS!$B$19,IF(LEFT(ARCH!E54,1)="d",PI()/4*VALUE(MID(ARCH!E54,2,9))^2,VALUE(LEFT(ARCH!E54,FIND("x",ARCH!E54)-1))*VALUE(MID(ARCH!E54,FIND("x",ARCH!E54)+1,9))))</f>
        <v>336</v>
      </c>
      <c r="F54" s="10" t="n">
        <f aca="false">IF(ARCH!F54="",INPUTS!$B$19,IF(LEFT(ARCH!F54,1)="d",PI()/4*VALUE(MID(ARCH!F54,2,9))^2,VALUE(LEFT(ARCH!F54,FIND("x",ARCH!F54)-1))*VALUE(MID(ARCH!F54,FIND("x",ARCH!F54)+1,9))))</f>
        <v>336</v>
      </c>
      <c r="G54" s="10" t="n">
        <f aca="false">IF(ARCH!G54="",INPUTS!$B$19,IF(LEFT(ARCH!G54,1)="d",PI()/4*VALUE(MID(ARCH!G54,2,9))^2,VALUE(LEFT(ARCH!G54,FIND("x",ARCH!G54)-1))*VALUE(MID(ARCH!G54,FIND("x",ARCH!G54)+1,9))))</f>
        <v>336</v>
      </c>
      <c r="H54" s="10" t="n">
        <f aca="false">IF(ARCH!H54="",INPUTS!$B$19,IF(LEFT(ARCH!H54,1)="d",PI()/4*VALUE(MID(ARCH!H54,2,9))^2,VALUE(LEFT(ARCH!H54,FIND("x",ARCH!H54)-1))*VALUE(MID(ARCH!H54,FIND("x",ARCH!H54)+1,9))))</f>
        <v>336</v>
      </c>
      <c r="I54" s="10" t="n">
        <f aca="false">IF(ARCH!I54="",INPUTS!$B$19,IF(LEFT(ARCH!I54,1)="d",PI()/4*VALUE(MID(ARCH!I54,2,9))^2,VALUE(LEFT(ARCH!I54,FIND("x",ARCH!I54)-1))*VALUE(MID(ARCH!I54,FIND("x",ARCH!I54)+1,9))))</f>
        <v>336</v>
      </c>
      <c r="J54" s="10" t="n">
        <f aca="false">IF(ARCH!J54="",INPUTS!$B$19,IF(LEFT(ARCH!J54,1)="d",PI()/4*VALUE(MID(ARCH!J54,2,9))^2,VALUE(LEFT(ARCH!J54,FIND("x",ARCH!J54)-1))*VALUE(MID(ARCH!J54,FIND("x",ARCH!J54)+1,9))))</f>
        <v>336</v>
      </c>
      <c r="K54" s="10" t="n">
        <f aca="false">IF(ARCH!K54="",INPUTS!$B$19,IF(LEFT(ARCH!K54,1)="d",PI()/4*VALUE(MID(ARCH!K54,2,9))^2,VALUE(LEFT(ARCH!K54,FIND("x",ARCH!K54)-1))*VALUE(MID(ARCH!K54,FIND("x",ARCH!K54)+1,9))))</f>
        <v>336</v>
      </c>
      <c r="L54" s="10" t="n">
        <f aca="false">IF(ARCH!L54="",INPUTS!$B$19,IF(LEFT(ARCH!L54,1)="d",PI()/4*VALUE(MID(ARCH!L54,2,9))^2,VALUE(LEFT(ARCH!L54,FIND("x",ARCH!L54)-1))*VALUE(MID(ARCH!L54,FIND("x",ARCH!L54)+1,9))))</f>
        <v>336</v>
      </c>
      <c r="M54" s="10" t="n">
        <f aca="false">IF(ARCH!M54="",INPUTS!$B$19,IF(LEFT(ARCH!M54,1)="d",PI()/4*VALUE(MID(ARCH!M54,2,9))^2,VALUE(LEFT(ARCH!M54,FIND("x",ARCH!M54)-1))*VALUE(MID(ARCH!M54,FIND("x",ARCH!M54)+1,9))))</f>
        <v>336</v>
      </c>
      <c r="N54" s="10" t="n">
        <f aca="false">IF(ARCH!N54="",INPUTS!$B$19,IF(LEFT(ARCH!N54,1)="d",PI()/4*VALUE(MID(ARCH!N54,2,9))^2,VALUE(LEFT(ARCH!N54,FIND("x",ARCH!N54)-1))*VALUE(MID(ARCH!N54,FIND("x",ARCH!N54)+1,9))))</f>
        <v>336</v>
      </c>
      <c r="O54" s="10" t="n">
        <f aca="false">IF(ARCH!O54="",INPUTS!$B$19,IF(LEFT(ARCH!O54,1)="d",PI()/4*VALUE(MID(ARCH!O54,2,9))^2,VALUE(LEFT(ARCH!O54,FIND("x",ARCH!O54)-1))*VALUE(MID(ARCH!O54,FIND("x",ARCH!O54)+1,9))))</f>
        <v>336</v>
      </c>
      <c r="P54" s="10" t="n">
        <f aca="false">IF(ARCH!P54="",INPUTS!$B$19,IF(LEFT(ARCH!P54,1)="d",PI()/4*VALUE(MID(ARCH!P54,2,9))^2,VALUE(LEFT(ARCH!P54,FIND("x",ARCH!P54)-1))*VALUE(MID(ARCH!P54,FIND("x",ARCH!P54)+1,9))))</f>
        <v>336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10" t="n">
        <f aca="false">IF(ARCH!E55="",INPUTS!$B$19,IF(LEFT(ARCH!E55,1)="d",PI()/4*VALUE(MID(ARCH!E55,2,9))^2,VALUE(LEFT(ARCH!E55,FIND("x",ARCH!E55)-1))*VALUE(MID(ARCH!E55,FIND("x",ARCH!E55)+1,9))))</f>
        <v>336</v>
      </c>
      <c r="F55" s="10" t="n">
        <f aca="false">IF(ARCH!F55="",INPUTS!$B$19,IF(LEFT(ARCH!F55,1)="d",PI()/4*VALUE(MID(ARCH!F55,2,9))^2,VALUE(LEFT(ARCH!F55,FIND("x",ARCH!F55)-1))*VALUE(MID(ARCH!F55,FIND("x",ARCH!F55)+1,9))))</f>
        <v>336</v>
      </c>
      <c r="G55" s="10" t="n">
        <f aca="false">IF(ARCH!G55="",INPUTS!$B$19,IF(LEFT(ARCH!G55,1)="d",PI()/4*VALUE(MID(ARCH!G55,2,9))^2,VALUE(LEFT(ARCH!G55,FIND("x",ARCH!G55)-1))*VALUE(MID(ARCH!G55,FIND("x",ARCH!G55)+1,9))))</f>
        <v>336</v>
      </c>
      <c r="H55" s="10" t="n">
        <f aca="false">IF(ARCH!H55="",INPUTS!$B$19,IF(LEFT(ARCH!H55,1)="d",PI()/4*VALUE(MID(ARCH!H55,2,9))^2,VALUE(LEFT(ARCH!H55,FIND("x",ARCH!H55)-1))*VALUE(MID(ARCH!H55,FIND("x",ARCH!H55)+1,9))))</f>
        <v>336</v>
      </c>
      <c r="I55" s="10" t="n">
        <f aca="false">IF(ARCH!I55="",INPUTS!$B$19,IF(LEFT(ARCH!I55,1)="d",PI()/4*VALUE(MID(ARCH!I55,2,9))^2,VALUE(LEFT(ARCH!I55,FIND("x",ARCH!I55)-1))*VALUE(MID(ARCH!I55,FIND("x",ARCH!I55)+1,9))))</f>
        <v>336</v>
      </c>
      <c r="J55" s="10" t="n">
        <f aca="false">IF(ARCH!J55="",INPUTS!$B$19,IF(LEFT(ARCH!J55,1)="d",PI()/4*VALUE(MID(ARCH!J55,2,9))^2,VALUE(LEFT(ARCH!J55,FIND("x",ARCH!J55)-1))*VALUE(MID(ARCH!J55,FIND("x",ARCH!J55)+1,9))))</f>
        <v>336</v>
      </c>
      <c r="K55" s="10" t="n">
        <f aca="false">IF(ARCH!K55="",INPUTS!$B$19,IF(LEFT(ARCH!K55,1)="d",PI()/4*VALUE(MID(ARCH!K55,2,9))^2,VALUE(LEFT(ARCH!K55,FIND("x",ARCH!K55)-1))*VALUE(MID(ARCH!K55,FIND("x",ARCH!K55)+1,9))))</f>
        <v>336</v>
      </c>
      <c r="L55" s="10" t="n">
        <f aca="false">IF(ARCH!L55="",INPUTS!$B$19,IF(LEFT(ARCH!L55,1)="d",PI()/4*VALUE(MID(ARCH!L55,2,9))^2,VALUE(LEFT(ARCH!L55,FIND("x",ARCH!L55)-1))*VALUE(MID(ARCH!L55,FIND("x",ARCH!L55)+1,9))))</f>
        <v>336</v>
      </c>
      <c r="M55" s="10" t="n">
        <f aca="false">IF(ARCH!M55="",INPUTS!$B$19,IF(LEFT(ARCH!M55,1)="d",PI()/4*VALUE(MID(ARCH!M55,2,9))^2,VALUE(LEFT(ARCH!M55,FIND("x",ARCH!M55)-1))*VALUE(MID(ARCH!M55,FIND("x",ARCH!M55)+1,9))))</f>
        <v>336</v>
      </c>
      <c r="N55" s="10" t="n">
        <f aca="false">IF(ARCH!N55="",INPUTS!$B$19,IF(LEFT(ARCH!N55,1)="d",PI()/4*VALUE(MID(ARCH!N55,2,9))^2,VALUE(LEFT(ARCH!N55,FIND("x",ARCH!N55)-1))*VALUE(MID(ARCH!N55,FIND("x",ARCH!N55)+1,9))))</f>
        <v>336</v>
      </c>
      <c r="O55" s="10" t="n">
        <f aca="false">IF(ARCH!O55="",INPUTS!$B$19,IF(LEFT(ARCH!O55,1)="d",PI()/4*VALUE(MID(ARCH!O55,2,9))^2,VALUE(LEFT(ARCH!O55,FIND("x",ARCH!O55)-1))*VALUE(MID(ARCH!O55,FIND("x",ARCH!O55)+1,9))))</f>
        <v>336</v>
      </c>
      <c r="P55" s="10" t="n">
        <f aca="false">IF(ARCH!P55="",INPUTS!$B$19,IF(LEFT(ARCH!P55,1)="d",PI()/4*VALUE(MID(ARCH!P55,2,9))^2,VALUE(LEFT(ARCH!P55,FIND("x",ARCH!P55)-1))*VALUE(MID(ARCH!P55,FIND("x",ARCH!P55)+1,9))))</f>
        <v>336</v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10" t="n">
        <f aca="false">IF(ARCH!E56="",INPUTS!$B$19,IF(LEFT(ARCH!E56,1)="d",PI()/4*VALUE(MID(ARCH!E56,2,9))^2,VALUE(LEFT(ARCH!E56,FIND("x",ARCH!E56)-1))*VALUE(MID(ARCH!E56,FIND("x",ARCH!E56)+1,9))))</f>
        <v>504</v>
      </c>
      <c r="F56" s="10" t="n">
        <f aca="false">IF(ARCH!F56="",INPUTS!$B$19,IF(LEFT(ARCH!F56,1)="d",PI()/4*VALUE(MID(ARCH!F56,2,9))^2,VALUE(LEFT(ARCH!F56,FIND("x",ARCH!F56)-1))*VALUE(MID(ARCH!F56,FIND("x",ARCH!F56)+1,9))))</f>
        <v>504</v>
      </c>
      <c r="G56" s="10" t="n">
        <f aca="false">IF(ARCH!G56="",INPUTS!$B$19,IF(LEFT(ARCH!G56,1)="d",PI()/4*VALUE(MID(ARCH!G56,2,9))^2,VALUE(LEFT(ARCH!G56,FIND("x",ARCH!G56)-1))*VALUE(MID(ARCH!G56,FIND("x",ARCH!G56)+1,9))))</f>
        <v>504</v>
      </c>
      <c r="H56" s="10" t="n">
        <f aca="false">IF(ARCH!H56="",INPUTS!$B$19,IF(LEFT(ARCH!H56,1)="d",PI()/4*VALUE(MID(ARCH!H56,2,9))^2,VALUE(LEFT(ARCH!H56,FIND("x",ARCH!H56)-1))*VALUE(MID(ARCH!H56,FIND("x",ARCH!H56)+1,9))))</f>
        <v>504</v>
      </c>
      <c r="I56" s="10" t="n">
        <f aca="false">IF(ARCH!I56="",INPUTS!$B$19,IF(LEFT(ARCH!I56,1)="d",PI()/4*VALUE(MID(ARCH!I56,2,9))^2,VALUE(LEFT(ARCH!I56,FIND("x",ARCH!I56)-1))*VALUE(MID(ARCH!I56,FIND("x",ARCH!I56)+1,9))))</f>
        <v>504</v>
      </c>
      <c r="J56" s="10" t="n">
        <f aca="false">IF(ARCH!J56="",INPUTS!$B$19,IF(LEFT(ARCH!J56,1)="d",PI()/4*VALUE(MID(ARCH!J56,2,9))^2,VALUE(LEFT(ARCH!J56,FIND("x",ARCH!J56)-1))*VALUE(MID(ARCH!J56,FIND("x",ARCH!J56)+1,9))))</f>
        <v>504</v>
      </c>
      <c r="K56" s="10" t="n">
        <f aca="false">IF(ARCH!K56="",INPUTS!$B$19,IF(LEFT(ARCH!K56,1)="d",PI()/4*VALUE(MID(ARCH!K56,2,9))^2,VALUE(LEFT(ARCH!K56,FIND("x",ARCH!K56)-1))*VALUE(MID(ARCH!K56,FIND("x",ARCH!K56)+1,9))))</f>
        <v>504</v>
      </c>
      <c r="L56" s="10" t="n">
        <f aca="false">IF(ARCH!L56="",INPUTS!$B$19,IF(LEFT(ARCH!L56,1)="d",PI()/4*VALUE(MID(ARCH!L56,2,9))^2,VALUE(LEFT(ARCH!L56,FIND("x",ARCH!L56)-1))*VALUE(MID(ARCH!L56,FIND("x",ARCH!L56)+1,9))))</f>
        <v>504</v>
      </c>
      <c r="M56" s="10" t="n">
        <f aca="false">IF(ARCH!M56="",INPUTS!$B$19,IF(LEFT(ARCH!M56,1)="d",PI()/4*VALUE(MID(ARCH!M56,2,9))^2,VALUE(LEFT(ARCH!M56,FIND("x",ARCH!M56)-1))*VALUE(MID(ARCH!M56,FIND("x",ARCH!M56)+1,9))))</f>
        <v>504</v>
      </c>
      <c r="N56" s="10" t="n">
        <f aca="false">IF(ARCH!N56="",INPUTS!$B$19,IF(LEFT(ARCH!N56,1)="d",PI()/4*VALUE(MID(ARCH!N56,2,9))^2,VALUE(LEFT(ARCH!N56,FIND("x",ARCH!N56)-1))*VALUE(MID(ARCH!N56,FIND("x",ARCH!N56)+1,9))))</f>
        <v>504</v>
      </c>
      <c r="O56" s="10" t="n">
        <f aca="false">IF(ARCH!O56="",INPUTS!$B$19,IF(LEFT(ARCH!O56,1)="d",PI()/4*VALUE(MID(ARCH!O56,2,9))^2,VALUE(LEFT(ARCH!O56,FIND("x",ARCH!O56)-1))*VALUE(MID(ARCH!O56,FIND("x",ARCH!O56)+1,9))))</f>
        <v>504</v>
      </c>
      <c r="P56" s="10" t="n">
        <f aca="false">IF(ARCH!P56="",INPUTS!$B$19,IF(LEFT(ARCH!P56,1)="d",PI()/4*VALUE(MID(ARCH!P56,2,9))^2,VALUE(LEFT(ARCH!P56,FIND("x",ARCH!P56)-1))*VALUE(MID(ARCH!P56,FIND("x",ARCH!P56)+1,9))))</f>
        <v>504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10" t="n">
        <f aca="false">IF(ARCH!E57="",INPUTS!$B$19,IF(LEFT(ARCH!E57,1)="d",PI()/4*VALUE(MID(ARCH!E57,2,9))^2,VALUE(LEFT(ARCH!E57,FIND("x",ARCH!E57)-1))*VALUE(MID(ARCH!E57,FIND("x",ARCH!E57)+1,9))))</f>
        <v>336</v>
      </c>
      <c r="F57" s="10" t="n">
        <f aca="false">IF(ARCH!F57="",INPUTS!$B$19,IF(LEFT(ARCH!F57,1)="d",PI()/4*VALUE(MID(ARCH!F57,2,9))^2,VALUE(LEFT(ARCH!F57,FIND("x",ARCH!F57)-1))*VALUE(MID(ARCH!F57,FIND("x",ARCH!F57)+1,9))))</f>
        <v>336</v>
      </c>
      <c r="G57" s="10" t="n">
        <f aca="false">IF(ARCH!G57="",INPUTS!$B$19,IF(LEFT(ARCH!G57,1)="d",PI()/4*VALUE(MID(ARCH!G57,2,9))^2,VALUE(LEFT(ARCH!G57,FIND("x",ARCH!G57)-1))*VALUE(MID(ARCH!G57,FIND("x",ARCH!G57)+1,9))))</f>
        <v>336</v>
      </c>
      <c r="H57" s="10" t="n">
        <f aca="false">IF(ARCH!H57="",INPUTS!$B$19,IF(LEFT(ARCH!H57,1)="d",PI()/4*VALUE(MID(ARCH!H57,2,9))^2,VALUE(LEFT(ARCH!H57,FIND("x",ARCH!H57)-1))*VALUE(MID(ARCH!H57,FIND("x",ARCH!H57)+1,9))))</f>
        <v>336</v>
      </c>
      <c r="I57" s="10" t="n">
        <f aca="false">IF(ARCH!I57="",INPUTS!$B$19,IF(LEFT(ARCH!I57,1)="d",PI()/4*VALUE(MID(ARCH!I57,2,9))^2,VALUE(LEFT(ARCH!I57,FIND("x",ARCH!I57)-1))*VALUE(MID(ARCH!I57,FIND("x",ARCH!I57)+1,9))))</f>
        <v>336</v>
      </c>
      <c r="J57" s="10" t="n">
        <f aca="false">IF(ARCH!J57="",INPUTS!$B$19,IF(LEFT(ARCH!J57,1)="d",PI()/4*VALUE(MID(ARCH!J57,2,9))^2,VALUE(LEFT(ARCH!J57,FIND("x",ARCH!J57)-1))*VALUE(MID(ARCH!J57,FIND("x",ARCH!J57)+1,9))))</f>
        <v>336</v>
      </c>
      <c r="K57" s="10" t="n">
        <f aca="false">IF(ARCH!K57="",INPUTS!$B$19,IF(LEFT(ARCH!K57,1)="d",PI()/4*VALUE(MID(ARCH!K57,2,9))^2,VALUE(LEFT(ARCH!K57,FIND("x",ARCH!K57)-1))*VALUE(MID(ARCH!K57,FIND("x",ARCH!K57)+1,9))))</f>
        <v>336</v>
      </c>
      <c r="L57" s="10" t="n">
        <f aca="false">IF(ARCH!L57="",INPUTS!$B$19,IF(LEFT(ARCH!L57,1)="d",PI()/4*VALUE(MID(ARCH!L57,2,9))^2,VALUE(LEFT(ARCH!L57,FIND("x",ARCH!L57)-1))*VALUE(MID(ARCH!L57,FIND("x",ARCH!L57)+1,9))))</f>
        <v>336</v>
      </c>
      <c r="M57" s="10" t="n">
        <f aca="false">IF(ARCH!M57="",INPUTS!$B$19,IF(LEFT(ARCH!M57,1)="d",PI()/4*VALUE(MID(ARCH!M57,2,9))^2,VALUE(LEFT(ARCH!M57,FIND("x",ARCH!M57)-1))*VALUE(MID(ARCH!M57,FIND("x",ARCH!M57)+1,9))))</f>
        <v>336</v>
      </c>
      <c r="N57" s="10" t="n">
        <f aca="false">IF(ARCH!N57="",INPUTS!$B$19,IF(LEFT(ARCH!N57,1)="d",PI()/4*VALUE(MID(ARCH!N57,2,9))^2,VALUE(LEFT(ARCH!N57,FIND("x",ARCH!N57)-1))*VALUE(MID(ARCH!N57,FIND("x",ARCH!N57)+1,9))))</f>
        <v>336</v>
      </c>
      <c r="O57" s="10" t="n">
        <f aca="false">IF(ARCH!O57="",INPUTS!$B$19,IF(LEFT(ARCH!O57,1)="d",PI()/4*VALUE(MID(ARCH!O57,2,9))^2,VALUE(LEFT(ARCH!O57,FIND("x",ARCH!O57)-1))*VALUE(MID(ARCH!O57,FIND("x",ARCH!O57)+1,9))))</f>
        <v>336</v>
      </c>
      <c r="P57" s="10" t="n">
        <f aca="false">IF(ARCH!P57="",INPUTS!$B$19,IF(LEFT(ARCH!P57,1)="d",PI()/4*VALUE(MID(ARCH!P57,2,9))^2,VALUE(LEFT(ARCH!P57,FIND("x",ARCH!P57)-1))*VALUE(MID(ARCH!P57,FIND("x",ARCH!P57)+1,9))))</f>
        <v>336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10" t="n">
        <f aca="false">IF(ARCH!E58="",INPUTS!$B$19,IF(LEFT(ARCH!E58,1)="d",PI()/4*VALUE(MID(ARCH!E58,2,9))^2,VALUE(LEFT(ARCH!E58,FIND("x",ARCH!E58)-1))*VALUE(MID(ARCH!E58,FIND("x",ARCH!E58)+1,9))))</f>
        <v>504</v>
      </c>
      <c r="F58" s="10" t="n">
        <f aca="false">IF(ARCH!F58="",INPUTS!$B$19,IF(LEFT(ARCH!F58,1)="d",PI()/4*VALUE(MID(ARCH!F58,2,9))^2,VALUE(LEFT(ARCH!F58,FIND("x",ARCH!F58)-1))*VALUE(MID(ARCH!F58,FIND("x",ARCH!F58)+1,9))))</f>
        <v>504</v>
      </c>
      <c r="G58" s="10" t="n">
        <f aca="false">IF(ARCH!G58="",INPUTS!$B$19,IF(LEFT(ARCH!G58,1)="d",PI()/4*VALUE(MID(ARCH!G58,2,9))^2,VALUE(LEFT(ARCH!G58,FIND("x",ARCH!G58)-1))*VALUE(MID(ARCH!G58,FIND("x",ARCH!G58)+1,9))))</f>
        <v>504</v>
      </c>
      <c r="H58" s="10" t="n">
        <f aca="false">IF(ARCH!H58="",INPUTS!$B$19,IF(LEFT(ARCH!H58,1)="d",PI()/4*VALUE(MID(ARCH!H58,2,9))^2,VALUE(LEFT(ARCH!H58,FIND("x",ARCH!H58)-1))*VALUE(MID(ARCH!H58,FIND("x",ARCH!H58)+1,9))))</f>
        <v>504</v>
      </c>
      <c r="I58" s="10" t="n">
        <f aca="false">IF(ARCH!I58="",INPUTS!$B$19,IF(LEFT(ARCH!I58,1)="d",PI()/4*VALUE(MID(ARCH!I58,2,9))^2,VALUE(LEFT(ARCH!I58,FIND("x",ARCH!I58)-1))*VALUE(MID(ARCH!I58,FIND("x",ARCH!I58)+1,9))))</f>
        <v>504</v>
      </c>
      <c r="J58" s="10" t="n">
        <f aca="false">IF(ARCH!J58="",INPUTS!$B$19,IF(LEFT(ARCH!J58,1)="d",PI()/4*VALUE(MID(ARCH!J58,2,9))^2,VALUE(LEFT(ARCH!J58,FIND("x",ARCH!J58)-1))*VALUE(MID(ARCH!J58,FIND("x",ARCH!J58)+1,9))))</f>
        <v>504</v>
      </c>
      <c r="K58" s="10" t="n">
        <f aca="false">IF(ARCH!K58="",INPUTS!$B$19,IF(LEFT(ARCH!K58,1)="d",PI()/4*VALUE(MID(ARCH!K58,2,9))^2,VALUE(LEFT(ARCH!K58,FIND("x",ARCH!K58)-1))*VALUE(MID(ARCH!K58,FIND("x",ARCH!K58)+1,9))))</f>
        <v>504</v>
      </c>
      <c r="L58" s="10" t="n">
        <f aca="false">IF(ARCH!L58="",INPUTS!$B$19,IF(LEFT(ARCH!L58,1)="d",PI()/4*VALUE(MID(ARCH!L58,2,9))^2,VALUE(LEFT(ARCH!L58,FIND("x",ARCH!L58)-1))*VALUE(MID(ARCH!L58,FIND("x",ARCH!L58)+1,9))))</f>
        <v>504</v>
      </c>
      <c r="M58" s="10" t="n">
        <f aca="false">IF(ARCH!M58="",INPUTS!$B$19,IF(LEFT(ARCH!M58,1)="d",PI()/4*VALUE(MID(ARCH!M58,2,9))^2,VALUE(LEFT(ARCH!M58,FIND("x",ARCH!M58)-1))*VALUE(MID(ARCH!M58,FIND("x",ARCH!M58)+1,9))))</f>
        <v>504</v>
      </c>
      <c r="N58" s="10" t="n">
        <f aca="false">IF(ARCH!N58="",INPUTS!$B$19,IF(LEFT(ARCH!N58,1)="d",PI()/4*VALUE(MID(ARCH!N58,2,9))^2,VALUE(LEFT(ARCH!N58,FIND("x",ARCH!N58)-1))*VALUE(MID(ARCH!N58,FIND("x",ARCH!N58)+1,9))))</f>
        <v>504</v>
      </c>
      <c r="O58" s="10" t="n">
        <f aca="false">IF(ARCH!O58="",INPUTS!$B$19,IF(LEFT(ARCH!O58,1)="d",PI()/4*VALUE(MID(ARCH!O58,2,9))^2,VALUE(LEFT(ARCH!O58,FIND("x",ARCH!O58)-1))*VALUE(MID(ARCH!O58,FIND("x",ARCH!O58)+1,9))))</f>
        <v>504</v>
      </c>
      <c r="P58" s="10" t="n">
        <f aca="false">IF(ARCH!P58="",INPUTS!$B$19,IF(LEFT(ARCH!P58,1)="d",PI()/4*VALUE(MID(ARCH!P58,2,9))^2,VALUE(LEFT(ARCH!P58,FIND("x",ARCH!P58)-1))*VALUE(MID(ARCH!P58,FIND("x",ARCH!P58)+1,9))))</f>
        <v>504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10" t="n">
        <f aca="false">IF(ARCH!E59="",INPUTS!$B$19,IF(LEFT(ARCH!E59,1)="d",PI()/4*VALUE(MID(ARCH!E59,2,9))^2,VALUE(LEFT(ARCH!E59,FIND("x",ARCH!E59)-1))*VALUE(MID(ARCH!E59,FIND("x",ARCH!E59)+1,9))))</f>
        <v>504</v>
      </c>
      <c r="F59" s="10" t="n">
        <f aca="false">IF(ARCH!F59="",INPUTS!$B$19,IF(LEFT(ARCH!F59,1)="d",PI()/4*VALUE(MID(ARCH!F59,2,9))^2,VALUE(LEFT(ARCH!F59,FIND("x",ARCH!F59)-1))*VALUE(MID(ARCH!F59,FIND("x",ARCH!F59)+1,9))))</f>
        <v>504</v>
      </c>
      <c r="G59" s="10" t="n">
        <f aca="false">IF(ARCH!G59="",INPUTS!$B$19,IF(LEFT(ARCH!G59,1)="d",PI()/4*VALUE(MID(ARCH!G59,2,9))^2,VALUE(LEFT(ARCH!G59,FIND("x",ARCH!G59)-1))*VALUE(MID(ARCH!G59,FIND("x",ARCH!G59)+1,9))))</f>
        <v>504</v>
      </c>
      <c r="H59" s="10" t="n">
        <f aca="false">IF(ARCH!H59="",INPUTS!$B$19,IF(LEFT(ARCH!H59,1)="d",PI()/4*VALUE(MID(ARCH!H59,2,9))^2,VALUE(LEFT(ARCH!H59,FIND("x",ARCH!H59)-1))*VALUE(MID(ARCH!H59,FIND("x",ARCH!H59)+1,9))))</f>
        <v>504</v>
      </c>
      <c r="I59" s="10" t="n">
        <f aca="false">IF(ARCH!I59="",INPUTS!$B$19,IF(LEFT(ARCH!I59,1)="d",PI()/4*VALUE(MID(ARCH!I59,2,9))^2,VALUE(LEFT(ARCH!I59,FIND("x",ARCH!I59)-1))*VALUE(MID(ARCH!I59,FIND("x",ARCH!I59)+1,9))))</f>
        <v>504</v>
      </c>
      <c r="J59" s="10" t="n">
        <f aca="false">IF(ARCH!J59="",INPUTS!$B$19,IF(LEFT(ARCH!J59,1)="d",PI()/4*VALUE(MID(ARCH!J59,2,9))^2,VALUE(LEFT(ARCH!J59,FIND("x",ARCH!J59)-1))*VALUE(MID(ARCH!J59,FIND("x",ARCH!J59)+1,9))))</f>
        <v>504</v>
      </c>
      <c r="K59" s="10" t="n">
        <f aca="false">IF(ARCH!K59="",INPUTS!$B$19,IF(LEFT(ARCH!K59,1)="d",PI()/4*VALUE(MID(ARCH!K59,2,9))^2,VALUE(LEFT(ARCH!K59,FIND("x",ARCH!K59)-1))*VALUE(MID(ARCH!K59,FIND("x",ARCH!K59)+1,9))))</f>
        <v>504</v>
      </c>
      <c r="L59" s="10" t="n">
        <f aca="false">IF(ARCH!L59="",INPUTS!$B$19,IF(LEFT(ARCH!L59,1)="d",PI()/4*VALUE(MID(ARCH!L59,2,9))^2,VALUE(LEFT(ARCH!L59,FIND("x",ARCH!L59)-1))*VALUE(MID(ARCH!L59,FIND("x",ARCH!L59)+1,9))))</f>
        <v>504</v>
      </c>
      <c r="M59" s="10" t="n">
        <f aca="false">IF(ARCH!M59="",INPUTS!$B$19,IF(LEFT(ARCH!M59,1)="d",PI()/4*VALUE(MID(ARCH!M59,2,9))^2,VALUE(LEFT(ARCH!M59,FIND("x",ARCH!M59)-1))*VALUE(MID(ARCH!M59,FIND("x",ARCH!M59)+1,9))))</f>
        <v>504</v>
      </c>
      <c r="N59" s="10" t="n">
        <f aca="false">IF(ARCH!N59="",INPUTS!$B$19,IF(LEFT(ARCH!N59,1)="d",PI()/4*VALUE(MID(ARCH!N59,2,9))^2,VALUE(LEFT(ARCH!N59,FIND("x",ARCH!N59)-1))*VALUE(MID(ARCH!N59,FIND("x",ARCH!N59)+1,9))))</f>
        <v>504</v>
      </c>
      <c r="O59" s="10" t="n">
        <f aca="false">IF(ARCH!O59="",INPUTS!$B$19,IF(LEFT(ARCH!O59,1)="d",PI()/4*VALUE(MID(ARCH!O59,2,9))^2,VALUE(LEFT(ARCH!O59,FIND("x",ARCH!O59)-1))*VALUE(MID(ARCH!O59,FIND("x",ARCH!O59)+1,9))))</f>
        <v>504</v>
      </c>
      <c r="P59" s="10" t="n">
        <f aca="false">IF(ARCH!P59="",INPUTS!$B$19,IF(LEFT(ARCH!P59,1)="d",PI()/4*VALUE(MID(ARCH!P59,2,9))^2,VALUE(LEFT(ARCH!P59,FIND("x",ARCH!P59)-1))*VALUE(MID(ARCH!P59,FIND("x",ARCH!P59)+1,9))))</f>
        <v>504</v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10" t="n">
        <f aca="false">IF(ARCH!E60="",INPUTS!$B$19,IF(LEFT(ARCH!E60,1)="d",PI()/4*VALUE(MID(ARCH!E60,2,9))^2,VALUE(LEFT(ARCH!E60,FIND("x",ARCH!E60)-1))*VALUE(MID(ARCH!E60,FIND("x",ARCH!E60)+1,9))))</f>
        <v>336</v>
      </c>
      <c r="F60" s="10" t="n">
        <f aca="false">IF(ARCH!F60="",INPUTS!$B$19,IF(LEFT(ARCH!F60,1)="d",PI()/4*VALUE(MID(ARCH!F60,2,9))^2,VALUE(LEFT(ARCH!F60,FIND("x",ARCH!F60)-1))*VALUE(MID(ARCH!F60,FIND("x",ARCH!F60)+1,9))))</f>
        <v>336</v>
      </c>
      <c r="G60" s="10" t="n">
        <f aca="false">IF(ARCH!G60="",INPUTS!$B$19,IF(LEFT(ARCH!G60,1)="d",PI()/4*VALUE(MID(ARCH!G60,2,9))^2,VALUE(LEFT(ARCH!G60,FIND("x",ARCH!G60)-1))*VALUE(MID(ARCH!G60,FIND("x",ARCH!G60)+1,9))))</f>
        <v>336</v>
      </c>
      <c r="H60" s="10" t="n">
        <f aca="false">IF(ARCH!H60="",INPUTS!$B$19,IF(LEFT(ARCH!H60,1)="d",PI()/4*VALUE(MID(ARCH!H60,2,9))^2,VALUE(LEFT(ARCH!H60,FIND("x",ARCH!H60)-1))*VALUE(MID(ARCH!H60,FIND("x",ARCH!H60)+1,9))))</f>
        <v>336</v>
      </c>
      <c r="I60" s="10" t="n">
        <f aca="false">IF(ARCH!I60="",INPUTS!$B$19,IF(LEFT(ARCH!I60,1)="d",PI()/4*VALUE(MID(ARCH!I60,2,9))^2,VALUE(LEFT(ARCH!I60,FIND("x",ARCH!I60)-1))*VALUE(MID(ARCH!I60,FIND("x",ARCH!I60)+1,9))))</f>
        <v>336</v>
      </c>
      <c r="J60" s="10" t="n">
        <f aca="false">IF(ARCH!J60="",INPUTS!$B$19,IF(LEFT(ARCH!J60,1)="d",PI()/4*VALUE(MID(ARCH!J60,2,9))^2,VALUE(LEFT(ARCH!J60,FIND("x",ARCH!J60)-1))*VALUE(MID(ARCH!J60,FIND("x",ARCH!J60)+1,9))))</f>
        <v>336</v>
      </c>
      <c r="K60" s="10" t="n">
        <f aca="false">IF(ARCH!K60="",INPUTS!$B$19,IF(LEFT(ARCH!K60,1)="d",PI()/4*VALUE(MID(ARCH!K60,2,9))^2,VALUE(LEFT(ARCH!K60,FIND("x",ARCH!K60)-1))*VALUE(MID(ARCH!K60,FIND("x",ARCH!K60)+1,9))))</f>
        <v>336</v>
      </c>
      <c r="L60" s="10" t="n">
        <f aca="false">IF(ARCH!L60="",INPUTS!$B$19,IF(LEFT(ARCH!L60,1)="d",PI()/4*VALUE(MID(ARCH!L60,2,9))^2,VALUE(LEFT(ARCH!L60,FIND("x",ARCH!L60)-1))*VALUE(MID(ARCH!L60,FIND("x",ARCH!L60)+1,9))))</f>
        <v>336</v>
      </c>
      <c r="M60" s="10" t="n">
        <f aca="false">IF(ARCH!M60="",INPUTS!$B$19,IF(LEFT(ARCH!M60,1)="d",PI()/4*VALUE(MID(ARCH!M60,2,9))^2,VALUE(LEFT(ARCH!M60,FIND("x",ARCH!M60)-1))*VALUE(MID(ARCH!M60,FIND("x",ARCH!M60)+1,9))))</f>
        <v>336</v>
      </c>
      <c r="N60" s="10" t="n">
        <f aca="false">IF(ARCH!N60="",INPUTS!$B$19,IF(LEFT(ARCH!N60,1)="d",PI()/4*VALUE(MID(ARCH!N60,2,9))^2,VALUE(LEFT(ARCH!N60,FIND("x",ARCH!N60)-1))*VALUE(MID(ARCH!N60,FIND("x",ARCH!N60)+1,9))))</f>
        <v>336</v>
      </c>
      <c r="O60" s="10" t="n">
        <f aca="false">IF(ARCH!O60="",INPUTS!$B$19,IF(LEFT(ARCH!O60,1)="d",PI()/4*VALUE(MID(ARCH!O60,2,9))^2,VALUE(LEFT(ARCH!O60,FIND("x",ARCH!O60)-1))*VALUE(MID(ARCH!O60,FIND("x",ARCH!O60)+1,9))))</f>
        <v>336</v>
      </c>
      <c r="P60" s="10" t="n">
        <f aca="false">IF(ARCH!P60="",INPUTS!$B$19,IF(LEFT(ARCH!P60,1)="d",PI()/4*VALUE(MID(ARCH!P60,2,9))^2,VALUE(LEFT(ARCH!P60,FIND("x",ARCH!P60)-1))*VALUE(MID(ARCH!P60,FIND("x",ARCH!P60)+1,9))))</f>
        <v>336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10" t="n">
        <f aca="false">IF(ARCH!E61="",INPUTS!$B$19,IF(LEFT(ARCH!E61,1)="d",PI()/4*VALUE(MID(ARCH!E61,2,9))^2,VALUE(LEFT(ARCH!E61,FIND("x",ARCH!E61)-1))*VALUE(MID(ARCH!E61,FIND("x",ARCH!E61)+1,9))))</f>
        <v>504</v>
      </c>
      <c r="F61" s="10" t="n">
        <f aca="false">IF(ARCH!F61="",INPUTS!$B$19,IF(LEFT(ARCH!F61,1)="d",PI()/4*VALUE(MID(ARCH!F61,2,9))^2,VALUE(LEFT(ARCH!F61,FIND("x",ARCH!F61)-1))*VALUE(MID(ARCH!F61,FIND("x",ARCH!F61)+1,9))))</f>
        <v>504</v>
      </c>
      <c r="G61" s="10" t="n">
        <f aca="false">IF(ARCH!G61="",INPUTS!$B$19,IF(LEFT(ARCH!G61,1)="d",PI()/4*VALUE(MID(ARCH!G61,2,9))^2,VALUE(LEFT(ARCH!G61,FIND("x",ARCH!G61)-1))*VALUE(MID(ARCH!G61,FIND("x",ARCH!G61)+1,9))))</f>
        <v>504</v>
      </c>
      <c r="H61" s="10" t="n">
        <f aca="false">IF(ARCH!H61="",INPUTS!$B$19,IF(LEFT(ARCH!H61,1)="d",PI()/4*VALUE(MID(ARCH!H61,2,9))^2,VALUE(LEFT(ARCH!H61,FIND("x",ARCH!H61)-1))*VALUE(MID(ARCH!H61,FIND("x",ARCH!H61)+1,9))))</f>
        <v>504</v>
      </c>
      <c r="I61" s="10" t="n">
        <f aca="false">IF(ARCH!I61="",INPUTS!$B$19,IF(LEFT(ARCH!I61,1)="d",PI()/4*VALUE(MID(ARCH!I61,2,9))^2,VALUE(LEFT(ARCH!I61,FIND("x",ARCH!I61)-1))*VALUE(MID(ARCH!I61,FIND("x",ARCH!I61)+1,9))))</f>
        <v>504</v>
      </c>
      <c r="J61" s="10" t="n">
        <f aca="false">IF(ARCH!J61="",INPUTS!$B$19,IF(LEFT(ARCH!J61,1)="d",PI()/4*VALUE(MID(ARCH!J61,2,9))^2,VALUE(LEFT(ARCH!J61,FIND("x",ARCH!J61)-1))*VALUE(MID(ARCH!J61,FIND("x",ARCH!J61)+1,9))))</f>
        <v>504</v>
      </c>
      <c r="K61" s="10" t="n">
        <f aca="false">IF(ARCH!K61="",INPUTS!$B$19,IF(LEFT(ARCH!K61,1)="d",PI()/4*VALUE(MID(ARCH!K61,2,9))^2,VALUE(LEFT(ARCH!K61,FIND("x",ARCH!K61)-1))*VALUE(MID(ARCH!K61,FIND("x",ARCH!K61)+1,9))))</f>
        <v>504</v>
      </c>
      <c r="L61" s="10" t="n">
        <f aca="false">IF(ARCH!L61="",INPUTS!$B$19,IF(LEFT(ARCH!L61,1)="d",PI()/4*VALUE(MID(ARCH!L61,2,9))^2,VALUE(LEFT(ARCH!L61,FIND("x",ARCH!L61)-1))*VALUE(MID(ARCH!L61,FIND("x",ARCH!L61)+1,9))))</f>
        <v>504</v>
      </c>
      <c r="M61" s="10" t="n">
        <f aca="false">IF(ARCH!M61="",INPUTS!$B$19,IF(LEFT(ARCH!M61,1)="d",PI()/4*VALUE(MID(ARCH!M61,2,9))^2,VALUE(LEFT(ARCH!M61,FIND("x",ARCH!M61)-1))*VALUE(MID(ARCH!M61,FIND("x",ARCH!M61)+1,9))))</f>
        <v>504</v>
      </c>
      <c r="N61" s="10" t="n">
        <f aca="false">IF(ARCH!N61="",INPUTS!$B$19,IF(LEFT(ARCH!N61,1)="d",PI()/4*VALUE(MID(ARCH!N61,2,9))^2,VALUE(LEFT(ARCH!N61,FIND("x",ARCH!N61)-1))*VALUE(MID(ARCH!N61,FIND("x",ARCH!N61)+1,9))))</f>
        <v>504</v>
      </c>
      <c r="O61" s="10" t="n">
        <f aca="false">IF(ARCH!O61="",INPUTS!$B$19,IF(LEFT(ARCH!O61,1)="d",PI()/4*VALUE(MID(ARCH!O61,2,9))^2,VALUE(LEFT(ARCH!O61,FIND("x",ARCH!O61)-1))*VALUE(MID(ARCH!O61,FIND("x",ARCH!O61)+1,9))))</f>
        <v>504</v>
      </c>
      <c r="P61" s="10" t="n">
        <f aca="false">IF(ARCH!P61="",INPUTS!$B$19,IF(LEFT(ARCH!P61,1)="d",PI()/4*VALUE(MID(ARCH!P61,2,9))^2,VALUE(LEFT(ARCH!P61,FIND("x",ARCH!P61)-1))*VALUE(MID(ARCH!P61,FIND("x",ARCH!P61)+1,9))))</f>
        <v>504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10" t="n">
        <f aca="false">IF(ARCH!E62="",INPUTS!$B$19,IF(LEFT(ARCH!E62,1)="d",PI()/4*VALUE(MID(ARCH!E62,2,9))^2,VALUE(LEFT(ARCH!E62,FIND("x",ARCH!E62)-1))*VALUE(MID(ARCH!E62,FIND("x",ARCH!E62)+1,9))))</f>
        <v>504</v>
      </c>
      <c r="F62" s="10" t="n">
        <f aca="false">IF(ARCH!F62="",INPUTS!$B$19,IF(LEFT(ARCH!F62,1)="d",PI()/4*VALUE(MID(ARCH!F62,2,9))^2,VALUE(LEFT(ARCH!F62,FIND("x",ARCH!F62)-1))*VALUE(MID(ARCH!F62,FIND("x",ARCH!F62)+1,9))))</f>
        <v>504</v>
      </c>
      <c r="G62" s="10" t="n">
        <f aca="false">IF(ARCH!G62="",INPUTS!$B$19,IF(LEFT(ARCH!G62,1)="d",PI()/4*VALUE(MID(ARCH!G62,2,9))^2,VALUE(LEFT(ARCH!G62,FIND("x",ARCH!G62)-1))*VALUE(MID(ARCH!G62,FIND("x",ARCH!G62)+1,9))))</f>
        <v>504</v>
      </c>
      <c r="H62" s="10" t="n">
        <f aca="false">IF(ARCH!H62="",INPUTS!$B$19,IF(LEFT(ARCH!H62,1)="d",PI()/4*VALUE(MID(ARCH!H62,2,9))^2,VALUE(LEFT(ARCH!H62,FIND("x",ARCH!H62)-1))*VALUE(MID(ARCH!H62,FIND("x",ARCH!H62)+1,9))))</f>
        <v>504</v>
      </c>
      <c r="I62" s="10" t="n">
        <f aca="false">IF(ARCH!I62="",INPUTS!$B$19,IF(LEFT(ARCH!I62,1)="d",PI()/4*VALUE(MID(ARCH!I62,2,9))^2,VALUE(LEFT(ARCH!I62,FIND("x",ARCH!I62)-1))*VALUE(MID(ARCH!I62,FIND("x",ARCH!I62)+1,9))))</f>
        <v>504</v>
      </c>
      <c r="J62" s="10" t="n">
        <f aca="false">IF(ARCH!J62="",INPUTS!$B$19,IF(LEFT(ARCH!J62,1)="d",PI()/4*VALUE(MID(ARCH!J62,2,9))^2,VALUE(LEFT(ARCH!J62,FIND("x",ARCH!J62)-1))*VALUE(MID(ARCH!J62,FIND("x",ARCH!J62)+1,9))))</f>
        <v>504</v>
      </c>
      <c r="K62" s="10" t="n">
        <f aca="false">IF(ARCH!K62="",INPUTS!$B$19,IF(LEFT(ARCH!K62,1)="d",PI()/4*VALUE(MID(ARCH!K62,2,9))^2,VALUE(LEFT(ARCH!K62,FIND("x",ARCH!K62)-1))*VALUE(MID(ARCH!K62,FIND("x",ARCH!K62)+1,9))))</f>
        <v>504</v>
      </c>
      <c r="L62" s="10" t="n">
        <f aca="false">IF(ARCH!L62="",INPUTS!$B$19,IF(LEFT(ARCH!L62,1)="d",PI()/4*VALUE(MID(ARCH!L62,2,9))^2,VALUE(LEFT(ARCH!L62,FIND("x",ARCH!L62)-1))*VALUE(MID(ARCH!L62,FIND("x",ARCH!L62)+1,9))))</f>
        <v>504</v>
      </c>
      <c r="M62" s="10" t="n">
        <f aca="false">IF(ARCH!M62="",INPUTS!$B$19,IF(LEFT(ARCH!M62,1)="d",PI()/4*VALUE(MID(ARCH!M62,2,9))^2,VALUE(LEFT(ARCH!M62,FIND("x",ARCH!M62)-1))*VALUE(MID(ARCH!M62,FIND("x",ARCH!M62)+1,9))))</f>
        <v>504</v>
      </c>
      <c r="N62" s="10" t="n">
        <f aca="false">IF(ARCH!N62="",INPUTS!$B$19,IF(LEFT(ARCH!N62,1)="d",PI()/4*VALUE(MID(ARCH!N62,2,9))^2,VALUE(LEFT(ARCH!N62,FIND("x",ARCH!N62)-1))*VALUE(MID(ARCH!N62,FIND("x",ARCH!N62)+1,9))))</f>
        <v>504</v>
      </c>
      <c r="O62" s="10" t="n">
        <f aca="false">IF(ARCH!O62="",INPUTS!$B$19,IF(LEFT(ARCH!O62,1)="d",PI()/4*VALUE(MID(ARCH!O62,2,9))^2,VALUE(LEFT(ARCH!O62,FIND("x",ARCH!O62)-1))*VALUE(MID(ARCH!O62,FIND("x",ARCH!O62)+1,9))))</f>
        <v>504</v>
      </c>
      <c r="P62" s="10" t="n">
        <f aca="false">IF(ARCH!P62="",INPUTS!$B$19,IF(LEFT(ARCH!P62,1)="d",PI()/4*VALUE(MID(ARCH!P62,2,9))^2,VALUE(LEFT(ARCH!P62,FIND("x",ARCH!P62)-1))*VALUE(MID(ARCH!P62,FIND("x",ARCH!P62)+1,9))))</f>
        <v>504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10" t="n">
        <f aca="false">IF(ARCH!E63="",INPUTS!$B$19,IF(LEFT(ARCH!E63,1)="d",PI()/4*VALUE(MID(ARCH!E63,2,9))^2,VALUE(LEFT(ARCH!E63,FIND("x",ARCH!E63)-1))*VALUE(MID(ARCH!E63,FIND("x",ARCH!E63)+1,9))))</f>
        <v>504</v>
      </c>
      <c r="F63" s="10" t="n">
        <f aca="false">IF(ARCH!F63="",INPUTS!$B$19,IF(LEFT(ARCH!F63,1)="d",PI()/4*VALUE(MID(ARCH!F63,2,9))^2,VALUE(LEFT(ARCH!F63,FIND("x",ARCH!F63)-1))*VALUE(MID(ARCH!F63,FIND("x",ARCH!F63)+1,9))))</f>
        <v>504</v>
      </c>
      <c r="G63" s="10" t="n">
        <f aca="false">IF(ARCH!G63="",INPUTS!$B$19,IF(LEFT(ARCH!G63,1)="d",PI()/4*VALUE(MID(ARCH!G63,2,9))^2,VALUE(LEFT(ARCH!G63,FIND("x",ARCH!G63)-1))*VALUE(MID(ARCH!G63,FIND("x",ARCH!G63)+1,9))))</f>
        <v>504</v>
      </c>
      <c r="H63" s="10" t="n">
        <f aca="false">IF(ARCH!H63="",INPUTS!$B$19,IF(LEFT(ARCH!H63,1)="d",PI()/4*VALUE(MID(ARCH!H63,2,9))^2,VALUE(LEFT(ARCH!H63,FIND("x",ARCH!H63)-1))*VALUE(MID(ARCH!H63,FIND("x",ARCH!H63)+1,9))))</f>
        <v>504</v>
      </c>
      <c r="I63" s="10" t="n">
        <f aca="false">IF(ARCH!I63="",INPUTS!$B$19,IF(LEFT(ARCH!I63,1)="d",PI()/4*VALUE(MID(ARCH!I63,2,9))^2,VALUE(LEFT(ARCH!I63,FIND("x",ARCH!I63)-1))*VALUE(MID(ARCH!I63,FIND("x",ARCH!I63)+1,9))))</f>
        <v>504</v>
      </c>
      <c r="J63" s="10" t="n">
        <f aca="false">IF(ARCH!J63="",INPUTS!$B$19,IF(LEFT(ARCH!J63,1)="d",PI()/4*VALUE(MID(ARCH!J63,2,9))^2,VALUE(LEFT(ARCH!J63,FIND("x",ARCH!J63)-1))*VALUE(MID(ARCH!J63,FIND("x",ARCH!J63)+1,9))))</f>
        <v>504</v>
      </c>
      <c r="K63" s="10" t="n">
        <f aca="false">IF(ARCH!K63="",INPUTS!$B$19,IF(LEFT(ARCH!K63,1)="d",PI()/4*VALUE(MID(ARCH!K63,2,9))^2,VALUE(LEFT(ARCH!K63,FIND("x",ARCH!K63)-1))*VALUE(MID(ARCH!K63,FIND("x",ARCH!K63)+1,9))))</f>
        <v>504</v>
      </c>
      <c r="L63" s="10" t="n">
        <f aca="false">IF(ARCH!L63="",INPUTS!$B$19,IF(LEFT(ARCH!L63,1)="d",PI()/4*VALUE(MID(ARCH!L63,2,9))^2,VALUE(LEFT(ARCH!L63,FIND("x",ARCH!L63)-1))*VALUE(MID(ARCH!L63,FIND("x",ARCH!L63)+1,9))))</f>
        <v>504</v>
      </c>
      <c r="M63" s="10" t="n">
        <f aca="false">IF(ARCH!M63="",INPUTS!$B$19,IF(LEFT(ARCH!M63,1)="d",PI()/4*VALUE(MID(ARCH!M63,2,9))^2,VALUE(LEFT(ARCH!M63,FIND("x",ARCH!M63)-1))*VALUE(MID(ARCH!M63,FIND("x",ARCH!M63)+1,9))))</f>
        <v>504</v>
      </c>
      <c r="N63" s="10" t="n">
        <f aca="false">IF(ARCH!N63="",INPUTS!$B$19,IF(LEFT(ARCH!N63,1)="d",PI()/4*VALUE(MID(ARCH!N63,2,9))^2,VALUE(LEFT(ARCH!N63,FIND("x",ARCH!N63)-1))*VALUE(MID(ARCH!N63,FIND("x",ARCH!N63)+1,9))))</f>
        <v>504</v>
      </c>
      <c r="O63" s="10" t="n">
        <f aca="false">IF(ARCH!O63="",INPUTS!$B$19,IF(LEFT(ARCH!O63,1)="d",PI()/4*VALUE(MID(ARCH!O63,2,9))^2,VALUE(LEFT(ARCH!O63,FIND("x",ARCH!O63)-1))*VALUE(MID(ARCH!O63,FIND("x",ARCH!O63)+1,9))))</f>
        <v>504</v>
      </c>
      <c r="P63" s="10" t="n">
        <f aca="false">IF(ARCH!P63="",INPUTS!$B$19,IF(LEFT(ARCH!P63,1)="d",PI()/4*VALUE(MID(ARCH!P63,2,9))^2,VALUE(LEFT(ARCH!P63,FIND("x",ARCH!P63)-1))*VALUE(MID(ARCH!P63,FIND("x",ARCH!P63)+1,9))))</f>
        <v>504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10" t="n">
        <f aca="false">IF(ARCH!E64="",INPUTS!$B$19,IF(LEFT(ARCH!E64,1)="d",PI()/4*VALUE(MID(ARCH!E64,2,9))^2,VALUE(LEFT(ARCH!E64,FIND("x",ARCH!E64)-1))*VALUE(MID(ARCH!E64,FIND("x",ARCH!E64)+1,9))))</f>
        <v>504</v>
      </c>
      <c r="F64" s="10" t="n">
        <f aca="false">IF(ARCH!F64="",INPUTS!$B$19,IF(LEFT(ARCH!F64,1)="d",PI()/4*VALUE(MID(ARCH!F64,2,9))^2,VALUE(LEFT(ARCH!F64,FIND("x",ARCH!F64)-1))*VALUE(MID(ARCH!F64,FIND("x",ARCH!F64)+1,9))))</f>
        <v>504</v>
      </c>
      <c r="G64" s="10" t="n">
        <f aca="false">IF(ARCH!G64="",INPUTS!$B$19,IF(LEFT(ARCH!G64,1)="d",PI()/4*VALUE(MID(ARCH!G64,2,9))^2,VALUE(LEFT(ARCH!G64,FIND("x",ARCH!G64)-1))*VALUE(MID(ARCH!G64,FIND("x",ARCH!G64)+1,9))))</f>
        <v>504</v>
      </c>
      <c r="H64" s="10" t="n">
        <f aca="false">IF(ARCH!H64="",INPUTS!$B$19,IF(LEFT(ARCH!H64,1)="d",PI()/4*VALUE(MID(ARCH!H64,2,9))^2,VALUE(LEFT(ARCH!H64,FIND("x",ARCH!H64)-1))*VALUE(MID(ARCH!H64,FIND("x",ARCH!H64)+1,9))))</f>
        <v>504</v>
      </c>
      <c r="I64" s="10" t="n">
        <f aca="false">IF(ARCH!I64="",INPUTS!$B$19,IF(LEFT(ARCH!I64,1)="d",PI()/4*VALUE(MID(ARCH!I64,2,9))^2,VALUE(LEFT(ARCH!I64,FIND("x",ARCH!I64)-1))*VALUE(MID(ARCH!I64,FIND("x",ARCH!I64)+1,9))))</f>
        <v>504</v>
      </c>
      <c r="J64" s="10" t="n">
        <f aca="false">IF(ARCH!J64="",INPUTS!$B$19,IF(LEFT(ARCH!J64,1)="d",PI()/4*VALUE(MID(ARCH!J64,2,9))^2,VALUE(LEFT(ARCH!J64,FIND("x",ARCH!J64)-1))*VALUE(MID(ARCH!J64,FIND("x",ARCH!J64)+1,9))))</f>
        <v>504</v>
      </c>
      <c r="K64" s="10" t="n">
        <f aca="false">IF(ARCH!K64="",INPUTS!$B$19,IF(LEFT(ARCH!K64,1)="d",PI()/4*VALUE(MID(ARCH!K64,2,9))^2,VALUE(LEFT(ARCH!K64,FIND("x",ARCH!K64)-1))*VALUE(MID(ARCH!K64,FIND("x",ARCH!K64)+1,9))))</f>
        <v>336</v>
      </c>
      <c r="L64" s="10" t="n">
        <f aca="false">IF(ARCH!L64="",INPUTS!$B$19,IF(LEFT(ARCH!L64,1)="d",PI()/4*VALUE(MID(ARCH!L64,2,9))^2,VALUE(LEFT(ARCH!L64,FIND("x",ARCH!L64)-1))*VALUE(MID(ARCH!L64,FIND("x",ARCH!L64)+1,9))))</f>
        <v>336</v>
      </c>
      <c r="M64" s="10" t="n">
        <f aca="false">IF(ARCH!M64="",INPUTS!$B$19,IF(LEFT(ARCH!M64,1)="d",PI()/4*VALUE(MID(ARCH!M64,2,9))^2,VALUE(LEFT(ARCH!M64,FIND("x",ARCH!M64)-1))*VALUE(MID(ARCH!M64,FIND("x",ARCH!M64)+1,9))))</f>
        <v>336</v>
      </c>
      <c r="N64" s="10" t="n">
        <f aca="false">IF(ARCH!N64="",INPUTS!$B$19,IF(LEFT(ARCH!N64,1)="d",PI()/4*VALUE(MID(ARCH!N64,2,9))^2,VALUE(LEFT(ARCH!N64,FIND("x",ARCH!N64)-1))*VALUE(MID(ARCH!N64,FIND("x",ARCH!N64)+1,9))))</f>
        <v>336</v>
      </c>
      <c r="O64" s="10" t="n">
        <f aca="false">IF(ARCH!O64="",INPUTS!$B$19,IF(LEFT(ARCH!O64,1)="d",PI()/4*VALUE(MID(ARCH!O64,2,9))^2,VALUE(LEFT(ARCH!O64,FIND("x",ARCH!O64)-1))*VALUE(MID(ARCH!O64,FIND("x",ARCH!O64)+1,9))))</f>
        <v>336</v>
      </c>
      <c r="P64" s="10" t="n">
        <f aca="false">IF(ARCH!P64="",INPUTS!$B$19,IF(LEFT(ARCH!P64,1)="d",PI()/4*VALUE(MID(ARCH!P64,2,9))^2,VALUE(LEFT(ARCH!P64,FIND("x",ARCH!P64)-1))*VALUE(MID(ARCH!P64,FIND("x",ARCH!P64)+1,9))))</f>
        <v>336</v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10" t="n">
        <f aca="false">IF(ARCH!E65="",INPUTS!$B$19,IF(LEFT(ARCH!E65,1)="d",PI()/4*VALUE(MID(ARCH!E65,2,9))^2,VALUE(LEFT(ARCH!E65,FIND("x",ARCH!E65)-1))*VALUE(MID(ARCH!E65,FIND("x",ARCH!E65)+1,9))))</f>
        <v>504</v>
      </c>
      <c r="F65" s="10" t="n">
        <f aca="false">IF(ARCH!F65="",INPUTS!$B$19,IF(LEFT(ARCH!F65,1)="d",PI()/4*VALUE(MID(ARCH!F65,2,9))^2,VALUE(LEFT(ARCH!F65,FIND("x",ARCH!F65)-1))*VALUE(MID(ARCH!F65,FIND("x",ARCH!F65)+1,9))))</f>
        <v>504</v>
      </c>
      <c r="G65" s="10" t="n">
        <f aca="false">IF(ARCH!G65="",INPUTS!$B$19,IF(LEFT(ARCH!G65,1)="d",PI()/4*VALUE(MID(ARCH!G65,2,9))^2,VALUE(LEFT(ARCH!G65,FIND("x",ARCH!G65)-1))*VALUE(MID(ARCH!G65,FIND("x",ARCH!G65)+1,9))))</f>
        <v>504</v>
      </c>
      <c r="H65" s="10" t="n">
        <f aca="false">IF(ARCH!H65="",INPUTS!$B$19,IF(LEFT(ARCH!H65,1)="d",PI()/4*VALUE(MID(ARCH!H65,2,9))^2,VALUE(LEFT(ARCH!H65,FIND("x",ARCH!H65)-1))*VALUE(MID(ARCH!H65,FIND("x",ARCH!H65)+1,9))))</f>
        <v>504</v>
      </c>
      <c r="I65" s="10" t="n">
        <f aca="false">IF(ARCH!I65="",INPUTS!$B$19,IF(LEFT(ARCH!I65,1)="d",PI()/4*VALUE(MID(ARCH!I65,2,9))^2,VALUE(LEFT(ARCH!I65,FIND("x",ARCH!I65)-1))*VALUE(MID(ARCH!I65,FIND("x",ARCH!I65)+1,9))))</f>
        <v>504</v>
      </c>
      <c r="J65" s="10" t="n">
        <f aca="false">IF(ARCH!J65="",INPUTS!$B$19,IF(LEFT(ARCH!J65,1)="d",PI()/4*VALUE(MID(ARCH!J65,2,9))^2,VALUE(LEFT(ARCH!J65,FIND("x",ARCH!J65)-1))*VALUE(MID(ARCH!J65,FIND("x",ARCH!J65)+1,9))))</f>
        <v>504</v>
      </c>
      <c r="K65" s="10" t="n">
        <f aca="false">IF(ARCH!K65="",INPUTS!$B$19,IF(LEFT(ARCH!K65,1)="d",PI()/4*VALUE(MID(ARCH!K65,2,9))^2,VALUE(LEFT(ARCH!K65,FIND("x",ARCH!K65)-1))*VALUE(MID(ARCH!K65,FIND("x",ARCH!K65)+1,9))))</f>
        <v>336</v>
      </c>
      <c r="L65" s="10" t="n">
        <f aca="false">IF(ARCH!L65="",INPUTS!$B$19,IF(LEFT(ARCH!L65,1)="d",PI()/4*VALUE(MID(ARCH!L65,2,9))^2,VALUE(LEFT(ARCH!L65,FIND("x",ARCH!L65)-1))*VALUE(MID(ARCH!L65,FIND("x",ARCH!L65)+1,9))))</f>
        <v>336</v>
      </c>
      <c r="M65" s="10" t="n">
        <f aca="false">IF(ARCH!M65="",INPUTS!$B$19,IF(LEFT(ARCH!M65,1)="d",PI()/4*VALUE(MID(ARCH!M65,2,9))^2,VALUE(LEFT(ARCH!M65,FIND("x",ARCH!M65)-1))*VALUE(MID(ARCH!M65,FIND("x",ARCH!M65)+1,9))))</f>
        <v>336</v>
      </c>
      <c r="N65" s="10" t="n">
        <f aca="false">IF(ARCH!N65="",INPUTS!$B$19,IF(LEFT(ARCH!N65,1)="d",PI()/4*VALUE(MID(ARCH!N65,2,9))^2,VALUE(LEFT(ARCH!N65,FIND("x",ARCH!N65)-1))*VALUE(MID(ARCH!N65,FIND("x",ARCH!N65)+1,9))))</f>
        <v>336</v>
      </c>
      <c r="O65" s="10" t="n">
        <f aca="false">IF(ARCH!O65="",INPUTS!$B$19,IF(LEFT(ARCH!O65,1)="d",PI()/4*VALUE(MID(ARCH!O65,2,9))^2,VALUE(LEFT(ARCH!O65,FIND("x",ARCH!O65)-1))*VALUE(MID(ARCH!O65,FIND("x",ARCH!O65)+1,9))))</f>
        <v>336</v>
      </c>
      <c r="P65" s="10" t="n">
        <f aca="false">IF(ARCH!P65="",INPUTS!$B$19,IF(LEFT(ARCH!P65,1)="d",PI()/4*VALUE(MID(ARCH!P65,2,9))^2,VALUE(LEFT(ARCH!P65,FIND("x",ARCH!P65)-1))*VALUE(MID(ARCH!P65,FIND("x",ARCH!P65)+1,9))))</f>
        <v>336</v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10" t="n">
        <f aca="false">IF(ARCH!E66="",INPUTS!$B$19,IF(LEFT(ARCH!E66,1)="d",PI()/4*VALUE(MID(ARCH!E66,2,9))^2,VALUE(LEFT(ARCH!E66,FIND("x",ARCH!E66)-1))*VALUE(MID(ARCH!E66,FIND("x",ARCH!E66)+1,9))))</f>
        <v>504</v>
      </c>
      <c r="F66" s="10" t="n">
        <f aca="false">IF(ARCH!F66="",INPUTS!$B$19,IF(LEFT(ARCH!F66,1)="d",PI()/4*VALUE(MID(ARCH!F66,2,9))^2,VALUE(LEFT(ARCH!F66,FIND("x",ARCH!F66)-1))*VALUE(MID(ARCH!F66,FIND("x",ARCH!F66)+1,9))))</f>
        <v>504</v>
      </c>
      <c r="G66" s="10" t="n">
        <f aca="false">IF(ARCH!G66="",INPUTS!$B$19,IF(LEFT(ARCH!G66,1)="d",PI()/4*VALUE(MID(ARCH!G66,2,9))^2,VALUE(LEFT(ARCH!G66,FIND("x",ARCH!G66)-1))*VALUE(MID(ARCH!G66,FIND("x",ARCH!G66)+1,9))))</f>
        <v>504</v>
      </c>
      <c r="H66" s="10" t="n">
        <f aca="false">IF(ARCH!H66="",INPUTS!$B$19,IF(LEFT(ARCH!H66,1)="d",PI()/4*VALUE(MID(ARCH!H66,2,9))^2,VALUE(LEFT(ARCH!H66,FIND("x",ARCH!H66)-1))*VALUE(MID(ARCH!H66,FIND("x",ARCH!H66)+1,9))))</f>
        <v>504</v>
      </c>
      <c r="I66" s="10" t="n">
        <f aca="false">IF(ARCH!I66="",INPUTS!$B$19,IF(LEFT(ARCH!I66,1)="d",PI()/4*VALUE(MID(ARCH!I66,2,9))^2,VALUE(LEFT(ARCH!I66,FIND("x",ARCH!I66)-1))*VALUE(MID(ARCH!I66,FIND("x",ARCH!I66)+1,9))))</f>
        <v>504</v>
      </c>
      <c r="J66" s="10" t="n">
        <f aca="false">IF(ARCH!J66="",INPUTS!$B$19,IF(LEFT(ARCH!J66,1)="d",PI()/4*VALUE(MID(ARCH!J66,2,9))^2,VALUE(LEFT(ARCH!J66,FIND("x",ARCH!J66)-1))*VALUE(MID(ARCH!J66,FIND("x",ARCH!J66)+1,9))))</f>
        <v>504</v>
      </c>
      <c r="K66" s="10" t="n">
        <f aca="false">IF(ARCH!K66="",INPUTS!$B$19,IF(LEFT(ARCH!K66,1)="d",PI()/4*VALUE(MID(ARCH!K66,2,9))^2,VALUE(LEFT(ARCH!K66,FIND("x",ARCH!K66)-1))*VALUE(MID(ARCH!K66,FIND("x",ARCH!K66)+1,9))))</f>
        <v>336</v>
      </c>
      <c r="L66" s="10" t="n">
        <f aca="false">IF(ARCH!L66="",INPUTS!$B$19,IF(LEFT(ARCH!L66,1)="d",PI()/4*VALUE(MID(ARCH!L66,2,9))^2,VALUE(LEFT(ARCH!L66,FIND("x",ARCH!L66)-1))*VALUE(MID(ARCH!L66,FIND("x",ARCH!L66)+1,9))))</f>
        <v>336</v>
      </c>
      <c r="M66" s="10" t="n">
        <f aca="false">IF(ARCH!M66="",INPUTS!$B$19,IF(LEFT(ARCH!M66,1)="d",PI()/4*VALUE(MID(ARCH!M66,2,9))^2,VALUE(LEFT(ARCH!M66,FIND("x",ARCH!M66)-1))*VALUE(MID(ARCH!M66,FIND("x",ARCH!M66)+1,9))))</f>
        <v>336</v>
      </c>
      <c r="N66" s="10" t="n">
        <f aca="false">IF(ARCH!N66="",INPUTS!$B$19,IF(LEFT(ARCH!N66,1)="d",PI()/4*VALUE(MID(ARCH!N66,2,9))^2,VALUE(LEFT(ARCH!N66,FIND("x",ARCH!N66)-1))*VALUE(MID(ARCH!N66,FIND("x",ARCH!N66)+1,9))))</f>
        <v>336</v>
      </c>
      <c r="O66" s="10" t="n">
        <f aca="false">IF(ARCH!O66="",INPUTS!$B$19,IF(LEFT(ARCH!O66,1)="d",PI()/4*VALUE(MID(ARCH!O66,2,9))^2,VALUE(LEFT(ARCH!O66,FIND("x",ARCH!O66)-1))*VALUE(MID(ARCH!O66,FIND("x",ARCH!O66)+1,9))))</f>
        <v>336</v>
      </c>
      <c r="P66" s="10" t="n">
        <f aca="false">IF(ARCH!P66="",INPUTS!$B$19,IF(LEFT(ARCH!P66,1)="d",PI()/4*VALUE(MID(ARCH!P66,2,9))^2,VALUE(LEFT(ARCH!P66,FIND("x",ARCH!P66)-1))*VALUE(MID(ARCH!P66,FIND("x",ARCH!P66)+1,9))))</f>
        <v>336</v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10" t="n">
        <f aca="false">IF(ARCH!E67="",INPUTS!$B$19,IF(LEFT(ARCH!E67,1)="d",PI()/4*VALUE(MID(ARCH!E67,2,9))^2,VALUE(LEFT(ARCH!E67,FIND("x",ARCH!E67)-1))*VALUE(MID(ARCH!E67,FIND("x",ARCH!E67)+1,9))))</f>
        <v>504</v>
      </c>
      <c r="F67" s="10" t="n">
        <f aca="false">IF(ARCH!F67="",INPUTS!$B$19,IF(LEFT(ARCH!F67,1)="d",PI()/4*VALUE(MID(ARCH!F67,2,9))^2,VALUE(LEFT(ARCH!F67,FIND("x",ARCH!F67)-1))*VALUE(MID(ARCH!F67,FIND("x",ARCH!F67)+1,9))))</f>
        <v>504</v>
      </c>
      <c r="G67" s="10" t="n">
        <f aca="false">IF(ARCH!G67="",INPUTS!$B$19,IF(LEFT(ARCH!G67,1)="d",PI()/4*VALUE(MID(ARCH!G67,2,9))^2,VALUE(LEFT(ARCH!G67,FIND("x",ARCH!G67)-1))*VALUE(MID(ARCH!G67,FIND("x",ARCH!G67)+1,9))))</f>
        <v>504</v>
      </c>
      <c r="H67" s="10" t="n">
        <f aca="false">IF(ARCH!H67="",INPUTS!$B$19,IF(LEFT(ARCH!H67,1)="d",PI()/4*VALUE(MID(ARCH!H67,2,9))^2,VALUE(LEFT(ARCH!H67,FIND("x",ARCH!H67)-1))*VALUE(MID(ARCH!H67,FIND("x",ARCH!H67)+1,9))))</f>
        <v>504</v>
      </c>
      <c r="I67" s="10" t="n">
        <f aca="false">IF(ARCH!I67="",INPUTS!$B$19,IF(LEFT(ARCH!I67,1)="d",PI()/4*VALUE(MID(ARCH!I67,2,9))^2,VALUE(LEFT(ARCH!I67,FIND("x",ARCH!I67)-1))*VALUE(MID(ARCH!I67,FIND("x",ARCH!I67)+1,9))))</f>
        <v>504</v>
      </c>
      <c r="J67" s="10" t="n">
        <f aca="false">IF(ARCH!J67="",INPUTS!$B$19,IF(LEFT(ARCH!J67,1)="d",PI()/4*VALUE(MID(ARCH!J67,2,9))^2,VALUE(LEFT(ARCH!J67,FIND("x",ARCH!J67)-1))*VALUE(MID(ARCH!J67,FIND("x",ARCH!J67)+1,9))))</f>
        <v>504</v>
      </c>
      <c r="K67" s="10" t="n">
        <f aca="false">IF(ARCH!K67="",INPUTS!$B$19,IF(LEFT(ARCH!K67,1)="d",PI()/4*VALUE(MID(ARCH!K67,2,9))^2,VALUE(LEFT(ARCH!K67,FIND("x",ARCH!K67)-1))*VALUE(MID(ARCH!K67,FIND("x",ARCH!K67)+1,9))))</f>
        <v>336</v>
      </c>
      <c r="L67" s="10" t="n">
        <f aca="false">IF(ARCH!L67="",INPUTS!$B$19,IF(LEFT(ARCH!L67,1)="d",PI()/4*VALUE(MID(ARCH!L67,2,9))^2,VALUE(LEFT(ARCH!L67,FIND("x",ARCH!L67)-1))*VALUE(MID(ARCH!L67,FIND("x",ARCH!L67)+1,9))))</f>
        <v>336</v>
      </c>
      <c r="M67" s="10" t="n">
        <f aca="false">IF(ARCH!M67="",INPUTS!$B$19,IF(LEFT(ARCH!M67,1)="d",PI()/4*VALUE(MID(ARCH!M67,2,9))^2,VALUE(LEFT(ARCH!M67,FIND("x",ARCH!M67)-1))*VALUE(MID(ARCH!M67,FIND("x",ARCH!M67)+1,9))))</f>
        <v>336</v>
      </c>
      <c r="N67" s="10" t="n">
        <f aca="false">IF(ARCH!N67="",INPUTS!$B$19,IF(LEFT(ARCH!N67,1)="d",PI()/4*VALUE(MID(ARCH!N67,2,9))^2,VALUE(LEFT(ARCH!N67,FIND("x",ARCH!N67)-1))*VALUE(MID(ARCH!N67,FIND("x",ARCH!N67)+1,9))))</f>
        <v>336</v>
      </c>
      <c r="O67" s="10" t="n">
        <f aca="false">IF(ARCH!O67="",INPUTS!$B$19,IF(LEFT(ARCH!O67,1)="d",PI()/4*VALUE(MID(ARCH!O67,2,9))^2,VALUE(LEFT(ARCH!O67,FIND("x",ARCH!O67)-1))*VALUE(MID(ARCH!O67,FIND("x",ARCH!O67)+1,9))))</f>
        <v>336</v>
      </c>
      <c r="P67" s="10" t="n">
        <f aca="false">IF(ARCH!P67="",INPUTS!$B$19,IF(LEFT(ARCH!P67,1)="d",PI()/4*VALUE(MID(ARCH!P67,2,9))^2,VALUE(LEFT(ARCH!P67,FIND("x",ARCH!P67)-1))*VALUE(MID(ARCH!P67,FIND("x",ARCH!P67)+1,9))))</f>
        <v>336</v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10" t="n">
        <f aca="false">IF(ARCH!E68="",INPUTS!$B$19,IF(LEFT(ARCH!E68,1)="d",PI()/4*VALUE(MID(ARCH!E68,2,9))^2,VALUE(LEFT(ARCH!E68,FIND("x",ARCH!E68)-1))*VALUE(MID(ARCH!E68,FIND("x",ARCH!E68)+1,9))))</f>
        <v>504</v>
      </c>
      <c r="F68" s="10" t="n">
        <f aca="false">IF(ARCH!F68="",INPUTS!$B$19,IF(LEFT(ARCH!F68,1)="d",PI()/4*VALUE(MID(ARCH!F68,2,9))^2,VALUE(LEFT(ARCH!F68,FIND("x",ARCH!F68)-1))*VALUE(MID(ARCH!F68,FIND("x",ARCH!F68)+1,9))))</f>
        <v>504</v>
      </c>
      <c r="G68" s="10" t="n">
        <f aca="false">IF(ARCH!G68="",INPUTS!$B$19,IF(LEFT(ARCH!G68,1)="d",PI()/4*VALUE(MID(ARCH!G68,2,9))^2,VALUE(LEFT(ARCH!G68,FIND("x",ARCH!G68)-1))*VALUE(MID(ARCH!G68,FIND("x",ARCH!G68)+1,9))))</f>
        <v>504</v>
      </c>
      <c r="H68" s="10" t="n">
        <f aca="false">IF(ARCH!H68="",INPUTS!$B$19,IF(LEFT(ARCH!H68,1)="d",PI()/4*VALUE(MID(ARCH!H68,2,9))^2,VALUE(LEFT(ARCH!H68,FIND("x",ARCH!H68)-1))*VALUE(MID(ARCH!H68,FIND("x",ARCH!H68)+1,9))))</f>
        <v>504</v>
      </c>
      <c r="I68" s="10" t="n">
        <f aca="false">IF(ARCH!I68="",INPUTS!$B$19,IF(LEFT(ARCH!I68,1)="d",PI()/4*VALUE(MID(ARCH!I68,2,9))^2,VALUE(LEFT(ARCH!I68,FIND("x",ARCH!I68)-1))*VALUE(MID(ARCH!I68,FIND("x",ARCH!I68)+1,9))))</f>
        <v>504</v>
      </c>
      <c r="J68" s="10" t="n">
        <f aca="false">IF(ARCH!J68="",INPUTS!$B$19,IF(LEFT(ARCH!J68,1)="d",PI()/4*VALUE(MID(ARCH!J68,2,9))^2,VALUE(LEFT(ARCH!J68,FIND("x",ARCH!J68)-1))*VALUE(MID(ARCH!J68,FIND("x",ARCH!J68)+1,9))))</f>
        <v>504</v>
      </c>
      <c r="K68" s="10" t="n">
        <f aca="false">IF(ARCH!K68="",INPUTS!$B$19,IF(LEFT(ARCH!K68,1)="d",PI()/4*VALUE(MID(ARCH!K68,2,9))^2,VALUE(LEFT(ARCH!K68,FIND("x",ARCH!K68)-1))*VALUE(MID(ARCH!K68,FIND("x",ARCH!K68)+1,9))))</f>
        <v>336</v>
      </c>
      <c r="L68" s="10" t="n">
        <f aca="false">IF(ARCH!L68="",INPUTS!$B$19,IF(LEFT(ARCH!L68,1)="d",PI()/4*VALUE(MID(ARCH!L68,2,9))^2,VALUE(LEFT(ARCH!L68,FIND("x",ARCH!L68)-1))*VALUE(MID(ARCH!L68,FIND("x",ARCH!L68)+1,9))))</f>
        <v>336</v>
      </c>
      <c r="M68" s="10" t="n">
        <f aca="false">IF(ARCH!M68="",INPUTS!$B$19,IF(LEFT(ARCH!M68,1)="d",PI()/4*VALUE(MID(ARCH!M68,2,9))^2,VALUE(LEFT(ARCH!M68,FIND("x",ARCH!M68)-1))*VALUE(MID(ARCH!M68,FIND("x",ARCH!M68)+1,9))))</f>
        <v>336</v>
      </c>
      <c r="N68" s="10" t="n">
        <f aca="false">IF(ARCH!N68="",INPUTS!$B$19,IF(LEFT(ARCH!N68,1)="d",PI()/4*VALUE(MID(ARCH!N68,2,9))^2,VALUE(LEFT(ARCH!N68,FIND("x",ARCH!N68)-1))*VALUE(MID(ARCH!N68,FIND("x",ARCH!N68)+1,9))))</f>
        <v>336</v>
      </c>
      <c r="O68" s="10" t="n">
        <f aca="false">IF(ARCH!O68="",INPUTS!$B$19,IF(LEFT(ARCH!O68,1)="d",PI()/4*VALUE(MID(ARCH!O68,2,9))^2,VALUE(LEFT(ARCH!O68,FIND("x",ARCH!O68)-1))*VALUE(MID(ARCH!O68,FIND("x",ARCH!O68)+1,9))))</f>
        <v>336</v>
      </c>
      <c r="P68" s="10" t="n">
        <f aca="false">IF(ARCH!P68="",INPUTS!$B$19,IF(LEFT(ARCH!P68,1)="d",PI()/4*VALUE(MID(ARCH!P68,2,9))^2,VALUE(LEFT(ARCH!P68,FIND("x",ARCH!P68)-1))*VALUE(MID(ARCH!P68,FIND("x",ARCH!P68)+1,9))))</f>
        <v>336</v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10" t="n">
        <f aca="false">IF(ARCH!E69="",INPUTS!$B$19,IF(LEFT(ARCH!E69,1)="d",PI()/4*VALUE(MID(ARCH!E69,2,9))^2,VALUE(LEFT(ARCH!E69,FIND("x",ARCH!E69)-1))*VALUE(MID(ARCH!E69,FIND("x",ARCH!E69)+1,9))))</f>
        <v>504</v>
      </c>
      <c r="F69" s="10" t="n">
        <f aca="false">IF(ARCH!F69="",INPUTS!$B$19,IF(LEFT(ARCH!F69,1)="d",PI()/4*VALUE(MID(ARCH!F69,2,9))^2,VALUE(LEFT(ARCH!F69,FIND("x",ARCH!F69)-1))*VALUE(MID(ARCH!F69,FIND("x",ARCH!F69)+1,9))))</f>
        <v>504</v>
      </c>
      <c r="G69" s="10" t="n">
        <f aca="false">IF(ARCH!G69="",INPUTS!$B$19,IF(LEFT(ARCH!G69,1)="d",PI()/4*VALUE(MID(ARCH!G69,2,9))^2,VALUE(LEFT(ARCH!G69,FIND("x",ARCH!G69)-1))*VALUE(MID(ARCH!G69,FIND("x",ARCH!G69)+1,9))))</f>
        <v>504</v>
      </c>
      <c r="H69" s="10" t="n">
        <f aca="false">IF(ARCH!H69="",INPUTS!$B$19,IF(LEFT(ARCH!H69,1)="d",PI()/4*VALUE(MID(ARCH!H69,2,9))^2,VALUE(LEFT(ARCH!H69,FIND("x",ARCH!H69)-1))*VALUE(MID(ARCH!H69,FIND("x",ARCH!H69)+1,9))))</f>
        <v>504</v>
      </c>
      <c r="I69" s="10" t="n">
        <f aca="false">IF(ARCH!I69="",INPUTS!$B$19,IF(LEFT(ARCH!I69,1)="d",PI()/4*VALUE(MID(ARCH!I69,2,9))^2,VALUE(LEFT(ARCH!I69,FIND("x",ARCH!I69)-1))*VALUE(MID(ARCH!I69,FIND("x",ARCH!I69)+1,9))))</f>
        <v>504</v>
      </c>
      <c r="J69" s="10" t="n">
        <f aca="false">IF(ARCH!J69="",INPUTS!$B$19,IF(LEFT(ARCH!J69,1)="d",PI()/4*VALUE(MID(ARCH!J69,2,9))^2,VALUE(LEFT(ARCH!J69,FIND("x",ARCH!J69)-1))*VALUE(MID(ARCH!J69,FIND("x",ARCH!J69)+1,9))))</f>
        <v>504</v>
      </c>
      <c r="K69" s="10" t="n">
        <f aca="false">IF(ARCH!K69="",INPUTS!$B$19,IF(LEFT(ARCH!K69,1)="d",PI()/4*VALUE(MID(ARCH!K69,2,9))^2,VALUE(LEFT(ARCH!K69,FIND("x",ARCH!K69)-1))*VALUE(MID(ARCH!K69,FIND("x",ARCH!K69)+1,9))))</f>
        <v>336</v>
      </c>
      <c r="L69" s="10" t="n">
        <f aca="false">IF(ARCH!L69="",INPUTS!$B$19,IF(LEFT(ARCH!L69,1)="d",PI()/4*VALUE(MID(ARCH!L69,2,9))^2,VALUE(LEFT(ARCH!L69,FIND("x",ARCH!L69)-1))*VALUE(MID(ARCH!L69,FIND("x",ARCH!L69)+1,9))))</f>
        <v>336</v>
      </c>
      <c r="M69" s="10" t="n">
        <f aca="false">IF(ARCH!M69="",INPUTS!$B$19,IF(LEFT(ARCH!M69,1)="d",PI()/4*VALUE(MID(ARCH!M69,2,9))^2,VALUE(LEFT(ARCH!M69,FIND("x",ARCH!M69)-1))*VALUE(MID(ARCH!M69,FIND("x",ARCH!M69)+1,9))))</f>
        <v>336</v>
      </c>
      <c r="N69" s="10" t="n">
        <f aca="false">IF(ARCH!N69="",INPUTS!$B$19,IF(LEFT(ARCH!N69,1)="d",PI()/4*VALUE(MID(ARCH!N69,2,9))^2,VALUE(LEFT(ARCH!N69,FIND("x",ARCH!N69)-1))*VALUE(MID(ARCH!N69,FIND("x",ARCH!N69)+1,9))))</f>
        <v>336</v>
      </c>
      <c r="O69" s="10" t="n">
        <f aca="false">IF(ARCH!O69="",INPUTS!$B$19,IF(LEFT(ARCH!O69,1)="d",PI()/4*VALUE(MID(ARCH!O69,2,9))^2,VALUE(LEFT(ARCH!O69,FIND("x",ARCH!O69)-1))*VALUE(MID(ARCH!O69,FIND("x",ARCH!O69)+1,9))))</f>
        <v>336</v>
      </c>
      <c r="P69" s="10" t="n">
        <f aca="false">IF(ARCH!P69="",INPUTS!$B$19,IF(LEFT(ARCH!P69,1)="d",PI()/4*VALUE(MID(ARCH!P69,2,9))^2,VALUE(LEFT(ARCH!P69,FIND("x",ARCH!P69)-1))*VALUE(MID(ARCH!P69,FIND("x",ARCH!P69)+1,9))))</f>
        <v>336</v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10" t="n">
        <f aca="false">IF(ARCH!E70="",INPUTS!$B$19,IF(LEFT(ARCH!E70,1)="d",PI()/4*VALUE(MID(ARCH!E70,2,9))^2,VALUE(LEFT(ARCH!E70,FIND("x",ARCH!E70)-1))*VALUE(MID(ARCH!E70,FIND("x",ARCH!E70)+1,9))))</f>
        <v>504</v>
      </c>
      <c r="F70" s="10" t="n">
        <f aca="false">IF(ARCH!F70="",INPUTS!$B$19,IF(LEFT(ARCH!F70,1)="d",PI()/4*VALUE(MID(ARCH!F70,2,9))^2,VALUE(LEFT(ARCH!F70,FIND("x",ARCH!F70)-1))*VALUE(MID(ARCH!F70,FIND("x",ARCH!F70)+1,9))))</f>
        <v>504</v>
      </c>
      <c r="G70" s="10" t="n">
        <f aca="false">IF(ARCH!G70="",INPUTS!$B$19,IF(LEFT(ARCH!G70,1)="d",PI()/4*VALUE(MID(ARCH!G70,2,9))^2,VALUE(LEFT(ARCH!G70,FIND("x",ARCH!G70)-1))*VALUE(MID(ARCH!G70,FIND("x",ARCH!G70)+1,9))))</f>
        <v>504</v>
      </c>
      <c r="H70" s="10" t="n">
        <f aca="false">IF(ARCH!H70="",INPUTS!$B$19,IF(LEFT(ARCH!H70,1)="d",PI()/4*VALUE(MID(ARCH!H70,2,9))^2,VALUE(LEFT(ARCH!H70,FIND("x",ARCH!H70)-1))*VALUE(MID(ARCH!H70,FIND("x",ARCH!H70)+1,9))))</f>
        <v>504</v>
      </c>
      <c r="I70" s="10" t="n">
        <f aca="false">IF(ARCH!I70="",INPUTS!$B$19,IF(LEFT(ARCH!I70,1)="d",PI()/4*VALUE(MID(ARCH!I70,2,9))^2,VALUE(LEFT(ARCH!I70,FIND("x",ARCH!I70)-1))*VALUE(MID(ARCH!I70,FIND("x",ARCH!I70)+1,9))))</f>
        <v>504</v>
      </c>
      <c r="J70" s="10" t="n">
        <f aca="false">IF(ARCH!J70="",INPUTS!$B$19,IF(LEFT(ARCH!J70,1)="d",PI()/4*VALUE(MID(ARCH!J70,2,9))^2,VALUE(LEFT(ARCH!J70,FIND("x",ARCH!J70)-1))*VALUE(MID(ARCH!J70,FIND("x",ARCH!J70)+1,9))))</f>
        <v>504</v>
      </c>
      <c r="K70" s="10" t="n">
        <f aca="false">IF(ARCH!K70="",INPUTS!$B$19,IF(LEFT(ARCH!K70,1)="d",PI()/4*VALUE(MID(ARCH!K70,2,9))^2,VALUE(LEFT(ARCH!K70,FIND("x",ARCH!K70)-1))*VALUE(MID(ARCH!K70,FIND("x",ARCH!K70)+1,9))))</f>
        <v>336</v>
      </c>
      <c r="L70" s="10" t="n">
        <f aca="false">IF(ARCH!L70="",INPUTS!$B$19,IF(LEFT(ARCH!L70,1)="d",PI()/4*VALUE(MID(ARCH!L70,2,9))^2,VALUE(LEFT(ARCH!L70,FIND("x",ARCH!L70)-1))*VALUE(MID(ARCH!L70,FIND("x",ARCH!L70)+1,9))))</f>
        <v>336</v>
      </c>
      <c r="M70" s="10" t="n">
        <f aca="false">IF(ARCH!M70="",INPUTS!$B$19,IF(LEFT(ARCH!M70,1)="d",PI()/4*VALUE(MID(ARCH!M70,2,9))^2,VALUE(LEFT(ARCH!M70,FIND("x",ARCH!M70)-1))*VALUE(MID(ARCH!M70,FIND("x",ARCH!M70)+1,9))))</f>
        <v>336</v>
      </c>
      <c r="N70" s="10" t="n">
        <f aca="false">IF(ARCH!N70="",INPUTS!$B$19,IF(LEFT(ARCH!N70,1)="d",PI()/4*VALUE(MID(ARCH!N70,2,9))^2,VALUE(LEFT(ARCH!N70,FIND("x",ARCH!N70)-1))*VALUE(MID(ARCH!N70,FIND("x",ARCH!N70)+1,9))))</f>
        <v>336</v>
      </c>
      <c r="O70" s="10" t="n">
        <f aca="false">IF(ARCH!O70="",INPUTS!$B$19,IF(LEFT(ARCH!O70,1)="d",PI()/4*VALUE(MID(ARCH!O70,2,9))^2,VALUE(LEFT(ARCH!O70,FIND("x",ARCH!O70)-1))*VALUE(MID(ARCH!O70,FIND("x",ARCH!O70)+1,9))))</f>
        <v>336</v>
      </c>
      <c r="P70" s="10" t="n">
        <f aca="false">IF(ARCH!P70="",INPUTS!$B$19,IF(LEFT(ARCH!P70,1)="d",PI()/4*VALUE(MID(ARCH!P70,2,9))^2,VALUE(LEFT(ARCH!P70,FIND("x",ARCH!P70)-1))*VALUE(MID(ARCH!P70,FIND("x",ARCH!P70)+1,9))))</f>
        <v>336</v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10" t="n">
        <f aca="false">IF(ARCH!E71="",INPUTS!$B$19,IF(LEFT(ARCH!E71,1)="d",PI()/4*VALUE(MID(ARCH!E71,2,9))^2,VALUE(LEFT(ARCH!E71,FIND("x",ARCH!E71)-1))*VALUE(MID(ARCH!E71,FIND("x",ARCH!E71)+1,9))))</f>
        <v>504</v>
      </c>
      <c r="F71" s="10" t="n">
        <f aca="false">IF(ARCH!F71="",INPUTS!$B$19,IF(LEFT(ARCH!F71,1)="d",PI()/4*VALUE(MID(ARCH!F71,2,9))^2,VALUE(LEFT(ARCH!F71,FIND("x",ARCH!F71)-1))*VALUE(MID(ARCH!F71,FIND("x",ARCH!F71)+1,9))))</f>
        <v>504</v>
      </c>
      <c r="G71" s="10" t="n">
        <f aca="false">IF(ARCH!G71="",INPUTS!$B$19,IF(LEFT(ARCH!G71,1)="d",PI()/4*VALUE(MID(ARCH!G71,2,9))^2,VALUE(LEFT(ARCH!G71,FIND("x",ARCH!G71)-1))*VALUE(MID(ARCH!G71,FIND("x",ARCH!G71)+1,9))))</f>
        <v>504</v>
      </c>
      <c r="H71" s="10" t="n">
        <f aca="false">IF(ARCH!H71="",INPUTS!$B$19,IF(LEFT(ARCH!H71,1)="d",PI()/4*VALUE(MID(ARCH!H71,2,9))^2,VALUE(LEFT(ARCH!H71,FIND("x",ARCH!H71)-1))*VALUE(MID(ARCH!H71,FIND("x",ARCH!H71)+1,9))))</f>
        <v>504</v>
      </c>
      <c r="I71" s="10" t="n">
        <f aca="false">IF(ARCH!I71="",INPUTS!$B$19,IF(LEFT(ARCH!I71,1)="d",PI()/4*VALUE(MID(ARCH!I71,2,9))^2,VALUE(LEFT(ARCH!I71,FIND("x",ARCH!I71)-1))*VALUE(MID(ARCH!I71,FIND("x",ARCH!I71)+1,9))))</f>
        <v>504</v>
      </c>
      <c r="J71" s="10" t="n">
        <f aca="false">IF(ARCH!J71="",INPUTS!$B$19,IF(LEFT(ARCH!J71,1)="d",PI()/4*VALUE(MID(ARCH!J71,2,9))^2,VALUE(LEFT(ARCH!J71,FIND("x",ARCH!J71)-1))*VALUE(MID(ARCH!J71,FIND("x",ARCH!J71)+1,9))))</f>
        <v>504</v>
      </c>
      <c r="K71" s="10" t="n">
        <f aca="false">IF(ARCH!K71="",INPUTS!$B$19,IF(LEFT(ARCH!K71,1)="d",PI()/4*VALUE(MID(ARCH!K71,2,9))^2,VALUE(LEFT(ARCH!K71,FIND("x",ARCH!K71)-1))*VALUE(MID(ARCH!K71,FIND("x",ARCH!K71)+1,9))))</f>
        <v>336</v>
      </c>
      <c r="L71" s="10" t="n">
        <f aca="false">IF(ARCH!L71="",INPUTS!$B$19,IF(LEFT(ARCH!L71,1)="d",PI()/4*VALUE(MID(ARCH!L71,2,9))^2,VALUE(LEFT(ARCH!L71,FIND("x",ARCH!L71)-1))*VALUE(MID(ARCH!L71,FIND("x",ARCH!L71)+1,9))))</f>
        <v>336</v>
      </c>
      <c r="M71" s="10" t="n">
        <f aca="false">IF(ARCH!M71="",INPUTS!$B$19,IF(LEFT(ARCH!M71,1)="d",PI()/4*VALUE(MID(ARCH!M71,2,9))^2,VALUE(LEFT(ARCH!M71,FIND("x",ARCH!M71)-1))*VALUE(MID(ARCH!M71,FIND("x",ARCH!M71)+1,9))))</f>
        <v>336</v>
      </c>
      <c r="N71" s="10" t="n">
        <f aca="false">IF(ARCH!N71="",INPUTS!$B$19,IF(LEFT(ARCH!N71,1)="d",PI()/4*VALUE(MID(ARCH!N71,2,9))^2,VALUE(LEFT(ARCH!N71,FIND("x",ARCH!N71)-1))*VALUE(MID(ARCH!N71,FIND("x",ARCH!N71)+1,9))))</f>
        <v>336</v>
      </c>
      <c r="O71" s="10" t="n">
        <f aca="false">IF(ARCH!O71="",INPUTS!$B$19,IF(LEFT(ARCH!O71,1)="d",PI()/4*VALUE(MID(ARCH!O71,2,9))^2,VALUE(LEFT(ARCH!O71,FIND("x",ARCH!O71)-1))*VALUE(MID(ARCH!O71,FIND("x",ARCH!O71)+1,9))))</f>
        <v>336</v>
      </c>
      <c r="P71" s="10" t="n">
        <f aca="false">IF(ARCH!P71="",INPUTS!$B$19,IF(LEFT(ARCH!P71,1)="d",PI()/4*VALUE(MID(ARCH!P71,2,9))^2,VALUE(LEFT(ARCH!P71,FIND("x",ARCH!P71)-1))*VALUE(MID(ARCH!P71,FIND("x",ARCH!P71)+1,9))))</f>
        <v>336</v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10" t="n">
        <f aca="false">IF(ARCH!E72="",INPUTS!$B$19,IF(LEFT(ARCH!E72,1)="d",PI()/4*VALUE(MID(ARCH!E72,2,9))^2,VALUE(LEFT(ARCH!E72,FIND("x",ARCH!E72)-1))*VALUE(MID(ARCH!E72,FIND("x",ARCH!E72)+1,9))))</f>
        <v>504</v>
      </c>
      <c r="F72" s="10" t="n">
        <f aca="false">IF(ARCH!F72="",INPUTS!$B$19,IF(LEFT(ARCH!F72,1)="d",PI()/4*VALUE(MID(ARCH!F72,2,9))^2,VALUE(LEFT(ARCH!F72,FIND("x",ARCH!F72)-1))*VALUE(MID(ARCH!F72,FIND("x",ARCH!F72)+1,9))))</f>
        <v>504</v>
      </c>
      <c r="G72" s="10" t="n">
        <f aca="false">IF(ARCH!G72="",INPUTS!$B$19,IF(LEFT(ARCH!G72,1)="d",PI()/4*VALUE(MID(ARCH!G72,2,9))^2,VALUE(LEFT(ARCH!G72,FIND("x",ARCH!G72)-1))*VALUE(MID(ARCH!G72,FIND("x",ARCH!G72)+1,9))))</f>
        <v>504</v>
      </c>
      <c r="H72" s="10" t="n">
        <f aca="false">IF(ARCH!H72="",INPUTS!$B$19,IF(LEFT(ARCH!H72,1)="d",PI()/4*VALUE(MID(ARCH!H72,2,9))^2,VALUE(LEFT(ARCH!H72,FIND("x",ARCH!H72)-1))*VALUE(MID(ARCH!H72,FIND("x",ARCH!H72)+1,9))))</f>
        <v>504</v>
      </c>
      <c r="I72" s="10" t="n">
        <f aca="false">IF(ARCH!I72="",INPUTS!$B$19,IF(LEFT(ARCH!I72,1)="d",PI()/4*VALUE(MID(ARCH!I72,2,9))^2,VALUE(LEFT(ARCH!I72,FIND("x",ARCH!I72)-1))*VALUE(MID(ARCH!I72,FIND("x",ARCH!I72)+1,9))))</f>
        <v>504</v>
      </c>
      <c r="J72" s="10" t="n">
        <f aca="false">IF(ARCH!J72="",INPUTS!$B$19,IF(LEFT(ARCH!J72,1)="d",PI()/4*VALUE(MID(ARCH!J72,2,9))^2,VALUE(LEFT(ARCH!J72,FIND("x",ARCH!J72)-1))*VALUE(MID(ARCH!J72,FIND("x",ARCH!J72)+1,9))))</f>
        <v>504</v>
      </c>
      <c r="K72" s="10" t="n">
        <f aca="false">IF(ARCH!K72="",INPUTS!$B$19,IF(LEFT(ARCH!K72,1)="d",PI()/4*VALUE(MID(ARCH!K72,2,9))^2,VALUE(LEFT(ARCH!K72,FIND("x",ARCH!K72)-1))*VALUE(MID(ARCH!K72,FIND("x",ARCH!K72)+1,9))))</f>
        <v>336</v>
      </c>
      <c r="L72" s="10" t="n">
        <f aca="false">IF(ARCH!L72="",INPUTS!$B$19,IF(LEFT(ARCH!L72,1)="d",PI()/4*VALUE(MID(ARCH!L72,2,9))^2,VALUE(LEFT(ARCH!L72,FIND("x",ARCH!L72)-1))*VALUE(MID(ARCH!L72,FIND("x",ARCH!L72)+1,9))))</f>
        <v>336</v>
      </c>
      <c r="M72" s="10" t="n">
        <f aca="false">IF(ARCH!M72="",INPUTS!$B$19,IF(LEFT(ARCH!M72,1)="d",PI()/4*VALUE(MID(ARCH!M72,2,9))^2,VALUE(LEFT(ARCH!M72,FIND("x",ARCH!M72)-1))*VALUE(MID(ARCH!M72,FIND("x",ARCH!M72)+1,9))))</f>
        <v>336</v>
      </c>
      <c r="N72" s="10" t="n">
        <f aca="false">IF(ARCH!N72="",INPUTS!$B$19,IF(LEFT(ARCH!N72,1)="d",PI()/4*VALUE(MID(ARCH!N72,2,9))^2,VALUE(LEFT(ARCH!N72,FIND("x",ARCH!N72)-1))*VALUE(MID(ARCH!N72,FIND("x",ARCH!N72)+1,9))))</f>
        <v>336</v>
      </c>
      <c r="O72" s="10" t="n">
        <f aca="false">IF(ARCH!O72="",INPUTS!$B$19,IF(LEFT(ARCH!O72,1)="d",PI()/4*VALUE(MID(ARCH!O72,2,9))^2,VALUE(LEFT(ARCH!O72,FIND("x",ARCH!O72)-1))*VALUE(MID(ARCH!O72,FIND("x",ARCH!O72)+1,9))))</f>
        <v>336</v>
      </c>
      <c r="P72" s="10" t="n">
        <f aca="false">IF(ARCH!P72="",INPUTS!$B$19,IF(LEFT(ARCH!P72,1)="d",PI()/4*VALUE(MID(ARCH!P72,2,9))^2,VALUE(LEFT(ARCH!P72,FIND("x",ARCH!P72)-1))*VALUE(MID(ARCH!P72,FIND("x",ARCH!P72)+1,9))))</f>
        <v>336</v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10" t="n">
        <f aca="false">IF(ARCH!E73="",INPUTS!$B$19,IF(LEFT(ARCH!E73,1)="d",PI()/4*VALUE(MID(ARCH!E73,2,9))^2,VALUE(LEFT(ARCH!E73,FIND("x",ARCH!E73)-1))*VALUE(MID(ARCH!E73,FIND("x",ARCH!E73)+1,9))))</f>
        <v>504</v>
      </c>
      <c r="F73" s="10" t="n">
        <f aca="false">IF(ARCH!F73="",INPUTS!$B$19,IF(LEFT(ARCH!F73,1)="d",PI()/4*VALUE(MID(ARCH!F73,2,9))^2,VALUE(LEFT(ARCH!F73,FIND("x",ARCH!F73)-1))*VALUE(MID(ARCH!F73,FIND("x",ARCH!F73)+1,9))))</f>
        <v>504</v>
      </c>
      <c r="G73" s="10" t="n">
        <f aca="false">IF(ARCH!G73="",INPUTS!$B$19,IF(LEFT(ARCH!G73,1)="d",PI()/4*VALUE(MID(ARCH!G73,2,9))^2,VALUE(LEFT(ARCH!G73,FIND("x",ARCH!G73)-1))*VALUE(MID(ARCH!G73,FIND("x",ARCH!G73)+1,9))))</f>
        <v>504</v>
      </c>
      <c r="H73" s="10" t="n">
        <f aca="false">IF(ARCH!H73="",INPUTS!$B$19,IF(LEFT(ARCH!H73,1)="d",PI()/4*VALUE(MID(ARCH!H73,2,9))^2,VALUE(LEFT(ARCH!H73,FIND("x",ARCH!H73)-1))*VALUE(MID(ARCH!H73,FIND("x",ARCH!H73)+1,9))))</f>
        <v>504</v>
      </c>
      <c r="I73" s="10" t="n">
        <f aca="false">IF(ARCH!I73="",INPUTS!$B$19,IF(LEFT(ARCH!I73,1)="d",PI()/4*VALUE(MID(ARCH!I73,2,9))^2,VALUE(LEFT(ARCH!I73,FIND("x",ARCH!I73)-1))*VALUE(MID(ARCH!I73,FIND("x",ARCH!I73)+1,9))))</f>
        <v>504</v>
      </c>
      <c r="J73" s="10" t="n">
        <f aca="false">IF(ARCH!J73="",INPUTS!$B$19,IF(LEFT(ARCH!J73,1)="d",PI()/4*VALUE(MID(ARCH!J73,2,9))^2,VALUE(LEFT(ARCH!J73,FIND("x",ARCH!J73)-1))*VALUE(MID(ARCH!J73,FIND("x",ARCH!J73)+1,9))))</f>
        <v>504</v>
      </c>
      <c r="K73" s="10" t="n">
        <f aca="false">IF(ARCH!K73="",INPUTS!$B$19,IF(LEFT(ARCH!K73,1)="d",PI()/4*VALUE(MID(ARCH!K73,2,9))^2,VALUE(LEFT(ARCH!K73,FIND("x",ARCH!K73)-1))*VALUE(MID(ARCH!K73,FIND("x",ARCH!K73)+1,9))))</f>
        <v>336</v>
      </c>
      <c r="L73" s="10" t="n">
        <f aca="false">IF(ARCH!L73="",INPUTS!$B$19,IF(LEFT(ARCH!L73,1)="d",PI()/4*VALUE(MID(ARCH!L73,2,9))^2,VALUE(LEFT(ARCH!L73,FIND("x",ARCH!L73)-1))*VALUE(MID(ARCH!L73,FIND("x",ARCH!L73)+1,9))))</f>
        <v>336</v>
      </c>
      <c r="M73" s="10" t="n">
        <f aca="false">IF(ARCH!M73="",INPUTS!$B$19,IF(LEFT(ARCH!M73,1)="d",PI()/4*VALUE(MID(ARCH!M73,2,9))^2,VALUE(LEFT(ARCH!M73,FIND("x",ARCH!M73)-1))*VALUE(MID(ARCH!M73,FIND("x",ARCH!M73)+1,9))))</f>
        <v>336</v>
      </c>
      <c r="N73" s="10" t="n">
        <f aca="false">IF(ARCH!N73="",INPUTS!$B$19,IF(LEFT(ARCH!N73,1)="d",PI()/4*VALUE(MID(ARCH!N73,2,9))^2,VALUE(LEFT(ARCH!N73,FIND("x",ARCH!N73)-1))*VALUE(MID(ARCH!N73,FIND("x",ARCH!N73)+1,9))))</f>
        <v>336</v>
      </c>
      <c r="O73" s="10" t="n">
        <f aca="false">IF(ARCH!O73="",INPUTS!$B$19,IF(LEFT(ARCH!O73,1)="d",PI()/4*VALUE(MID(ARCH!O73,2,9))^2,VALUE(LEFT(ARCH!O73,FIND("x",ARCH!O73)-1))*VALUE(MID(ARCH!O73,FIND("x",ARCH!O73)+1,9))))</f>
        <v>336</v>
      </c>
      <c r="P73" s="10" t="n">
        <f aca="false">IF(ARCH!P73="",INPUTS!$B$19,IF(LEFT(ARCH!P73,1)="d",PI()/4*VALUE(MID(ARCH!P73,2,9))^2,VALUE(LEFT(ARCH!P73,FIND("x",ARCH!P73)-1))*VALUE(MID(ARCH!P73,FIND("x",ARCH!P73)+1,9))))</f>
        <v>336</v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10" t="n">
        <f aca="false">IF(ARCH!E74="",INPUTS!$B$19,IF(LEFT(ARCH!E74,1)="d",PI()/4*VALUE(MID(ARCH!E74,2,9))^2,VALUE(LEFT(ARCH!E74,FIND("x",ARCH!E74)-1))*VALUE(MID(ARCH!E74,FIND("x",ARCH!E74)+1,9))))</f>
        <v>504</v>
      </c>
      <c r="F74" s="10" t="n">
        <f aca="false">IF(ARCH!F74="",INPUTS!$B$19,IF(LEFT(ARCH!F74,1)="d",PI()/4*VALUE(MID(ARCH!F74,2,9))^2,VALUE(LEFT(ARCH!F74,FIND("x",ARCH!F74)-1))*VALUE(MID(ARCH!F74,FIND("x",ARCH!F74)+1,9))))</f>
        <v>504</v>
      </c>
      <c r="G74" s="10" t="n">
        <f aca="false">IF(ARCH!G74="",INPUTS!$B$19,IF(LEFT(ARCH!G74,1)="d",PI()/4*VALUE(MID(ARCH!G74,2,9))^2,VALUE(LEFT(ARCH!G74,FIND("x",ARCH!G74)-1))*VALUE(MID(ARCH!G74,FIND("x",ARCH!G74)+1,9))))</f>
        <v>504</v>
      </c>
      <c r="H74" s="10" t="n">
        <f aca="false">IF(ARCH!H74="",INPUTS!$B$19,IF(LEFT(ARCH!H74,1)="d",PI()/4*VALUE(MID(ARCH!H74,2,9))^2,VALUE(LEFT(ARCH!H74,FIND("x",ARCH!H74)-1))*VALUE(MID(ARCH!H74,FIND("x",ARCH!H74)+1,9))))</f>
        <v>504</v>
      </c>
      <c r="I74" s="10" t="n">
        <f aca="false">IF(ARCH!I74="",INPUTS!$B$19,IF(LEFT(ARCH!I74,1)="d",PI()/4*VALUE(MID(ARCH!I74,2,9))^2,VALUE(LEFT(ARCH!I74,FIND("x",ARCH!I74)-1))*VALUE(MID(ARCH!I74,FIND("x",ARCH!I74)+1,9))))</f>
        <v>504</v>
      </c>
      <c r="J74" s="10" t="n">
        <f aca="false">IF(ARCH!J74="",INPUTS!$B$19,IF(LEFT(ARCH!J74,1)="d",PI()/4*VALUE(MID(ARCH!J74,2,9))^2,VALUE(LEFT(ARCH!J74,FIND("x",ARCH!J74)-1))*VALUE(MID(ARCH!J74,FIND("x",ARCH!J74)+1,9))))</f>
        <v>504</v>
      </c>
      <c r="K74" s="10" t="n">
        <f aca="false">IF(ARCH!K74="",INPUTS!$B$19,IF(LEFT(ARCH!K74,1)="d",PI()/4*VALUE(MID(ARCH!K74,2,9))^2,VALUE(LEFT(ARCH!K74,FIND("x",ARCH!K74)-1))*VALUE(MID(ARCH!K74,FIND("x",ARCH!K74)+1,9))))</f>
        <v>336</v>
      </c>
      <c r="L74" s="10" t="n">
        <f aca="false">IF(ARCH!L74="",INPUTS!$B$19,IF(LEFT(ARCH!L74,1)="d",PI()/4*VALUE(MID(ARCH!L74,2,9))^2,VALUE(LEFT(ARCH!L74,FIND("x",ARCH!L74)-1))*VALUE(MID(ARCH!L74,FIND("x",ARCH!L74)+1,9))))</f>
        <v>336</v>
      </c>
      <c r="M74" s="10" t="n">
        <f aca="false">IF(ARCH!M74="",INPUTS!$B$19,IF(LEFT(ARCH!M74,1)="d",PI()/4*VALUE(MID(ARCH!M74,2,9))^2,VALUE(LEFT(ARCH!M74,FIND("x",ARCH!M74)-1))*VALUE(MID(ARCH!M74,FIND("x",ARCH!M74)+1,9))))</f>
        <v>336</v>
      </c>
      <c r="N74" s="10" t="n">
        <f aca="false">IF(ARCH!N74="",INPUTS!$B$19,IF(LEFT(ARCH!N74,1)="d",PI()/4*VALUE(MID(ARCH!N74,2,9))^2,VALUE(LEFT(ARCH!N74,FIND("x",ARCH!N74)-1))*VALUE(MID(ARCH!N74,FIND("x",ARCH!N74)+1,9))))</f>
        <v>336</v>
      </c>
      <c r="O74" s="10" t="n">
        <f aca="false">IF(ARCH!O74="",INPUTS!$B$19,IF(LEFT(ARCH!O74,1)="d",PI()/4*VALUE(MID(ARCH!O74,2,9))^2,VALUE(LEFT(ARCH!O74,FIND("x",ARCH!O74)-1))*VALUE(MID(ARCH!O74,FIND("x",ARCH!O74)+1,9))))</f>
        <v>336</v>
      </c>
      <c r="P74" s="10" t="n">
        <f aca="false">IF(ARCH!P74="",INPUTS!$B$19,IF(LEFT(ARCH!P74,1)="d",PI()/4*VALUE(MID(ARCH!P74,2,9))^2,VALUE(LEFT(ARCH!P74,FIND("x",ARCH!P74)-1))*VALUE(MID(ARCH!P74,FIND("x",ARCH!P74)+1,9))))</f>
        <v>336</v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10" t="n">
        <f aca="false">IF(ARCH!E75="",INPUTS!$B$19,IF(LEFT(ARCH!E75,1)="d",PI()/4*VALUE(MID(ARCH!E75,2,9))^2,VALUE(LEFT(ARCH!E75,FIND("x",ARCH!E75)-1))*VALUE(MID(ARCH!E75,FIND("x",ARCH!E75)+1,9))))</f>
        <v>504</v>
      </c>
      <c r="F75" s="10" t="n">
        <f aca="false">IF(ARCH!F75="",INPUTS!$B$19,IF(LEFT(ARCH!F75,1)="d",PI()/4*VALUE(MID(ARCH!F75,2,9))^2,VALUE(LEFT(ARCH!F75,FIND("x",ARCH!F75)-1))*VALUE(MID(ARCH!F75,FIND("x",ARCH!F75)+1,9))))</f>
        <v>504</v>
      </c>
      <c r="G75" s="10" t="n">
        <f aca="false">IF(ARCH!G75="",INPUTS!$B$19,IF(LEFT(ARCH!G75,1)="d",PI()/4*VALUE(MID(ARCH!G75,2,9))^2,VALUE(LEFT(ARCH!G75,FIND("x",ARCH!G75)-1))*VALUE(MID(ARCH!G75,FIND("x",ARCH!G75)+1,9))))</f>
        <v>504</v>
      </c>
      <c r="H75" s="10" t="n">
        <f aca="false">IF(ARCH!H75="",INPUTS!$B$19,IF(LEFT(ARCH!H75,1)="d",PI()/4*VALUE(MID(ARCH!H75,2,9))^2,VALUE(LEFT(ARCH!H75,FIND("x",ARCH!H75)-1))*VALUE(MID(ARCH!H75,FIND("x",ARCH!H75)+1,9))))</f>
        <v>504</v>
      </c>
      <c r="I75" s="10" t="n">
        <f aca="false">IF(ARCH!I75="",INPUTS!$B$19,IF(LEFT(ARCH!I75,1)="d",PI()/4*VALUE(MID(ARCH!I75,2,9))^2,VALUE(LEFT(ARCH!I75,FIND("x",ARCH!I75)-1))*VALUE(MID(ARCH!I75,FIND("x",ARCH!I75)+1,9))))</f>
        <v>504</v>
      </c>
      <c r="J75" s="10" t="n">
        <f aca="false">IF(ARCH!J75="",INPUTS!$B$19,IF(LEFT(ARCH!J75,1)="d",PI()/4*VALUE(MID(ARCH!J75,2,9))^2,VALUE(LEFT(ARCH!J75,FIND("x",ARCH!J75)-1))*VALUE(MID(ARCH!J75,FIND("x",ARCH!J75)+1,9))))</f>
        <v>504</v>
      </c>
      <c r="K75" s="10" t="n">
        <f aca="false">IF(ARCH!K75="",INPUTS!$B$19,IF(LEFT(ARCH!K75,1)="d",PI()/4*VALUE(MID(ARCH!K75,2,9))^2,VALUE(LEFT(ARCH!K75,FIND("x",ARCH!K75)-1))*VALUE(MID(ARCH!K75,FIND("x",ARCH!K75)+1,9))))</f>
        <v>336</v>
      </c>
      <c r="L75" s="10" t="n">
        <f aca="false">IF(ARCH!L75="",INPUTS!$B$19,IF(LEFT(ARCH!L75,1)="d",PI()/4*VALUE(MID(ARCH!L75,2,9))^2,VALUE(LEFT(ARCH!L75,FIND("x",ARCH!L75)-1))*VALUE(MID(ARCH!L75,FIND("x",ARCH!L75)+1,9))))</f>
        <v>336</v>
      </c>
      <c r="M75" s="10" t="n">
        <f aca="false">IF(ARCH!M75="",INPUTS!$B$19,IF(LEFT(ARCH!M75,1)="d",PI()/4*VALUE(MID(ARCH!M75,2,9))^2,VALUE(LEFT(ARCH!M75,FIND("x",ARCH!M75)-1))*VALUE(MID(ARCH!M75,FIND("x",ARCH!M75)+1,9))))</f>
        <v>336</v>
      </c>
      <c r="N75" s="10" t="n">
        <f aca="false">IF(ARCH!N75="",INPUTS!$B$19,IF(LEFT(ARCH!N75,1)="d",PI()/4*VALUE(MID(ARCH!N75,2,9))^2,VALUE(LEFT(ARCH!N75,FIND("x",ARCH!N75)-1))*VALUE(MID(ARCH!N75,FIND("x",ARCH!N75)+1,9))))</f>
        <v>336</v>
      </c>
      <c r="O75" s="10" t="n">
        <f aca="false">IF(ARCH!O75="",INPUTS!$B$19,IF(LEFT(ARCH!O75,1)="d",PI()/4*VALUE(MID(ARCH!O75,2,9))^2,VALUE(LEFT(ARCH!O75,FIND("x",ARCH!O75)-1))*VALUE(MID(ARCH!O75,FIND("x",ARCH!O75)+1,9))))</f>
        <v>336</v>
      </c>
      <c r="P75" s="10" t="n">
        <f aca="false">IF(ARCH!P75="",INPUTS!$B$19,IF(LEFT(ARCH!P75,1)="d",PI()/4*VALUE(MID(ARCH!P75,2,9))^2,VALUE(LEFT(ARCH!P75,FIND("x",ARCH!P75)-1))*VALUE(MID(ARCH!P75,FIND("x",ARCH!P75)+1,9))))</f>
        <v>336</v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10" t="n">
        <f aca="false">IF(ARCH!E76="",INPUTS!$B$19,IF(LEFT(ARCH!E76,1)="d",PI()/4*VALUE(MID(ARCH!E76,2,9))^2,VALUE(LEFT(ARCH!E76,FIND("x",ARCH!E76)-1))*VALUE(MID(ARCH!E76,FIND("x",ARCH!E76)+1,9))))</f>
        <v>504</v>
      </c>
      <c r="F76" s="10" t="n">
        <f aca="false">IF(ARCH!F76="",INPUTS!$B$19,IF(LEFT(ARCH!F76,1)="d",PI()/4*VALUE(MID(ARCH!F76,2,9))^2,VALUE(LEFT(ARCH!F76,FIND("x",ARCH!F76)-1))*VALUE(MID(ARCH!F76,FIND("x",ARCH!F76)+1,9))))</f>
        <v>504</v>
      </c>
      <c r="G76" s="10" t="n">
        <f aca="false">IF(ARCH!G76="",INPUTS!$B$19,IF(LEFT(ARCH!G76,1)="d",PI()/4*VALUE(MID(ARCH!G76,2,9))^2,VALUE(LEFT(ARCH!G76,FIND("x",ARCH!G76)-1))*VALUE(MID(ARCH!G76,FIND("x",ARCH!G76)+1,9))))</f>
        <v>504</v>
      </c>
      <c r="H76" s="10" t="n">
        <f aca="false">IF(ARCH!H76="",INPUTS!$B$19,IF(LEFT(ARCH!H76,1)="d",PI()/4*VALUE(MID(ARCH!H76,2,9))^2,VALUE(LEFT(ARCH!H76,FIND("x",ARCH!H76)-1))*VALUE(MID(ARCH!H76,FIND("x",ARCH!H76)+1,9))))</f>
        <v>504</v>
      </c>
      <c r="I76" s="10" t="n">
        <f aca="false">IF(ARCH!I76="",INPUTS!$B$19,IF(LEFT(ARCH!I76,1)="d",PI()/4*VALUE(MID(ARCH!I76,2,9))^2,VALUE(LEFT(ARCH!I76,FIND("x",ARCH!I76)-1))*VALUE(MID(ARCH!I76,FIND("x",ARCH!I76)+1,9))))</f>
        <v>504</v>
      </c>
      <c r="J76" s="10" t="n">
        <f aca="false">IF(ARCH!J76="",INPUTS!$B$19,IF(LEFT(ARCH!J76,1)="d",PI()/4*VALUE(MID(ARCH!J76,2,9))^2,VALUE(LEFT(ARCH!J76,FIND("x",ARCH!J76)-1))*VALUE(MID(ARCH!J76,FIND("x",ARCH!J76)+1,9))))</f>
        <v>504</v>
      </c>
      <c r="K76" s="10" t="n">
        <f aca="false">IF(ARCH!K76="",INPUTS!$B$19,IF(LEFT(ARCH!K76,1)="d",PI()/4*VALUE(MID(ARCH!K76,2,9))^2,VALUE(LEFT(ARCH!K76,FIND("x",ARCH!K76)-1))*VALUE(MID(ARCH!K76,FIND("x",ARCH!K76)+1,9))))</f>
        <v>336</v>
      </c>
      <c r="L76" s="10" t="n">
        <f aca="false">IF(ARCH!L76="",INPUTS!$B$19,IF(LEFT(ARCH!L76,1)="d",PI()/4*VALUE(MID(ARCH!L76,2,9))^2,VALUE(LEFT(ARCH!L76,FIND("x",ARCH!L76)-1))*VALUE(MID(ARCH!L76,FIND("x",ARCH!L76)+1,9))))</f>
        <v>336</v>
      </c>
      <c r="M76" s="10" t="n">
        <f aca="false">IF(ARCH!M76="",INPUTS!$B$19,IF(LEFT(ARCH!M76,1)="d",PI()/4*VALUE(MID(ARCH!M76,2,9))^2,VALUE(LEFT(ARCH!M76,FIND("x",ARCH!M76)-1))*VALUE(MID(ARCH!M76,FIND("x",ARCH!M76)+1,9))))</f>
        <v>336</v>
      </c>
      <c r="N76" s="10" t="n">
        <f aca="false">IF(ARCH!N76="",INPUTS!$B$19,IF(LEFT(ARCH!N76,1)="d",PI()/4*VALUE(MID(ARCH!N76,2,9))^2,VALUE(LEFT(ARCH!N76,FIND("x",ARCH!N76)-1))*VALUE(MID(ARCH!N76,FIND("x",ARCH!N76)+1,9))))</f>
        <v>336</v>
      </c>
      <c r="O76" s="10" t="n">
        <f aca="false">IF(ARCH!O76="",INPUTS!$B$19,IF(LEFT(ARCH!O76,1)="d",PI()/4*VALUE(MID(ARCH!O76,2,9))^2,VALUE(LEFT(ARCH!O76,FIND("x",ARCH!O76)-1))*VALUE(MID(ARCH!O76,FIND("x",ARCH!O76)+1,9))))</f>
        <v>336</v>
      </c>
      <c r="P76" s="10" t="n">
        <f aca="false">IF(ARCH!P76="",INPUTS!$B$19,IF(LEFT(ARCH!P76,1)="d",PI()/4*VALUE(MID(ARCH!P76,2,9))^2,VALUE(LEFT(ARCH!P76,FIND("x",ARCH!P76)-1))*VALUE(MID(ARCH!P76,FIND("x",ARCH!P76)+1,9))))</f>
        <v>336</v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10" t="n">
        <f aca="false">IF(ARCH!E77="",INPUTS!$B$19,IF(LEFT(ARCH!E77,1)="d",PI()/4*VALUE(MID(ARCH!E77,2,9))^2,VALUE(LEFT(ARCH!E77,FIND("x",ARCH!E77)-1))*VALUE(MID(ARCH!E77,FIND("x",ARCH!E77)+1,9))))</f>
        <v>504</v>
      </c>
      <c r="F77" s="10" t="n">
        <f aca="false">IF(ARCH!F77="",INPUTS!$B$19,IF(LEFT(ARCH!F77,1)="d",PI()/4*VALUE(MID(ARCH!F77,2,9))^2,VALUE(LEFT(ARCH!F77,FIND("x",ARCH!F77)-1))*VALUE(MID(ARCH!F77,FIND("x",ARCH!F77)+1,9))))</f>
        <v>504</v>
      </c>
      <c r="G77" s="10" t="n">
        <f aca="false">IF(ARCH!G77="",INPUTS!$B$19,IF(LEFT(ARCH!G77,1)="d",PI()/4*VALUE(MID(ARCH!G77,2,9))^2,VALUE(LEFT(ARCH!G77,FIND("x",ARCH!G77)-1))*VALUE(MID(ARCH!G77,FIND("x",ARCH!G77)+1,9))))</f>
        <v>504</v>
      </c>
      <c r="H77" s="10" t="n">
        <f aca="false">IF(ARCH!H77="",INPUTS!$B$19,IF(LEFT(ARCH!H77,1)="d",PI()/4*VALUE(MID(ARCH!H77,2,9))^2,VALUE(LEFT(ARCH!H77,FIND("x",ARCH!H77)-1))*VALUE(MID(ARCH!H77,FIND("x",ARCH!H77)+1,9))))</f>
        <v>504</v>
      </c>
      <c r="I77" s="10" t="n">
        <f aca="false">IF(ARCH!I77="",INPUTS!$B$19,IF(LEFT(ARCH!I77,1)="d",PI()/4*VALUE(MID(ARCH!I77,2,9))^2,VALUE(LEFT(ARCH!I77,FIND("x",ARCH!I77)-1))*VALUE(MID(ARCH!I77,FIND("x",ARCH!I77)+1,9))))</f>
        <v>504</v>
      </c>
      <c r="J77" s="10" t="n">
        <f aca="false">IF(ARCH!J77="",INPUTS!$B$19,IF(LEFT(ARCH!J77,1)="d",PI()/4*VALUE(MID(ARCH!J77,2,9))^2,VALUE(LEFT(ARCH!J77,FIND("x",ARCH!J77)-1))*VALUE(MID(ARCH!J77,FIND("x",ARCH!J77)+1,9))))</f>
        <v>504</v>
      </c>
      <c r="K77" s="10" t="n">
        <f aca="false">IF(ARCH!K77="",INPUTS!$B$19,IF(LEFT(ARCH!K77,1)="d",PI()/4*VALUE(MID(ARCH!K77,2,9))^2,VALUE(LEFT(ARCH!K77,FIND("x",ARCH!K77)-1))*VALUE(MID(ARCH!K77,FIND("x",ARCH!K77)+1,9))))</f>
        <v>336</v>
      </c>
      <c r="L77" s="10" t="n">
        <f aca="false">IF(ARCH!L77="",INPUTS!$B$19,IF(LEFT(ARCH!L77,1)="d",PI()/4*VALUE(MID(ARCH!L77,2,9))^2,VALUE(LEFT(ARCH!L77,FIND("x",ARCH!L77)-1))*VALUE(MID(ARCH!L77,FIND("x",ARCH!L77)+1,9))))</f>
        <v>336</v>
      </c>
      <c r="M77" s="10" t="n">
        <f aca="false">IF(ARCH!M77="",INPUTS!$B$19,IF(LEFT(ARCH!M77,1)="d",PI()/4*VALUE(MID(ARCH!M77,2,9))^2,VALUE(LEFT(ARCH!M77,FIND("x",ARCH!M77)-1))*VALUE(MID(ARCH!M77,FIND("x",ARCH!M77)+1,9))))</f>
        <v>336</v>
      </c>
      <c r="N77" s="10" t="n">
        <f aca="false">IF(ARCH!N77="",INPUTS!$B$19,IF(LEFT(ARCH!N77,1)="d",PI()/4*VALUE(MID(ARCH!N77,2,9))^2,VALUE(LEFT(ARCH!N77,FIND("x",ARCH!N77)-1))*VALUE(MID(ARCH!N77,FIND("x",ARCH!N77)+1,9))))</f>
        <v>336</v>
      </c>
      <c r="O77" s="10" t="n">
        <f aca="false">IF(ARCH!O77="",INPUTS!$B$19,IF(LEFT(ARCH!O77,1)="d",PI()/4*VALUE(MID(ARCH!O77,2,9))^2,VALUE(LEFT(ARCH!O77,FIND("x",ARCH!O77)-1))*VALUE(MID(ARCH!O77,FIND("x",ARCH!O77)+1,9))))</f>
        <v>336</v>
      </c>
      <c r="P77" s="10" t="n">
        <f aca="false">IF(ARCH!P77="",INPUTS!$B$19,IF(LEFT(ARCH!P77,1)="d",PI()/4*VALUE(MID(ARCH!P77,2,9))^2,VALUE(LEFT(ARCH!P77,FIND("x",ARCH!P77)-1))*VALUE(MID(ARCH!P77,FIND("x",ARCH!P77)+1,9))))</f>
        <v>336</v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10" t="n">
        <f aca="false">IF(ARCH!E78="",INPUTS!$B$19,IF(LEFT(ARCH!E78,1)="d",PI()/4*VALUE(MID(ARCH!E78,2,9))^2,VALUE(LEFT(ARCH!E78,FIND("x",ARCH!E78)-1))*VALUE(MID(ARCH!E78,FIND("x",ARCH!E78)+1,9))))</f>
        <v>504</v>
      </c>
      <c r="F78" s="10" t="n">
        <f aca="false">IF(ARCH!F78="",INPUTS!$B$19,IF(LEFT(ARCH!F78,1)="d",PI()/4*VALUE(MID(ARCH!F78,2,9))^2,VALUE(LEFT(ARCH!F78,FIND("x",ARCH!F78)-1))*VALUE(MID(ARCH!F78,FIND("x",ARCH!F78)+1,9))))</f>
        <v>504</v>
      </c>
      <c r="G78" s="10" t="n">
        <f aca="false">IF(ARCH!G78="",INPUTS!$B$19,IF(LEFT(ARCH!G78,1)="d",PI()/4*VALUE(MID(ARCH!G78,2,9))^2,VALUE(LEFT(ARCH!G78,FIND("x",ARCH!G78)-1))*VALUE(MID(ARCH!G78,FIND("x",ARCH!G78)+1,9))))</f>
        <v>504</v>
      </c>
      <c r="H78" s="10" t="n">
        <f aca="false">IF(ARCH!H78="",INPUTS!$B$19,IF(LEFT(ARCH!H78,1)="d",PI()/4*VALUE(MID(ARCH!H78,2,9))^2,VALUE(LEFT(ARCH!H78,FIND("x",ARCH!H78)-1))*VALUE(MID(ARCH!H78,FIND("x",ARCH!H78)+1,9))))</f>
        <v>504</v>
      </c>
      <c r="I78" s="10" t="n">
        <f aca="false">IF(ARCH!I78="",INPUTS!$B$19,IF(LEFT(ARCH!I78,1)="d",PI()/4*VALUE(MID(ARCH!I78,2,9))^2,VALUE(LEFT(ARCH!I78,FIND("x",ARCH!I78)-1))*VALUE(MID(ARCH!I78,FIND("x",ARCH!I78)+1,9))))</f>
        <v>504</v>
      </c>
      <c r="J78" s="10" t="n">
        <f aca="false">IF(ARCH!J78="",INPUTS!$B$19,IF(LEFT(ARCH!J78,1)="d",PI()/4*VALUE(MID(ARCH!J78,2,9))^2,VALUE(LEFT(ARCH!J78,FIND("x",ARCH!J78)-1))*VALUE(MID(ARCH!J78,FIND("x",ARCH!J78)+1,9))))</f>
        <v>504</v>
      </c>
      <c r="K78" s="10" t="n">
        <f aca="false">IF(ARCH!K78="",INPUTS!$B$19,IF(LEFT(ARCH!K78,1)="d",PI()/4*VALUE(MID(ARCH!K78,2,9))^2,VALUE(LEFT(ARCH!K78,FIND("x",ARCH!K78)-1))*VALUE(MID(ARCH!K78,FIND("x",ARCH!K78)+1,9))))</f>
        <v>336</v>
      </c>
      <c r="L78" s="10" t="n">
        <f aca="false">IF(ARCH!L78="",INPUTS!$B$19,IF(LEFT(ARCH!L78,1)="d",PI()/4*VALUE(MID(ARCH!L78,2,9))^2,VALUE(LEFT(ARCH!L78,FIND("x",ARCH!L78)-1))*VALUE(MID(ARCH!L78,FIND("x",ARCH!L78)+1,9))))</f>
        <v>336</v>
      </c>
      <c r="M78" s="10" t="n">
        <f aca="false">IF(ARCH!M78="",INPUTS!$B$19,IF(LEFT(ARCH!M78,1)="d",PI()/4*VALUE(MID(ARCH!M78,2,9))^2,VALUE(LEFT(ARCH!M78,FIND("x",ARCH!M78)-1))*VALUE(MID(ARCH!M78,FIND("x",ARCH!M78)+1,9))))</f>
        <v>336</v>
      </c>
      <c r="N78" s="10" t="n">
        <f aca="false">IF(ARCH!N78="",INPUTS!$B$19,IF(LEFT(ARCH!N78,1)="d",PI()/4*VALUE(MID(ARCH!N78,2,9))^2,VALUE(LEFT(ARCH!N78,FIND("x",ARCH!N78)-1))*VALUE(MID(ARCH!N78,FIND("x",ARCH!N78)+1,9))))</f>
        <v>336</v>
      </c>
      <c r="O78" s="10" t="n">
        <f aca="false">IF(ARCH!O78="",INPUTS!$B$19,IF(LEFT(ARCH!O78,1)="d",PI()/4*VALUE(MID(ARCH!O78,2,9))^2,VALUE(LEFT(ARCH!O78,FIND("x",ARCH!O78)-1))*VALUE(MID(ARCH!O78,FIND("x",ARCH!O78)+1,9))))</f>
        <v>336</v>
      </c>
      <c r="P78" s="10" t="n">
        <f aca="false">IF(ARCH!P78="",INPUTS!$B$19,IF(LEFT(ARCH!P78,1)="d",PI()/4*VALUE(MID(ARCH!P78,2,9))^2,VALUE(LEFT(ARCH!P78,FIND("x",ARCH!P78)-1))*VALUE(MID(ARCH!P78,FIND("x",ARCH!P78)+1,9))))</f>
        <v>336</v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10" t="n">
        <f aca="false">IF(ARCH!E79="",INPUTS!$B$19,IF(LEFT(ARCH!E79,1)="d",PI()/4*VALUE(MID(ARCH!E79,2,9))^2,VALUE(LEFT(ARCH!E79,FIND("x",ARCH!E79)-1))*VALUE(MID(ARCH!E79,FIND("x",ARCH!E79)+1,9))))</f>
        <v>504</v>
      </c>
      <c r="F79" s="10" t="n">
        <f aca="false">IF(ARCH!F79="",INPUTS!$B$19,IF(LEFT(ARCH!F79,1)="d",PI()/4*VALUE(MID(ARCH!F79,2,9))^2,VALUE(LEFT(ARCH!F79,FIND("x",ARCH!F79)-1))*VALUE(MID(ARCH!F79,FIND("x",ARCH!F79)+1,9))))</f>
        <v>504</v>
      </c>
      <c r="G79" s="10" t="n">
        <f aca="false">IF(ARCH!G79="",INPUTS!$B$19,IF(LEFT(ARCH!G79,1)="d",PI()/4*VALUE(MID(ARCH!G79,2,9))^2,VALUE(LEFT(ARCH!G79,FIND("x",ARCH!G79)-1))*VALUE(MID(ARCH!G79,FIND("x",ARCH!G79)+1,9))))</f>
        <v>504</v>
      </c>
      <c r="H79" s="10" t="n">
        <f aca="false">IF(ARCH!H79="",INPUTS!$B$19,IF(LEFT(ARCH!H79,1)="d",PI()/4*VALUE(MID(ARCH!H79,2,9))^2,VALUE(LEFT(ARCH!H79,FIND("x",ARCH!H79)-1))*VALUE(MID(ARCH!H79,FIND("x",ARCH!H79)+1,9))))</f>
        <v>504</v>
      </c>
      <c r="I79" s="10" t="n">
        <f aca="false">IF(ARCH!I79="",INPUTS!$B$19,IF(LEFT(ARCH!I79,1)="d",PI()/4*VALUE(MID(ARCH!I79,2,9))^2,VALUE(LEFT(ARCH!I79,FIND("x",ARCH!I79)-1))*VALUE(MID(ARCH!I79,FIND("x",ARCH!I79)+1,9))))</f>
        <v>504</v>
      </c>
      <c r="J79" s="10" t="n">
        <f aca="false">IF(ARCH!J79="",INPUTS!$B$19,IF(LEFT(ARCH!J79,1)="d",PI()/4*VALUE(MID(ARCH!J79,2,9))^2,VALUE(LEFT(ARCH!J79,FIND("x",ARCH!J79)-1))*VALUE(MID(ARCH!J79,FIND("x",ARCH!J79)+1,9))))</f>
        <v>504</v>
      </c>
      <c r="K79" s="10" t="n">
        <f aca="false">IF(ARCH!K79="",INPUTS!$B$19,IF(LEFT(ARCH!K79,1)="d",PI()/4*VALUE(MID(ARCH!K79,2,9))^2,VALUE(LEFT(ARCH!K79,FIND("x",ARCH!K79)-1))*VALUE(MID(ARCH!K79,FIND("x",ARCH!K79)+1,9))))</f>
        <v>336</v>
      </c>
      <c r="L79" s="10" t="n">
        <f aca="false">IF(ARCH!L79="",INPUTS!$B$19,IF(LEFT(ARCH!L79,1)="d",PI()/4*VALUE(MID(ARCH!L79,2,9))^2,VALUE(LEFT(ARCH!L79,FIND("x",ARCH!L79)-1))*VALUE(MID(ARCH!L79,FIND("x",ARCH!L79)+1,9))))</f>
        <v>336</v>
      </c>
      <c r="M79" s="10" t="n">
        <f aca="false">IF(ARCH!M79="",INPUTS!$B$19,IF(LEFT(ARCH!M79,1)="d",PI()/4*VALUE(MID(ARCH!M79,2,9))^2,VALUE(LEFT(ARCH!M79,FIND("x",ARCH!M79)-1))*VALUE(MID(ARCH!M79,FIND("x",ARCH!M79)+1,9))))</f>
        <v>336</v>
      </c>
      <c r="N79" s="10" t="n">
        <f aca="false">IF(ARCH!N79="",INPUTS!$B$19,IF(LEFT(ARCH!N79,1)="d",PI()/4*VALUE(MID(ARCH!N79,2,9))^2,VALUE(LEFT(ARCH!N79,FIND("x",ARCH!N79)-1))*VALUE(MID(ARCH!N79,FIND("x",ARCH!N79)+1,9))))</f>
        <v>336</v>
      </c>
      <c r="O79" s="10" t="n">
        <f aca="false">IF(ARCH!O79="",INPUTS!$B$19,IF(LEFT(ARCH!O79,1)="d",PI()/4*VALUE(MID(ARCH!O79,2,9))^2,VALUE(LEFT(ARCH!O79,FIND("x",ARCH!O79)-1))*VALUE(MID(ARCH!O79,FIND("x",ARCH!O79)+1,9))))</f>
        <v>336</v>
      </c>
      <c r="P79" s="10" t="n">
        <f aca="false">IF(ARCH!P79="",INPUTS!$B$19,IF(LEFT(ARCH!P79,1)="d",PI()/4*VALUE(MID(ARCH!P79,2,9))^2,VALUE(LEFT(ARCH!P79,FIND("x",ARCH!P79)-1))*VALUE(MID(ARCH!P79,FIND("x",ARCH!P79)+1,9))))</f>
        <v>336</v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10" t="n">
        <f aca="false">IF(ARCH!E80="",INPUTS!$B$19,IF(LEFT(ARCH!E80,1)="d",PI()/4*VALUE(MID(ARCH!E80,2,9))^2,VALUE(LEFT(ARCH!E80,FIND("x",ARCH!E80)-1))*VALUE(MID(ARCH!E80,FIND("x",ARCH!E80)+1,9))))</f>
        <v>504</v>
      </c>
      <c r="F80" s="10" t="n">
        <f aca="false">IF(ARCH!F80="",INPUTS!$B$19,IF(LEFT(ARCH!F80,1)="d",PI()/4*VALUE(MID(ARCH!F80,2,9))^2,VALUE(LEFT(ARCH!F80,FIND("x",ARCH!F80)-1))*VALUE(MID(ARCH!F80,FIND("x",ARCH!F80)+1,9))))</f>
        <v>504</v>
      </c>
      <c r="G80" s="10" t="n">
        <f aca="false">IF(ARCH!G80="",INPUTS!$B$19,IF(LEFT(ARCH!G80,1)="d",PI()/4*VALUE(MID(ARCH!G80,2,9))^2,VALUE(LEFT(ARCH!G80,FIND("x",ARCH!G80)-1))*VALUE(MID(ARCH!G80,FIND("x",ARCH!G80)+1,9))))</f>
        <v>504</v>
      </c>
      <c r="H80" s="10" t="n">
        <f aca="false">IF(ARCH!H80="",INPUTS!$B$19,IF(LEFT(ARCH!H80,1)="d",PI()/4*VALUE(MID(ARCH!H80,2,9))^2,VALUE(LEFT(ARCH!H80,FIND("x",ARCH!H80)-1))*VALUE(MID(ARCH!H80,FIND("x",ARCH!H80)+1,9))))</f>
        <v>504</v>
      </c>
      <c r="I80" s="10" t="n">
        <f aca="false">IF(ARCH!I80="",INPUTS!$B$19,IF(LEFT(ARCH!I80,1)="d",PI()/4*VALUE(MID(ARCH!I80,2,9))^2,VALUE(LEFT(ARCH!I80,FIND("x",ARCH!I80)-1))*VALUE(MID(ARCH!I80,FIND("x",ARCH!I80)+1,9))))</f>
        <v>504</v>
      </c>
      <c r="J80" s="10" t="n">
        <f aca="false">IF(ARCH!J80="",INPUTS!$B$19,IF(LEFT(ARCH!J80,1)="d",PI()/4*VALUE(MID(ARCH!J80,2,9))^2,VALUE(LEFT(ARCH!J80,FIND("x",ARCH!J80)-1))*VALUE(MID(ARCH!J80,FIND("x",ARCH!J80)+1,9))))</f>
        <v>504</v>
      </c>
      <c r="K80" s="10" t="n">
        <f aca="false">IF(ARCH!K80="",INPUTS!$B$19,IF(LEFT(ARCH!K80,1)="d",PI()/4*VALUE(MID(ARCH!K80,2,9))^2,VALUE(LEFT(ARCH!K80,FIND("x",ARCH!K80)-1))*VALUE(MID(ARCH!K80,FIND("x",ARCH!K80)+1,9))))</f>
        <v>336</v>
      </c>
      <c r="L80" s="10" t="n">
        <f aca="false">IF(ARCH!L80="",INPUTS!$B$19,IF(LEFT(ARCH!L80,1)="d",PI()/4*VALUE(MID(ARCH!L80,2,9))^2,VALUE(LEFT(ARCH!L80,FIND("x",ARCH!L80)-1))*VALUE(MID(ARCH!L80,FIND("x",ARCH!L80)+1,9))))</f>
        <v>336</v>
      </c>
      <c r="M80" s="10" t="n">
        <f aca="false">IF(ARCH!M80="",INPUTS!$B$19,IF(LEFT(ARCH!M80,1)="d",PI()/4*VALUE(MID(ARCH!M80,2,9))^2,VALUE(LEFT(ARCH!M80,FIND("x",ARCH!M80)-1))*VALUE(MID(ARCH!M80,FIND("x",ARCH!M80)+1,9))))</f>
        <v>336</v>
      </c>
      <c r="N80" s="10" t="n">
        <f aca="false">IF(ARCH!N80="",INPUTS!$B$19,IF(LEFT(ARCH!N80,1)="d",PI()/4*VALUE(MID(ARCH!N80,2,9))^2,VALUE(LEFT(ARCH!N80,FIND("x",ARCH!N80)-1))*VALUE(MID(ARCH!N80,FIND("x",ARCH!N80)+1,9))))</f>
        <v>336</v>
      </c>
      <c r="O80" s="10" t="n">
        <f aca="false">IF(ARCH!O80="",INPUTS!$B$19,IF(LEFT(ARCH!O80,1)="d",PI()/4*VALUE(MID(ARCH!O80,2,9))^2,VALUE(LEFT(ARCH!O80,FIND("x",ARCH!O80)-1))*VALUE(MID(ARCH!O80,FIND("x",ARCH!O80)+1,9))))</f>
        <v>336</v>
      </c>
      <c r="P80" s="10" t="n">
        <f aca="false">IF(ARCH!P80="",INPUTS!$B$19,IF(LEFT(ARCH!P80,1)="d",PI()/4*VALUE(MID(ARCH!P80,2,9))^2,VALUE(LEFT(ARCH!P80,FIND("x",ARCH!P80)-1))*VALUE(MID(ARCH!P80,FIND("x",ARCH!P80)+1,9))))</f>
        <v>336</v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10" t="n">
        <f aca="false">IF(ARCH!E81="",INPUTS!$B$19,IF(LEFT(ARCH!E81,1)="d",PI()/4*VALUE(MID(ARCH!E81,2,9))^2,VALUE(LEFT(ARCH!E81,FIND("x",ARCH!E81)-1))*VALUE(MID(ARCH!E81,FIND("x",ARCH!E81)+1,9))))</f>
        <v>504</v>
      </c>
      <c r="F81" s="10" t="n">
        <f aca="false">IF(ARCH!F81="",INPUTS!$B$19,IF(LEFT(ARCH!F81,1)="d",PI()/4*VALUE(MID(ARCH!F81,2,9))^2,VALUE(LEFT(ARCH!F81,FIND("x",ARCH!F81)-1))*VALUE(MID(ARCH!F81,FIND("x",ARCH!F81)+1,9))))</f>
        <v>504</v>
      </c>
      <c r="G81" s="10" t="n">
        <f aca="false">IF(ARCH!G81="",INPUTS!$B$19,IF(LEFT(ARCH!G81,1)="d",PI()/4*VALUE(MID(ARCH!G81,2,9))^2,VALUE(LEFT(ARCH!G81,FIND("x",ARCH!G81)-1))*VALUE(MID(ARCH!G81,FIND("x",ARCH!G81)+1,9))))</f>
        <v>504</v>
      </c>
      <c r="H81" s="10" t="n">
        <f aca="false">IF(ARCH!H81="",INPUTS!$B$19,IF(LEFT(ARCH!H81,1)="d",PI()/4*VALUE(MID(ARCH!H81,2,9))^2,VALUE(LEFT(ARCH!H81,FIND("x",ARCH!H81)-1))*VALUE(MID(ARCH!H81,FIND("x",ARCH!H81)+1,9))))</f>
        <v>504</v>
      </c>
      <c r="I81" s="10" t="n">
        <f aca="false">IF(ARCH!I81="",INPUTS!$B$19,IF(LEFT(ARCH!I81,1)="d",PI()/4*VALUE(MID(ARCH!I81,2,9))^2,VALUE(LEFT(ARCH!I81,FIND("x",ARCH!I81)-1))*VALUE(MID(ARCH!I81,FIND("x",ARCH!I81)+1,9))))</f>
        <v>504</v>
      </c>
      <c r="J81" s="10" t="n">
        <f aca="false">IF(ARCH!J81="",INPUTS!$B$19,IF(LEFT(ARCH!J81,1)="d",PI()/4*VALUE(MID(ARCH!J81,2,9))^2,VALUE(LEFT(ARCH!J81,FIND("x",ARCH!J81)-1))*VALUE(MID(ARCH!J81,FIND("x",ARCH!J81)+1,9))))</f>
        <v>504</v>
      </c>
      <c r="K81" s="10" t="n">
        <f aca="false">IF(ARCH!K81="",INPUTS!$B$19,IF(LEFT(ARCH!K81,1)="d",PI()/4*VALUE(MID(ARCH!K81,2,9))^2,VALUE(LEFT(ARCH!K81,FIND("x",ARCH!K81)-1))*VALUE(MID(ARCH!K81,FIND("x",ARCH!K81)+1,9))))</f>
        <v>336</v>
      </c>
      <c r="L81" s="10" t="n">
        <f aca="false">IF(ARCH!L81="",INPUTS!$B$19,IF(LEFT(ARCH!L81,1)="d",PI()/4*VALUE(MID(ARCH!L81,2,9))^2,VALUE(LEFT(ARCH!L81,FIND("x",ARCH!L81)-1))*VALUE(MID(ARCH!L81,FIND("x",ARCH!L81)+1,9))))</f>
        <v>336</v>
      </c>
      <c r="M81" s="10" t="n">
        <f aca="false">IF(ARCH!M81="",INPUTS!$B$19,IF(LEFT(ARCH!M81,1)="d",PI()/4*VALUE(MID(ARCH!M81,2,9))^2,VALUE(LEFT(ARCH!M81,FIND("x",ARCH!M81)-1))*VALUE(MID(ARCH!M81,FIND("x",ARCH!M81)+1,9))))</f>
        <v>336</v>
      </c>
      <c r="N81" s="10" t="n">
        <f aca="false">IF(ARCH!N81="",INPUTS!$B$19,IF(LEFT(ARCH!N81,1)="d",PI()/4*VALUE(MID(ARCH!N81,2,9))^2,VALUE(LEFT(ARCH!N81,FIND("x",ARCH!N81)-1))*VALUE(MID(ARCH!N81,FIND("x",ARCH!N81)+1,9))))</f>
        <v>336</v>
      </c>
      <c r="O81" s="10" t="n">
        <f aca="false">IF(ARCH!O81="",INPUTS!$B$19,IF(LEFT(ARCH!O81,1)="d",PI()/4*VALUE(MID(ARCH!O81,2,9))^2,VALUE(LEFT(ARCH!O81,FIND("x",ARCH!O81)-1))*VALUE(MID(ARCH!O81,FIND("x",ARCH!O81)+1,9))))</f>
        <v>336</v>
      </c>
      <c r="P81" s="10" t="n">
        <f aca="false">IF(ARCH!P81="",INPUTS!$B$19,IF(LEFT(ARCH!P81,1)="d",PI()/4*VALUE(MID(ARCH!P81,2,9))^2,VALUE(LEFT(ARCH!P81,FIND("x",ARCH!P81)-1))*VALUE(MID(ARCH!P81,FIND("x",ARCH!P81)+1,9))))</f>
        <v>336</v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10" t="n">
        <f aca="false">IF(ARCH!E82="",INPUTS!$B$19,IF(LEFT(ARCH!E82,1)="d",PI()/4*VALUE(MID(ARCH!E82,2,9))^2,VALUE(LEFT(ARCH!E82,FIND("x",ARCH!E82)-1))*VALUE(MID(ARCH!E82,FIND("x",ARCH!E82)+1,9))))</f>
        <v>504</v>
      </c>
      <c r="F82" s="10" t="n">
        <f aca="false">IF(ARCH!F82="",INPUTS!$B$19,IF(LEFT(ARCH!F82,1)="d",PI()/4*VALUE(MID(ARCH!F82,2,9))^2,VALUE(LEFT(ARCH!F82,FIND("x",ARCH!F82)-1))*VALUE(MID(ARCH!F82,FIND("x",ARCH!F82)+1,9))))</f>
        <v>504</v>
      </c>
      <c r="G82" s="10" t="n">
        <f aca="false">IF(ARCH!G82="",INPUTS!$B$19,IF(LEFT(ARCH!G82,1)="d",PI()/4*VALUE(MID(ARCH!G82,2,9))^2,VALUE(LEFT(ARCH!G82,FIND("x",ARCH!G82)-1))*VALUE(MID(ARCH!G82,FIND("x",ARCH!G82)+1,9))))</f>
        <v>504</v>
      </c>
      <c r="H82" s="10" t="n">
        <f aca="false">IF(ARCH!H82="",INPUTS!$B$19,IF(LEFT(ARCH!H82,1)="d",PI()/4*VALUE(MID(ARCH!H82,2,9))^2,VALUE(LEFT(ARCH!H82,FIND("x",ARCH!H82)-1))*VALUE(MID(ARCH!H82,FIND("x",ARCH!H82)+1,9))))</f>
        <v>504</v>
      </c>
      <c r="I82" s="10" t="n">
        <f aca="false">IF(ARCH!I82="",INPUTS!$B$19,IF(LEFT(ARCH!I82,1)="d",PI()/4*VALUE(MID(ARCH!I82,2,9))^2,VALUE(LEFT(ARCH!I82,FIND("x",ARCH!I82)-1))*VALUE(MID(ARCH!I82,FIND("x",ARCH!I82)+1,9))))</f>
        <v>504</v>
      </c>
      <c r="J82" s="10" t="n">
        <f aca="false">IF(ARCH!J82="",INPUTS!$B$19,IF(LEFT(ARCH!J82,1)="d",PI()/4*VALUE(MID(ARCH!J82,2,9))^2,VALUE(LEFT(ARCH!J82,FIND("x",ARCH!J82)-1))*VALUE(MID(ARCH!J82,FIND("x",ARCH!J82)+1,9))))</f>
        <v>504</v>
      </c>
      <c r="K82" s="10" t="n">
        <f aca="false">IF(ARCH!K82="",INPUTS!$B$19,IF(LEFT(ARCH!K82,1)="d",PI()/4*VALUE(MID(ARCH!K82,2,9))^2,VALUE(LEFT(ARCH!K82,FIND("x",ARCH!K82)-1))*VALUE(MID(ARCH!K82,FIND("x",ARCH!K82)+1,9))))</f>
        <v>336</v>
      </c>
      <c r="L82" s="10" t="n">
        <f aca="false">IF(ARCH!L82="",INPUTS!$B$19,IF(LEFT(ARCH!L82,1)="d",PI()/4*VALUE(MID(ARCH!L82,2,9))^2,VALUE(LEFT(ARCH!L82,FIND("x",ARCH!L82)-1))*VALUE(MID(ARCH!L82,FIND("x",ARCH!L82)+1,9))))</f>
        <v>336</v>
      </c>
      <c r="M82" s="10" t="n">
        <f aca="false">IF(ARCH!M82="",INPUTS!$B$19,IF(LEFT(ARCH!M82,1)="d",PI()/4*VALUE(MID(ARCH!M82,2,9))^2,VALUE(LEFT(ARCH!M82,FIND("x",ARCH!M82)-1))*VALUE(MID(ARCH!M82,FIND("x",ARCH!M82)+1,9))))</f>
        <v>336</v>
      </c>
      <c r="N82" s="10" t="n">
        <f aca="false">IF(ARCH!N82="",INPUTS!$B$19,IF(LEFT(ARCH!N82,1)="d",PI()/4*VALUE(MID(ARCH!N82,2,9))^2,VALUE(LEFT(ARCH!N82,FIND("x",ARCH!N82)-1))*VALUE(MID(ARCH!N82,FIND("x",ARCH!N82)+1,9))))</f>
        <v>336</v>
      </c>
      <c r="O82" s="10" t="n">
        <f aca="false">IF(ARCH!O82="",INPUTS!$B$19,IF(LEFT(ARCH!O82,1)="d",PI()/4*VALUE(MID(ARCH!O82,2,9))^2,VALUE(LEFT(ARCH!O82,FIND("x",ARCH!O82)-1))*VALUE(MID(ARCH!O82,FIND("x",ARCH!O82)+1,9))))</f>
        <v>336</v>
      </c>
      <c r="P82" s="10" t="n">
        <f aca="false">IF(ARCH!P82="",INPUTS!$B$19,IF(LEFT(ARCH!P82,1)="d",PI()/4*VALUE(MID(ARCH!P82,2,9))^2,VALUE(LEFT(ARCH!P82,FIND("x",ARCH!P82)-1))*VALUE(MID(ARCH!P82,FIND("x",ARCH!P82)+1,9))))</f>
        <v>336</v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10" t="n">
        <f aca="false">IF(ARCH!E83="",INPUTS!$B$19,IF(LEFT(ARCH!E83,1)="d",PI()/4*VALUE(MID(ARCH!E83,2,9))^2,VALUE(LEFT(ARCH!E83,FIND("x",ARCH!E83)-1))*VALUE(MID(ARCH!E83,FIND("x",ARCH!E83)+1,9))))</f>
        <v>504</v>
      </c>
      <c r="F83" s="10" t="n">
        <f aca="false">IF(ARCH!F83="",INPUTS!$B$19,IF(LEFT(ARCH!F83,1)="d",PI()/4*VALUE(MID(ARCH!F83,2,9))^2,VALUE(LEFT(ARCH!F83,FIND("x",ARCH!F83)-1))*VALUE(MID(ARCH!F83,FIND("x",ARCH!F83)+1,9))))</f>
        <v>504</v>
      </c>
      <c r="G83" s="10" t="n">
        <f aca="false">IF(ARCH!G83="",INPUTS!$B$19,IF(LEFT(ARCH!G83,1)="d",PI()/4*VALUE(MID(ARCH!G83,2,9))^2,VALUE(LEFT(ARCH!G83,FIND("x",ARCH!G83)-1))*VALUE(MID(ARCH!G83,FIND("x",ARCH!G83)+1,9))))</f>
        <v>504</v>
      </c>
      <c r="H83" s="10" t="n">
        <f aca="false">IF(ARCH!H83="",INPUTS!$B$19,IF(LEFT(ARCH!H83,1)="d",PI()/4*VALUE(MID(ARCH!H83,2,9))^2,VALUE(LEFT(ARCH!H83,FIND("x",ARCH!H83)-1))*VALUE(MID(ARCH!H83,FIND("x",ARCH!H83)+1,9))))</f>
        <v>504</v>
      </c>
      <c r="I83" s="10" t="n">
        <f aca="false">IF(ARCH!I83="",INPUTS!$B$19,IF(LEFT(ARCH!I83,1)="d",PI()/4*VALUE(MID(ARCH!I83,2,9))^2,VALUE(LEFT(ARCH!I83,FIND("x",ARCH!I83)-1))*VALUE(MID(ARCH!I83,FIND("x",ARCH!I83)+1,9))))</f>
        <v>504</v>
      </c>
      <c r="J83" s="10" t="n">
        <f aca="false">IF(ARCH!J83="",INPUTS!$B$19,IF(LEFT(ARCH!J83,1)="d",PI()/4*VALUE(MID(ARCH!J83,2,9))^2,VALUE(LEFT(ARCH!J83,FIND("x",ARCH!J83)-1))*VALUE(MID(ARCH!J83,FIND("x",ARCH!J83)+1,9))))</f>
        <v>504</v>
      </c>
      <c r="K83" s="10" t="n">
        <f aca="false">IF(ARCH!K83="",INPUTS!$B$19,IF(LEFT(ARCH!K83,1)="d",PI()/4*VALUE(MID(ARCH!K83,2,9))^2,VALUE(LEFT(ARCH!K83,FIND("x",ARCH!K83)-1))*VALUE(MID(ARCH!K83,FIND("x",ARCH!K83)+1,9))))</f>
        <v>336</v>
      </c>
      <c r="L83" s="10" t="n">
        <f aca="false">IF(ARCH!L83="",INPUTS!$B$19,IF(LEFT(ARCH!L83,1)="d",PI()/4*VALUE(MID(ARCH!L83,2,9))^2,VALUE(LEFT(ARCH!L83,FIND("x",ARCH!L83)-1))*VALUE(MID(ARCH!L83,FIND("x",ARCH!L83)+1,9))))</f>
        <v>336</v>
      </c>
      <c r="M83" s="10" t="n">
        <f aca="false">IF(ARCH!M83="",INPUTS!$B$19,IF(LEFT(ARCH!M83,1)="d",PI()/4*VALUE(MID(ARCH!M83,2,9))^2,VALUE(LEFT(ARCH!M83,FIND("x",ARCH!M83)-1))*VALUE(MID(ARCH!M83,FIND("x",ARCH!M83)+1,9))))</f>
        <v>336</v>
      </c>
      <c r="N83" s="10" t="n">
        <f aca="false">IF(ARCH!N83="",INPUTS!$B$19,IF(LEFT(ARCH!N83,1)="d",PI()/4*VALUE(MID(ARCH!N83,2,9))^2,VALUE(LEFT(ARCH!N83,FIND("x",ARCH!N83)-1))*VALUE(MID(ARCH!N83,FIND("x",ARCH!N83)+1,9))))</f>
        <v>336</v>
      </c>
      <c r="O83" s="10" t="n">
        <f aca="false">IF(ARCH!O83="",INPUTS!$B$19,IF(LEFT(ARCH!O83,1)="d",PI()/4*VALUE(MID(ARCH!O83,2,9))^2,VALUE(LEFT(ARCH!O83,FIND("x",ARCH!O83)-1))*VALUE(MID(ARCH!O83,FIND("x",ARCH!O83)+1,9))))</f>
        <v>336</v>
      </c>
      <c r="P83" s="10" t="n">
        <f aca="false">IF(ARCH!P83="",INPUTS!$B$19,IF(LEFT(ARCH!P83,1)="d",PI()/4*VALUE(MID(ARCH!P83,2,9))^2,VALUE(LEFT(ARCH!P83,FIND("x",ARCH!P83)-1))*VALUE(MID(ARCH!P83,FIND("x",ARCH!P83)+1,9))))</f>
        <v>336</v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10" t="n">
        <f aca="false">IF(ARCH!E84="",INPUTS!$B$19,IF(LEFT(ARCH!E84,1)="d",PI()/4*VALUE(MID(ARCH!E84,2,9))^2,VALUE(LEFT(ARCH!E84,FIND("x",ARCH!E84)-1))*VALUE(MID(ARCH!E84,FIND("x",ARCH!E84)+1,9))))</f>
        <v>504</v>
      </c>
      <c r="F84" s="10" t="n">
        <f aca="false">IF(ARCH!F84="",INPUTS!$B$19,IF(LEFT(ARCH!F84,1)="d",PI()/4*VALUE(MID(ARCH!F84,2,9))^2,VALUE(LEFT(ARCH!F84,FIND("x",ARCH!F84)-1))*VALUE(MID(ARCH!F84,FIND("x",ARCH!F84)+1,9))))</f>
        <v>504</v>
      </c>
      <c r="G84" s="10" t="n">
        <f aca="false">IF(ARCH!G84="",INPUTS!$B$19,IF(LEFT(ARCH!G84,1)="d",PI()/4*VALUE(MID(ARCH!G84,2,9))^2,VALUE(LEFT(ARCH!G84,FIND("x",ARCH!G84)-1))*VALUE(MID(ARCH!G84,FIND("x",ARCH!G84)+1,9))))</f>
        <v>504</v>
      </c>
      <c r="H84" s="10" t="n">
        <f aca="false">IF(ARCH!H84="",INPUTS!$B$19,IF(LEFT(ARCH!H84,1)="d",PI()/4*VALUE(MID(ARCH!H84,2,9))^2,VALUE(LEFT(ARCH!H84,FIND("x",ARCH!H84)-1))*VALUE(MID(ARCH!H84,FIND("x",ARCH!H84)+1,9))))</f>
        <v>504</v>
      </c>
      <c r="I84" s="10" t="n">
        <f aca="false">IF(ARCH!I84="",INPUTS!$B$19,IF(LEFT(ARCH!I84,1)="d",PI()/4*VALUE(MID(ARCH!I84,2,9))^2,VALUE(LEFT(ARCH!I84,FIND("x",ARCH!I84)-1))*VALUE(MID(ARCH!I84,FIND("x",ARCH!I84)+1,9))))</f>
        <v>504</v>
      </c>
      <c r="J84" s="10" t="n">
        <f aca="false">IF(ARCH!J84="",INPUTS!$B$19,IF(LEFT(ARCH!J84,1)="d",PI()/4*VALUE(MID(ARCH!J84,2,9))^2,VALUE(LEFT(ARCH!J84,FIND("x",ARCH!J84)-1))*VALUE(MID(ARCH!J84,FIND("x",ARCH!J84)+1,9))))</f>
        <v>504</v>
      </c>
      <c r="K84" s="10" t="n">
        <f aca="false">IF(ARCH!K84="",INPUTS!$B$19,IF(LEFT(ARCH!K84,1)="d",PI()/4*VALUE(MID(ARCH!K84,2,9))^2,VALUE(LEFT(ARCH!K84,FIND("x",ARCH!K84)-1))*VALUE(MID(ARCH!K84,FIND("x",ARCH!K84)+1,9))))</f>
        <v>336</v>
      </c>
      <c r="L84" s="10" t="n">
        <f aca="false">IF(ARCH!L84="",INPUTS!$B$19,IF(LEFT(ARCH!L84,1)="d",PI()/4*VALUE(MID(ARCH!L84,2,9))^2,VALUE(LEFT(ARCH!L84,FIND("x",ARCH!L84)-1))*VALUE(MID(ARCH!L84,FIND("x",ARCH!L84)+1,9))))</f>
        <v>336</v>
      </c>
      <c r="M84" s="10" t="n">
        <f aca="false">IF(ARCH!M84="",INPUTS!$B$19,IF(LEFT(ARCH!M84,1)="d",PI()/4*VALUE(MID(ARCH!M84,2,9))^2,VALUE(LEFT(ARCH!M84,FIND("x",ARCH!M84)-1))*VALUE(MID(ARCH!M84,FIND("x",ARCH!M84)+1,9))))</f>
        <v>336</v>
      </c>
      <c r="N84" s="10" t="n">
        <f aca="false">IF(ARCH!N84="",INPUTS!$B$19,IF(LEFT(ARCH!N84,1)="d",PI()/4*VALUE(MID(ARCH!N84,2,9))^2,VALUE(LEFT(ARCH!N84,FIND("x",ARCH!N84)-1))*VALUE(MID(ARCH!N84,FIND("x",ARCH!N84)+1,9))))</f>
        <v>336</v>
      </c>
      <c r="O84" s="10" t="n">
        <f aca="false">IF(ARCH!O84="",INPUTS!$B$19,IF(LEFT(ARCH!O84,1)="d",PI()/4*VALUE(MID(ARCH!O84,2,9))^2,VALUE(LEFT(ARCH!O84,FIND("x",ARCH!O84)-1))*VALUE(MID(ARCH!O84,FIND("x",ARCH!O84)+1,9))))</f>
        <v>336</v>
      </c>
      <c r="P84" s="10" t="n">
        <f aca="false">IF(ARCH!P84="",INPUTS!$B$19,IF(LEFT(ARCH!P84,1)="d",PI()/4*VALUE(MID(ARCH!P84,2,9))^2,VALUE(LEFT(ARCH!P84,FIND("x",ARCH!P84)-1))*VALUE(MID(ARCH!P84,FIND("x",ARCH!P84)+1,9))))</f>
        <v>336</v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10" t="n">
        <f aca="false">IF(ARCH!E85="",INPUTS!$B$19,IF(LEFT(ARCH!E85,1)="d",PI()/4*VALUE(MID(ARCH!E85,2,9))^2,VALUE(LEFT(ARCH!E85,FIND("x",ARCH!E85)-1))*VALUE(MID(ARCH!E85,FIND("x",ARCH!E85)+1,9))))</f>
        <v>504</v>
      </c>
      <c r="F85" s="10" t="n">
        <f aca="false">IF(ARCH!F85="",INPUTS!$B$19,IF(LEFT(ARCH!F85,1)="d",PI()/4*VALUE(MID(ARCH!F85,2,9))^2,VALUE(LEFT(ARCH!F85,FIND("x",ARCH!F85)-1))*VALUE(MID(ARCH!F85,FIND("x",ARCH!F85)+1,9))))</f>
        <v>504</v>
      </c>
      <c r="G85" s="10" t="n">
        <f aca="false">IF(ARCH!G85="",INPUTS!$B$19,IF(LEFT(ARCH!G85,1)="d",PI()/4*VALUE(MID(ARCH!G85,2,9))^2,VALUE(LEFT(ARCH!G85,FIND("x",ARCH!G85)-1))*VALUE(MID(ARCH!G85,FIND("x",ARCH!G85)+1,9))))</f>
        <v>504</v>
      </c>
      <c r="H85" s="10" t="n">
        <f aca="false">IF(ARCH!H85="",INPUTS!$B$19,IF(LEFT(ARCH!H85,1)="d",PI()/4*VALUE(MID(ARCH!H85,2,9))^2,VALUE(LEFT(ARCH!H85,FIND("x",ARCH!H85)-1))*VALUE(MID(ARCH!H85,FIND("x",ARCH!H85)+1,9))))</f>
        <v>504</v>
      </c>
      <c r="I85" s="10" t="n">
        <f aca="false">IF(ARCH!I85="",INPUTS!$B$19,IF(LEFT(ARCH!I85,1)="d",PI()/4*VALUE(MID(ARCH!I85,2,9))^2,VALUE(LEFT(ARCH!I85,FIND("x",ARCH!I85)-1))*VALUE(MID(ARCH!I85,FIND("x",ARCH!I85)+1,9))))</f>
        <v>504</v>
      </c>
      <c r="J85" s="10" t="n">
        <f aca="false">IF(ARCH!J85="",INPUTS!$B$19,IF(LEFT(ARCH!J85,1)="d",PI()/4*VALUE(MID(ARCH!J85,2,9))^2,VALUE(LEFT(ARCH!J85,FIND("x",ARCH!J85)-1))*VALUE(MID(ARCH!J85,FIND("x",ARCH!J85)+1,9))))</f>
        <v>504</v>
      </c>
      <c r="K85" s="10" t="n">
        <f aca="false">IF(ARCH!K85="",INPUTS!$B$19,IF(LEFT(ARCH!K85,1)="d",PI()/4*VALUE(MID(ARCH!K85,2,9))^2,VALUE(LEFT(ARCH!K85,FIND("x",ARCH!K85)-1))*VALUE(MID(ARCH!K85,FIND("x",ARCH!K85)+1,9))))</f>
        <v>336</v>
      </c>
      <c r="L85" s="10" t="n">
        <f aca="false">IF(ARCH!L85="",INPUTS!$B$19,IF(LEFT(ARCH!L85,1)="d",PI()/4*VALUE(MID(ARCH!L85,2,9))^2,VALUE(LEFT(ARCH!L85,FIND("x",ARCH!L85)-1))*VALUE(MID(ARCH!L85,FIND("x",ARCH!L85)+1,9))))</f>
        <v>336</v>
      </c>
      <c r="M85" s="10" t="n">
        <f aca="false">IF(ARCH!M85="",INPUTS!$B$19,IF(LEFT(ARCH!M85,1)="d",PI()/4*VALUE(MID(ARCH!M85,2,9))^2,VALUE(LEFT(ARCH!M85,FIND("x",ARCH!M85)-1))*VALUE(MID(ARCH!M85,FIND("x",ARCH!M85)+1,9))))</f>
        <v>336</v>
      </c>
      <c r="N85" s="10" t="n">
        <f aca="false">IF(ARCH!N85="",INPUTS!$B$19,IF(LEFT(ARCH!N85,1)="d",PI()/4*VALUE(MID(ARCH!N85,2,9))^2,VALUE(LEFT(ARCH!N85,FIND("x",ARCH!N85)-1))*VALUE(MID(ARCH!N85,FIND("x",ARCH!N85)+1,9))))</f>
        <v>336</v>
      </c>
      <c r="O85" s="10" t="n">
        <f aca="false">IF(ARCH!O85="",INPUTS!$B$19,IF(LEFT(ARCH!O85,1)="d",PI()/4*VALUE(MID(ARCH!O85,2,9))^2,VALUE(LEFT(ARCH!O85,FIND("x",ARCH!O85)-1))*VALUE(MID(ARCH!O85,FIND("x",ARCH!O85)+1,9))))</f>
        <v>336</v>
      </c>
      <c r="P85" s="10" t="n">
        <f aca="false">IF(ARCH!P85="",INPUTS!$B$19,IF(LEFT(ARCH!P85,1)="d",PI()/4*VALUE(MID(ARCH!P85,2,9))^2,VALUE(LEFT(ARCH!P85,FIND("x",ARCH!P85)-1))*VALUE(MID(ARCH!P85,FIND("x",ARCH!P85)+1,9))))</f>
        <v>336</v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10" t="n">
        <f aca="false">IF(ARCH!E86="",INPUTS!$B$19,IF(LEFT(ARCH!E86,1)="d",PI()/4*VALUE(MID(ARCH!E86,2,9))^2,VALUE(LEFT(ARCH!E86,FIND("x",ARCH!E86)-1))*VALUE(MID(ARCH!E86,FIND("x",ARCH!E86)+1,9))))</f>
        <v>504</v>
      </c>
      <c r="F86" s="10" t="n">
        <f aca="false">IF(ARCH!F86="",INPUTS!$B$19,IF(LEFT(ARCH!F86,1)="d",PI()/4*VALUE(MID(ARCH!F86,2,9))^2,VALUE(LEFT(ARCH!F86,FIND("x",ARCH!F86)-1))*VALUE(MID(ARCH!F86,FIND("x",ARCH!F86)+1,9))))</f>
        <v>504</v>
      </c>
      <c r="G86" s="10" t="n">
        <f aca="false">IF(ARCH!G86="",INPUTS!$B$19,IF(LEFT(ARCH!G86,1)="d",PI()/4*VALUE(MID(ARCH!G86,2,9))^2,VALUE(LEFT(ARCH!G86,FIND("x",ARCH!G86)-1))*VALUE(MID(ARCH!G86,FIND("x",ARCH!G86)+1,9))))</f>
        <v>504</v>
      </c>
      <c r="H86" s="10" t="n">
        <f aca="false">IF(ARCH!H86="",INPUTS!$B$19,IF(LEFT(ARCH!H86,1)="d",PI()/4*VALUE(MID(ARCH!H86,2,9))^2,VALUE(LEFT(ARCH!H86,FIND("x",ARCH!H86)-1))*VALUE(MID(ARCH!H86,FIND("x",ARCH!H86)+1,9))))</f>
        <v>504</v>
      </c>
      <c r="I86" s="10" t="n">
        <f aca="false">IF(ARCH!I86="",INPUTS!$B$19,IF(LEFT(ARCH!I86,1)="d",PI()/4*VALUE(MID(ARCH!I86,2,9))^2,VALUE(LEFT(ARCH!I86,FIND("x",ARCH!I86)-1))*VALUE(MID(ARCH!I86,FIND("x",ARCH!I86)+1,9))))</f>
        <v>504</v>
      </c>
      <c r="J86" s="10" t="n">
        <f aca="false">IF(ARCH!J86="",INPUTS!$B$19,IF(LEFT(ARCH!J86,1)="d",PI()/4*VALUE(MID(ARCH!J86,2,9))^2,VALUE(LEFT(ARCH!J86,FIND("x",ARCH!J86)-1))*VALUE(MID(ARCH!J86,FIND("x",ARCH!J86)+1,9))))</f>
        <v>504</v>
      </c>
      <c r="K86" s="10" t="n">
        <f aca="false">IF(ARCH!K86="",INPUTS!$B$19,IF(LEFT(ARCH!K86,1)="d",PI()/4*VALUE(MID(ARCH!K86,2,9))^2,VALUE(LEFT(ARCH!K86,FIND("x",ARCH!K86)-1))*VALUE(MID(ARCH!K86,FIND("x",ARCH!K86)+1,9))))</f>
        <v>336</v>
      </c>
      <c r="L86" s="10" t="n">
        <f aca="false">IF(ARCH!L86="",INPUTS!$B$19,IF(LEFT(ARCH!L86,1)="d",PI()/4*VALUE(MID(ARCH!L86,2,9))^2,VALUE(LEFT(ARCH!L86,FIND("x",ARCH!L86)-1))*VALUE(MID(ARCH!L86,FIND("x",ARCH!L86)+1,9))))</f>
        <v>336</v>
      </c>
      <c r="M86" s="10" t="n">
        <f aca="false">IF(ARCH!M86="",INPUTS!$B$19,IF(LEFT(ARCH!M86,1)="d",PI()/4*VALUE(MID(ARCH!M86,2,9))^2,VALUE(LEFT(ARCH!M86,FIND("x",ARCH!M86)-1))*VALUE(MID(ARCH!M86,FIND("x",ARCH!M86)+1,9))))</f>
        <v>336</v>
      </c>
      <c r="N86" s="10" t="n">
        <f aca="false">IF(ARCH!N86="",INPUTS!$B$19,IF(LEFT(ARCH!N86,1)="d",PI()/4*VALUE(MID(ARCH!N86,2,9))^2,VALUE(LEFT(ARCH!N86,FIND("x",ARCH!N86)-1))*VALUE(MID(ARCH!N86,FIND("x",ARCH!N86)+1,9))))</f>
        <v>336</v>
      </c>
      <c r="O86" s="10" t="n">
        <f aca="false">IF(ARCH!O86="",INPUTS!$B$19,IF(LEFT(ARCH!O86,1)="d",PI()/4*VALUE(MID(ARCH!O86,2,9))^2,VALUE(LEFT(ARCH!O86,FIND("x",ARCH!O86)-1))*VALUE(MID(ARCH!O86,FIND("x",ARCH!O86)+1,9))))</f>
        <v>336</v>
      </c>
      <c r="P86" s="10" t="n">
        <f aca="false">IF(ARCH!P86="",INPUTS!$B$19,IF(LEFT(ARCH!P86,1)="d",PI()/4*VALUE(MID(ARCH!P86,2,9))^2,VALUE(LEFT(ARCH!P86,FIND("x",ARCH!P86)-1))*VALUE(MID(ARCH!P86,FIND("x",ARCH!P86)+1,9))))</f>
        <v>336</v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10" t="n">
        <f aca="false">IF(ARCH!E87="",INPUTS!$B$19,IF(LEFT(ARCH!E87,1)="d",PI()/4*VALUE(MID(ARCH!E87,2,9))^2,VALUE(LEFT(ARCH!E87,FIND("x",ARCH!E87)-1))*VALUE(MID(ARCH!E87,FIND("x",ARCH!E87)+1,9))))</f>
        <v>504</v>
      </c>
      <c r="F87" s="10" t="n">
        <f aca="false">IF(ARCH!F87="",INPUTS!$B$19,IF(LEFT(ARCH!F87,1)="d",PI()/4*VALUE(MID(ARCH!F87,2,9))^2,VALUE(LEFT(ARCH!F87,FIND("x",ARCH!F87)-1))*VALUE(MID(ARCH!F87,FIND("x",ARCH!F87)+1,9))))</f>
        <v>504</v>
      </c>
      <c r="G87" s="10" t="n">
        <f aca="false">IF(ARCH!G87="",INPUTS!$B$19,IF(LEFT(ARCH!G87,1)="d",PI()/4*VALUE(MID(ARCH!G87,2,9))^2,VALUE(LEFT(ARCH!G87,FIND("x",ARCH!G87)-1))*VALUE(MID(ARCH!G87,FIND("x",ARCH!G87)+1,9))))</f>
        <v>504</v>
      </c>
      <c r="H87" s="10" t="n">
        <f aca="false">IF(ARCH!H87="",INPUTS!$B$19,IF(LEFT(ARCH!H87,1)="d",PI()/4*VALUE(MID(ARCH!H87,2,9))^2,VALUE(LEFT(ARCH!H87,FIND("x",ARCH!H87)-1))*VALUE(MID(ARCH!H87,FIND("x",ARCH!H87)+1,9))))</f>
        <v>504</v>
      </c>
      <c r="I87" s="10" t="n">
        <f aca="false">IF(ARCH!I87="",INPUTS!$B$19,IF(LEFT(ARCH!I87,1)="d",PI()/4*VALUE(MID(ARCH!I87,2,9))^2,VALUE(LEFT(ARCH!I87,FIND("x",ARCH!I87)-1))*VALUE(MID(ARCH!I87,FIND("x",ARCH!I87)+1,9))))</f>
        <v>336</v>
      </c>
      <c r="J87" s="10" t="n">
        <f aca="false">IF(ARCH!J87="",INPUTS!$B$19,IF(LEFT(ARCH!J87,1)="d",PI()/4*VALUE(MID(ARCH!J87,2,9))^2,VALUE(LEFT(ARCH!J87,FIND("x",ARCH!J87)-1))*VALUE(MID(ARCH!J87,FIND("x",ARCH!J87)+1,9))))</f>
        <v>336</v>
      </c>
      <c r="K87" s="10" t="n">
        <f aca="false">IF(ARCH!K87="",INPUTS!$B$19,IF(LEFT(ARCH!K87,1)="d",PI()/4*VALUE(MID(ARCH!K87,2,9))^2,VALUE(LEFT(ARCH!K87,FIND("x",ARCH!K87)-1))*VALUE(MID(ARCH!K87,FIND("x",ARCH!K87)+1,9))))</f>
        <v>336</v>
      </c>
      <c r="L87" s="10" t="n">
        <f aca="false">IF(ARCH!L87="",INPUTS!$B$19,IF(LEFT(ARCH!L87,1)="d",PI()/4*VALUE(MID(ARCH!L87,2,9))^2,VALUE(LEFT(ARCH!L87,FIND("x",ARCH!L87)-1))*VALUE(MID(ARCH!L87,FIND("x",ARCH!L87)+1,9))))</f>
        <v>336</v>
      </c>
      <c r="M87" s="10" t="n">
        <f aca="false">IF(ARCH!M87="",INPUTS!$B$19,IF(LEFT(ARCH!M87,1)="d",PI()/4*VALUE(MID(ARCH!M87,2,9))^2,VALUE(LEFT(ARCH!M87,FIND("x",ARCH!M87)-1))*VALUE(MID(ARCH!M87,FIND("x",ARCH!M87)+1,9))))</f>
        <v>336</v>
      </c>
      <c r="N87" s="10" t="n">
        <f aca="false">IF(ARCH!N87="",INPUTS!$B$19,IF(LEFT(ARCH!N87,1)="d",PI()/4*VALUE(MID(ARCH!N87,2,9))^2,VALUE(LEFT(ARCH!N87,FIND("x",ARCH!N87)-1))*VALUE(MID(ARCH!N87,FIND("x",ARCH!N87)+1,9))))</f>
        <v>336</v>
      </c>
      <c r="O87" s="10" t="n">
        <f aca="false">IF(ARCH!O87="",INPUTS!$B$19,IF(LEFT(ARCH!O87,1)="d",PI()/4*VALUE(MID(ARCH!O87,2,9))^2,VALUE(LEFT(ARCH!O87,FIND("x",ARCH!O87)-1))*VALUE(MID(ARCH!O87,FIND("x",ARCH!O87)+1,9))))</f>
        <v>336</v>
      </c>
      <c r="P87" s="10" t="n">
        <f aca="false">IF(ARCH!P87="",INPUTS!$B$19,IF(LEFT(ARCH!P87,1)="d",PI()/4*VALUE(MID(ARCH!P87,2,9))^2,VALUE(LEFT(ARCH!P87,FIND("x",ARCH!P87)-1))*VALUE(MID(ARCH!P87,FIND("x",ARCH!P87)+1,9))))</f>
        <v>336</v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10" t="n">
        <f aca="false">IF(ARCH!E88="",INPUTS!$B$19,IF(LEFT(ARCH!E88,1)="d",PI()/4*VALUE(MID(ARCH!E88,2,9))^2,VALUE(LEFT(ARCH!E88,FIND("x",ARCH!E88)-1))*VALUE(MID(ARCH!E88,FIND("x",ARCH!E88)+1,9))))</f>
        <v>504</v>
      </c>
      <c r="F88" s="10" t="n">
        <f aca="false">IF(ARCH!F88="",INPUTS!$B$19,IF(LEFT(ARCH!F88,1)="d",PI()/4*VALUE(MID(ARCH!F88,2,9))^2,VALUE(LEFT(ARCH!F88,FIND("x",ARCH!F88)-1))*VALUE(MID(ARCH!F88,FIND("x",ARCH!F88)+1,9))))</f>
        <v>504</v>
      </c>
      <c r="G88" s="10" t="n">
        <f aca="false">IF(ARCH!G88="",INPUTS!$B$19,IF(LEFT(ARCH!G88,1)="d",PI()/4*VALUE(MID(ARCH!G88,2,9))^2,VALUE(LEFT(ARCH!G88,FIND("x",ARCH!G88)-1))*VALUE(MID(ARCH!G88,FIND("x",ARCH!G88)+1,9))))</f>
        <v>504</v>
      </c>
      <c r="H88" s="10" t="n">
        <f aca="false">IF(ARCH!H88="",INPUTS!$B$19,IF(LEFT(ARCH!H88,1)="d",PI()/4*VALUE(MID(ARCH!H88,2,9))^2,VALUE(LEFT(ARCH!H88,FIND("x",ARCH!H88)-1))*VALUE(MID(ARCH!H88,FIND("x",ARCH!H88)+1,9))))</f>
        <v>504</v>
      </c>
      <c r="I88" s="10" t="n">
        <f aca="false">IF(ARCH!I88="",INPUTS!$B$19,IF(LEFT(ARCH!I88,1)="d",PI()/4*VALUE(MID(ARCH!I88,2,9))^2,VALUE(LEFT(ARCH!I88,FIND("x",ARCH!I88)-1))*VALUE(MID(ARCH!I88,FIND("x",ARCH!I88)+1,9))))</f>
        <v>336</v>
      </c>
      <c r="J88" s="10" t="n">
        <f aca="false">IF(ARCH!J88="",INPUTS!$B$19,IF(LEFT(ARCH!J88,1)="d",PI()/4*VALUE(MID(ARCH!J88,2,9))^2,VALUE(LEFT(ARCH!J88,FIND("x",ARCH!J88)-1))*VALUE(MID(ARCH!J88,FIND("x",ARCH!J88)+1,9))))</f>
        <v>336</v>
      </c>
      <c r="K88" s="10" t="n">
        <f aca="false">IF(ARCH!K88="",INPUTS!$B$19,IF(LEFT(ARCH!K88,1)="d",PI()/4*VALUE(MID(ARCH!K88,2,9))^2,VALUE(LEFT(ARCH!K88,FIND("x",ARCH!K88)-1))*VALUE(MID(ARCH!K88,FIND("x",ARCH!K88)+1,9))))</f>
        <v>336</v>
      </c>
      <c r="L88" s="10" t="n">
        <f aca="false">IF(ARCH!L88="",INPUTS!$B$19,IF(LEFT(ARCH!L88,1)="d",PI()/4*VALUE(MID(ARCH!L88,2,9))^2,VALUE(LEFT(ARCH!L88,FIND("x",ARCH!L88)-1))*VALUE(MID(ARCH!L88,FIND("x",ARCH!L88)+1,9))))</f>
        <v>336</v>
      </c>
      <c r="M88" s="10" t="n">
        <f aca="false">IF(ARCH!M88="",INPUTS!$B$19,IF(LEFT(ARCH!M88,1)="d",PI()/4*VALUE(MID(ARCH!M88,2,9))^2,VALUE(LEFT(ARCH!M88,FIND("x",ARCH!M88)-1))*VALUE(MID(ARCH!M88,FIND("x",ARCH!M88)+1,9))))</f>
        <v>336</v>
      </c>
      <c r="N88" s="10" t="n">
        <f aca="false">IF(ARCH!N88="",INPUTS!$B$19,IF(LEFT(ARCH!N88,1)="d",PI()/4*VALUE(MID(ARCH!N88,2,9))^2,VALUE(LEFT(ARCH!N88,FIND("x",ARCH!N88)-1))*VALUE(MID(ARCH!N88,FIND("x",ARCH!N88)+1,9))))</f>
        <v>336</v>
      </c>
      <c r="O88" s="10" t="n">
        <f aca="false">IF(ARCH!O88="",INPUTS!$B$19,IF(LEFT(ARCH!O88,1)="d",PI()/4*VALUE(MID(ARCH!O88,2,9))^2,VALUE(LEFT(ARCH!O88,FIND("x",ARCH!O88)-1))*VALUE(MID(ARCH!O88,FIND("x",ARCH!O88)+1,9))))</f>
        <v>336</v>
      </c>
      <c r="P88" s="10" t="n">
        <f aca="false">IF(ARCH!P88="",INPUTS!$B$19,IF(LEFT(ARCH!P88,1)="d",PI()/4*VALUE(MID(ARCH!P88,2,9))^2,VALUE(LEFT(ARCH!P88,FIND("x",ARCH!P88)-1))*VALUE(MID(ARCH!P88,FIND("x",ARCH!P88)+1,9))))</f>
        <v>336</v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10" t="n">
        <f aca="false">IF(ARCH!E89="",INPUTS!$B$19,IF(LEFT(ARCH!E89,1)="d",PI()/4*VALUE(MID(ARCH!E89,2,9))^2,VALUE(LEFT(ARCH!E89,FIND("x",ARCH!E89)-1))*VALUE(MID(ARCH!E89,FIND("x",ARCH!E89)+1,9))))</f>
        <v>504</v>
      </c>
      <c r="F89" s="10" t="n">
        <f aca="false">IF(ARCH!F89="",INPUTS!$B$19,IF(LEFT(ARCH!F89,1)="d",PI()/4*VALUE(MID(ARCH!F89,2,9))^2,VALUE(LEFT(ARCH!F89,FIND("x",ARCH!F89)-1))*VALUE(MID(ARCH!F89,FIND("x",ARCH!F89)+1,9))))</f>
        <v>504</v>
      </c>
      <c r="G89" s="10" t="n">
        <f aca="false">IF(ARCH!G89="",INPUTS!$B$19,IF(LEFT(ARCH!G89,1)="d",PI()/4*VALUE(MID(ARCH!G89,2,9))^2,VALUE(LEFT(ARCH!G89,FIND("x",ARCH!G89)-1))*VALUE(MID(ARCH!G89,FIND("x",ARCH!G89)+1,9))))</f>
        <v>504</v>
      </c>
      <c r="H89" s="10" t="n">
        <f aca="false">IF(ARCH!H89="",INPUTS!$B$19,IF(LEFT(ARCH!H89,1)="d",PI()/4*VALUE(MID(ARCH!H89,2,9))^2,VALUE(LEFT(ARCH!H89,FIND("x",ARCH!H89)-1))*VALUE(MID(ARCH!H89,FIND("x",ARCH!H89)+1,9))))</f>
        <v>504</v>
      </c>
      <c r="I89" s="10" t="n">
        <f aca="false">IF(ARCH!I89="",INPUTS!$B$19,IF(LEFT(ARCH!I89,1)="d",PI()/4*VALUE(MID(ARCH!I89,2,9))^2,VALUE(LEFT(ARCH!I89,FIND("x",ARCH!I89)-1))*VALUE(MID(ARCH!I89,FIND("x",ARCH!I89)+1,9))))</f>
        <v>504</v>
      </c>
      <c r="J89" s="10" t="n">
        <f aca="false">IF(ARCH!J89="",INPUTS!$B$19,IF(LEFT(ARCH!J89,1)="d",PI()/4*VALUE(MID(ARCH!J89,2,9))^2,VALUE(LEFT(ARCH!J89,FIND("x",ARCH!J89)-1))*VALUE(MID(ARCH!J89,FIND("x",ARCH!J89)+1,9))))</f>
        <v>504</v>
      </c>
      <c r="K89" s="10" t="n">
        <f aca="false">IF(ARCH!K89="",INPUTS!$B$19,IF(LEFT(ARCH!K89,1)="d",PI()/4*VALUE(MID(ARCH!K89,2,9))^2,VALUE(LEFT(ARCH!K89,FIND("x",ARCH!K89)-1))*VALUE(MID(ARCH!K89,FIND("x",ARCH!K89)+1,9))))</f>
        <v>336</v>
      </c>
      <c r="L89" s="10" t="n">
        <f aca="false">IF(ARCH!L89="",INPUTS!$B$19,IF(LEFT(ARCH!L89,1)="d",PI()/4*VALUE(MID(ARCH!L89,2,9))^2,VALUE(LEFT(ARCH!L89,FIND("x",ARCH!L89)-1))*VALUE(MID(ARCH!L89,FIND("x",ARCH!L89)+1,9))))</f>
        <v>336</v>
      </c>
      <c r="M89" s="10" t="n">
        <f aca="false">IF(ARCH!M89="",INPUTS!$B$19,IF(LEFT(ARCH!M89,1)="d",PI()/4*VALUE(MID(ARCH!M89,2,9))^2,VALUE(LEFT(ARCH!M89,FIND("x",ARCH!M89)-1))*VALUE(MID(ARCH!M89,FIND("x",ARCH!M89)+1,9))))</f>
        <v>336</v>
      </c>
      <c r="N89" s="10" t="n">
        <f aca="false">IF(ARCH!N89="",INPUTS!$B$19,IF(LEFT(ARCH!N89,1)="d",PI()/4*VALUE(MID(ARCH!N89,2,9))^2,VALUE(LEFT(ARCH!N89,FIND("x",ARCH!N89)-1))*VALUE(MID(ARCH!N89,FIND("x",ARCH!N89)+1,9))))</f>
        <v>336</v>
      </c>
      <c r="O89" s="10" t="n">
        <f aca="false">IF(ARCH!O89="",INPUTS!$B$19,IF(LEFT(ARCH!O89,1)="d",PI()/4*VALUE(MID(ARCH!O89,2,9))^2,VALUE(LEFT(ARCH!O89,FIND("x",ARCH!O89)-1))*VALUE(MID(ARCH!O89,FIND("x",ARCH!O89)+1,9))))</f>
        <v>336</v>
      </c>
      <c r="P89" s="10" t="n">
        <f aca="false">IF(ARCH!P89="",INPUTS!$B$19,IF(LEFT(ARCH!P89,1)="d",PI()/4*VALUE(MID(ARCH!P89,2,9))^2,VALUE(LEFT(ARCH!P89,FIND("x",ARCH!P89)-1))*VALUE(MID(ARCH!P89,FIND("x",ARCH!P89)+1,9))))</f>
        <v>336</v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10" t="n">
        <f aca="false">IF(ARCH!E90="",INPUTS!$B$19,IF(LEFT(ARCH!E90,1)="d",PI()/4*VALUE(MID(ARCH!E90,2,9))^2,VALUE(LEFT(ARCH!E90,FIND("x",ARCH!E90)-1))*VALUE(MID(ARCH!E90,FIND("x",ARCH!E90)+1,9))))</f>
        <v>504</v>
      </c>
      <c r="F90" s="10" t="n">
        <f aca="false">IF(ARCH!F90="",INPUTS!$B$19,IF(LEFT(ARCH!F90,1)="d",PI()/4*VALUE(MID(ARCH!F90,2,9))^2,VALUE(LEFT(ARCH!F90,FIND("x",ARCH!F90)-1))*VALUE(MID(ARCH!F90,FIND("x",ARCH!F90)+1,9))))</f>
        <v>504</v>
      </c>
      <c r="G90" s="10" t="n">
        <f aca="false">IF(ARCH!G90="",INPUTS!$B$19,IF(LEFT(ARCH!G90,1)="d",PI()/4*VALUE(MID(ARCH!G90,2,9))^2,VALUE(LEFT(ARCH!G90,FIND("x",ARCH!G90)-1))*VALUE(MID(ARCH!G90,FIND("x",ARCH!G90)+1,9))))</f>
        <v>504</v>
      </c>
      <c r="H90" s="10" t="n">
        <f aca="false">IF(ARCH!H90="",INPUTS!$B$19,IF(LEFT(ARCH!H90,1)="d",PI()/4*VALUE(MID(ARCH!H90,2,9))^2,VALUE(LEFT(ARCH!H90,FIND("x",ARCH!H90)-1))*VALUE(MID(ARCH!H90,FIND("x",ARCH!H90)+1,9))))</f>
        <v>504</v>
      </c>
      <c r="I90" s="10" t="n">
        <f aca="false">IF(ARCH!I90="",INPUTS!$B$19,IF(LEFT(ARCH!I90,1)="d",PI()/4*VALUE(MID(ARCH!I90,2,9))^2,VALUE(LEFT(ARCH!I90,FIND("x",ARCH!I90)-1))*VALUE(MID(ARCH!I90,FIND("x",ARCH!I90)+1,9))))</f>
        <v>504</v>
      </c>
      <c r="J90" s="10" t="n">
        <f aca="false">IF(ARCH!J90="",INPUTS!$B$19,IF(LEFT(ARCH!J90,1)="d",PI()/4*VALUE(MID(ARCH!J90,2,9))^2,VALUE(LEFT(ARCH!J90,FIND("x",ARCH!J90)-1))*VALUE(MID(ARCH!J90,FIND("x",ARCH!J90)+1,9))))</f>
        <v>504</v>
      </c>
      <c r="K90" s="10" t="n">
        <f aca="false">IF(ARCH!K90="",INPUTS!$B$19,IF(LEFT(ARCH!K90,1)="d",PI()/4*VALUE(MID(ARCH!K90,2,9))^2,VALUE(LEFT(ARCH!K90,FIND("x",ARCH!K90)-1))*VALUE(MID(ARCH!K90,FIND("x",ARCH!K90)+1,9))))</f>
        <v>336</v>
      </c>
      <c r="L90" s="10" t="n">
        <f aca="false">IF(ARCH!L90="",INPUTS!$B$19,IF(LEFT(ARCH!L90,1)="d",PI()/4*VALUE(MID(ARCH!L90,2,9))^2,VALUE(LEFT(ARCH!L90,FIND("x",ARCH!L90)-1))*VALUE(MID(ARCH!L90,FIND("x",ARCH!L90)+1,9))))</f>
        <v>336</v>
      </c>
      <c r="M90" s="10" t="n">
        <f aca="false">IF(ARCH!M90="",INPUTS!$B$19,IF(LEFT(ARCH!M90,1)="d",PI()/4*VALUE(MID(ARCH!M90,2,9))^2,VALUE(LEFT(ARCH!M90,FIND("x",ARCH!M90)-1))*VALUE(MID(ARCH!M90,FIND("x",ARCH!M90)+1,9))))</f>
        <v>336</v>
      </c>
      <c r="N90" s="10" t="n">
        <f aca="false">IF(ARCH!N90="",INPUTS!$B$19,IF(LEFT(ARCH!N90,1)="d",PI()/4*VALUE(MID(ARCH!N90,2,9))^2,VALUE(LEFT(ARCH!N90,FIND("x",ARCH!N90)-1))*VALUE(MID(ARCH!N90,FIND("x",ARCH!N90)+1,9))))</f>
        <v>336</v>
      </c>
      <c r="O90" s="10" t="n">
        <f aca="false">IF(ARCH!O90="",INPUTS!$B$19,IF(LEFT(ARCH!O90,1)="d",PI()/4*VALUE(MID(ARCH!O90,2,9))^2,VALUE(LEFT(ARCH!O90,FIND("x",ARCH!O90)-1))*VALUE(MID(ARCH!O90,FIND("x",ARCH!O90)+1,9))))</f>
        <v>336</v>
      </c>
      <c r="P90" s="10" t="n">
        <f aca="false">IF(ARCH!P90="",INPUTS!$B$19,IF(LEFT(ARCH!P90,1)="d",PI()/4*VALUE(MID(ARCH!P90,2,9))^2,VALUE(LEFT(ARCH!P90,FIND("x",ARCH!P90)-1))*VALUE(MID(ARCH!P90,FIND("x",ARCH!P90)+1,9))))</f>
        <v>336</v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10" t="n">
        <f aca="false">IF(ARCH!E91="",INPUTS!$B$19,IF(LEFT(ARCH!E91,1)="d",PI()/4*VALUE(MID(ARCH!E91,2,9))^2,VALUE(LEFT(ARCH!E91,FIND("x",ARCH!E91)-1))*VALUE(MID(ARCH!E91,FIND("x",ARCH!E91)+1,9))))</f>
        <v>504</v>
      </c>
      <c r="F91" s="10" t="n">
        <f aca="false">IF(ARCH!F91="",INPUTS!$B$19,IF(LEFT(ARCH!F91,1)="d",PI()/4*VALUE(MID(ARCH!F91,2,9))^2,VALUE(LEFT(ARCH!F91,FIND("x",ARCH!F91)-1))*VALUE(MID(ARCH!F91,FIND("x",ARCH!F91)+1,9))))</f>
        <v>504</v>
      </c>
      <c r="G91" s="10" t="n">
        <f aca="false">IF(ARCH!G91="",INPUTS!$B$19,IF(LEFT(ARCH!G91,1)="d",PI()/4*VALUE(MID(ARCH!G91,2,9))^2,VALUE(LEFT(ARCH!G91,FIND("x",ARCH!G91)-1))*VALUE(MID(ARCH!G91,FIND("x",ARCH!G91)+1,9))))</f>
        <v>504</v>
      </c>
      <c r="H91" s="10" t="n">
        <f aca="false">IF(ARCH!H91="",INPUTS!$B$19,IF(LEFT(ARCH!H91,1)="d",PI()/4*VALUE(MID(ARCH!H91,2,9))^2,VALUE(LEFT(ARCH!H91,FIND("x",ARCH!H91)-1))*VALUE(MID(ARCH!H91,FIND("x",ARCH!H91)+1,9))))</f>
        <v>504</v>
      </c>
      <c r="I91" s="10" t="n">
        <f aca="false">IF(ARCH!I91="",INPUTS!$B$19,IF(LEFT(ARCH!I91,1)="d",PI()/4*VALUE(MID(ARCH!I91,2,9))^2,VALUE(LEFT(ARCH!I91,FIND("x",ARCH!I91)-1))*VALUE(MID(ARCH!I91,FIND("x",ARCH!I91)+1,9))))</f>
        <v>504</v>
      </c>
      <c r="J91" s="10" t="n">
        <f aca="false">IF(ARCH!J91="",INPUTS!$B$19,IF(LEFT(ARCH!J91,1)="d",PI()/4*VALUE(MID(ARCH!J91,2,9))^2,VALUE(LEFT(ARCH!J91,FIND("x",ARCH!J91)-1))*VALUE(MID(ARCH!J91,FIND("x",ARCH!J91)+1,9))))</f>
        <v>504</v>
      </c>
      <c r="K91" s="10" t="n">
        <f aca="false">IF(ARCH!K91="",INPUTS!$B$19,IF(LEFT(ARCH!K91,1)="d",PI()/4*VALUE(MID(ARCH!K91,2,9))^2,VALUE(LEFT(ARCH!K91,FIND("x",ARCH!K91)-1))*VALUE(MID(ARCH!K91,FIND("x",ARCH!K91)+1,9))))</f>
        <v>336</v>
      </c>
      <c r="L91" s="10" t="n">
        <f aca="false">IF(ARCH!L91="",INPUTS!$B$19,IF(LEFT(ARCH!L91,1)="d",PI()/4*VALUE(MID(ARCH!L91,2,9))^2,VALUE(LEFT(ARCH!L91,FIND("x",ARCH!L91)-1))*VALUE(MID(ARCH!L91,FIND("x",ARCH!L91)+1,9))))</f>
        <v>336</v>
      </c>
      <c r="M91" s="10" t="n">
        <f aca="false">IF(ARCH!M91="",INPUTS!$B$19,IF(LEFT(ARCH!M91,1)="d",PI()/4*VALUE(MID(ARCH!M91,2,9))^2,VALUE(LEFT(ARCH!M91,FIND("x",ARCH!M91)-1))*VALUE(MID(ARCH!M91,FIND("x",ARCH!M91)+1,9))))</f>
        <v>336</v>
      </c>
      <c r="N91" s="10" t="n">
        <f aca="false">IF(ARCH!N91="",INPUTS!$B$19,IF(LEFT(ARCH!N91,1)="d",PI()/4*VALUE(MID(ARCH!N91,2,9))^2,VALUE(LEFT(ARCH!N91,FIND("x",ARCH!N91)-1))*VALUE(MID(ARCH!N91,FIND("x",ARCH!N91)+1,9))))</f>
        <v>336</v>
      </c>
      <c r="O91" s="10" t="n">
        <f aca="false">IF(ARCH!O91="",INPUTS!$B$19,IF(LEFT(ARCH!O91,1)="d",PI()/4*VALUE(MID(ARCH!O91,2,9))^2,VALUE(LEFT(ARCH!O91,FIND("x",ARCH!O91)-1))*VALUE(MID(ARCH!O91,FIND("x",ARCH!O91)+1,9))))</f>
        <v>336</v>
      </c>
      <c r="P91" s="10" t="n">
        <f aca="false">IF(ARCH!P91="",INPUTS!$B$19,IF(LEFT(ARCH!P91,1)="d",PI()/4*VALUE(MID(ARCH!P91,2,9))^2,VALUE(LEFT(ARCH!P91,FIND("x",ARCH!P91)-1))*VALUE(MID(ARCH!P91,FIND("x",ARCH!P91)+1,9))))</f>
        <v>336</v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10" t="n">
        <f aca="false">IF(ARCH!E92="",INPUTS!$B$19,IF(LEFT(ARCH!E92,1)="d",PI()/4*VALUE(MID(ARCH!E92,2,9))^2,VALUE(LEFT(ARCH!E92,FIND("x",ARCH!E92)-1))*VALUE(MID(ARCH!E92,FIND("x",ARCH!E92)+1,9))))</f>
        <v>504</v>
      </c>
      <c r="F92" s="10" t="n">
        <f aca="false">IF(ARCH!F92="",INPUTS!$B$19,IF(LEFT(ARCH!F92,1)="d",PI()/4*VALUE(MID(ARCH!F92,2,9))^2,VALUE(LEFT(ARCH!F92,FIND("x",ARCH!F92)-1))*VALUE(MID(ARCH!F92,FIND("x",ARCH!F92)+1,9))))</f>
        <v>504</v>
      </c>
      <c r="G92" s="10" t="n">
        <f aca="false">IF(ARCH!G92="",INPUTS!$B$19,IF(LEFT(ARCH!G92,1)="d",PI()/4*VALUE(MID(ARCH!G92,2,9))^2,VALUE(LEFT(ARCH!G92,FIND("x",ARCH!G92)-1))*VALUE(MID(ARCH!G92,FIND("x",ARCH!G92)+1,9))))</f>
        <v>504</v>
      </c>
      <c r="H92" s="10" t="n">
        <f aca="false">IF(ARCH!H92="",INPUTS!$B$19,IF(LEFT(ARCH!H92,1)="d",PI()/4*VALUE(MID(ARCH!H92,2,9))^2,VALUE(LEFT(ARCH!H92,FIND("x",ARCH!H92)-1))*VALUE(MID(ARCH!H92,FIND("x",ARCH!H92)+1,9))))</f>
        <v>504</v>
      </c>
      <c r="I92" s="10" t="n">
        <f aca="false">IF(ARCH!I92="",INPUTS!$B$19,IF(LEFT(ARCH!I92,1)="d",PI()/4*VALUE(MID(ARCH!I92,2,9))^2,VALUE(LEFT(ARCH!I92,FIND("x",ARCH!I92)-1))*VALUE(MID(ARCH!I92,FIND("x",ARCH!I92)+1,9))))</f>
        <v>504</v>
      </c>
      <c r="J92" s="10" t="n">
        <f aca="false">IF(ARCH!J92="",INPUTS!$B$19,IF(LEFT(ARCH!J92,1)="d",PI()/4*VALUE(MID(ARCH!J92,2,9))^2,VALUE(LEFT(ARCH!J92,FIND("x",ARCH!J92)-1))*VALUE(MID(ARCH!J92,FIND("x",ARCH!J92)+1,9))))</f>
        <v>336</v>
      </c>
      <c r="K92" s="10" t="n">
        <f aca="false">IF(ARCH!K92="",INPUTS!$B$19,IF(LEFT(ARCH!K92,1)="d",PI()/4*VALUE(MID(ARCH!K92,2,9))^2,VALUE(LEFT(ARCH!K92,FIND("x",ARCH!K92)-1))*VALUE(MID(ARCH!K92,FIND("x",ARCH!K92)+1,9))))</f>
        <v>336</v>
      </c>
      <c r="L92" s="10" t="n">
        <f aca="false">IF(ARCH!L92="",INPUTS!$B$19,IF(LEFT(ARCH!L92,1)="d",PI()/4*VALUE(MID(ARCH!L92,2,9))^2,VALUE(LEFT(ARCH!L92,FIND("x",ARCH!L92)-1))*VALUE(MID(ARCH!L92,FIND("x",ARCH!L92)+1,9))))</f>
        <v>336</v>
      </c>
      <c r="M92" s="10" t="n">
        <f aca="false">IF(ARCH!M92="",INPUTS!$B$19,IF(LEFT(ARCH!M92,1)="d",PI()/4*VALUE(MID(ARCH!M92,2,9))^2,VALUE(LEFT(ARCH!M92,FIND("x",ARCH!M92)-1))*VALUE(MID(ARCH!M92,FIND("x",ARCH!M92)+1,9))))</f>
        <v>336</v>
      </c>
      <c r="N92" s="10" t="n">
        <f aca="false">IF(ARCH!N92="",INPUTS!$B$19,IF(LEFT(ARCH!N92,1)="d",PI()/4*VALUE(MID(ARCH!N92,2,9))^2,VALUE(LEFT(ARCH!N92,FIND("x",ARCH!N92)-1))*VALUE(MID(ARCH!N92,FIND("x",ARCH!N92)+1,9))))</f>
        <v>336</v>
      </c>
      <c r="O92" s="10" t="n">
        <f aca="false">IF(ARCH!O92="",INPUTS!$B$19,IF(LEFT(ARCH!O92,1)="d",PI()/4*VALUE(MID(ARCH!O92,2,9))^2,VALUE(LEFT(ARCH!O92,FIND("x",ARCH!O92)-1))*VALUE(MID(ARCH!O92,FIND("x",ARCH!O92)+1,9))))</f>
        <v>336</v>
      </c>
      <c r="P92" s="10" t="n">
        <f aca="false">IF(ARCH!P92="",INPUTS!$B$19,IF(LEFT(ARCH!P92,1)="d",PI()/4*VALUE(MID(ARCH!P92,2,9))^2,VALUE(LEFT(ARCH!P92,FIND("x",ARCH!P92)-1))*VALUE(MID(ARCH!P92,FIND("x",ARCH!P92)+1,9))))</f>
        <v>336</v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10" t="n">
        <f aca="false">IF(ARCH!E93="",INPUTS!$B$19,IF(LEFT(ARCH!E93,1)="d",PI()/4*VALUE(MID(ARCH!E93,2,9))^2,VALUE(LEFT(ARCH!E93,FIND("x",ARCH!E93)-1))*VALUE(MID(ARCH!E93,FIND("x",ARCH!E93)+1,9))))</f>
        <v>504</v>
      </c>
      <c r="F93" s="10" t="n">
        <f aca="false">IF(ARCH!F93="",INPUTS!$B$19,IF(LEFT(ARCH!F93,1)="d",PI()/4*VALUE(MID(ARCH!F93,2,9))^2,VALUE(LEFT(ARCH!F93,FIND("x",ARCH!F93)-1))*VALUE(MID(ARCH!F93,FIND("x",ARCH!F93)+1,9))))</f>
        <v>504</v>
      </c>
      <c r="G93" s="10" t="n">
        <f aca="false">IF(ARCH!G93="",INPUTS!$B$19,IF(LEFT(ARCH!G93,1)="d",PI()/4*VALUE(MID(ARCH!G93,2,9))^2,VALUE(LEFT(ARCH!G93,FIND("x",ARCH!G93)-1))*VALUE(MID(ARCH!G93,FIND("x",ARCH!G93)+1,9))))</f>
        <v>504</v>
      </c>
      <c r="H93" s="10" t="n">
        <f aca="false">IF(ARCH!H93="",INPUTS!$B$19,IF(LEFT(ARCH!H93,1)="d",PI()/4*VALUE(MID(ARCH!H93,2,9))^2,VALUE(LEFT(ARCH!H93,FIND("x",ARCH!H93)-1))*VALUE(MID(ARCH!H93,FIND("x",ARCH!H93)+1,9))))</f>
        <v>504</v>
      </c>
      <c r="I93" s="10" t="n">
        <f aca="false">IF(ARCH!I93="",INPUTS!$B$19,IF(LEFT(ARCH!I93,1)="d",PI()/4*VALUE(MID(ARCH!I93,2,9))^2,VALUE(LEFT(ARCH!I93,FIND("x",ARCH!I93)-1))*VALUE(MID(ARCH!I93,FIND("x",ARCH!I93)+1,9))))</f>
        <v>504</v>
      </c>
      <c r="J93" s="10" t="n">
        <f aca="false">IF(ARCH!J93="",INPUTS!$B$19,IF(LEFT(ARCH!J93,1)="d",PI()/4*VALUE(MID(ARCH!J93,2,9))^2,VALUE(LEFT(ARCH!J93,FIND("x",ARCH!J93)-1))*VALUE(MID(ARCH!J93,FIND("x",ARCH!J93)+1,9))))</f>
        <v>336</v>
      </c>
      <c r="K93" s="10" t="n">
        <f aca="false">IF(ARCH!K93="",INPUTS!$B$19,IF(LEFT(ARCH!K93,1)="d",PI()/4*VALUE(MID(ARCH!K93,2,9))^2,VALUE(LEFT(ARCH!K93,FIND("x",ARCH!K93)-1))*VALUE(MID(ARCH!K93,FIND("x",ARCH!K93)+1,9))))</f>
        <v>336</v>
      </c>
      <c r="L93" s="10" t="n">
        <f aca="false">IF(ARCH!L93="",INPUTS!$B$19,IF(LEFT(ARCH!L93,1)="d",PI()/4*VALUE(MID(ARCH!L93,2,9))^2,VALUE(LEFT(ARCH!L93,FIND("x",ARCH!L93)-1))*VALUE(MID(ARCH!L93,FIND("x",ARCH!L93)+1,9))))</f>
        <v>336</v>
      </c>
      <c r="M93" s="10" t="n">
        <f aca="false">IF(ARCH!M93="",INPUTS!$B$19,IF(LEFT(ARCH!M93,1)="d",PI()/4*VALUE(MID(ARCH!M93,2,9))^2,VALUE(LEFT(ARCH!M93,FIND("x",ARCH!M93)-1))*VALUE(MID(ARCH!M93,FIND("x",ARCH!M93)+1,9))))</f>
        <v>336</v>
      </c>
      <c r="N93" s="10" t="n">
        <f aca="false">IF(ARCH!N93="",INPUTS!$B$19,IF(LEFT(ARCH!N93,1)="d",PI()/4*VALUE(MID(ARCH!N93,2,9))^2,VALUE(LEFT(ARCH!N93,FIND("x",ARCH!N93)-1))*VALUE(MID(ARCH!N93,FIND("x",ARCH!N93)+1,9))))</f>
        <v>336</v>
      </c>
      <c r="O93" s="10" t="n">
        <f aca="false">IF(ARCH!O93="",INPUTS!$B$19,IF(LEFT(ARCH!O93,1)="d",PI()/4*VALUE(MID(ARCH!O93,2,9))^2,VALUE(LEFT(ARCH!O93,FIND("x",ARCH!O93)-1))*VALUE(MID(ARCH!O93,FIND("x",ARCH!O93)+1,9))))</f>
        <v>336</v>
      </c>
      <c r="P93" s="10" t="n">
        <f aca="false">IF(ARCH!P93="",INPUTS!$B$19,IF(LEFT(ARCH!P93,1)="d",PI()/4*VALUE(MID(ARCH!P93,2,9))^2,VALUE(LEFT(ARCH!P93,FIND("x",ARCH!P93)-1))*VALUE(MID(ARCH!P93,FIND("x",ARCH!P93)+1,9))))</f>
        <v>336</v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10" t="n">
        <f aca="false">IF(ARCH!E94="",INPUTS!$B$19,IF(LEFT(ARCH!E94,1)="d",PI()/4*VALUE(MID(ARCH!E94,2,9))^2,VALUE(LEFT(ARCH!E94,FIND("x",ARCH!E94)-1))*VALUE(MID(ARCH!E94,FIND("x",ARCH!E94)+1,9))))</f>
        <v>504</v>
      </c>
      <c r="F94" s="10" t="n">
        <f aca="false">IF(ARCH!F94="",INPUTS!$B$19,IF(LEFT(ARCH!F94,1)="d",PI()/4*VALUE(MID(ARCH!F94,2,9))^2,VALUE(LEFT(ARCH!F94,FIND("x",ARCH!F94)-1))*VALUE(MID(ARCH!F94,FIND("x",ARCH!F94)+1,9))))</f>
        <v>504</v>
      </c>
      <c r="G94" s="10" t="n">
        <f aca="false">IF(ARCH!G94="",INPUTS!$B$19,IF(LEFT(ARCH!G94,1)="d",PI()/4*VALUE(MID(ARCH!G94,2,9))^2,VALUE(LEFT(ARCH!G94,FIND("x",ARCH!G94)-1))*VALUE(MID(ARCH!G94,FIND("x",ARCH!G94)+1,9))))</f>
        <v>504</v>
      </c>
      <c r="H94" s="10" t="n">
        <f aca="false">IF(ARCH!H94="",INPUTS!$B$19,IF(LEFT(ARCH!H94,1)="d",PI()/4*VALUE(MID(ARCH!H94,2,9))^2,VALUE(LEFT(ARCH!H94,FIND("x",ARCH!H94)-1))*VALUE(MID(ARCH!H94,FIND("x",ARCH!H94)+1,9))))</f>
        <v>504</v>
      </c>
      <c r="I94" s="10" t="n">
        <f aca="false">IF(ARCH!I94="",INPUTS!$B$19,IF(LEFT(ARCH!I94,1)="d",PI()/4*VALUE(MID(ARCH!I94,2,9))^2,VALUE(LEFT(ARCH!I94,FIND("x",ARCH!I94)-1))*VALUE(MID(ARCH!I94,FIND("x",ARCH!I94)+1,9))))</f>
        <v>504</v>
      </c>
      <c r="J94" s="10" t="n">
        <f aca="false">IF(ARCH!J94="",INPUTS!$B$19,IF(LEFT(ARCH!J94,1)="d",PI()/4*VALUE(MID(ARCH!J94,2,9))^2,VALUE(LEFT(ARCH!J94,FIND("x",ARCH!J94)-1))*VALUE(MID(ARCH!J94,FIND("x",ARCH!J94)+1,9))))</f>
        <v>504</v>
      </c>
      <c r="K94" s="10" t="n">
        <f aca="false">IF(ARCH!K94="",INPUTS!$B$19,IF(LEFT(ARCH!K94,1)="d",PI()/4*VALUE(MID(ARCH!K94,2,9))^2,VALUE(LEFT(ARCH!K94,FIND("x",ARCH!K94)-1))*VALUE(MID(ARCH!K94,FIND("x",ARCH!K94)+1,9))))</f>
        <v>336</v>
      </c>
      <c r="L94" s="10" t="n">
        <f aca="false">IF(ARCH!L94="",INPUTS!$B$19,IF(LEFT(ARCH!L94,1)="d",PI()/4*VALUE(MID(ARCH!L94,2,9))^2,VALUE(LEFT(ARCH!L94,FIND("x",ARCH!L94)-1))*VALUE(MID(ARCH!L94,FIND("x",ARCH!L94)+1,9))))</f>
        <v>336</v>
      </c>
      <c r="M94" s="10" t="n">
        <f aca="false">IF(ARCH!M94="",INPUTS!$B$19,IF(LEFT(ARCH!M94,1)="d",PI()/4*VALUE(MID(ARCH!M94,2,9))^2,VALUE(LEFT(ARCH!M94,FIND("x",ARCH!M94)-1))*VALUE(MID(ARCH!M94,FIND("x",ARCH!M94)+1,9))))</f>
        <v>336</v>
      </c>
      <c r="N94" s="10" t="n">
        <f aca="false">IF(ARCH!N94="",INPUTS!$B$19,IF(LEFT(ARCH!N94,1)="d",PI()/4*VALUE(MID(ARCH!N94,2,9))^2,VALUE(LEFT(ARCH!N94,FIND("x",ARCH!N94)-1))*VALUE(MID(ARCH!N94,FIND("x",ARCH!N94)+1,9))))</f>
        <v>336</v>
      </c>
      <c r="O94" s="10" t="n">
        <f aca="false">IF(ARCH!O94="",INPUTS!$B$19,IF(LEFT(ARCH!O94,1)="d",PI()/4*VALUE(MID(ARCH!O94,2,9))^2,VALUE(LEFT(ARCH!O94,FIND("x",ARCH!O94)-1))*VALUE(MID(ARCH!O94,FIND("x",ARCH!O94)+1,9))))</f>
        <v>336</v>
      </c>
      <c r="P94" s="10" t="n">
        <f aca="false">IF(ARCH!P94="",INPUTS!$B$19,IF(LEFT(ARCH!P94,1)="d",PI()/4*VALUE(MID(ARCH!P94,2,9))^2,VALUE(LEFT(ARCH!P94,FIND("x",ARCH!P94)-1))*VALUE(MID(ARCH!P94,FIND("x",ARCH!P94)+1,9))))</f>
        <v>336</v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10" t="n">
        <f aca="false">IF(ARCH!E95="",INPUTS!$B$19,IF(LEFT(ARCH!E95,1)="d",PI()/4*VALUE(MID(ARCH!E95,2,9))^2,VALUE(LEFT(ARCH!E95,FIND("x",ARCH!E95)-1))*VALUE(MID(ARCH!E95,FIND("x",ARCH!E95)+1,9))))</f>
        <v>504</v>
      </c>
      <c r="F95" s="10" t="n">
        <f aca="false">IF(ARCH!F95="",INPUTS!$B$19,IF(LEFT(ARCH!F95,1)="d",PI()/4*VALUE(MID(ARCH!F95,2,9))^2,VALUE(LEFT(ARCH!F95,FIND("x",ARCH!F95)-1))*VALUE(MID(ARCH!F95,FIND("x",ARCH!F95)+1,9))))</f>
        <v>504</v>
      </c>
      <c r="G95" s="10" t="n">
        <f aca="false">IF(ARCH!G95="",INPUTS!$B$19,IF(LEFT(ARCH!G95,1)="d",PI()/4*VALUE(MID(ARCH!G95,2,9))^2,VALUE(LEFT(ARCH!G95,FIND("x",ARCH!G95)-1))*VALUE(MID(ARCH!G95,FIND("x",ARCH!G95)+1,9))))</f>
        <v>504</v>
      </c>
      <c r="H95" s="10" t="n">
        <f aca="false">IF(ARCH!H95="",INPUTS!$B$19,IF(LEFT(ARCH!H95,1)="d",PI()/4*VALUE(MID(ARCH!H95,2,9))^2,VALUE(LEFT(ARCH!H95,FIND("x",ARCH!H95)-1))*VALUE(MID(ARCH!H95,FIND("x",ARCH!H95)+1,9))))</f>
        <v>504</v>
      </c>
      <c r="I95" s="10" t="n">
        <f aca="false">IF(ARCH!I95="",INPUTS!$B$19,IF(LEFT(ARCH!I95,1)="d",PI()/4*VALUE(MID(ARCH!I95,2,9))^2,VALUE(LEFT(ARCH!I95,FIND("x",ARCH!I95)-1))*VALUE(MID(ARCH!I95,FIND("x",ARCH!I95)+1,9))))</f>
        <v>504</v>
      </c>
      <c r="J95" s="10" t="n">
        <f aca="false">IF(ARCH!J95="",INPUTS!$B$19,IF(LEFT(ARCH!J95,1)="d",PI()/4*VALUE(MID(ARCH!J95,2,9))^2,VALUE(LEFT(ARCH!J95,FIND("x",ARCH!J95)-1))*VALUE(MID(ARCH!J95,FIND("x",ARCH!J95)+1,9))))</f>
        <v>504</v>
      </c>
      <c r="K95" s="10" t="n">
        <f aca="false">IF(ARCH!K95="",INPUTS!$B$19,IF(LEFT(ARCH!K95,1)="d",PI()/4*VALUE(MID(ARCH!K95,2,9))^2,VALUE(LEFT(ARCH!K95,FIND("x",ARCH!K95)-1))*VALUE(MID(ARCH!K95,FIND("x",ARCH!K95)+1,9))))</f>
        <v>336</v>
      </c>
      <c r="L95" s="10" t="n">
        <f aca="false">IF(ARCH!L95="",INPUTS!$B$19,IF(LEFT(ARCH!L95,1)="d",PI()/4*VALUE(MID(ARCH!L95,2,9))^2,VALUE(LEFT(ARCH!L95,FIND("x",ARCH!L95)-1))*VALUE(MID(ARCH!L95,FIND("x",ARCH!L95)+1,9))))</f>
        <v>336</v>
      </c>
      <c r="M95" s="10" t="n">
        <f aca="false">IF(ARCH!M95="",INPUTS!$B$19,IF(LEFT(ARCH!M95,1)="d",PI()/4*VALUE(MID(ARCH!M95,2,9))^2,VALUE(LEFT(ARCH!M95,FIND("x",ARCH!M95)-1))*VALUE(MID(ARCH!M95,FIND("x",ARCH!M95)+1,9))))</f>
        <v>336</v>
      </c>
      <c r="N95" s="10" t="n">
        <f aca="false">IF(ARCH!N95="",INPUTS!$B$19,IF(LEFT(ARCH!N95,1)="d",PI()/4*VALUE(MID(ARCH!N95,2,9))^2,VALUE(LEFT(ARCH!N95,FIND("x",ARCH!N95)-1))*VALUE(MID(ARCH!N95,FIND("x",ARCH!N95)+1,9))))</f>
        <v>336</v>
      </c>
      <c r="O95" s="10" t="n">
        <f aca="false">IF(ARCH!O95="",INPUTS!$B$19,IF(LEFT(ARCH!O95,1)="d",PI()/4*VALUE(MID(ARCH!O95,2,9))^2,VALUE(LEFT(ARCH!O95,FIND("x",ARCH!O95)-1))*VALUE(MID(ARCH!O95,FIND("x",ARCH!O95)+1,9))))</f>
        <v>336</v>
      </c>
      <c r="P95" s="10" t="n">
        <f aca="false">IF(ARCH!P95="",INPUTS!$B$19,IF(LEFT(ARCH!P95,1)="d",PI()/4*VALUE(MID(ARCH!P95,2,9))^2,VALUE(LEFT(ARCH!P95,FIND("x",ARCH!P95)-1))*VALUE(MID(ARCH!P95,FIND("x",ARCH!P95)+1,9))))</f>
        <v>336</v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10" t="n">
        <f aca="false">IF(ARCH!E96="",INPUTS!$B$19,IF(LEFT(ARCH!E96,1)="d",PI()/4*VALUE(MID(ARCH!E96,2,9))^2,VALUE(LEFT(ARCH!E96,FIND("x",ARCH!E96)-1))*VALUE(MID(ARCH!E96,FIND("x",ARCH!E96)+1,9))))</f>
        <v>504</v>
      </c>
      <c r="F96" s="10" t="n">
        <f aca="false">IF(ARCH!F96="",INPUTS!$B$19,IF(LEFT(ARCH!F96,1)="d",PI()/4*VALUE(MID(ARCH!F96,2,9))^2,VALUE(LEFT(ARCH!F96,FIND("x",ARCH!F96)-1))*VALUE(MID(ARCH!F96,FIND("x",ARCH!F96)+1,9))))</f>
        <v>504</v>
      </c>
      <c r="G96" s="10" t="n">
        <f aca="false">IF(ARCH!G96="",INPUTS!$B$19,IF(LEFT(ARCH!G96,1)="d",PI()/4*VALUE(MID(ARCH!G96,2,9))^2,VALUE(LEFT(ARCH!G96,FIND("x",ARCH!G96)-1))*VALUE(MID(ARCH!G96,FIND("x",ARCH!G96)+1,9))))</f>
        <v>504</v>
      </c>
      <c r="H96" s="10" t="n">
        <f aca="false">IF(ARCH!H96="",INPUTS!$B$19,IF(LEFT(ARCH!H96,1)="d",PI()/4*VALUE(MID(ARCH!H96,2,9))^2,VALUE(LEFT(ARCH!H96,FIND("x",ARCH!H96)-1))*VALUE(MID(ARCH!H96,FIND("x",ARCH!H96)+1,9))))</f>
        <v>504</v>
      </c>
      <c r="I96" s="10" t="n">
        <f aca="false">IF(ARCH!I96="",INPUTS!$B$19,IF(LEFT(ARCH!I96,1)="d",PI()/4*VALUE(MID(ARCH!I96,2,9))^2,VALUE(LEFT(ARCH!I96,FIND("x",ARCH!I96)-1))*VALUE(MID(ARCH!I96,FIND("x",ARCH!I96)+1,9))))</f>
        <v>504</v>
      </c>
      <c r="J96" s="10" t="n">
        <f aca="false">IF(ARCH!J96="",INPUTS!$B$19,IF(LEFT(ARCH!J96,1)="d",PI()/4*VALUE(MID(ARCH!J96,2,9))^2,VALUE(LEFT(ARCH!J96,FIND("x",ARCH!J96)-1))*VALUE(MID(ARCH!J96,FIND("x",ARCH!J96)+1,9))))</f>
        <v>336</v>
      </c>
      <c r="K96" s="10" t="n">
        <f aca="false">IF(ARCH!K96="",INPUTS!$B$19,IF(LEFT(ARCH!K96,1)="d",PI()/4*VALUE(MID(ARCH!K96,2,9))^2,VALUE(LEFT(ARCH!K96,FIND("x",ARCH!K96)-1))*VALUE(MID(ARCH!K96,FIND("x",ARCH!K96)+1,9))))</f>
        <v>336</v>
      </c>
      <c r="L96" s="10" t="n">
        <f aca="false">IF(ARCH!L96="",INPUTS!$B$19,IF(LEFT(ARCH!L96,1)="d",PI()/4*VALUE(MID(ARCH!L96,2,9))^2,VALUE(LEFT(ARCH!L96,FIND("x",ARCH!L96)-1))*VALUE(MID(ARCH!L96,FIND("x",ARCH!L96)+1,9))))</f>
        <v>336</v>
      </c>
      <c r="M96" s="10" t="n">
        <f aca="false">IF(ARCH!M96="",INPUTS!$B$19,IF(LEFT(ARCH!M96,1)="d",PI()/4*VALUE(MID(ARCH!M96,2,9))^2,VALUE(LEFT(ARCH!M96,FIND("x",ARCH!M96)-1))*VALUE(MID(ARCH!M96,FIND("x",ARCH!M96)+1,9))))</f>
        <v>336</v>
      </c>
      <c r="N96" s="10" t="n">
        <f aca="false">IF(ARCH!N96="",INPUTS!$B$19,IF(LEFT(ARCH!N96,1)="d",PI()/4*VALUE(MID(ARCH!N96,2,9))^2,VALUE(LEFT(ARCH!N96,FIND("x",ARCH!N96)-1))*VALUE(MID(ARCH!N96,FIND("x",ARCH!N96)+1,9))))</f>
        <v>336</v>
      </c>
      <c r="O96" s="10" t="n">
        <f aca="false">IF(ARCH!O96="",INPUTS!$B$19,IF(LEFT(ARCH!O96,1)="d",PI()/4*VALUE(MID(ARCH!O96,2,9))^2,VALUE(LEFT(ARCH!O96,FIND("x",ARCH!O96)-1))*VALUE(MID(ARCH!O96,FIND("x",ARCH!O96)+1,9))))</f>
        <v>336</v>
      </c>
      <c r="P96" s="10" t="n">
        <f aca="false">IF(ARCH!P96="",INPUTS!$B$19,IF(LEFT(ARCH!P96,1)="d",PI()/4*VALUE(MID(ARCH!P96,2,9))^2,VALUE(LEFT(ARCH!P96,FIND("x",ARCH!P96)-1))*VALUE(MID(ARCH!P96,FIND("x",ARCH!P96)+1,9))))</f>
        <v>336</v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10" t="n">
        <f aca="false">IF(ARCH!E97="",INPUTS!$B$19,IF(LEFT(ARCH!E97,1)="d",PI()/4*VALUE(MID(ARCH!E97,2,9))^2,VALUE(LEFT(ARCH!E97,FIND("x",ARCH!E97)-1))*VALUE(MID(ARCH!E97,FIND("x",ARCH!E97)+1,9))))</f>
        <v>504</v>
      </c>
      <c r="F97" s="10" t="n">
        <f aca="false">IF(ARCH!F97="",INPUTS!$B$19,IF(LEFT(ARCH!F97,1)="d",PI()/4*VALUE(MID(ARCH!F97,2,9))^2,VALUE(LEFT(ARCH!F97,FIND("x",ARCH!F97)-1))*VALUE(MID(ARCH!F97,FIND("x",ARCH!F97)+1,9))))</f>
        <v>504</v>
      </c>
      <c r="G97" s="10" t="n">
        <f aca="false">IF(ARCH!G97="",INPUTS!$B$19,IF(LEFT(ARCH!G97,1)="d",PI()/4*VALUE(MID(ARCH!G97,2,9))^2,VALUE(LEFT(ARCH!G97,FIND("x",ARCH!G97)-1))*VALUE(MID(ARCH!G97,FIND("x",ARCH!G97)+1,9))))</f>
        <v>504</v>
      </c>
      <c r="H97" s="10" t="n">
        <f aca="false">IF(ARCH!H97="",INPUTS!$B$19,IF(LEFT(ARCH!H97,1)="d",PI()/4*VALUE(MID(ARCH!H97,2,9))^2,VALUE(LEFT(ARCH!H97,FIND("x",ARCH!H97)-1))*VALUE(MID(ARCH!H97,FIND("x",ARCH!H97)+1,9))))</f>
        <v>504</v>
      </c>
      <c r="I97" s="10" t="n">
        <f aca="false">IF(ARCH!I97="",INPUTS!$B$19,IF(LEFT(ARCH!I97,1)="d",PI()/4*VALUE(MID(ARCH!I97,2,9))^2,VALUE(LEFT(ARCH!I97,FIND("x",ARCH!I97)-1))*VALUE(MID(ARCH!I97,FIND("x",ARCH!I97)+1,9))))</f>
        <v>504</v>
      </c>
      <c r="J97" s="10" t="n">
        <f aca="false">IF(ARCH!J97="",INPUTS!$B$19,IF(LEFT(ARCH!J97,1)="d",PI()/4*VALUE(MID(ARCH!J97,2,9))^2,VALUE(LEFT(ARCH!J97,FIND("x",ARCH!J97)-1))*VALUE(MID(ARCH!J97,FIND("x",ARCH!J97)+1,9))))</f>
        <v>336</v>
      </c>
      <c r="K97" s="10" t="n">
        <f aca="false">IF(ARCH!K97="",INPUTS!$B$19,IF(LEFT(ARCH!K97,1)="d",PI()/4*VALUE(MID(ARCH!K97,2,9))^2,VALUE(LEFT(ARCH!K97,FIND("x",ARCH!K97)-1))*VALUE(MID(ARCH!K97,FIND("x",ARCH!K97)+1,9))))</f>
        <v>336</v>
      </c>
      <c r="L97" s="10" t="n">
        <f aca="false">IF(ARCH!L97="",INPUTS!$B$19,IF(LEFT(ARCH!L97,1)="d",PI()/4*VALUE(MID(ARCH!L97,2,9))^2,VALUE(LEFT(ARCH!L97,FIND("x",ARCH!L97)-1))*VALUE(MID(ARCH!L97,FIND("x",ARCH!L97)+1,9))))</f>
        <v>336</v>
      </c>
      <c r="M97" s="10" t="n">
        <f aca="false">IF(ARCH!M97="",INPUTS!$B$19,IF(LEFT(ARCH!M97,1)="d",PI()/4*VALUE(MID(ARCH!M97,2,9))^2,VALUE(LEFT(ARCH!M97,FIND("x",ARCH!M97)-1))*VALUE(MID(ARCH!M97,FIND("x",ARCH!M97)+1,9))))</f>
        <v>336</v>
      </c>
      <c r="N97" s="10" t="n">
        <f aca="false">IF(ARCH!N97="",INPUTS!$B$19,IF(LEFT(ARCH!N97,1)="d",PI()/4*VALUE(MID(ARCH!N97,2,9))^2,VALUE(LEFT(ARCH!N97,FIND("x",ARCH!N97)-1))*VALUE(MID(ARCH!N97,FIND("x",ARCH!N97)+1,9))))</f>
        <v>336</v>
      </c>
      <c r="O97" s="10" t="n">
        <f aca="false">IF(ARCH!O97="",INPUTS!$B$19,IF(LEFT(ARCH!O97,1)="d",PI()/4*VALUE(MID(ARCH!O97,2,9))^2,VALUE(LEFT(ARCH!O97,FIND("x",ARCH!O97)-1))*VALUE(MID(ARCH!O97,FIND("x",ARCH!O97)+1,9))))</f>
        <v>336</v>
      </c>
      <c r="P97" s="10" t="n">
        <f aca="false">IF(ARCH!P97="",INPUTS!$B$19,IF(LEFT(ARCH!P97,1)="d",PI()/4*VALUE(MID(ARCH!P97,2,9))^2,VALUE(LEFT(ARCH!P97,FIND("x",ARCH!P97)-1))*VALUE(MID(ARCH!P97,FIND("x",ARCH!P97)+1,9))))</f>
        <v>336</v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10" t="n">
        <f aca="false">IF(ARCH!E98="",INPUTS!$B$19,IF(LEFT(ARCH!E98,1)="d",PI()/4*VALUE(MID(ARCH!E98,2,9))^2,VALUE(LEFT(ARCH!E98,FIND("x",ARCH!E98)-1))*VALUE(MID(ARCH!E98,FIND("x",ARCH!E98)+1,9))))</f>
        <v>504</v>
      </c>
      <c r="F98" s="10" t="n">
        <f aca="false">IF(ARCH!F98="",INPUTS!$B$19,IF(LEFT(ARCH!F98,1)="d",PI()/4*VALUE(MID(ARCH!F98,2,9))^2,VALUE(LEFT(ARCH!F98,FIND("x",ARCH!F98)-1))*VALUE(MID(ARCH!F98,FIND("x",ARCH!F98)+1,9))))</f>
        <v>504</v>
      </c>
      <c r="G98" s="10" t="n">
        <f aca="false">IF(ARCH!G98="",INPUTS!$B$19,IF(LEFT(ARCH!G98,1)="d",PI()/4*VALUE(MID(ARCH!G98,2,9))^2,VALUE(LEFT(ARCH!G98,FIND("x",ARCH!G98)-1))*VALUE(MID(ARCH!G98,FIND("x",ARCH!G98)+1,9))))</f>
        <v>504</v>
      </c>
      <c r="H98" s="10" t="n">
        <f aca="false">IF(ARCH!H98="",INPUTS!$B$19,IF(LEFT(ARCH!H98,1)="d",PI()/4*VALUE(MID(ARCH!H98,2,9))^2,VALUE(LEFT(ARCH!H98,FIND("x",ARCH!H98)-1))*VALUE(MID(ARCH!H98,FIND("x",ARCH!H98)+1,9))))</f>
        <v>504</v>
      </c>
      <c r="I98" s="10" t="n">
        <f aca="false">IF(ARCH!I98="",INPUTS!$B$19,IF(LEFT(ARCH!I98,1)="d",PI()/4*VALUE(MID(ARCH!I98,2,9))^2,VALUE(LEFT(ARCH!I98,FIND("x",ARCH!I98)-1))*VALUE(MID(ARCH!I98,FIND("x",ARCH!I98)+1,9))))</f>
        <v>504</v>
      </c>
      <c r="J98" s="10" t="n">
        <f aca="false">IF(ARCH!J98="",INPUTS!$B$19,IF(LEFT(ARCH!J98,1)="d",PI()/4*VALUE(MID(ARCH!J98,2,9))^2,VALUE(LEFT(ARCH!J98,FIND("x",ARCH!J98)-1))*VALUE(MID(ARCH!J98,FIND("x",ARCH!J98)+1,9))))</f>
        <v>336</v>
      </c>
      <c r="K98" s="10" t="n">
        <f aca="false">IF(ARCH!K98="",INPUTS!$B$19,IF(LEFT(ARCH!K98,1)="d",PI()/4*VALUE(MID(ARCH!K98,2,9))^2,VALUE(LEFT(ARCH!K98,FIND("x",ARCH!K98)-1))*VALUE(MID(ARCH!K98,FIND("x",ARCH!K98)+1,9))))</f>
        <v>336</v>
      </c>
      <c r="L98" s="10" t="n">
        <f aca="false">IF(ARCH!L98="",INPUTS!$B$19,IF(LEFT(ARCH!L98,1)="d",PI()/4*VALUE(MID(ARCH!L98,2,9))^2,VALUE(LEFT(ARCH!L98,FIND("x",ARCH!L98)-1))*VALUE(MID(ARCH!L98,FIND("x",ARCH!L98)+1,9))))</f>
        <v>336</v>
      </c>
      <c r="M98" s="10" t="n">
        <f aca="false">IF(ARCH!M98="",INPUTS!$B$19,IF(LEFT(ARCH!M98,1)="d",PI()/4*VALUE(MID(ARCH!M98,2,9))^2,VALUE(LEFT(ARCH!M98,FIND("x",ARCH!M98)-1))*VALUE(MID(ARCH!M98,FIND("x",ARCH!M98)+1,9))))</f>
        <v>336</v>
      </c>
      <c r="N98" s="10" t="n">
        <f aca="false">IF(ARCH!N98="",INPUTS!$B$19,IF(LEFT(ARCH!N98,1)="d",PI()/4*VALUE(MID(ARCH!N98,2,9))^2,VALUE(LEFT(ARCH!N98,FIND("x",ARCH!N98)-1))*VALUE(MID(ARCH!N98,FIND("x",ARCH!N98)+1,9))))</f>
        <v>336</v>
      </c>
      <c r="O98" s="10" t="n">
        <f aca="false">IF(ARCH!O98="",INPUTS!$B$19,IF(LEFT(ARCH!O98,1)="d",PI()/4*VALUE(MID(ARCH!O98,2,9))^2,VALUE(LEFT(ARCH!O98,FIND("x",ARCH!O98)-1))*VALUE(MID(ARCH!O98,FIND("x",ARCH!O98)+1,9))))</f>
        <v>336</v>
      </c>
      <c r="P98" s="10" t="n">
        <f aca="false">IF(ARCH!P98="",INPUTS!$B$19,IF(LEFT(ARCH!P98,1)="d",PI()/4*VALUE(MID(ARCH!P98,2,9))^2,VALUE(LEFT(ARCH!P98,FIND("x",ARCH!P98)-1))*VALUE(MID(ARCH!P98,FIND("x",ARCH!P98)+1,9))))</f>
        <v>336</v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10" t="n">
        <f aca="false">IF(ARCH!E99="",INPUTS!$B$19,IF(LEFT(ARCH!E99,1)="d",PI()/4*VALUE(MID(ARCH!E99,2,9))^2,VALUE(LEFT(ARCH!E99,FIND("x",ARCH!E99)-1))*VALUE(MID(ARCH!E99,FIND("x",ARCH!E99)+1,9))))</f>
        <v>504</v>
      </c>
      <c r="F99" s="10" t="n">
        <f aca="false">IF(ARCH!F99="",INPUTS!$B$19,IF(LEFT(ARCH!F99,1)="d",PI()/4*VALUE(MID(ARCH!F99,2,9))^2,VALUE(LEFT(ARCH!F99,FIND("x",ARCH!F99)-1))*VALUE(MID(ARCH!F99,FIND("x",ARCH!F99)+1,9))))</f>
        <v>504</v>
      </c>
      <c r="G99" s="10" t="n">
        <f aca="false">IF(ARCH!G99="",INPUTS!$B$19,IF(LEFT(ARCH!G99,1)="d",PI()/4*VALUE(MID(ARCH!G99,2,9))^2,VALUE(LEFT(ARCH!G99,FIND("x",ARCH!G99)-1))*VALUE(MID(ARCH!G99,FIND("x",ARCH!G99)+1,9))))</f>
        <v>504</v>
      </c>
      <c r="H99" s="10" t="n">
        <f aca="false">IF(ARCH!H99="",INPUTS!$B$19,IF(LEFT(ARCH!H99,1)="d",PI()/4*VALUE(MID(ARCH!H99,2,9))^2,VALUE(LEFT(ARCH!H99,FIND("x",ARCH!H99)-1))*VALUE(MID(ARCH!H99,FIND("x",ARCH!H99)+1,9))))</f>
        <v>504</v>
      </c>
      <c r="I99" s="10" t="n">
        <f aca="false">IF(ARCH!I99="",INPUTS!$B$19,IF(LEFT(ARCH!I99,1)="d",PI()/4*VALUE(MID(ARCH!I99,2,9))^2,VALUE(LEFT(ARCH!I99,FIND("x",ARCH!I99)-1))*VALUE(MID(ARCH!I99,FIND("x",ARCH!I99)+1,9))))</f>
        <v>504</v>
      </c>
      <c r="J99" s="10" t="n">
        <f aca="false">IF(ARCH!J99="",INPUTS!$B$19,IF(LEFT(ARCH!J99,1)="d",PI()/4*VALUE(MID(ARCH!J99,2,9))^2,VALUE(LEFT(ARCH!J99,FIND("x",ARCH!J99)-1))*VALUE(MID(ARCH!J99,FIND("x",ARCH!J99)+1,9))))</f>
        <v>336</v>
      </c>
      <c r="K99" s="10" t="n">
        <f aca="false">IF(ARCH!K99="",INPUTS!$B$19,IF(LEFT(ARCH!K99,1)="d",PI()/4*VALUE(MID(ARCH!K99,2,9))^2,VALUE(LEFT(ARCH!K99,FIND("x",ARCH!K99)-1))*VALUE(MID(ARCH!K99,FIND("x",ARCH!K99)+1,9))))</f>
        <v>336</v>
      </c>
      <c r="L99" s="10" t="n">
        <f aca="false">IF(ARCH!L99="",INPUTS!$B$19,IF(LEFT(ARCH!L99,1)="d",PI()/4*VALUE(MID(ARCH!L99,2,9))^2,VALUE(LEFT(ARCH!L99,FIND("x",ARCH!L99)-1))*VALUE(MID(ARCH!L99,FIND("x",ARCH!L99)+1,9))))</f>
        <v>336</v>
      </c>
      <c r="M99" s="10" t="n">
        <f aca="false">IF(ARCH!M99="",INPUTS!$B$19,IF(LEFT(ARCH!M99,1)="d",PI()/4*VALUE(MID(ARCH!M99,2,9))^2,VALUE(LEFT(ARCH!M99,FIND("x",ARCH!M99)-1))*VALUE(MID(ARCH!M99,FIND("x",ARCH!M99)+1,9))))</f>
        <v>336</v>
      </c>
      <c r="N99" s="10" t="n">
        <f aca="false">IF(ARCH!N99="",INPUTS!$B$19,IF(LEFT(ARCH!N99,1)="d",PI()/4*VALUE(MID(ARCH!N99,2,9))^2,VALUE(LEFT(ARCH!N99,FIND("x",ARCH!N99)-1))*VALUE(MID(ARCH!N99,FIND("x",ARCH!N99)+1,9))))</f>
        <v>336</v>
      </c>
      <c r="O99" s="10" t="n">
        <f aca="false">IF(ARCH!O99="",INPUTS!$B$19,IF(LEFT(ARCH!O99,1)="d",PI()/4*VALUE(MID(ARCH!O99,2,9))^2,VALUE(LEFT(ARCH!O99,FIND("x",ARCH!O99)-1))*VALUE(MID(ARCH!O99,FIND("x",ARCH!O99)+1,9))))</f>
        <v>336</v>
      </c>
      <c r="P99" s="10" t="n">
        <f aca="false">IF(ARCH!P99="",INPUTS!$B$19,IF(LEFT(ARCH!P99,1)="d",PI()/4*VALUE(MID(ARCH!P99,2,9))^2,VALUE(LEFT(ARCH!P99,FIND("x",ARCH!P99)-1))*VALUE(MID(ARCH!P99,FIND("x",ARCH!P99)+1,9))))</f>
        <v>336</v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10" t="n">
        <f aca="false">IF(ARCH!E100="",INPUTS!$B$19,IF(LEFT(ARCH!E100,1)="d",PI()/4*VALUE(MID(ARCH!E100,2,9))^2,VALUE(LEFT(ARCH!E100,FIND("x",ARCH!E100)-1))*VALUE(MID(ARCH!E100,FIND("x",ARCH!E100)+1,9))))</f>
        <v>504</v>
      </c>
      <c r="F100" s="10" t="n">
        <f aca="false">IF(ARCH!F100="",INPUTS!$B$19,IF(LEFT(ARCH!F100,1)="d",PI()/4*VALUE(MID(ARCH!F100,2,9))^2,VALUE(LEFT(ARCH!F100,FIND("x",ARCH!F100)-1))*VALUE(MID(ARCH!F100,FIND("x",ARCH!F100)+1,9))))</f>
        <v>504</v>
      </c>
      <c r="G100" s="10" t="n">
        <f aca="false">IF(ARCH!G100="",INPUTS!$B$19,IF(LEFT(ARCH!G100,1)="d",PI()/4*VALUE(MID(ARCH!G100,2,9))^2,VALUE(LEFT(ARCH!G100,FIND("x",ARCH!G100)-1))*VALUE(MID(ARCH!G100,FIND("x",ARCH!G100)+1,9))))</f>
        <v>504</v>
      </c>
      <c r="H100" s="10" t="n">
        <f aca="false">IF(ARCH!H100="",INPUTS!$B$19,IF(LEFT(ARCH!H100,1)="d",PI()/4*VALUE(MID(ARCH!H100,2,9))^2,VALUE(LEFT(ARCH!H100,FIND("x",ARCH!H100)-1))*VALUE(MID(ARCH!H100,FIND("x",ARCH!H100)+1,9))))</f>
        <v>504</v>
      </c>
      <c r="I100" s="10" t="n">
        <f aca="false">IF(ARCH!I100="",INPUTS!$B$19,IF(LEFT(ARCH!I100,1)="d",PI()/4*VALUE(MID(ARCH!I100,2,9))^2,VALUE(LEFT(ARCH!I100,FIND("x",ARCH!I100)-1))*VALUE(MID(ARCH!I100,FIND("x",ARCH!I100)+1,9))))</f>
        <v>504</v>
      </c>
      <c r="J100" s="10" t="n">
        <f aca="false">IF(ARCH!J100="",INPUTS!$B$19,IF(LEFT(ARCH!J100,1)="d",PI()/4*VALUE(MID(ARCH!J100,2,9))^2,VALUE(LEFT(ARCH!J100,FIND("x",ARCH!J100)-1))*VALUE(MID(ARCH!J100,FIND("x",ARCH!J100)+1,9))))</f>
        <v>336</v>
      </c>
      <c r="K100" s="10" t="n">
        <f aca="false">IF(ARCH!K100="",INPUTS!$B$19,IF(LEFT(ARCH!K100,1)="d",PI()/4*VALUE(MID(ARCH!K100,2,9))^2,VALUE(LEFT(ARCH!K100,FIND("x",ARCH!K100)-1))*VALUE(MID(ARCH!K100,FIND("x",ARCH!K100)+1,9))))</f>
        <v>336</v>
      </c>
      <c r="L100" s="10" t="n">
        <f aca="false">IF(ARCH!L100="",INPUTS!$B$19,IF(LEFT(ARCH!L100,1)="d",PI()/4*VALUE(MID(ARCH!L100,2,9))^2,VALUE(LEFT(ARCH!L100,FIND("x",ARCH!L100)-1))*VALUE(MID(ARCH!L100,FIND("x",ARCH!L100)+1,9))))</f>
        <v>336</v>
      </c>
      <c r="M100" s="10" t="n">
        <f aca="false">IF(ARCH!M100="",INPUTS!$B$19,IF(LEFT(ARCH!M100,1)="d",PI()/4*VALUE(MID(ARCH!M100,2,9))^2,VALUE(LEFT(ARCH!M100,FIND("x",ARCH!M100)-1))*VALUE(MID(ARCH!M100,FIND("x",ARCH!M100)+1,9))))</f>
        <v>336</v>
      </c>
      <c r="N100" s="10" t="n">
        <f aca="false">IF(ARCH!N100="",INPUTS!$B$19,IF(LEFT(ARCH!N100,1)="d",PI()/4*VALUE(MID(ARCH!N100,2,9))^2,VALUE(LEFT(ARCH!N100,FIND("x",ARCH!N100)-1))*VALUE(MID(ARCH!N100,FIND("x",ARCH!N100)+1,9))))</f>
        <v>336</v>
      </c>
      <c r="O100" s="10" t="n">
        <f aca="false">IF(ARCH!O100="",INPUTS!$B$19,IF(LEFT(ARCH!O100,1)="d",PI()/4*VALUE(MID(ARCH!O100,2,9))^2,VALUE(LEFT(ARCH!O100,FIND("x",ARCH!O100)-1))*VALUE(MID(ARCH!O100,FIND("x",ARCH!O100)+1,9))))</f>
        <v>336</v>
      </c>
      <c r="P100" s="10" t="n">
        <f aca="false">IF(ARCH!P100="",INPUTS!$B$19,IF(LEFT(ARCH!P100,1)="d",PI()/4*VALUE(MID(ARCH!P100,2,9))^2,VALUE(LEFT(ARCH!P100,FIND("x",ARCH!P100)-1))*VALUE(MID(ARCH!P100,FIND("x",ARCH!P100)+1,9))))</f>
        <v>336</v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10" t="n">
        <f aca="false">IF(ARCH!E101="",INPUTS!$B$19,IF(LEFT(ARCH!E101,1)="d",PI()/4*VALUE(MID(ARCH!E101,2,9))^2,VALUE(LEFT(ARCH!E101,FIND("x",ARCH!E101)-1))*VALUE(MID(ARCH!E101,FIND("x",ARCH!E101)+1,9))))</f>
        <v>504</v>
      </c>
      <c r="F101" s="10" t="n">
        <f aca="false">IF(ARCH!F101="",INPUTS!$B$19,IF(LEFT(ARCH!F101,1)="d",PI()/4*VALUE(MID(ARCH!F101,2,9))^2,VALUE(LEFT(ARCH!F101,FIND("x",ARCH!F101)-1))*VALUE(MID(ARCH!F101,FIND("x",ARCH!F101)+1,9))))</f>
        <v>504</v>
      </c>
      <c r="G101" s="10" t="n">
        <f aca="false">IF(ARCH!G101="",INPUTS!$B$19,IF(LEFT(ARCH!G101,1)="d",PI()/4*VALUE(MID(ARCH!G101,2,9))^2,VALUE(LEFT(ARCH!G101,FIND("x",ARCH!G101)-1))*VALUE(MID(ARCH!G101,FIND("x",ARCH!G101)+1,9))))</f>
        <v>504</v>
      </c>
      <c r="H101" s="10" t="n">
        <f aca="false">IF(ARCH!H101="",INPUTS!$B$19,IF(LEFT(ARCH!H101,1)="d",PI()/4*VALUE(MID(ARCH!H101,2,9))^2,VALUE(LEFT(ARCH!H101,FIND("x",ARCH!H101)-1))*VALUE(MID(ARCH!H101,FIND("x",ARCH!H101)+1,9))))</f>
        <v>504</v>
      </c>
      <c r="I101" s="10" t="n">
        <f aca="false">IF(ARCH!I101="",INPUTS!$B$19,IF(LEFT(ARCH!I101,1)="d",PI()/4*VALUE(MID(ARCH!I101,2,9))^2,VALUE(LEFT(ARCH!I101,FIND("x",ARCH!I101)-1))*VALUE(MID(ARCH!I101,FIND("x",ARCH!I101)+1,9))))</f>
        <v>504</v>
      </c>
      <c r="J101" s="10" t="n">
        <f aca="false">IF(ARCH!J101="",INPUTS!$B$19,IF(LEFT(ARCH!J101,1)="d",PI()/4*VALUE(MID(ARCH!J101,2,9))^2,VALUE(LEFT(ARCH!J101,FIND("x",ARCH!J101)-1))*VALUE(MID(ARCH!J101,FIND("x",ARCH!J101)+1,9))))</f>
        <v>504</v>
      </c>
      <c r="K101" s="10" t="n">
        <f aca="false">IF(ARCH!K101="",INPUTS!$B$19,IF(LEFT(ARCH!K101,1)="d",PI()/4*VALUE(MID(ARCH!K101,2,9))^2,VALUE(LEFT(ARCH!K101,FIND("x",ARCH!K101)-1))*VALUE(MID(ARCH!K101,FIND("x",ARCH!K101)+1,9))))</f>
        <v>336</v>
      </c>
      <c r="L101" s="10" t="n">
        <f aca="false">IF(ARCH!L101="",INPUTS!$B$19,IF(LEFT(ARCH!L101,1)="d",PI()/4*VALUE(MID(ARCH!L101,2,9))^2,VALUE(LEFT(ARCH!L101,FIND("x",ARCH!L101)-1))*VALUE(MID(ARCH!L101,FIND("x",ARCH!L101)+1,9))))</f>
        <v>336</v>
      </c>
      <c r="M101" s="10" t="n">
        <f aca="false">IF(ARCH!M101="",INPUTS!$B$19,IF(LEFT(ARCH!M101,1)="d",PI()/4*VALUE(MID(ARCH!M101,2,9))^2,VALUE(LEFT(ARCH!M101,FIND("x",ARCH!M101)-1))*VALUE(MID(ARCH!M101,FIND("x",ARCH!M101)+1,9))))</f>
        <v>336</v>
      </c>
      <c r="N101" s="10" t="n">
        <f aca="false">IF(ARCH!N101="",INPUTS!$B$19,IF(LEFT(ARCH!N101,1)="d",PI()/4*VALUE(MID(ARCH!N101,2,9))^2,VALUE(LEFT(ARCH!N101,FIND("x",ARCH!N101)-1))*VALUE(MID(ARCH!N101,FIND("x",ARCH!N101)+1,9))))</f>
        <v>336</v>
      </c>
      <c r="O101" s="10" t="n">
        <f aca="false">IF(ARCH!O101="",INPUTS!$B$19,IF(LEFT(ARCH!O101,1)="d",PI()/4*VALUE(MID(ARCH!O101,2,9))^2,VALUE(LEFT(ARCH!O101,FIND("x",ARCH!O101)-1))*VALUE(MID(ARCH!O101,FIND("x",ARCH!O101)+1,9))))</f>
        <v>336</v>
      </c>
      <c r="P101" s="10" t="n">
        <f aca="false">IF(ARCH!P101="",INPUTS!$B$19,IF(LEFT(ARCH!P101,1)="d",PI()/4*VALUE(MID(ARCH!P101,2,9))^2,VALUE(LEFT(ARCH!P101,FIND("x",ARCH!P101)-1))*VALUE(MID(ARCH!P101,FIND("x",ARCH!P101)+1,9))))</f>
        <v>336</v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10" t="n">
        <f aca="false">IF(ARCH!E102="",INPUTS!$B$19,IF(LEFT(ARCH!E102,1)="d",PI()/4*VALUE(MID(ARCH!E102,2,9))^2,VALUE(LEFT(ARCH!E102,FIND("x",ARCH!E102)-1))*VALUE(MID(ARCH!E102,FIND("x",ARCH!E102)+1,9))))</f>
        <v>504</v>
      </c>
      <c r="F102" s="10" t="n">
        <f aca="false">IF(ARCH!F102="",INPUTS!$B$19,IF(LEFT(ARCH!F102,1)="d",PI()/4*VALUE(MID(ARCH!F102,2,9))^2,VALUE(LEFT(ARCH!F102,FIND("x",ARCH!F102)-1))*VALUE(MID(ARCH!F102,FIND("x",ARCH!F102)+1,9))))</f>
        <v>504</v>
      </c>
      <c r="G102" s="10" t="n">
        <f aca="false">IF(ARCH!G102="",INPUTS!$B$19,IF(LEFT(ARCH!G102,1)="d",PI()/4*VALUE(MID(ARCH!G102,2,9))^2,VALUE(LEFT(ARCH!G102,FIND("x",ARCH!G102)-1))*VALUE(MID(ARCH!G102,FIND("x",ARCH!G102)+1,9))))</f>
        <v>504</v>
      </c>
      <c r="H102" s="10" t="n">
        <f aca="false">IF(ARCH!H102="",INPUTS!$B$19,IF(LEFT(ARCH!H102,1)="d",PI()/4*VALUE(MID(ARCH!H102,2,9))^2,VALUE(LEFT(ARCH!H102,FIND("x",ARCH!H102)-1))*VALUE(MID(ARCH!H102,FIND("x",ARCH!H102)+1,9))))</f>
        <v>504</v>
      </c>
      <c r="I102" s="10" t="n">
        <f aca="false">IF(ARCH!I102="",INPUTS!$B$19,IF(LEFT(ARCH!I102,1)="d",PI()/4*VALUE(MID(ARCH!I102,2,9))^2,VALUE(LEFT(ARCH!I102,FIND("x",ARCH!I102)-1))*VALUE(MID(ARCH!I102,FIND("x",ARCH!I102)+1,9))))</f>
        <v>504</v>
      </c>
      <c r="J102" s="10" t="n">
        <f aca="false">IF(ARCH!J102="",INPUTS!$B$19,IF(LEFT(ARCH!J102,1)="d",PI()/4*VALUE(MID(ARCH!J102,2,9))^2,VALUE(LEFT(ARCH!J102,FIND("x",ARCH!J102)-1))*VALUE(MID(ARCH!J102,FIND("x",ARCH!J102)+1,9))))</f>
        <v>336</v>
      </c>
      <c r="K102" s="10" t="n">
        <f aca="false">IF(ARCH!K102="",INPUTS!$B$19,IF(LEFT(ARCH!K102,1)="d",PI()/4*VALUE(MID(ARCH!K102,2,9))^2,VALUE(LEFT(ARCH!K102,FIND("x",ARCH!K102)-1))*VALUE(MID(ARCH!K102,FIND("x",ARCH!K102)+1,9))))</f>
        <v>336</v>
      </c>
      <c r="L102" s="10" t="n">
        <f aca="false">IF(ARCH!L102="",INPUTS!$B$19,IF(LEFT(ARCH!L102,1)="d",PI()/4*VALUE(MID(ARCH!L102,2,9))^2,VALUE(LEFT(ARCH!L102,FIND("x",ARCH!L102)-1))*VALUE(MID(ARCH!L102,FIND("x",ARCH!L102)+1,9))))</f>
        <v>336</v>
      </c>
      <c r="M102" s="10" t="n">
        <f aca="false">IF(ARCH!M102="",INPUTS!$B$19,IF(LEFT(ARCH!M102,1)="d",PI()/4*VALUE(MID(ARCH!M102,2,9))^2,VALUE(LEFT(ARCH!M102,FIND("x",ARCH!M102)-1))*VALUE(MID(ARCH!M102,FIND("x",ARCH!M102)+1,9))))</f>
        <v>336</v>
      </c>
      <c r="N102" s="10" t="n">
        <f aca="false">IF(ARCH!N102="",INPUTS!$B$19,IF(LEFT(ARCH!N102,1)="d",PI()/4*VALUE(MID(ARCH!N102,2,9))^2,VALUE(LEFT(ARCH!N102,FIND("x",ARCH!N102)-1))*VALUE(MID(ARCH!N102,FIND("x",ARCH!N102)+1,9))))</f>
        <v>336</v>
      </c>
      <c r="O102" s="10" t="n">
        <f aca="false">IF(ARCH!O102="",INPUTS!$B$19,IF(LEFT(ARCH!O102,1)="d",PI()/4*VALUE(MID(ARCH!O102,2,9))^2,VALUE(LEFT(ARCH!O102,FIND("x",ARCH!O102)-1))*VALUE(MID(ARCH!O102,FIND("x",ARCH!O102)+1,9))))</f>
        <v>336</v>
      </c>
      <c r="P102" s="10" t="n">
        <f aca="false">IF(ARCH!P102="",INPUTS!$B$19,IF(LEFT(ARCH!P102,1)="d",PI()/4*VALUE(MID(ARCH!P102,2,9))^2,VALUE(LEFT(ARCH!P102,FIND("x",ARCH!P102)-1))*VALUE(MID(ARCH!P102,FIND("x",ARCH!P102)+1,9))))</f>
        <v>336</v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10" t="n">
        <f aca="false">IF(ARCH!E103="",INPUTS!$B$19,IF(LEFT(ARCH!E103,1)="d",PI()/4*VALUE(MID(ARCH!E103,2,9))^2,VALUE(LEFT(ARCH!E103,FIND("x",ARCH!E103)-1))*VALUE(MID(ARCH!E103,FIND("x",ARCH!E103)+1,9))))</f>
        <v>504</v>
      </c>
      <c r="F103" s="10" t="n">
        <f aca="false">IF(ARCH!F103="",INPUTS!$B$19,IF(LEFT(ARCH!F103,1)="d",PI()/4*VALUE(MID(ARCH!F103,2,9))^2,VALUE(LEFT(ARCH!F103,FIND("x",ARCH!F103)-1))*VALUE(MID(ARCH!F103,FIND("x",ARCH!F103)+1,9))))</f>
        <v>504</v>
      </c>
      <c r="G103" s="10" t="n">
        <f aca="false">IF(ARCH!G103="",INPUTS!$B$19,IF(LEFT(ARCH!G103,1)="d",PI()/4*VALUE(MID(ARCH!G103,2,9))^2,VALUE(LEFT(ARCH!G103,FIND("x",ARCH!G103)-1))*VALUE(MID(ARCH!G103,FIND("x",ARCH!G103)+1,9))))</f>
        <v>504</v>
      </c>
      <c r="H103" s="10" t="n">
        <f aca="false">IF(ARCH!H103="",INPUTS!$B$19,IF(LEFT(ARCH!H103,1)="d",PI()/4*VALUE(MID(ARCH!H103,2,9))^2,VALUE(LEFT(ARCH!H103,FIND("x",ARCH!H103)-1))*VALUE(MID(ARCH!H103,FIND("x",ARCH!H103)+1,9))))</f>
        <v>504</v>
      </c>
      <c r="I103" s="10" t="n">
        <f aca="false">IF(ARCH!I103="",INPUTS!$B$19,IF(LEFT(ARCH!I103,1)="d",PI()/4*VALUE(MID(ARCH!I103,2,9))^2,VALUE(LEFT(ARCH!I103,FIND("x",ARCH!I103)-1))*VALUE(MID(ARCH!I103,FIND("x",ARCH!I103)+1,9))))</f>
        <v>504</v>
      </c>
      <c r="J103" s="10" t="n">
        <f aca="false">IF(ARCH!J103="",INPUTS!$B$19,IF(LEFT(ARCH!J103,1)="d",PI()/4*VALUE(MID(ARCH!J103,2,9))^2,VALUE(LEFT(ARCH!J103,FIND("x",ARCH!J103)-1))*VALUE(MID(ARCH!J103,FIND("x",ARCH!J103)+1,9))))</f>
        <v>336</v>
      </c>
      <c r="K103" s="10" t="n">
        <f aca="false">IF(ARCH!K103="",INPUTS!$B$19,IF(LEFT(ARCH!K103,1)="d",PI()/4*VALUE(MID(ARCH!K103,2,9))^2,VALUE(LEFT(ARCH!K103,FIND("x",ARCH!K103)-1))*VALUE(MID(ARCH!K103,FIND("x",ARCH!K103)+1,9))))</f>
        <v>336</v>
      </c>
      <c r="L103" s="10" t="n">
        <f aca="false">IF(ARCH!L103="",INPUTS!$B$19,IF(LEFT(ARCH!L103,1)="d",PI()/4*VALUE(MID(ARCH!L103,2,9))^2,VALUE(LEFT(ARCH!L103,FIND("x",ARCH!L103)-1))*VALUE(MID(ARCH!L103,FIND("x",ARCH!L103)+1,9))))</f>
        <v>336</v>
      </c>
      <c r="M103" s="10" t="n">
        <f aca="false">IF(ARCH!M103="",INPUTS!$B$19,IF(LEFT(ARCH!M103,1)="d",PI()/4*VALUE(MID(ARCH!M103,2,9))^2,VALUE(LEFT(ARCH!M103,FIND("x",ARCH!M103)-1))*VALUE(MID(ARCH!M103,FIND("x",ARCH!M103)+1,9))))</f>
        <v>336</v>
      </c>
      <c r="N103" s="10" t="n">
        <f aca="false">IF(ARCH!N103="",INPUTS!$B$19,IF(LEFT(ARCH!N103,1)="d",PI()/4*VALUE(MID(ARCH!N103,2,9))^2,VALUE(LEFT(ARCH!N103,FIND("x",ARCH!N103)-1))*VALUE(MID(ARCH!N103,FIND("x",ARCH!N103)+1,9))))</f>
        <v>336</v>
      </c>
      <c r="O103" s="10" t="n">
        <f aca="false">IF(ARCH!O103="",INPUTS!$B$19,IF(LEFT(ARCH!O103,1)="d",PI()/4*VALUE(MID(ARCH!O103,2,9))^2,VALUE(LEFT(ARCH!O103,FIND("x",ARCH!O103)-1))*VALUE(MID(ARCH!O103,FIND("x",ARCH!O103)+1,9))))</f>
        <v>336</v>
      </c>
      <c r="P103" s="10" t="n">
        <f aca="false">IF(ARCH!P103="",INPUTS!$B$19,IF(LEFT(ARCH!P103,1)="d",PI()/4*VALUE(MID(ARCH!P103,2,9))^2,VALUE(LEFT(ARCH!P103,FIND("x",ARCH!P103)-1))*VALUE(MID(ARCH!P103,FIND("x",ARCH!P103)+1,9))))</f>
        <v>336</v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10" t="n">
        <f aca="false">IF(ARCH!E104="",INPUTS!$B$19,IF(LEFT(ARCH!E104,1)="d",PI()/4*VALUE(MID(ARCH!E104,2,9))^2,VALUE(LEFT(ARCH!E104,FIND("x",ARCH!E104)-1))*VALUE(MID(ARCH!E104,FIND("x",ARCH!E104)+1,9))))</f>
        <v>504</v>
      </c>
      <c r="F104" s="10" t="n">
        <f aca="false">IF(ARCH!F104="",INPUTS!$B$19,IF(LEFT(ARCH!F104,1)="d",PI()/4*VALUE(MID(ARCH!F104,2,9))^2,VALUE(LEFT(ARCH!F104,FIND("x",ARCH!F104)-1))*VALUE(MID(ARCH!F104,FIND("x",ARCH!F104)+1,9))))</f>
        <v>504</v>
      </c>
      <c r="G104" s="10" t="n">
        <f aca="false">IF(ARCH!G104="",INPUTS!$B$19,IF(LEFT(ARCH!G104,1)="d",PI()/4*VALUE(MID(ARCH!G104,2,9))^2,VALUE(LEFT(ARCH!G104,FIND("x",ARCH!G104)-1))*VALUE(MID(ARCH!G104,FIND("x",ARCH!G104)+1,9))))</f>
        <v>504</v>
      </c>
      <c r="H104" s="10" t="n">
        <f aca="false">IF(ARCH!H104="",INPUTS!$B$19,IF(LEFT(ARCH!H104,1)="d",PI()/4*VALUE(MID(ARCH!H104,2,9))^2,VALUE(LEFT(ARCH!H104,FIND("x",ARCH!H104)-1))*VALUE(MID(ARCH!H104,FIND("x",ARCH!H104)+1,9))))</f>
        <v>504</v>
      </c>
      <c r="I104" s="10" t="n">
        <f aca="false">IF(ARCH!I104="",INPUTS!$B$19,IF(LEFT(ARCH!I104,1)="d",PI()/4*VALUE(MID(ARCH!I104,2,9))^2,VALUE(LEFT(ARCH!I104,FIND("x",ARCH!I104)-1))*VALUE(MID(ARCH!I104,FIND("x",ARCH!I104)+1,9))))</f>
        <v>504</v>
      </c>
      <c r="J104" s="10" t="n">
        <f aca="false">IF(ARCH!J104="",INPUTS!$B$19,IF(LEFT(ARCH!J104,1)="d",PI()/4*VALUE(MID(ARCH!J104,2,9))^2,VALUE(LEFT(ARCH!J104,FIND("x",ARCH!J104)-1))*VALUE(MID(ARCH!J104,FIND("x",ARCH!J104)+1,9))))</f>
        <v>336</v>
      </c>
      <c r="K104" s="10" t="n">
        <f aca="false">IF(ARCH!K104="",INPUTS!$B$19,IF(LEFT(ARCH!K104,1)="d",PI()/4*VALUE(MID(ARCH!K104,2,9))^2,VALUE(LEFT(ARCH!K104,FIND("x",ARCH!K104)-1))*VALUE(MID(ARCH!K104,FIND("x",ARCH!K104)+1,9))))</f>
        <v>336</v>
      </c>
      <c r="L104" s="10" t="n">
        <f aca="false">IF(ARCH!L104="",INPUTS!$B$19,IF(LEFT(ARCH!L104,1)="d",PI()/4*VALUE(MID(ARCH!L104,2,9))^2,VALUE(LEFT(ARCH!L104,FIND("x",ARCH!L104)-1))*VALUE(MID(ARCH!L104,FIND("x",ARCH!L104)+1,9))))</f>
        <v>336</v>
      </c>
      <c r="M104" s="10" t="n">
        <f aca="false">IF(ARCH!M104="",INPUTS!$B$19,IF(LEFT(ARCH!M104,1)="d",PI()/4*VALUE(MID(ARCH!M104,2,9))^2,VALUE(LEFT(ARCH!M104,FIND("x",ARCH!M104)-1))*VALUE(MID(ARCH!M104,FIND("x",ARCH!M104)+1,9))))</f>
        <v>336</v>
      </c>
      <c r="N104" s="10" t="n">
        <f aca="false">IF(ARCH!N104="",INPUTS!$B$19,IF(LEFT(ARCH!N104,1)="d",PI()/4*VALUE(MID(ARCH!N104,2,9))^2,VALUE(LEFT(ARCH!N104,FIND("x",ARCH!N104)-1))*VALUE(MID(ARCH!N104,FIND("x",ARCH!N104)+1,9))))</f>
        <v>336</v>
      </c>
      <c r="O104" s="10" t="n">
        <f aca="false">IF(ARCH!O104="",INPUTS!$B$19,IF(LEFT(ARCH!O104,1)="d",PI()/4*VALUE(MID(ARCH!O104,2,9))^2,VALUE(LEFT(ARCH!O104,FIND("x",ARCH!O104)-1))*VALUE(MID(ARCH!O104,FIND("x",ARCH!O104)+1,9))))</f>
        <v>336</v>
      </c>
      <c r="P104" s="10" t="n">
        <f aca="false">IF(ARCH!P104="",INPUTS!$B$19,IF(LEFT(ARCH!P104,1)="d",PI()/4*VALUE(MID(ARCH!P104,2,9))^2,VALUE(LEFT(ARCH!P104,FIND("x",ARCH!P104)-1))*VALUE(MID(ARCH!P104,FIND("x",ARCH!P104)+1,9))))</f>
        <v>336</v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10" t="n">
        <f aca="false">IF(ARCH!E105="",INPUTS!$B$19,IF(LEFT(ARCH!E105,1)="d",PI()/4*VALUE(MID(ARCH!E105,2,9))^2,VALUE(LEFT(ARCH!E105,FIND("x",ARCH!E105)-1))*VALUE(MID(ARCH!E105,FIND("x",ARCH!E105)+1,9))))</f>
        <v>504</v>
      </c>
      <c r="F105" s="10" t="n">
        <f aca="false">IF(ARCH!F105="",INPUTS!$B$19,IF(LEFT(ARCH!F105,1)="d",PI()/4*VALUE(MID(ARCH!F105,2,9))^2,VALUE(LEFT(ARCH!F105,FIND("x",ARCH!F105)-1))*VALUE(MID(ARCH!F105,FIND("x",ARCH!F105)+1,9))))</f>
        <v>504</v>
      </c>
      <c r="G105" s="10" t="n">
        <f aca="false">IF(ARCH!G105="",INPUTS!$B$19,IF(LEFT(ARCH!G105,1)="d",PI()/4*VALUE(MID(ARCH!G105,2,9))^2,VALUE(LEFT(ARCH!G105,FIND("x",ARCH!G105)-1))*VALUE(MID(ARCH!G105,FIND("x",ARCH!G105)+1,9))))</f>
        <v>504</v>
      </c>
      <c r="H105" s="10" t="n">
        <f aca="false">IF(ARCH!H105="",INPUTS!$B$19,IF(LEFT(ARCH!H105,1)="d",PI()/4*VALUE(MID(ARCH!H105,2,9))^2,VALUE(LEFT(ARCH!H105,FIND("x",ARCH!H105)-1))*VALUE(MID(ARCH!H105,FIND("x",ARCH!H105)+1,9))))</f>
        <v>504</v>
      </c>
      <c r="I105" s="10" t="n">
        <f aca="false">IF(ARCH!I105="",INPUTS!$B$19,IF(LEFT(ARCH!I105,1)="d",PI()/4*VALUE(MID(ARCH!I105,2,9))^2,VALUE(LEFT(ARCH!I105,FIND("x",ARCH!I105)-1))*VALUE(MID(ARCH!I105,FIND("x",ARCH!I105)+1,9))))</f>
        <v>504</v>
      </c>
      <c r="J105" s="10" t="n">
        <f aca="false">IF(ARCH!J105="",INPUTS!$B$19,IF(LEFT(ARCH!J105,1)="d",PI()/4*VALUE(MID(ARCH!J105,2,9))^2,VALUE(LEFT(ARCH!J105,FIND("x",ARCH!J105)-1))*VALUE(MID(ARCH!J105,FIND("x",ARCH!J105)+1,9))))</f>
        <v>336</v>
      </c>
      <c r="K105" s="10" t="n">
        <f aca="false">IF(ARCH!K105="",INPUTS!$B$19,IF(LEFT(ARCH!K105,1)="d",PI()/4*VALUE(MID(ARCH!K105,2,9))^2,VALUE(LEFT(ARCH!K105,FIND("x",ARCH!K105)-1))*VALUE(MID(ARCH!K105,FIND("x",ARCH!K105)+1,9))))</f>
        <v>336</v>
      </c>
      <c r="L105" s="10" t="n">
        <f aca="false">IF(ARCH!L105="",INPUTS!$B$19,IF(LEFT(ARCH!L105,1)="d",PI()/4*VALUE(MID(ARCH!L105,2,9))^2,VALUE(LEFT(ARCH!L105,FIND("x",ARCH!L105)-1))*VALUE(MID(ARCH!L105,FIND("x",ARCH!L105)+1,9))))</f>
        <v>336</v>
      </c>
      <c r="M105" s="10" t="n">
        <f aca="false">IF(ARCH!M105="",INPUTS!$B$19,IF(LEFT(ARCH!M105,1)="d",PI()/4*VALUE(MID(ARCH!M105,2,9))^2,VALUE(LEFT(ARCH!M105,FIND("x",ARCH!M105)-1))*VALUE(MID(ARCH!M105,FIND("x",ARCH!M105)+1,9))))</f>
        <v>336</v>
      </c>
      <c r="N105" s="10" t="n">
        <f aca="false">IF(ARCH!N105="",INPUTS!$B$19,IF(LEFT(ARCH!N105,1)="d",PI()/4*VALUE(MID(ARCH!N105,2,9))^2,VALUE(LEFT(ARCH!N105,FIND("x",ARCH!N105)-1))*VALUE(MID(ARCH!N105,FIND("x",ARCH!N105)+1,9))))</f>
        <v>336</v>
      </c>
      <c r="O105" s="10" t="n">
        <f aca="false">IF(ARCH!O105="",INPUTS!$B$19,IF(LEFT(ARCH!O105,1)="d",PI()/4*VALUE(MID(ARCH!O105,2,9))^2,VALUE(LEFT(ARCH!O105,FIND("x",ARCH!O105)-1))*VALUE(MID(ARCH!O105,FIND("x",ARCH!O105)+1,9))))</f>
        <v>336</v>
      </c>
      <c r="P105" s="10" t="n">
        <f aca="false">IF(ARCH!P105="",INPUTS!$B$19,IF(LEFT(ARCH!P105,1)="d",PI()/4*VALUE(MID(ARCH!P105,2,9))^2,VALUE(LEFT(ARCH!P105,FIND("x",ARCH!P105)-1))*VALUE(MID(ARCH!P105,FIND("x",ARCH!P105)+1,9))))</f>
        <v>336</v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10" t="n">
        <f aca="false">IF(ARCH!E106="",INPUTS!$B$19,IF(LEFT(ARCH!E106,1)="d",PI()/4*VALUE(MID(ARCH!E106,2,9))^2,VALUE(LEFT(ARCH!E106,FIND("x",ARCH!E106)-1))*VALUE(MID(ARCH!E106,FIND("x",ARCH!E106)+1,9))))</f>
        <v>504</v>
      </c>
      <c r="F106" s="10" t="n">
        <f aca="false">IF(ARCH!F106="",INPUTS!$B$19,IF(LEFT(ARCH!F106,1)="d",PI()/4*VALUE(MID(ARCH!F106,2,9))^2,VALUE(LEFT(ARCH!F106,FIND("x",ARCH!F106)-1))*VALUE(MID(ARCH!F106,FIND("x",ARCH!F106)+1,9))))</f>
        <v>504</v>
      </c>
      <c r="G106" s="10" t="n">
        <f aca="false">IF(ARCH!G106="",INPUTS!$B$19,IF(LEFT(ARCH!G106,1)="d",PI()/4*VALUE(MID(ARCH!G106,2,9))^2,VALUE(LEFT(ARCH!G106,FIND("x",ARCH!G106)-1))*VALUE(MID(ARCH!G106,FIND("x",ARCH!G106)+1,9))))</f>
        <v>504</v>
      </c>
      <c r="H106" s="10" t="n">
        <f aca="false">IF(ARCH!H106="",INPUTS!$B$19,IF(LEFT(ARCH!H106,1)="d",PI()/4*VALUE(MID(ARCH!H106,2,9))^2,VALUE(LEFT(ARCH!H106,FIND("x",ARCH!H106)-1))*VALUE(MID(ARCH!H106,FIND("x",ARCH!H106)+1,9))))</f>
        <v>504</v>
      </c>
      <c r="I106" s="10" t="n">
        <f aca="false">IF(ARCH!I106="",INPUTS!$B$19,IF(LEFT(ARCH!I106,1)="d",PI()/4*VALUE(MID(ARCH!I106,2,9))^2,VALUE(LEFT(ARCH!I106,FIND("x",ARCH!I106)-1))*VALUE(MID(ARCH!I106,FIND("x",ARCH!I106)+1,9))))</f>
        <v>504</v>
      </c>
      <c r="J106" s="10" t="n">
        <f aca="false">IF(ARCH!J106="",INPUTS!$B$19,IF(LEFT(ARCH!J106,1)="d",PI()/4*VALUE(MID(ARCH!J106,2,9))^2,VALUE(LEFT(ARCH!J106,FIND("x",ARCH!J106)-1))*VALUE(MID(ARCH!J106,FIND("x",ARCH!J106)+1,9))))</f>
        <v>336</v>
      </c>
      <c r="K106" s="10" t="n">
        <f aca="false">IF(ARCH!K106="",INPUTS!$B$19,IF(LEFT(ARCH!K106,1)="d",PI()/4*VALUE(MID(ARCH!K106,2,9))^2,VALUE(LEFT(ARCH!K106,FIND("x",ARCH!K106)-1))*VALUE(MID(ARCH!K106,FIND("x",ARCH!K106)+1,9))))</f>
        <v>336</v>
      </c>
      <c r="L106" s="10" t="n">
        <f aca="false">IF(ARCH!L106="",INPUTS!$B$19,IF(LEFT(ARCH!L106,1)="d",PI()/4*VALUE(MID(ARCH!L106,2,9))^2,VALUE(LEFT(ARCH!L106,FIND("x",ARCH!L106)-1))*VALUE(MID(ARCH!L106,FIND("x",ARCH!L106)+1,9))))</f>
        <v>336</v>
      </c>
      <c r="M106" s="10" t="n">
        <f aca="false">IF(ARCH!M106="",INPUTS!$B$19,IF(LEFT(ARCH!M106,1)="d",PI()/4*VALUE(MID(ARCH!M106,2,9))^2,VALUE(LEFT(ARCH!M106,FIND("x",ARCH!M106)-1))*VALUE(MID(ARCH!M106,FIND("x",ARCH!M106)+1,9))))</f>
        <v>336</v>
      </c>
      <c r="N106" s="10" t="n">
        <f aca="false">IF(ARCH!N106="",INPUTS!$B$19,IF(LEFT(ARCH!N106,1)="d",PI()/4*VALUE(MID(ARCH!N106,2,9))^2,VALUE(LEFT(ARCH!N106,FIND("x",ARCH!N106)-1))*VALUE(MID(ARCH!N106,FIND("x",ARCH!N106)+1,9))))</f>
        <v>336</v>
      </c>
      <c r="O106" s="10" t="n">
        <f aca="false">IF(ARCH!O106="",INPUTS!$B$19,IF(LEFT(ARCH!O106,1)="d",PI()/4*VALUE(MID(ARCH!O106,2,9))^2,VALUE(LEFT(ARCH!O106,FIND("x",ARCH!O106)-1))*VALUE(MID(ARCH!O106,FIND("x",ARCH!O106)+1,9))))</f>
        <v>336</v>
      </c>
      <c r="P106" s="10" t="n">
        <f aca="false">IF(ARCH!P106="",INPUTS!$B$19,IF(LEFT(ARCH!P106,1)="d",PI()/4*VALUE(MID(ARCH!P106,2,9))^2,VALUE(LEFT(ARCH!P106,FIND("x",ARCH!P106)-1))*VALUE(MID(ARCH!P106,FIND("x",ARCH!P106)+1,9))))</f>
        <v>336</v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10" t="n">
        <f aca="false">IF(ARCH!E107="",INPUTS!$B$19,IF(LEFT(ARCH!E107,1)="d",PI()/4*VALUE(MID(ARCH!E107,2,9))^2,VALUE(LEFT(ARCH!E107,FIND("x",ARCH!E107)-1))*VALUE(MID(ARCH!E107,FIND("x",ARCH!E107)+1,9))))</f>
        <v>504</v>
      </c>
      <c r="F107" s="10" t="n">
        <f aca="false">IF(ARCH!F107="",INPUTS!$B$19,IF(LEFT(ARCH!F107,1)="d",PI()/4*VALUE(MID(ARCH!F107,2,9))^2,VALUE(LEFT(ARCH!F107,FIND("x",ARCH!F107)-1))*VALUE(MID(ARCH!F107,FIND("x",ARCH!F107)+1,9))))</f>
        <v>504</v>
      </c>
      <c r="G107" s="10" t="n">
        <f aca="false">IF(ARCH!G107="",INPUTS!$B$19,IF(LEFT(ARCH!G107,1)="d",PI()/4*VALUE(MID(ARCH!G107,2,9))^2,VALUE(LEFT(ARCH!G107,FIND("x",ARCH!G107)-1))*VALUE(MID(ARCH!G107,FIND("x",ARCH!G107)+1,9))))</f>
        <v>504</v>
      </c>
      <c r="H107" s="10" t="n">
        <f aca="false">IF(ARCH!H107="",INPUTS!$B$19,IF(LEFT(ARCH!H107,1)="d",PI()/4*VALUE(MID(ARCH!H107,2,9))^2,VALUE(LEFT(ARCH!H107,FIND("x",ARCH!H107)-1))*VALUE(MID(ARCH!H107,FIND("x",ARCH!H107)+1,9))))</f>
        <v>504</v>
      </c>
      <c r="I107" s="10" t="n">
        <f aca="false">IF(ARCH!I107="",INPUTS!$B$19,IF(LEFT(ARCH!I107,1)="d",PI()/4*VALUE(MID(ARCH!I107,2,9))^2,VALUE(LEFT(ARCH!I107,FIND("x",ARCH!I107)-1))*VALUE(MID(ARCH!I107,FIND("x",ARCH!I107)+1,9))))</f>
        <v>504</v>
      </c>
      <c r="J107" s="10" t="n">
        <f aca="false">IF(ARCH!J107="",INPUTS!$B$19,IF(LEFT(ARCH!J107,1)="d",PI()/4*VALUE(MID(ARCH!J107,2,9))^2,VALUE(LEFT(ARCH!J107,FIND("x",ARCH!J107)-1))*VALUE(MID(ARCH!J107,FIND("x",ARCH!J107)+1,9))))</f>
        <v>336</v>
      </c>
      <c r="K107" s="10" t="n">
        <f aca="false">IF(ARCH!K107="",INPUTS!$B$19,IF(LEFT(ARCH!K107,1)="d",PI()/4*VALUE(MID(ARCH!K107,2,9))^2,VALUE(LEFT(ARCH!K107,FIND("x",ARCH!K107)-1))*VALUE(MID(ARCH!K107,FIND("x",ARCH!K107)+1,9))))</f>
        <v>336</v>
      </c>
      <c r="L107" s="10" t="n">
        <f aca="false">IF(ARCH!L107="",INPUTS!$B$19,IF(LEFT(ARCH!L107,1)="d",PI()/4*VALUE(MID(ARCH!L107,2,9))^2,VALUE(LEFT(ARCH!L107,FIND("x",ARCH!L107)-1))*VALUE(MID(ARCH!L107,FIND("x",ARCH!L107)+1,9))))</f>
        <v>336</v>
      </c>
      <c r="M107" s="10" t="n">
        <f aca="false">IF(ARCH!M107="",INPUTS!$B$19,IF(LEFT(ARCH!M107,1)="d",PI()/4*VALUE(MID(ARCH!M107,2,9))^2,VALUE(LEFT(ARCH!M107,FIND("x",ARCH!M107)-1))*VALUE(MID(ARCH!M107,FIND("x",ARCH!M107)+1,9))))</f>
        <v>336</v>
      </c>
      <c r="N107" s="10" t="n">
        <f aca="false">IF(ARCH!N107="",INPUTS!$B$19,IF(LEFT(ARCH!N107,1)="d",PI()/4*VALUE(MID(ARCH!N107,2,9))^2,VALUE(LEFT(ARCH!N107,FIND("x",ARCH!N107)-1))*VALUE(MID(ARCH!N107,FIND("x",ARCH!N107)+1,9))))</f>
        <v>336</v>
      </c>
      <c r="O107" s="10" t="n">
        <f aca="false">IF(ARCH!O107="",INPUTS!$B$19,IF(LEFT(ARCH!O107,1)="d",PI()/4*VALUE(MID(ARCH!O107,2,9))^2,VALUE(LEFT(ARCH!O107,FIND("x",ARCH!O107)-1))*VALUE(MID(ARCH!O107,FIND("x",ARCH!O107)+1,9))))</f>
        <v>336</v>
      </c>
      <c r="P107" s="10" t="n">
        <f aca="false">IF(ARCH!P107="",INPUTS!$B$19,IF(LEFT(ARCH!P107,1)="d",PI()/4*VALUE(MID(ARCH!P107,2,9))^2,VALUE(LEFT(ARCH!P107,FIND("x",ARCH!P107)-1))*VALUE(MID(ARCH!P107,FIND("x",ARCH!P107)+1,9))))</f>
        <v>336</v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10" t="n">
        <f aca="false">IF(ARCH!E108="",INPUTS!$B$19,IF(LEFT(ARCH!E108,1)="d",PI()/4*VALUE(MID(ARCH!E108,2,9))^2,VALUE(LEFT(ARCH!E108,FIND("x",ARCH!E108)-1))*VALUE(MID(ARCH!E108,FIND("x",ARCH!E108)+1,9))))</f>
        <v>504</v>
      </c>
      <c r="F108" s="10" t="n">
        <f aca="false">IF(ARCH!F108="",INPUTS!$B$19,IF(LEFT(ARCH!F108,1)="d",PI()/4*VALUE(MID(ARCH!F108,2,9))^2,VALUE(LEFT(ARCH!F108,FIND("x",ARCH!F108)-1))*VALUE(MID(ARCH!F108,FIND("x",ARCH!F108)+1,9))))</f>
        <v>504</v>
      </c>
      <c r="G108" s="10" t="n">
        <f aca="false">IF(ARCH!G108="",INPUTS!$B$19,IF(LEFT(ARCH!G108,1)="d",PI()/4*VALUE(MID(ARCH!G108,2,9))^2,VALUE(LEFT(ARCH!G108,FIND("x",ARCH!G108)-1))*VALUE(MID(ARCH!G108,FIND("x",ARCH!G108)+1,9))))</f>
        <v>504</v>
      </c>
      <c r="H108" s="10" t="n">
        <f aca="false">IF(ARCH!H108="",INPUTS!$B$19,IF(LEFT(ARCH!H108,1)="d",PI()/4*VALUE(MID(ARCH!H108,2,9))^2,VALUE(LEFT(ARCH!H108,FIND("x",ARCH!H108)-1))*VALUE(MID(ARCH!H108,FIND("x",ARCH!H108)+1,9))))</f>
        <v>504</v>
      </c>
      <c r="I108" s="10" t="n">
        <f aca="false">IF(ARCH!I108="",INPUTS!$B$19,IF(LEFT(ARCH!I108,1)="d",PI()/4*VALUE(MID(ARCH!I108,2,9))^2,VALUE(LEFT(ARCH!I108,FIND("x",ARCH!I108)-1))*VALUE(MID(ARCH!I108,FIND("x",ARCH!I108)+1,9))))</f>
        <v>504</v>
      </c>
      <c r="J108" s="10" t="n">
        <f aca="false">IF(ARCH!J108="",INPUTS!$B$19,IF(LEFT(ARCH!J108,1)="d",PI()/4*VALUE(MID(ARCH!J108,2,9))^2,VALUE(LEFT(ARCH!J108,FIND("x",ARCH!J108)-1))*VALUE(MID(ARCH!J108,FIND("x",ARCH!J108)+1,9))))</f>
        <v>336</v>
      </c>
      <c r="K108" s="10" t="n">
        <f aca="false">IF(ARCH!K108="",INPUTS!$B$19,IF(LEFT(ARCH!K108,1)="d",PI()/4*VALUE(MID(ARCH!K108,2,9))^2,VALUE(LEFT(ARCH!K108,FIND("x",ARCH!K108)-1))*VALUE(MID(ARCH!K108,FIND("x",ARCH!K108)+1,9))))</f>
        <v>336</v>
      </c>
      <c r="L108" s="10" t="n">
        <f aca="false">IF(ARCH!L108="",INPUTS!$B$19,IF(LEFT(ARCH!L108,1)="d",PI()/4*VALUE(MID(ARCH!L108,2,9))^2,VALUE(LEFT(ARCH!L108,FIND("x",ARCH!L108)-1))*VALUE(MID(ARCH!L108,FIND("x",ARCH!L108)+1,9))))</f>
        <v>336</v>
      </c>
      <c r="M108" s="10" t="n">
        <f aca="false">IF(ARCH!M108="",INPUTS!$B$19,IF(LEFT(ARCH!M108,1)="d",PI()/4*VALUE(MID(ARCH!M108,2,9))^2,VALUE(LEFT(ARCH!M108,FIND("x",ARCH!M108)-1))*VALUE(MID(ARCH!M108,FIND("x",ARCH!M108)+1,9))))</f>
        <v>336</v>
      </c>
      <c r="N108" s="10" t="n">
        <f aca="false">IF(ARCH!N108="",INPUTS!$B$19,IF(LEFT(ARCH!N108,1)="d",PI()/4*VALUE(MID(ARCH!N108,2,9))^2,VALUE(LEFT(ARCH!N108,FIND("x",ARCH!N108)-1))*VALUE(MID(ARCH!N108,FIND("x",ARCH!N108)+1,9))))</f>
        <v>336</v>
      </c>
      <c r="O108" s="10" t="n">
        <f aca="false">IF(ARCH!O108="",INPUTS!$B$19,IF(LEFT(ARCH!O108,1)="d",PI()/4*VALUE(MID(ARCH!O108,2,9))^2,VALUE(LEFT(ARCH!O108,FIND("x",ARCH!O108)-1))*VALUE(MID(ARCH!O108,FIND("x",ARCH!O108)+1,9))))</f>
        <v>336</v>
      </c>
      <c r="P108" s="10" t="n">
        <f aca="false">IF(ARCH!P108="",INPUTS!$B$19,IF(LEFT(ARCH!P108,1)="d",PI()/4*VALUE(MID(ARCH!P108,2,9))^2,VALUE(LEFT(ARCH!P108,FIND("x",ARCH!P108)-1))*VALUE(MID(ARCH!P108,FIND("x",ARCH!P108)+1,9))))</f>
        <v>336</v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10" t="n">
        <f aca="false">IF(ARCH!E109="",INPUTS!$B$19,IF(LEFT(ARCH!E109,1)="d",PI()/4*VALUE(MID(ARCH!E109,2,9))^2,VALUE(LEFT(ARCH!E109,FIND("x",ARCH!E109)-1))*VALUE(MID(ARCH!E109,FIND("x",ARCH!E109)+1,9))))</f>
        <v>504</v>
      </c>
      <c r="F109" s="10" t="n">
        <f aca="false">IF(ARCH!F109="",INPUTS!$B$19,IF(LEFT(ARCH!F109,1)="d",PI()/4*VALUE(MID(ARCH!F109,2,9))^2,VALUE(LEFT(ARCH!F109,FIND("x",ARCH!F109)-1))*VALUE(MID(ARCH!F109,FIND("x",ARCH!F109)+1,9))))</f>
        <v>504</v>
      </c>
      <c r="G109" s="10" t="n">
        <f aca="false">IF(ARCH!G109="",INPUTS!$B$19,IF(LEFT(ARCH!G109,1)="d",PI()/4*VALUE(MID(ARCH!G109,2,9))^2,VALUE(LEFT(ARCH!G109,FIND("x",ARCH!G109)-1))*VALUE(MID(ARCH!G109,FIND("x",ARCH!G109)+1,9))))</f>
        <v>504</v>
      </c>
      <c r="H109" s="10" t="n">
        <f aca="false">IF(ARCH!H109="",INPUTS!$B$19,IF(LEFT(ARCH!H109,1)="d",PI()/4*VALUE(MID(ARCH!H109,2,9))^2,VALUE(LEFT(ARCH!H109,FIND("x",ARCH!H109)-1))*VALUE(MID(ARCH!H109,FIND("x",ARCH!H109)+1,9))))</f>
        <v>504</v>
      </c>
      <c r="I109" s="10" t="n">
        <f aca="false">IF(ARCH!I109="",INPUTS!$B$19,IF(LEFT(ARCH!I109,1)="d",PI()/4*VALUE(MID(ARCH!I109,2,9))^2,VALUE(LEFT(ARCH!I109,FIND("x",ARCH!I109)-1))*VALUE(MID(ARCH!I109,FIND("x",ARCH!I109)+1,9))))</f>
        <v>504</v>
      </c>
      <c r="J109" s="10" t="n">
        <f aca="false">IF(ARCH!J109="",INPUTS!$B$19,IF(LEFT(ARCH!J109,1)="d",PI()/4*VALUE(MID(ARCH!J109,2,9))^2,VALUE(LEFT(ARCH!J109,FIND("x",ARCH!J109)-1))*VALUE(MID(ARCH!J109,FIND("x",ARCH!J109)+1,9))))</f>
        <v>336</v>
      </c>
      <c r="K109" s="10" t="n">
        <f aca="false">IF(ARCH!K109="",INPUTS!$B$19,IF(LEFT(ARCH!K109,1)="d",PI()/4*VALUE(MID(ARCH!K109,2,9))^2,VALUE(LEFT(ARCH!K109,FIND("x",ARCH!K109)-1))*VALUE(MID(ARCH!K109,FIND("x",ARCH!K109)+1,9))))</f>
        <v>336</v>
      </c>
      <c r="L109" s="10" t="n">
        <f aca="false">IF(ARCH!L109="",INPUTS!$B$19,IF(LEFT(ARCH!L109,1)="d",PI()/4*VALUE(MID(ARCH!L109,2,9))^2,VALUE(LEFT(ARCH!L109,FIND("x",ARCH!L109)-1))*VALUE(MID(ARCH!L109,FIND("x",ARCH!L109)+1,9))))</f>
        <v>336</v>
      </c>
      <c r="M109" s="10" t="n">
        <f aca="false">IF(ARCH!M109="",INPUTS!$B$19,IF(LEFT(ARCH!M109,1)="d",PI()/4*VALUE(MID(ARCH!M109,2,9))^2,VALUE(LEFT(ARCH!M109,FIND("x",ARCH!M109)-1))*VALUE(MID(ARCH!M109,FIND("x",ARCH!M109)+1,9))))</f>
        <v>336</v>
      </c>
      <c r="N109" s="10" t="n">
        <f aca="false">IF(ARCH!N109="",INPUTS!$B$19,IF(LEFT(ARCH!N109,1)="d",PI()/4*VALUE(MID(ARCH!N109,2,9))^2,VALUE(LEFT(ARCH!N109,FIND("x",ARCH!N109)-1))*VALUE(MID(ARCH!N109,FIND("x",ARCH!N109)+1,9))))</f>
        <v>336</v>
      </c>
      <c r="O109" s="10" t="n">
        <f aca="false">IF(ARCH!O109="",INPUTS!$B$19,IF(LEFT(ARCH!O109,1)="d",PI()/4*VALUE(MID(ARCH!O109,2,9))^2,VALUE(LEFT(ARCH!O109,FIND("x",ARCH!O109)-1))*VALUE(MID(ARCH!O109,FIND("x",ARCH!O109)+1,9))))</f>
        <v>336</v>
      </c>
      <c r="P109" s="10" t="n">
        <f aca="false">IF(ARCH!P109="",INPUTS!$B$19,IF(LEFT(ARCH!P109,1)="d",PI()/4*VALUE(MID(ARCH!P109,2,9))^2,VALUE(LEFT(ARCH!P109,FIND("x",ARCH!P109)-1))*VALUE(MID(ARCH!P109,FIND("x",ARCH!P109)+1,9))))</f>
        <v>336</v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10" t="n">
        <f aca="false">IF(ARCH!E110="",INPUTS!$B$19,IF(LEFT(ARCH!E110,1)="d",PI()/4*VALUE(MID(ARCH!E110,2,9))^2,VALUE(LEFT(ARCH!E110,FIND("x",ARCH!E110)-1))*VALUE(MID(ARCH!E110,FIND("x",ARCH!E110)+1,9))))</f>
        <v>504</v>
      </c>
      <c r="F110" s="10" t="n">
        <f aca="false">IF(ARCH!F110="",INPUTS!$B$19,IF(LEFT(ARCH!F110,1)="d",PI()/4*VALUE(MID(ARCH!F110,2,9))^2,VALUE(LEFT(ARCH!F110,FIND("x",ARCH!F110)-1))*VALUE(MID(ARCH!F110,FIND("x",ARCH!F110)+1,9))))</f>
        <v>504</v>
      </c>
      <c r="G110" s="10" t="n">
        <f aca="false">IF(ARCH!G110="",INPUTS!$B$19,IF(LEFT(ARCH!G110,1)="d",PI()/4*VALUE(MID(ARCH!G110,2,9))^2,VALUE(LEFT(ARCH!G110,FIND("x",ARCH!G110)-1))*VALUE(MID(ARCH!G110,FIND("x",ARCH!G110)+1,9))))</f>
        <v>504</v>
      </c>
      <c r="H110" s="10" t="n">
        <f aca="false">IF(ARCH!H110="",INPUTS!$B$19,IF(LEFT(ARCH!H110,1)="d",PI()/4*VALUE(MID(ARCH!H110,2,9))^2,VALUE(LEFT(ARCH!H110,FIND("x",ARCH!H110)-1))*VALUE(MID(ARCH!H110,FIND("x",ARCH!H110)+1,9))))</f>
        <v>336</v>
      </c>
      <c r="I110" s="10" t="n">
        <f aca="false">IF(ARCH!I110="",INPUTS!$B$19,IF(LEFT(ARCH!I110,1)="d",PI()/4*VALUE(MID(ARCH!I110,2,9))^2,VALUE(LEFT(ARCH!I110,FIND("x",ARCH!I110)-1))*VALUE(MID(ARCH!I110,FIND("x",ARCH!I110)+1,9))))</f>
        <v>336</v>
      </c>
      <c r="J110" s="10" t="n">
        <f aca="false">IF(ARCH!J110="",INPUTS!$B$19,IF(LEFT(ARCH!J110,1)="d",PI()/4*VALUE(MID(ARCH!J110,2,9))^2,VALUE(LEFT(ARCH!J110,FIND("x",ARCH!J110)-1))*VALUE(MID(ARCH!J110,FIND("x",ARCH!J110)+1,9))))</f>
        <v>336</v>
      </c>
      <c r="K110" s="10" t="n">
        <f aca="false">IF(ARCH!K110="",INPUTS!$B$19,IF(LEFT(ARCH!K110,1)="d",PI()/4*VALUE(MID(ARCH!K110,2,9))^2,VALUE(LEFT(ARCH!K110,FIND("x",ARCH!K110)-1))*VALUE(MID(ARCH!K110,FIND("x",ARCH!K110)+1,9))))</f>
        <v>336</v>
      </c>
      <c r="L110" s="10" t="n">
        <f aca="false">IF(ARCH!L110="",INPUTS!$B$19,IF(LEFT(ARCH!L110,1)="d",PI()/4*VALUE(MID(ARCH!L110,2,9))^2,VALUE(LEFT(ARCH!L110,FIND("x",ARCH!L110)-1))*VALUE(MID(ARCH!L110,FIND("x",ARCH!L110)+1,9))))</f>
        <v>336</v>
      </c>
      <c r="M110" s="10" t="n">
        <f aca="false">IF(ARCH!M110="",INPUTS!$B$19,IF(LEFT(ARCH!M110,1)="d",PI()/4*VALUE(MID(ARCH!M110,2,9))^2,VALUE(LEFT(ARCH!M110,FIND("x",ARCH!M110)-1))*VALUE(MID(ARCH!M110,FIND("x",ARCH!M110)+1,9))))</f>
        <v>336</v>
      </c>
      <c r="N110" s="10" t="n">
        <f aca="false">IF(ARCH!N110="",INPUTS!$B$19,IF(LEFT(ARCH!N110,1)="d",PI()/4*VALUE(MID(ARCH!N110,2,9))^2,VALUE(LEFT(ARCH!N110,FIND("x",ARCH!N110)-1))*VALUE(MID(ARCH!N110,FIND("x",ARCH!N110)+1,9))))</f>
        <v>336</v>
      </c>
      <c r="O110" s="10" t="n">
        <f aca="false">IF(ARCH!O110="",INPUTS!$B$19,IF(LEFT(ARCH!O110,1)="d",PI()/4*VALUE(MID(ARCH!O110,2,9))^2,VALUE(LEFT(ARCH!O110,FIND("x",ARCH!O110)-1))*VALUE(MID(ARCH!O110,FIND("x",ARCH!O110)+1,9))))</f>
        <v>336</v>
      </c>
      <c r="P110" s="10" t="n">
        <f aca="false">IF(ARCH!P110="",INPUTS!$B$19,IF(LEFT(ARCH!P110,1)="d",PI()/4*VALUE(MID(ARCH!P110,2,9))^2,VALUE(LEFT(ARCH!P110,FIND("x",ARCH!P110)-1))*VALUE(MID(ARCH!P110,FIND("x",ARCH!P110)+1,9))))</f>
        <v>336</v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10" t="n">
        <f aca="false">IF(ARCH!E111="",INPUTS!$B$19,IF(LEFT(ARCH!E111,1)="d",PI()/4*VALUE(MID(ARCH!E111,2,9))^2,VALUE(LEFT(ARCH!E111,FIND("x",ARCH!E111)-1))*VALUE(MID(ARCH!E111,FIND("x",ARCH!E111)+1,9))))</f>
        <v>504</v>
      </c>
      <c r="F111" s="10" t="n">
        <f aca="false">IF(ARCH!F111="",INPUTS!$B$19,IF(LEFT(ARCH!F111,1)="d",PI()/4*VALUE(MID(ARCH!F111,2,9))^2,VALUE(LEFT(ARCH!F111,FIND("x",ARCH!F111)-1))*VALUE(MID(ARCH!F111,FIND("x",ARCH!F111)+1,9))))</f>
        <v>504</v>
      </c>
      <c r="G111" s="10" t="n">
        <f aca="false">IF(ARCH!G111="",INPUTS!$B$19,IF(LEFT(ARCH!G111,1)="d",PI()/4*VALUE(MID(ARCH!G111,2,9))^2,VALUE(LEFT(ARCH!G111,FIND("x",ARCH!G111)-1))*VALUE(MID(ARCH!G111,FIND("x",ARCH!G111)+1,9))))</f>
        <v>504</v>
      </c>
      <c r="H111" s="10" t="n">
        <f aca="false">IF(ARCH!H111="",INPUTS!$B$19,IF(LEFT(ARCH!H111,1)="d",PI()/4*VALUE(MID(ARCH!H111,2,9))^2,VALUE(LEFT(ARCH!H111,FIND("x",ARCH!H111)-1))*VALUE(MID(ARCH!H111,FIND("x",ARCH!H111)+1,9))))</f>
        <v>336</v>
      </c>
      <c r="I111" s="10" t="n">
        <f aca="false">IF(ARCH!I111="",INPUTS!$B$19,IF(LEFT(ARCH!I111,1)="d",PI()/4*VALUE(MID(ARCH!I111,2,9))^2,VALUE(LEFT(ARCH!I111,FIND("x",ARCH!I111)-1))*VALUE(MID(ARCH!I111,FIND("x",ARCH!I111)+1,9))))</f>
        <v>336</v>
      </c>
      <c r="J111" s="10" t="n">
        <f aca="false">IF(ARCH!J111="",INPUTS!$B$19,IF(LEFT(ARCH!J111,1)="d",PI()/4*VALUE(MID(ARCH!J111,2,9))^2,VALUE(LEFT(ARCH!J111,FIND("x",ARCH!J111)-1))*VALUE(MID(ARCH!J111,FIND("x",ARCH!J111)+1,9))))</f>
        <v>336</v>
      </c>
      <c r="K111" s="10" t="n">
        <f aca="false">IF(ARCH!K111="",INPUTS!$B$19,IF(LEFT(ARCH!K111,1)="d",PI()/4*VALUE(MID(ARCH!K111,2,9))^2,VALUE(LEFT(ARCH!K111,FIND("x",ARCH!K111)-1))*VALUE(MID(ARCH!K111,FIND("x",ARCH!K111)+1,9))))</f>
        <v>336</v>
      </c>
      <c r="L111" s="10" t="n">
        <f aca="false">IF(ARCH!L111="",INPUTS!$B$19,IF(LEFT(ARCH!L111,1)="d",PI()/4*VALUE(MID(ARCH!L111,2,9))^2,VALUE(LEFT(ARCH!L111,FIND("x",ARCH!L111)-1))*VALUE(MID(ARCH!L111,FIND("x",ARCH!L111)+1,9))))</f>
        <v>336</v>
      </c>
      <c r="M111" s="10" t="n">
        <f aca="false">IF(ARCH!M111="",INPUTS!$B$19,IF(LEFT(ARCH!M111,1)="d",PI()/4*VALUE(MID(ARCH!M111,2,9))^2,VALUE(LEFT(ARCH!M111,FIND("x",ARCH!M111)-1))*VALUE(MID(ARCH!M111,FIND("x",ARCH!M111)+1,9))))</f>
        <v>336</v>
      </c>
      <c r="N111" s="10" t="n">
        <f aca="false">IF(ARCH!N111="",INPUTS!$B$19,IF(LEFT(ARCH!N111,1)="d",PI()/4*VALUE(MID(ARCH!N111,2,9))^2,VALUE(LEFT(ARCH!N111,FIND("x",ARCH!N111)-1))*VALUE(MID(ARCH!N111,FIND("x",ARCH!N111)+1,9))))</f>
        <v>336</v>
      </c>
      <c r="O111" s="10" t="n">
        <f aca="false">IF(ARCH!O111="",INPUTS!$B$19,IF(LEFT(ARCH!O111,1)="d",PI()/4*VALUE(MID(ARCH!O111,2,9))^2,VALUE(LEFT(ARCH!O111,FIND("x",ARCH!O111)-1))*VALUE(MID(ARCH!O111,FIND("x",ARCH!O111)+1,9))))</f>
        <v>336</v>
      </c>
      <c r="P111" s="10" t="n">
        <f aca="false">IF(ARCH!P111="",INPUTS!$B$19,IF(LEFT(ARCH!P111,1)="d",PI()/4*VALUE(MID(ARCH!P111,2,9))^2,VALUE(LEFT(ARCH!P111,FIND("x",ARCH!P111)-1))*VALUE(MID(ARCH!P111,FIND("x",ARCH!P111)+1,9))))</f>
        <v>336</v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10" t="n">
        <f aca="false">IF(ARCH!E112="",INPUTS!$B$19,IF(LEFT(ARCH!E112,1)="d",PI()/4*VALUE(MID(ARCH!E112,2,9))^2,VALUE(LEFT(ARCH!E112,FIND("x",ARCH!E112)-1))*VALUE(MID(ARCH!E112,FIND("x",ARCH!E112)+1,9))))</f>
        <v>504</v>
      </c>
      <c r="F112" s="10" t="n">
        <f aca="false">IF(ARCH!F112="",INPUTS!$B$19,IF(LEFT(ARCH!F112,1)="d",PI()/4*VALUE(MID(ARCH!F112,2,9))^2,VALUE(LEFT(ARCH!F112,FIND("x",ARCH!F112)-1))*VALUE(MID(ARCH!F112,FIND("x",ARCH!F112)+1,9))))</f>
        <v>504</v>
      </c>
      <c r="G112" s="10" t="n">
        <f aca="false">IF(ARCH!G112="",INPUTS!$B$19,IF(LEFT(ARCH!G112,1)="d",PI()/4*VALUE(MID(ARCH!G112,2,9))^2,VALUE(LEFT(ARCH!G112,FIND("x",ARCH!G112)-1))*VALUE(MID(ARCH!G112,FIND("x",ARCH!G112)+1,9))))</f>
        <v>336</v>
      </c>
      <c r="H112" s="10" t="n">
        <f aca="false">IF(ARCH!H112="",INPUTS!$B$19,IF(LEFT(ARCH!H112,1)="d",PI()/4*VALUE(MID(ARCH!H112,2,9))^2,VALUE(LEFT(ARCH!H112,FIND("x",ARCH!H112)-1))*VALUE(MID(ARCH!H112,FIND("x",ARCH!H112)+1,9))))</f>
        <v>336</v>
      </c>
      <c r="I112" s="10" t="n">
        <f aca="false">IF(ARCH!I112="",INPUTS!$B$19,IF(LEFT(ARCH!I112,1)="d",PI()/4*VALUE(MID(ARCH!I112,2,9))^2,VALUE(LEFT(ARCH!I112,FIND("x",ARCH!I112)-1))*VALUE(MID(ARCH!I112,FIND("x",ARCH!I112)+1,9))))</f>
        <v>336</v>
      </c>
      <c r="J112" s="10" t="n">
        <f aca="false">IF(ARCH!J112="",INPUTS!$B$19,IF(LEFT(ARCH!J112,1)="d",PI()/4*VALUE(MID(ARCH!J112,2,9))^2,VALUE(LEFT(ARCH!J112,FIND("x",ARCH!J112)-1))*VALUE(MID(ARCH!J112,FIND("x",ARCH!J112)+1,9))))</f>
        <v>336</v>
      </c>
      <c r="K112" s="10" t="n">
        <f aca="false">IF(ARCH!K112="",INPUTS!$B$19,IF(LEFT(ARCH!K112,1)="d",PI()/4*VALUE(MID(ARCH!K112,2,9))^2,VALUE(LEFT(ARCH!K112,FIND("x",ARCH!K112)-1))*VALUE(MID(ARCH!K112,FIND("x",ARCH!K112)+1,9))))</f>
        <v>336</v>
      </c>
      <c r="L112" s="10" t="n">
        <f aca="false">IF(ARCH!L112="",INPUTS!$B$19,IF(LEFT(ARCH!L112,1)="d",PI()/4*VALUE(MID(ARCH!L112,2,9))^2,VALUE(LEFT(ARCH!L112,FIND("x",ARCH!L112)-1))*VALUE(MID(ARCH!L112,FIND("x",ARCH!L112)+1,9))))</f>
        <v>336</v>
      </c>
      <c r="M112" s="10" t="n">
        <f aca="false">IF(ARCH!M112="",INPUTS!$B$19,IF(LEFT(ARCH!M112,1)="d",PI()/4*VALUE(MID(ARCH!M112,2,9))^2,VALUE(LEFT(ARCH!M112,FIND("x",ARCH!M112)-1))*VALUE(MID(ARCH!M112,FIND("x",ARCH!M112)+1,9))))</f>
        <v>336</v>
      </c>
      <c r="N112" s="10" t="n">
        <f aca="false">IF(ARCH!N112="",INPUTS!$B$19,IF(LEFT(ARCH!N112,1)="d",PI()/4*VALUE(MID(ARCH!N112,2,9))^2,VALUE(LEFT(ARCH!N112,FIND("x",ARCH!N112)-1))*VALUE(MID(ARCH!N112,FIND("x",ARCH!N112)+1,9))))</f>
        <v>336</v>
      </c>
      <c r="O112" s="10" t="n">
        <f aca="false">IF(ARCH!O112="",INPUTS!$B$19,IF(LEFT(ARCH!O112,1)="d",PI()/4*VALUE(MID(ARCH!O112,2,9))^2,VALUE(LEFT(ARCH!O112,FIND("x",ARCH!O112)-1))*VALUE(MID(ARCH!O112,FIND("x",ARCH!O112)+1,9))))</f>
        <v>336</v>
      </c>
      <c r="P112" s="10" t="n">
        <f aca="false">IF(ARCH!P112="",INPUTS!$B$19,IF(LEFT(ARCH!P112,1)="d",PI()/4*VALUE(MID(ARCH!P112,2,9))^2,VALUE(LEFT(ARCH!P112,FIND("x",ARCH!P112)-1))*VALUE(MID(ARCH!P112,FIND("x",ARCH!P112)+1,9))))</f>
        <v>336</v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10" t="n">
        <f aca="false">IF(ARCH!E113="",INPUTS!$B$19,IF(LEFT(ARCH!E113,1)="d",PI()/4*VALUE(MID(ARCH!E113,2,9))^2,VALUE(LEFT(ARCH!E113,FIND("x",ARCH!E113)-1))*VALUE(MID(ARCH!E113,FIND("x",ARCH!E113)+1,9))))</f>
        <v>836</v>
      </c>
      <c r="F113" s="10" t="n">
        <f aca="false">IF(ARCH!F113="",INPUTS!$B$19,IF(LEFT(ARCH!F113,1)="d",PI()/4*VALUE(MID(ARCH!F113,2,9))^2,VALUE(LEFT(ARCH!F113,FIND("x",ARCH!F113)-1))*VALUE(MID(ARCH!F113,FIND("x",ARCH!F113)+1,9))))</f>
        <v>836</v>
      </c>
      <c r="G113" s="10" t="n">
        <f aca="false">IF(ARCH!G113="",INPUTS!$B$19,IF(LEFT(ARCH!G113,1)="d",PI()/4*VALUE(MID(ARCH!G113,2,9))^2,VALUE(LEFT(ARCH!G113,FIND("x",ARCH!G113)-1))*VALUE(MID(ARCH!G113,FIND("x",ARCH!G113)+1,9))))</f>
        <v>336</v>
      </c>
      <c r="H113" s="10" t="n">
        <f aca="false">IF(ARCH!H113="",INPUTS!$B$19,IF(LEFT(ARCH!H113,1)="d",PI()/4*VALUE(MID(ARCH!H113,2,9))^2,VALUE(LEFT(ARCH!H113,FIND("x",ARCH!H113)-1))*VALUE(MID(ARCH!H113,FIND("x",ARCH!H113)+1,9))))</f>
        <v>336</v>
      </c>
      <c r="I113" s="10" t="n">
        <f aca="false">IF(ARCH!I113="",INPUTS!$B$19,IF(LEFT(ARCH!I113,1)="d",PI()/4*VALUE(MID(ARCH!I113,2,9))^2,VALUE(LEFT(ARCH!I113,FIND("x",ARCH!I113)-1))*VALUE(MID(ARCH!I113,FIND("x",ARCH!I113)+1,9))))</f>
        <v>336</v>
      </c>
      <c r="J113" s="10" t="n">
        <f aca="false">IF(ARCH!J113="",INPUTS!$B$19,IF(LEFT(ARCH!J113,1)="d",PI()/4*VALUE(MID(ARCH!J113,2,9))^2,VALUE(LEFT(ARCH!J113,FIND("x",ARCH!J113)-1))*VALUE(MID(ARCH!J113,FIND("x",ARCH!J113)+1,9))))</f>
        <v>336</v>
      </c>
      <c r="K113" s="10" t="n">
        <f aca="false">IF(ARCH!K113="",INPUTS!$B$19,IF(LEFT(ARCH!K113,1)="d",PI()/4*VALUE(MID(ARCH!K113,2,9))^2,VALUE(LEFT(ARCH!K113,FIND("x",ARCH!K113)-1))*VALUE(MID(ARCH!K113,FIND("x",ARCH!K113)+1,9))))</f>
        <v>336</v>
      </c>
      <c r="L113" s="10" t="n">
        <f aca="false">IF(ARCH!L113="",INPUTS!$B$19,IF(LEFT(ARCH!L113,1)="d",PI()/4*VALUE(MID(ARCH!L113,2,9))^2,VALUE(LEFT(ARCH!L113,FIND("x",ARCH!L113)-1))*VALUE(MID(ARCH!L113,FIND("x",ARCH!L113)+1,9))))</f>
        <v>336</v>
      </c>
      <c r="M113" s="10" t="n">
        <f aca="false">IF(ARCH!M113="",INPUTS!$B$19,IF(LEFT(ARCH!M113,1)="d",PI()/4*VALUE(MID(ARCH!M113,2,9))^2,VALUE(LEFT(ARCH!M113,FIND("x",ARCH!M113)-1))*VALUE(MID(ARCH!M113,FIND("x",ARCH!M113)+1,9))))</f>
        <v>336</v>
      </c>
      <c r="N113" s="10" t="n">
        <f aca="false">IF(ARCH!N113="",INPUTS!$B$19,IF(LEFT(ARCH!N113,1)="d",PI()/4*VALUE(MID(ARCH!N113,2,9))^2,VALUE(LEFT(ARCH!N113,FIND("x",ARCH!N113)-1))*VALUE(MID(ARCH!N113,FIND("x",ARCH!N113)+1,9))))</f>
        <v>336</v>
      </c>
      <c r="O113" s="10" t="n">
        <f aca="false">IF(ARCH!O113="",INPUTS!$B$19,IF(LEFT(ARCH!O113,1)="d",PI()/4*VALUE(MID(ARCH!O113,2,9))^2,VALUE(LEFT(ARCH!O113,FIND("x",ARCH!O113)-1))*VALUE(MID(ARCH!O113,FIND("x",ARCH!O113)+1,9))))</f>
        <v>336</v>
      </c>
      <c r="P113" s="10" t="n">
        <f aca="false">IF(ARCH!P113="",INPUTS!$B$19,IF(LEFT(ARCH!P113,1)="d",PI()/4*VALUE(MID(ARCH!P113,2,9))^2,VALUE(LEFT(ARCH!P113,FIND("x",ARCH!P113)-1))*VALUE(MID(ARCH!P113,FIND("x",ARCH!P113)+1,9))))</f>
        <v>336</v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10" t="n">
        <f aca="false">IF(ARCH!E114="",INPUTS!$B$19,IF(LEFT(ARCH!E114,1)="d",PI()/4*VALUE(MID(ARCH!E114,2,9))^2,VALUE(LEFT(ARCH!E114,FIND("x",ARCH!E114)-1))*VALUE(MID(ARCH!E114,FIND("x",ARCH!E114)+1,9))))</f>
        <v>504</v>
      </c>
      <c r="F114" s="10" t="n">
        <f aca="false">IF(ARCH!F114="",INPUTS!$B$19,IF(LEFT(ARCH!F114,1)="d",PI()/4*VALUE(MID(ARCH!F114,2,9))^2,VALUE(LEFT(ARCH!F114,FIND("x",ARCH!F114)-1))*VALUE(MID(ARCH!F114,FIND("x",ARCH!F114)+1,9))))</f>
        <v>504</v>
      </c>
      <c r="G114" s="10" t="n">
        <f aca="false">IF(ARCH!G114="",INPUTS!$B$19,IF(LEFT(ARCH!G114,1)="d",PI()/4*VALUE(MID(ARCH!G114,2,9))^2,VALUE(LEFT(ARCH!G114,FIND("x",ARCH!G114)-1))*VALUE(MID(ARCH!G114,FIND("x",ARCH!G114)+1,9))))</f>
        <v>336</v>
      </c>
      <c r="H114" s="10" t="n">
        <f aca="false">IF(ARCH!H114="",INPUTS!$B$19,IF(LEFT(ARCH!H114,1)="d",PI()/4*VALUE(MID(ARCH!H114,2,9))^2,VALUE(LEFT(ARCH!H114,FIND("x",ARCH!H114)-1))*VALUE(MID(ARCH!H114,FIND("x",ARCH!H114)+1,9))))</f>
        <v>336</v>
      </c>
      <c r="I114" s="10" t="n">
        <f aca="false">IF(ARCH!I114="",INPUTS!$B$19,IF(LEFT(ARCH!I114,1)="d",PI()/4*VALUE(MID(ARCH!I114,2,9))^2,VALUE(LEFT(ARCH!I114,FIND("x",ARCH!I114)-1))*VALUE(MID(ARCH!I114,FIND("x",ARCH!I114)+1,9))))</f>
        <v>336</v>
      </c>
      <c r="J114" s="10" t="n">
        <f aca="false">IF(ARCH!J114="",INPUTS!$B$19,IF(LEFT(ARCH!J114,1)="d",PI()/4*VALUE(MID(ARCH!J114,2,9))^2,VALUE(LEFT(ARCH!J114,FIND("x",ARCH!J114)-1))*VALUE(MID(ARCH!J114,FIND("x",ARCH!J114)+1,9))))</f>
        <v>336</v>
      </c>
      <c r="K114" s="10" t="n">
        <f aca="false">IF(ARCH!K114="",INPUTS!$B$19,IF(LEFT(ARCH!K114,1)="d",PI()/4*VALUE(MID(ARCH!K114,2,9))^2,VALUE(LEFT(ARCH!K114,FIND("x",ARCH!K114)-1))*VALUE(MID(ARCH!K114,FIND("x",ARCH!K114)+1,9))))</f>
        <v>336</v>
      </c>
      <c r="L114" s="10" t="n">
        <f aca="false">IF(ARCH!L114="",INPUTS!$B$19,IF(LEFT(ARCH!L114,1)="d",PI()/4*VALUE(MID(ARCH!L114,2,9))^2,VALUE(LEFT(ARCH!L114,FIND("x",ARCH!L114)-1))*VALUE(MID(ARCH!L114,FIND("x",ARCH!L114)+1,9))))</f>
        <v>336</v>
      </c>
      <c r="M114" s="10" t="n">
        <f aca="false">IF(ARCH!M114="",INPUTS!$B$19,IF(LEFT(ARCH!M114,1)="d",PI()/4*VALUE(MID(ARCH!M114,2,9))^2,VALUE(LEFT(ARCH!M114,FIND("x",ARCH!M114)-1))*VALUE(MID(ARCH!M114,FIND("x",ARCH!M114)+1,9))))</f>
        <v>336</v>
      </c>
      <c r="N114" s="10" t="n">
        <f aca="false">IF(ARCH!N114="",INPUTS!$B$19,IF(LEFT(ARCH!N114,1)="d",PI()/4*VALUE(MID(ARCH!N114,2,9))^2,VALUE(LEFT(ARCH!N114,FIND("x",ARCH!N114)-1))*VALUE(MID(ARCH!N114,FIND("x",ARCH!N114)+1,9))))</f>
        <v>336</v>
      </c>
      <c r="O114" s="10" t="n">
        <f aca="false">IF(ARCH!O114="",INPUTS!$B$19,IF(LEFT(ARCH!O114,1)="d",PI()/4*VALUE(MID(ARCH!O114,2,9))^2,VALUE(LEFT(ARCH!O114,FIND("x",ARCH!O114)-1))*VALUE(MID(ARCH!O114,FIND("x",ARCH!O114)+1,9))))</f>
        <v>336</v>
      </c>
      <c r="P114" s="10" t="n">
        <f aca="false">IF(ARCH!P114="",INPUTS!$B$19,IF(LEFT(ARCH!P114,1)="d",PI()/4*VALUE(MID(ARCH!P114,2,9))^2,VALUE(LEFT(ARCH!P114,FIND("x",ARCH!P114)-1))*VALUE(MID(ARCH!P114,FIND("x",ARCH!P114)+1,9))))</f>
        <v>336</v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10" t="n">
        <f aca="false">IF(ARCH!E115="",INPUTS!$B$19,IF(LEFT(ARCH!E115,1)="d",PI()/4*VALUE(MID(ARCH!E115,2,9))^2,VALUE(LEFT(ARCH!E115,FIND("x",ARCH!E115)-1))*VALUE(MID(ARCH!E115,FIND("x",ARCH!E115)+1,9))))</f>
        <v>504</v>
      </c>
      <c r="F115" s="10" t="n">
        <f aca="false">IF(ARCH!F115="",INPUTS!$B$19,IF(LEFT(ARCH!F115,1)="d",PI()/4*VALUE(MID(ARCH!F115,2,9))^2,VALUE(LEFT(ARCH!F115,FIND("x",ARCH!F115)-1))*VALUE(MID(ARCH!F115,FIND("x",ARCH!F115)+1,9))))</f>
        <v>504</v>
      </c>
      <c r="G115" s="10" t="n">
        <f aca="false">IF(ARCH!G115="",INPUTS!$B$19,IF(LEFT(ARCH!G115,1)="d",PI()/4*VALUE(MID(ARCH!G115,2,9))^2,VALUE(LEFT(ARCH!G115,FIND("x",ARCH!G115)-1))*VALUE(MID(ARCH!G115,FIND("x",ARCH!G115)+1,9))))</f>
        <v>336</v>
      </c>
      <c r="H115" s="10" t="n">
        <f aca="false">IF(ARCH!H115="",INPUTS!$B$19,IF(LEFT(ARCH!H115,1)="d",PI()/4*VALUE(MID(ARCH!H115,2,9))^2,VALUE(LEFT(ARCH!H115,FIND("x",ARCH!H115)-1))*VALUE(MID(ARCH!H115,FIND("x",ARCH!H115)+1,9))))</f>
        <v>336</v>
      </c>
      <c r="I115" s="10" t="n">
        <f aca="false">IF(ARCH!I115="",INPUTS!$B$19,IF(LEFT(ARCH!I115,1)="d",PI()/4*VALUE(MID(ARCH!I115,2,9))^2,VALUE(LEFT(ARCH!I115,FIND("x",ARCH!I115)-1))*VALUE(MID(ARCH!I115,FIND("x",ARCH!I115)+1,9))))</f>
        <v>336</v>
      </c>
      <c r="J115" s="10" t="n">
        <f aca="false">IF(ARCH!J115="",INPUTS!$B$19,IF(LEFT(ARCH!J115,1)="d",PI()/4*VALUE(MID(ARCH!J115,2,9))^2,VALUE(LEFT(ARCH!J115,FIND("x",ARCH!J115)-1))*VALUE(MID(ARCH!J115,FIND("x",ARCH!J115)+1,9))))</f>
        <v>336</v>
      </c>
      <c r="K115" s="10" t="n">
        <f aca="false">IF(ARCH!K115="",INPUTS!$B$19,IF(LEFT(ARCH!K115,1)="d",PI()/4*VALUE(MID(ARCH!K115,2,9))^2,VALUE(LEFT(ARCH!K115,FIND("x",ARCH!K115)-1))*VALUE(MID(ARCH!K115,FIND("x",ARCH!K115)+1,9))))</f>
        <v>336</v>
      </c>
      <c r="L115" s="10" t="n">
        <f aca="false">IF(ARCH!L115="",INPUTS!$B$19,IF(LEFT(ARCH!L115,1)="d",PI()/4*VALUE(MID(ARCH!L115,2,9))^2,VALUE(LEFT(ARCH!L115,FIND("x",ARCH!L115)-1))*VALUE(MID(ARCH!L115,FIND("x",ARCH!L115)+1,9))))</f>
        <v>336</v>
      </c>
      <c r="M115" s="10" t="n">
        <f aca="false">IF(ARCH!M115="",INPUTS!$B$19,IF(LEFT(ARCH!M115,1)="d",PI()/4*VALUE(MID(ARCH!M115,2,9))^2,VALUE(LEFT(ARCH!M115,FIND("x",ARCH!M115)-1))*VALUE(MID(ARCH!M115,FIND("x",ARCH!M115)+1,9))))</f>
        <v>336</v>
      </c>
      <c r="N115" s="10" t="n">
        <f aca="false">IF(ARCH!N115="",INPUTS!$B$19,IF(LEFT(ARCH!N115,1)="d",PI()/4*VALUE(MID(ARCH!N115,2,9))^2,VALUE(LEFT(ARCH!N115,FIND("x",ARCH!N115)-1))*VALUE(MID(ARCH!N115,FIND("x",ARCH!N115)+1,9))))</f>
        <v>336</v>
      </c>
      <c r="O115" s="10" t="n">
        <f aca="false">IF(ARCH!O115="",INPUTS!$B$19,IF(LEFT(ARCH!O115,1)="d",PI()/4*VALUE(MID(ARCH!O115,2,9))^2,VALUE(LEFT(ARCH!O115,FIND("x",ARCH!O115)-1))*VALUE(MID(ARCH!O115,FIND("x",ARCH!O115)+1,9))))</f>
        <v>336</v>
      </c>
      <c r="P115" s="10" t="n">
        <f aca="false">IF(ARCH!P115="",INPUTS!$B$19,IF(LEFT(ARCH!P115,1)="d",PI()/4*VALUE(MID(ARCH!P115,2,9))^2,VALUE(LEFT(ARCH!P115,FIND("x",ARCH!P115)-1))*VALUE(MID(ARCH!P115,FIND("x",ARCH!P115)+1,9))))</f>
        <v>336</v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10" t="n">
        <f aca="false">IF(ARCH!E116="",INPUTS!$B$19,IF(LEFT(ARCH!E116,1)="d",PI()/4*VALUE(MID(ARCH!E116,2,9))^2,VALUE(LEFT(ARCH!E116,FIND("x",ARCH!E116)-1))*VALUE(MID(ARCH!E116,FIND("x",ARCH!E116)+1,9))))</f>
        <v>504</v>
      </c>
      <c r="F116" s="10" t="n">
        <f aca="false">IF(ARCH!F116="",INPUTS!$B$19,IF(LEFT(ARCH!F116,1)="d",PI()/4*VALUE(MID(ARCH!F116,2,9))^2,VALUE(LEFT(ARCH!F116,FIND("x",ARCH!F116)-1))*VALUE(MID(ARCH!F116,FIND("x",ARCH!F116)+1,9))))</f>
        <v>504</v>
      </c>
      <c r="G116" s="10" t="n">
        <f aca="false">IF(ARCH!G116="",INPUTS!$B$19,IF(LEFT(ARCH!G116,1)="d",PI()/4*VALUE(MID(ARCH!G116,2,9))^2,VALUE(LEFT(ARCH!G116,FIND("x",ARCH!G116)-1))*VALUE(MID(ARCH!G116,FIND("x",ARCH!G116)+1,9))))</f>
        <v>336</v>
      </c>
      <c r="H116" s="10" t="n">
        <f aca="false">IF(ARCH!H116="",INPUTS!$B$19,IF(LEFT(ARCH!H116,1)="d",PI()/4*VALUE(MID(ARCH!H116,2,9))^2,VALUE(LEFT(ARCH!H116,FIND("x",ARCH!H116)-1))*VALUE(MID(ARCH!H116,FIND("x",ARCH!H116)+1,9))))</f>
        <v>336</v>
      </c>
      <c r="I116" s="10" t="n">
        <f aca="false">IF(ARCH!I116="",INPUTS!$B$19,IF(LEFT(ARCH!I116,1)="d",PI()/4*VALUE(MID(ARCH!I116,2,9))^2,VALUE(LEFT(ARCH!I116,FIND("x",ARCH!I116)-1))*VALUE(MID(ARCH!I116,FIND("x",ARCH!I116)+1,9))))</f>
        <v>336</v>
      </c>
      <c r="J116" s="10" t="n">
        <f aca="false">IF(ARCH!J116="",INPUTS!$B$19,IF(LEFT(ARCH!J116,1)="d",PI()/4*VALUE(MID(ARCH!J116,2,9))^2,VALUE(LEFT(ARCH!J116,FIND("x",ARCH!J116)-1))*VALUE(MID(ARCH!J116,FIND("x",ARCH!J116)+1,9))))</f>
        <v>336</v>
      </c>
      <c r="K116" s="10" t="n">
        <f aca="false">IF(ARCH!K116="",INPUTS!$B$19,IF(LEFT(ARCH!K116,1)="d",PI()/4*VALUE(MID(ARCH!K116,2,9))^2,VALUE(LEFT(ARCH!K116,FIND("x",ARCH!K116)-1))*VALUE(MID(ARCH!K116,FIND("x",ARCH!K116)+1,9))))</f>
        <v>336</v>
      </c>
      <c r="L116" s="10" t="n">
        <f aca="false">IF(ARCH!L116="",INPUTS!$B$19,IF(LEFT(ARCH!L116,1)="d",PI()/4*VALUE(MID(ARCH!L116,2,9))^2,VALUE(LEFT(ARCH!L116,FIND("x",ARCH!L116)-1))*VALUE(MID(ARCH!L116,FIND("x",ARCH!L116)+1,9))))</f>
        <v>336</v>
      </c>
      <c r="M116" s="10" t="n">
        <f aca="false">IF(ARCH!M116="",INPUTS!$B$19,IF(LEFT(ARCH!M116,1)="d",PI()/4*VALUE(MID(ARCH!M116,2,9))^2,VALUE(LEFT(ARCH!M116,FIND("x",ARCH!M116)-1))*VALUE(MID(ARCH!M116,FIND("x",ARCH!M116)+1,9))))</f>
        <v>336</v>
      </c>
      <c r="N116" s="10" t="n">
        <f aca="false">IF(ARCH!N116="",INPUTS!$B$19,IF(LEFT(ARCH!N116,1)="d",PI()/4*VALUE(MID(ARCH!N116,2,9))^2,VALUE(LEFT(ARCH!N116,FIND("x",ARCH!N116)-1))*VALUE(MID(ARCH!N116,FIND("x",ARCH!N116)+1,9))))</f>
        <v>336</v>
      </c>
      <c r="O116" s="10" t="n">
        <f aca="false">IF(ARCH!O116="",INPUTS!$B$19,IF(LEFT(ARCH!O116,1)="d",PI()/4*VALUE(MID(ARCH!O116,2,9))^2,VALUE(LEFT(ARCH!O116,FIND("x",ARCH!O116)-1))*VALUE(MID(ARCH!O116,FIND("x",ARCH!O116)+1,9))))</f>
        <v>336</v>
      </c>
      <c r="P116" s="10" t="n">
        <f aca="false">IF(ARCH!P116="",INPUTS!$B$19,IF(LEFT(ARCH!P116,1)="d",PI()/4*VALUE(MID(ARCH!P116,2,9))^2,VALUE(LEFT(ARCH!P116,FIND("x",ARCH!P116)-1))*VALUE(MID(ARCH!P116,FIND("x",ARCH!P116)+1,9))))</f>
        <v>336</v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10" t="n">
        <f aca="false">IF(ARCH!E117="",INPUTS!$B$19,IF(LEFT(ARCH!E117,1)="d",PI()/4*VALUE(MID(ARCH!E117,2,9))^2,VALUE(LEFT(ARCH!E117,FIND("x",ARCH!E117)-1))*VALUE(MID(ARCH!E117,FIND("x",ARCH!E117)+1,9))))</f>
        <v>504</v>
      </c>
      <c r="F117" s="10" t="n">
        <f aca="false">IF(ARCH!F117="",INPUTS!$B$19,IF(LEFT(ARCH!F117,1)="d",PI()/4*VALUE(MID(ARCH!F117,2,9))^2,VALUE(LEFT(ARCH!F117,FIND("x",ARCH!F117)-1))*VALUE(MID(ARCH!F117,FIND("x",ARCH!F117)+1,9))))</f>
        <v>504</v>
      </c>
      <c r="G117" s="10" t="n">
        <f aca="false">IF(ARCH!G117="",INPUTS!$B$19,IF(LEFT(ARCH!G117,1)="d",PI()/4*VALUE(MID(ARCH!G117,2,9))^2,VALUE(LEFT(ARCH!G117,FIND("x",ARCH!G117)-1))*VALUE(MID(ARCH!G117,FIND("x",ARCH!G117)+1,9))))</f>
        <v>336</v>
      </c>
      <c r="H117" s="10" t="n">
        <f aca="false">IF(ARCH!H117="",INPUTS!$B$19,IF(LEFT(ARCH!H117,1)="d",PI()/4*VALUE(MID(ARCH!H117,2,9))^2,VALUE(LEFT(ARCH!H117,FIND("x",ARCH!H117)-1))*VALUE(MID(ARCH!H117,FIND("x",ARCH!H117)+1,9))))</f>
        <v>336</v>
      </c>
      <c r="I117" s="10" t="n">
        <f aca="false">IF(ARCH!I117="",INPUTS!$B$19,IF(LEFT(ARCH!I117,1)="d",PI()/4*VALUE(MID(ARCH!I117,2,9))^2,VALUE(LEFT(ARCH!I117,FIND("x",ARCH!I117)-1))*VALUE(MID(ARCH!I117,FIND("x",ARCH!I117)+1,9))))</f>
        <v>336</v>
      </c>
      <c r="J117" s="10" t="n">
        <f aca="false">IF(ARCH!J117="",INPUTS!$B$19,IF(LEFT(ARCH!J117,1)="d",PI()/4*VALUE(MID(ARCH!J117,2,9))^2,VALUE(LEFT(ARCH!J117,FIND("x",ARCH!J117)-1))*VALUE(MID(ARCH!J117,FIND("x",ARCH!J117)+1,9))))</f>
        <v>336</v>
      </c>
      <c r="K117" s="10" t="n">
        <f aca="false">IF(ARCH!K117="",INPUTS!$B$19,IF(LEFT(ARCH!K117,1)="d",PI()/4*VALUE(MID(ARCH!K117,2,9))^2,VALUE(LEFT(ARCH!K117,FIND("x",ARCH!K117)-1))*VALUE(MID(ARCH!K117,FIND("x",ARCH!K117)+1,9))))</f>
        <v>336</v>
      </c>
      <c r="L117" s="10" t="n">
        <f aca="false">IF(ARCH!L117="",INPUTS!$B$19,IF(LEFT(ARCH!L117,1)="d",PI()/4*VALUE(MID(ARCH!L117,2,9))^2,VALUE(LEFT(ARCH!L117,FIND("x",ARCH!L117)-1))*VALUE(MID(ARCH!L117,FIND("x",ARCH!L117)+1,9))))</f>
        <v>336</v>
      </c>
      <c r="M117" s="10" t="n">
        <f aca="false">IF(ARCH!M117="",INPUTS!$B$19,IF(LEFT(ARCH!M117,1)="d",PI()/4*VALUE(MID(ARCH!M117,2,9))^2,VALUE(LEFT(ARCH!M117,FIND("x",ARCH!M117)-1))*VALUE(MID(ARCH!M117,FIND("x",ARCH!M117)+1,9))))</f>
        <v>336</v>
      </c>
      <c r="N117" s="10" t="n">
        <f aca="false">IF(ARCH!N117="",INPUTS!$B$19,IF(LEFT(ARCH!N117,1)="d",PI()/4*VALUE(MID(ARCH!N117,2,9))^2,VALUE(LEFT(ARCH!N117,FIND("x",ARCH!N117)-1))*VALUE(MID(ARCH!N117,FIND("x",ARCH!N117)+1,9))))</f>
        <v>336</v>
      </c>
      <c r="O117" s="10" t="n">
        <f aca="false">IF(ARCH!O117="",INPUTS!$B$19,IF(LEFT(ARCH!O117,1)="d",PI()/4*VALUE(MID(ARCH!O117,2,9))^2,VALUE(LEFT(ARCH!O117,FIND("x",ARCH!O117)-1))*VALUE(MID(ARCH!O117,FIND("x",ARCH!O117)+1,9))))</f>
        <v>336</v>
      </c>
      <c r="P117" s="10" t="n">
        <f aca="false">IF(ARCH!P117="",INPUTS!$B$19,IF(LEFT(ARCH!P117,1)="d",PI()/4*VALUE(MID(ARCH!P117,2,9))^2,VALUE(LEFT(ARCH!P117,FIND("x",ARCH!P117)-1))*VALUE(MID(ARCH!P117,FIND("x",ARCH!P117)+1,9))))</f>
        <v>336</v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10" t="n">
        <f aca="false">IF(ARCH!E118="",INPUTS!$B$19,IF(LEFT(ARCH!E118,1)="d",PI()/4*VALUE(MID(ARCH!E118,2,9))^2,VALUE(LEFT(ARCH!E118,FIND("x",ARCH!E118)-1))*VALUE(MID(ARCH!E118,FIND("x",ARCH!E118)+1,9))))</f>
        <v>504</v>
      </c>
      <c r="F118" s="10" t="n">
        <f aca="false">IF(ARCH!F118="",INPUTS!$B$19,IF(LEFT(ARCH!F118,1)="d",PI()/4*VALUE(MID(ARCH!F118,2,9))^2,VALUE(LEFT(ARCH!F118,FIND("x",ARCH!F118)-1))*VALUE(MID(ARCH!F118,FIND("x",ARCH!F118)+1,9))))</f>
        <v>504</v>
      </c>
      <c r="G118" s="10" t="n">
        <f aca="false">IF(ARCH!G118="",INPUTS!$B$19,IF(LEFT(ARCH!G118,1)="d",PI()/4*VALUE(MID(ARCH!G118,2,9))^2,VALUE(LEFT(ARCH!G118,FIND("x",ARCH!G118)-1))*VALUE(MID(ARCH!G118,FIND("x",ARCH!G118)+1,9))))</f>
        <v>336</v>
      </c>
      <c r="H118" s="10" t="n">
        <f aca="false">IF(ARCH!H118="",INPUTS!$B$19,IF(LEFT(ARCH!H118,1)="d",PI()/4*VALUE(MID(ARCH!H118,2,9))^2,VALUE(LEFT(ARCH!H118,FIND("x",ARCH!H118)-1))*VALUE(MID(ARCH!H118,FIND("x",ARCH!H118)+1,9))))</f>
        <v>336</v>
      </c>
      <c r="I118" s="10" t="n">
        <f aca="false">IF(ARCH!I118="",INPUTS!$B$19,IF(LEFT(ARCH!I118,1)="d",PI()/4*VALUE(MID(ARCH!I118,2,9))^2,VALUE(LEFT(ARCH!I118,FIND("x",ARCH!I118)-1))*VALUE(MID(ARCH!I118,FIND("x",ARCH!I118)+1,9))))</f>
        <v>336</v>
      </c>
      <c r="J118" s="10" t="n">
        <f aca="false">IF(ARCH!J118="",INPUTS!$B$19,IF(LEFT(ARCH!J118,1)="d",PI()/4*VALUE(MID(ARCH!J118,2,9))^2,VALUE(LEFT(ARCH!J118,FIND("x",ARCH!J118)-1))*VALUE(MID(ARCH!J118,FIND("x",ARCH!J118)+1,9))))</f>
        <v>336</v>
      </c>
      <c r="K118" s="10" t="n">
        <f aca="false">IF(ARCH!K118="",INPUTS!$B$19,IF(LEFT(ARCH!K118,1)="d",PI()/4*VALUE(MID(ARCH!K118,2,9))^2,VALUE(LEFT(ARCH!K118,FIND("x",ARCH!K118)-1))*VALUE(MID(ARCH!K118,FIND("x",ARCH!K118)+1,9))))</f>
        <v>336</v>
      </c>
      <c r="L118" s="10" t="n">
        <f aca="false">IF(ARCH!L118="",INPUTS!$B$19,IF(LEFT(ARCH!L118,1)="d",PI()/4*VALUE(MID(ARCH!L118,2,9))^2,VALUE(LEFT(ARCH!L118,FIND("x",ARCH!L118)-1))*VALUE(MID(ARCH!L118,FIND("x",ARCH!L118)+1,9))))</f>
        <v>336</v>
      </c>
      <c r="M118" s="10" t="n">
        <f aca="false">IF(ARCH!M118="",INPUTS!$B$19,IF(LEFT(ARCH!M118,1)="d",PI()/4*VALUE(MID(ARCH!M118,2,9))^2,VALUE(LEFT(ARCH!M118,FIND("x",ARCH!M118)-1))*VALUE(MID(ARCH!M118,FIND("x",ARCH!M118)+1,9))))</f>
        <v>336</v>
      </c>
      <c r="N118" s="10" t="n">
        <f aca="false">IF(ARCH!N118="",INPUTS!$B$19,IF(LEFT(ARCH!N118,1)="d",PI()/4*VALUE(MID(ARCH!N118,2,9))^2,VALUE(LEFT(ARCH!N118,FIND("x",ARCH!N118)-1))*VALUE(MID(ARCH!N118,FIND("x",ARCH!N118)+1,9))))</f>
        <v>336</v>
      </c>
      <c r="O118" s="10" t="n">
        <f aca="false">IF(ARCH!O118="",INPUTS!$B$19,IF(LEFT(ARCH!O118,1)="d",PI()/4*VALUE(MID(ARCH!O118,2,9))^2,VALUE(LEFT(ARCH!O118,FIND("x",ARCH!O118)-1))*VALUE(MID(ARCH!O118,FIND("x",ARCH!O118)+1,9))))</f>
        <v>336</v>
      </c>
      <c r="P118" s="10" t="n">
        <f aca="false">IF(ARCH!P118="",INPUTS!$B$19,IF(LEFT(ARCH!P118,1)="d",PI()/4*VALUE(MID(ARCH!P118,2,9))^2,VALUE(LEFT(ARCH!P118,FIND("x",ARCH!P118)-1))*VALUE(MID(ARCH!P118,FIND("x",ARCH!P118)+1,9))))</f>
        <v>336</v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10" t="n">
        <f aca="false">IF(ARCH!E119="",INPUTS!$B$19,IF(LEFT(ARCH!E119,1)="d",PI()/4*VALUE(MID(ARCH!E119,2,9))^2,VALUE(LEFT(ARCH!E119,FIND("x",ARCH!E119)-1))*VALUE(MID(ARCH!E119,FIND("x",ARCH!E119)+1,9))))</f>
        <v>336</v>
      </c>
      <c r="F119" s="10" t="n">
        <f aca="false">IF(ARCH!F119="",INPUTS!$B$19,IF(LEFT(ARCH!F119,1)="d",PI()/4*VALUE(MID(ARCH!F119,2,9))^2,VALUE(LEFT(ARCH!F119,FIND("x",ARCH!F119)-1))*VALUE(MID(ARCH!F119,FIND("x",ARCH!F119)+1,9))))</f>
        <v>336</v>
      </c>
      <c r="G119" s="10" t="n">
        <f aca="false">IF(ARCH!G119="",INPUTS!$B$19,IF(LEFT(ARCH!G119,1)="d",PI()/4*VALUE(MID(ARCH!G119,2,9))^2,VALUE(LEFT(ARCH!G119,FIND("x",ARCH!G119)-1))*VALUE(MID(ARCH!G119,FIND("x",ARCH!G119)+1,9))))</f>
        <v>336</v>
      </c>
      <c r="H119" s="10" t="n">
        <f aca="false">IF(ARCH!H119="",INPUTS!$B$19,IF(LEFT(ARCH!H119,1)="d",PI()/4*VALUE(MID(ARCH!H119,2,9))^2,VALUE(LEFT(ARCH!H119,FIND("x",ARCH!H119)-1))*VALUE(MID(ARCH!H119,FIND("x",ARCH!H119)+1,9))))</f>
        <v>336</v>
      </c>
      <c r="I119" s="10" t="n">
        <f aca="false">IF(ARCH!I119="",INPUTS!$B$19,IF(LEFT(ARCH!I119,1)="d",PI()/4*VALUE(MID(ARCH!I119,2,9))^2,VALUE(LEFT(ARCH!I119,FIND("x",ARCH!I119)-1))*VALUE(MID(ARCH!I119,FIND("x",ARCH!I119)+1,9))))</f>
        <v>336</v>
      </c>
      <c r="J119" s="10" t="n">
        <f aca="false">IF(ARCH!J119="",INPUTS!$B$19,IF(LEFT(ARCH!J119,1)="d",PI()/4*VALUE(MID(ARCH!J119,2,9))^2,VALUE(LEFT(ARCH!J119,FIND("x",ARCH!J119)-1))*VALUE(MID(ARCH!J119,FIND("x",ARCH!J119)+1,9))))</f>
        <v>504</v>
      </c>
      <c r="K119" s="10" t="n">
        <f aca="false">IF(ARCH!K119="",INPUTS!$B$19,IF(LEFT(ARCH!K119,1)="d",PI()/4*VALUE(MID(ARCH!K119,2,9))^2,VALUE(LEFT(ARCH!K119,FIND("x",ARCH!K119)-1))*VALUE(MID(ARCH!K119,FIND("x",ARCH!K119)+1,9))))</f>
        <v>336</v>
      </c>
      <c r="L119" s="10" t="n">
        <f aca="false">IF(ARCH!L119="",INPUTS!$B$19,IF(LEFT(ARCH!L119,1)="d",PI()/4*VALUE(MID(ARCH!L119,2,9))^2,VALUE(LEFT(ARCH!L119,FIND("x",ARCH!L119)-1))*VALUE(MID(ARCH!L119,FIND("x",ARCH!L119)+1,9))))</f>
        <v>336</v>
      </c>
      <c r="M119" s="10" t="n">
        <f aca="false">IF(ARCH!M119="",INPUTS!$B$19,IF(LEFT(ARCH!M119,1)="d",PI()/4*VALUE(MID(ARCH!M119,2,9))^2,VALUE(LEFT(ARCH!M119,FIND("x",ARCH!M119)-1))*VALUE(MID(ARCH!M119,FIND("x",ARCH!M119)+1,9))))</f>
        <v>336</v>
      </c>
      <c r="N119" s="10" t="n">
        <f aca="false">IF(ARCH!N119="",INPUTS!$B$19,IF(LEFT(ARCH!N119,1)="d",PI()/4*VALUE(MID(ARCH!N119,2,9))^2,VALUE(LEFT(ARCH!N119,FIND("x",ARCH!N119)-1))*VALUE(MID(ARCH!N119,FIND("x",ARCH!N119)+1,9))))</f>
        <v>336</v>
      </c>
      <c r="O119" s="10" t="n">
        <f aca="false">IF(ARCH!O119="",INPUTS!$B$19,IF(LEFT(ARCH!O119,1)="d",PI()/4*VALUE(MID(ARCH!O119,2,9))^2,VALUE(LEFT(ARCH!O119,FIND("x",ARCH!O119)-1))*VALUE(MID(ARCH!O119,FIND("x",ARCH!O119)+1,9))))</f>
        <v>336</v>
      </c>
      <c r="P119" s="10" t="n">
        <f aca="false">IF(ARCH!P119="",INPUTS!$B$19,IF(LEFT(ARCH!P119,1)="d",PI()/4*VALUE(MID(ARCH!P119,2,9))^2,VALUE(LEFT(ARCH!P119,FIND("x",ARCH!P119)-1))*VALUE(MID(ARCH!P119,FIND("x",ARCH!P119)+1,9))))</f>
        <v>336</v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10" t="n">
        <f aca="false">IF(ARCH!E120="",INPUTS!$B$19,IF(LEFT(ARCH!E120,1)="d",PI()/4*VALUE(MID(ARCH!E120,2,9))^2,VALUE(LEFT(ARCH!E120,FIND("x",ARCH!E120)-1))*VALUE(MID(ARCH!E120,FIND("x",ARCH!E120)+1,9))))</f>
        <v>336</v>
      </c>
      <c r="F120" s="10" t="n">
        <f aca="false">IF(ARCH!F120="",INPUTS!$B$19,IF(LEFT(ARCH!F120,1)="d",PI()/4*VALUE(MID(ARCH!F120,2,9))^2,VALUE(LEFT(ARCH!F120,FIND("x",ARCH!F120)-1))*VALUE(MID(ARCH!F120,FIND("x",ARCH!F120)+1,9))))</f>
        <v>336</v>
      </c>
      <c r="G120" s="10" t="n">
        <f aca="false">IF(ARCH!G120="",INPUTS!$B$19,IF(LEFT(ARCH!G120,1)="d",PI()/4*VALUE(MID(ARCH!G120,2,9))^2,VALUE(LEFT(ARCH!G120,FIND("x",ARCH!G120)-1))*VALUE(MID(ARCH!G120,FIND("x",ARCH!G120)+1,9))))</f>
        <v>336</v>
      </c>
      <c r="H120" s="10" t="n">
        <f aca="false">IF(ARCH!H120="",INPUTS!$B$19,IF(LEFT(ARCH!H120,1)="d",PI()/4*VALUE(MID(ARCH!H120,2,9))^2,VALUE(LEFT(ARCH!H120,FIND("x",ARCH!H120)-1))*VALUE(MID(ARCH!H120,FIND("x",ARCH!H120)+1,9))))</f>
        <v>336</v>
      </c>
      <c r="I120" s="10" t="n">
        <f aca="false">IF(ARCH!I120="",INPUTS!$B$19,IF(LEFT(ARCH!I120,1)="d",PI()/4*VALUE(MID(ARCH!I120,2,9))^2,VALUE(LEFT(ARCH!I120,FIND("x",ARCH!I120)-1))*VALUE(MID(ARCH!I120,FIND("x",ARCH!I120)+1,9))))</f>
        <v>336</v>
      </c>
      <c r="J120" s="10" t="n">
        <f aca="false">IF(ARCH!J120="",INPUTS!$B$19,IF(LEFT(ARCH!J120,1)="d",PI()/4*VALUE(MID(ARCH!J120,2,9))^2,VALUE(LEFT(ARCH!J120,FIND("x",ARCH!J120)-1))*VALUE(MID(ARCH!J120,FIND("x",ARCH!J120)+1,9))))</f>
        <v>504</v>
      </c>
      <c r="K120" s="10" t="n">
        <f aca="false">IF(ARCH!K120="",INPUTS!$B$19,IF(LEFT(ARCH!K120,1)="d",PI()/4*VALUE(MID(ARCH!K120,2,9))^2,VALUE(LEFT(ARCH!K120,FIND("x",ARCH!K120)-1))*VALUE(MID(ARCH!K120,FIND("x",ARCH!K120)+1,9))))</f>
        <v>336</v>
      </c>
      <c r="L120" s="10" t="n">
        <f aca="false">IF(ARCH!L120="",INPUTS!$B$19,IF(LEFT(ARCH!L120,1)="d",PI()/4*VALUE(MID(ARCH!L120,2,9))^2,VALUE(LEFT(ARCH!L120,FIND("x",ARCH!L120)-1))*VALUE(MID(ARCH!L120,FIND("x",ARCH!L120)+1,9))))</f>
        <v>336</v>
      </c>
      <c r="M120" s="10" t="n">
        <f aca="false">IF(ARCH!M120="",INPUTS!$B$19,IF(LEFT(ARCH!M120,1)="d",PI()/4*VALUE(MID(ARCH!M120,2,9))^2,VALUE(LEFT(ARCH!M120,FIND("x",ARCH!M120)-1))*VALUE(MID(ARCH!M120,FIND("x",ARCH!M120)+1,9))))</f>
        <v>336</v>
      </c>
      <c r="N120" s="10" t="n">
        <f aca="false">IF(ARCH!N120="",INPUTS!$B$19,IF(LEFT(ARCH!N120,1)="d",PI()/4*VALUE(MID(ARCH!N120,2,9))^2,VALUE(LEFT(ARCH!N120,FIND("x",ARCH!N120)-1))*VALUE(MID(ARCH!N120,FIND("x",ARCH!N120)+1,9))))</f>
        <v>336</v>
      </c>
      <c r="O120" s="10" t="n">
        <f aca="false">IF(ARCH!O120="",INPUTS!$B$19,IF(LEFT(ARCH!O120,1)="d",PI()/4*VALUE(MID(ARCH!O120,2,9))^2,VALUE(LEFT(ARCH!O120,FIND("x",ARCH!O120)-1))*VALUE(MID(ARCH!O120,FIND("x",ARCH!O120)+1,9))))</f>
        <v>336</v>
      </c>
      <c r="P120" s="10" t="n">
        <f aca="false">IF(ARCH!P120="",INPUTS!$B$19,IF(LEFT(ARCH!P120,1)="d",PI()/4*VALUE(MID(ARCH!P120,2,9))^2,VALUE(LEFT(ARCH!P120,FIND("x",ARCH!P120)-1))*VALUE(MID(ARCH!P120,FIND("x",ARCH!P120)+1,9))))</f>
        <v>336</v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10" t="n">
        <f aca="false">IF(ARCH!E121="",INPUTS!$B$19,IF(LEFT(ARCH!E121,1)="d",PI()/4*VALUE(MID(ARCH!E121,2,9))^2,VALUE(LEFT(ARCH!E121,FIND("x",ARCH!E121)-1))*VALUE(MID(ARCH!E121,FIND("x",ARCH!E121)+1,9))))</f>
        <v>336</v>
      </c>
      <c r="F121" s="10" t="n">
        <f aca="false">IF(ARCH!F121="",INPUTS!$B$19,IF(LEFT(ARCH!F121,1)="d",PI()/4*VALUE(MID(ARCH!F121,2,9))^2,VALUE(LEFT(ARCH!F121,FIND("x",ARCH!F121)-1))*VALUE(MID(ARCH!F121,FIND("x",ARCH!F121)+1,9))))</f>
        <v>336</v>
      </c>
      <c r="G121" s="10" t="n">
        <f aca="false">IF(ARCH!G121="",INPUTS!$B$19,IF(LEFT(ARCH!G121,1)="d",PI()/4*VALUE(MID(ARCH!G121,2,9))^2,VALUE(LEFT(ARCH!G121,FIND("x",ARCH!G121)-1))*VALUE(MID(ARCH!G121,FIND("x",ARCH!G121)+1,9))))</f>
        <v>336</v>
      </c>
      <c r="H121" s="10" t="n">
        <f aca="false">IF(ARCH!H121="",INPUTS!$B$19,IF(LEFT(ARCH!H121,1)="d",PI()/4*VALUE(MID(ARCH!H121,2,9))^2,VALUE(LEFT(ARCH!H121,FIND("x",ARCH!H121)-1))*VALUE(MID(ARCH!H121,FIND("x",ARCH!H121)+1,9))))</f>
        <v>336</v>
      </c>
      <c r="I121" s="10" t="n">
        <f aca="false">IF(ARCH!I121="",INPUTS!$B$19,IF(LEFT(ARCH!I121,1)="d",PI()/4*VALUE(MID(ARCH!I121,2,9))^2,VALUE(LEFT(ARCH!I121,FIND("x",ARCH!I121)-1))*VALUE(MID(ARCH!I121,FIND("x",ARCH!I121)+1,9))))</f>
        <v>336</v>
      </c>
      <c r="J121" s="10" t="n">
        <f aca="false">IF(ARCH!J121="",INPUTS!$B$19,IF(LEFT(ARCH!J121,1)="d",PI()/4*VALUE(MID(ARCH!J121,2,9))^2,VALUE(LEFT(ARCH!J121,FIND("x",ARCH!J121)-1))*VALUE(MID(ARCH!J121,FIND("x",ARCH!J121)+1,9))))</f>
        <v>504</v>
      </c>
      <c r="K121" s="10" t="n">
        <f aca="false">IF(ARCH!K121="",INPUTS!$B$19,IF(LEFT(ARCH!K121,1)="d",PI()/4*VALUE(MID(ARCH!K121,2,9))^2,VALUE(LEFT(ARCH!K121,FIND("x",ARCH!K121)-1))*VALUE(MID(ARCH!K121,FIND("x",ARCH!K121)+1,9))))</f>
        <v>336</v>
      </c>
      <c r="L121" s="10" t="n">
        <f aca="false">IF(ARCH!L121="",INPUTS!$B$19,IF(LEFT(ARCH!L121,1)="d",PI()/4*VALUE(MID(ARCH!L121,2,9))^2,VALUE(LEFT(ARCH!L121,FIND("x",ARCH!L121)-1))*VALUE(MID(ARCH!L121,FIND("x",ARCH!L121)+1,9))))</f>
        <v>336</v>
      </c>
      <c r="M121" s="10" t="n">
        <f aca="false">IF(ARCH!M121="",INPUTS!$B$19,IF(LEFT(ARCH!M121,1)="d",PI()/4*VALUE(MID(ARCH!M121,2,9))^2,VALUE(LEFT(ARCH!M121,FIND("x",ARCH!M121)-1))*VALUE(MID(ARCH!M121,FIND("x",ARCH!M121)+1,9))))</f>
        <v>336</v>
      </c>
      <c r="N121" s="10" t="n">
        <f aca="false">IF(ARCH!N121="",INPUTS!$B$19,IF(LEFT(ARCH!N121,1)="d",PI()/4*VALUE(MID(ARCH!N121,2,9))^2,VALUE(LEFT(ARCH!N121,FIND("x",ARCH!N121)-1))*VALUE(MID(ARCH!N121,FIND("x",ARCH!N121)+1,9))))</f>
        <v>336</v>
      </c>
      <c r="O121" s="10" t="n">
        <f aca="false">IF(ARCH!O121="",INPUTS!$B$19,IF(LEFT(ARCH!O121,1)="d",PI()/4*VALUE(MID(ARCH!O121,2,9))^2,VALUE(LEFT(ARCH!O121,FIND("x",ARCH!O121)-1))*VALUE(MID(ARCH!O121,FIND("x",ARCH!O121)+1,9))))</f>
        <v>336</v>
      </c>
      <c r="P121" s="10" t="n">
        <f aca="false">IF(ARCH!P121="",INPUTS!$B$19,IF(LEFT(ARCH!P121,1)="d",PI()/4*VALUE(MID(ARCH!P121,2,9))^2,VALUE(LEFT(ARCH!P121,FIND("x",ARCH!P121)-1))*VALUE(MID(ARCH!P121,FIND("x",ARCH!P121)+1,9))))</f>
        <v>336</v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10" t="n">
        <f aca="false">IF(ARCH!E122="",INPUTS!$B$19,IF(LEFT(ARCH!E122,1)="d",PI()/4*VALUE(MID(ARCH!E122,2,9))^2,VALUE(LEFT(ARCH!E122,FIND("x",ARCH!E122)-1))*VALUE(MID(ARCH!E122,FIND("x",ARCH!E122)+1,9))))</f>
        <v>336</v>
      </c>
      <c r="F122" s="10" t="n">
        <f aca="false">IF(ARCH!F122="",INPUTS!$B$19,IF(LEFT(ARCH!F122,1)="d",PI()/4*VALUE(MID(ARCH!F122,2,9))^2,VALUE(LEFT(ARCH!F122,FIND("x",ARCH!F122)-1))*VALUE(MID(ARCH!F122,FIND("x",ARCH!F122)+1,9))))</f>
        <v>336</v>
      </c>
      <c r="G122" s="10" t="n">
        <f aca="false">IF(ARCH!G122="",INPUTS!$B$19,IF(LEFT(ARCH!G122,1)="d",PI()/4*VALUE(MID(ARCH!G122,2,9))^2,VALUE(LEFT(ARCH!G122,FIND("x",ARCH!G122)-1))*VALUE(MID(ARCH!G122,FIND("x",ARCH!G122)+1,9))))</f>
        <v>336</v>
      </c>
      <c r="H122" s="10" t="n">
        <f aca="false">IF(ARCH!H122="",INPUTS!$B$19,IF(LEFT(ARCH!H122,1)="d",PI()/4*VALUE(MID(ARCH!H122,2,9))^2,VALUE(LEFT(ARCH!H122,FIND("x",ARCH!H122)-1))*VALUE(MID(ARCH!H122,FIND("x",ARCH!H122)+1,9))))</f>
        <v>336</v>
      </c>
      <c r="I122" s="10" t="n">
        <f aca="false">IF(ARCH!I122="",INPUTS!$B$19,IF(LEFT(ARCH!I122,1)="d",PI()/4*VALUE(MID(ARCH!I122,2,9))^2,VALUE(LEFT(ARCH!I122,FIND("x",ARCH!I122)-1))*VALUE(MID(ARCH!I122,FIND("x",ARCH!I122)+1,9))))</f>
        <v>336</v>
      </c>
      <c r="J122" s="10" t="n">
        <f aca="false">IF(ARCH!J122="",INPUTS!$B$19,IF(LEFT(ARCH!J122,1)="d",PI()/4*VALUE(MID(ARCH!J122,2,9))^2,VALUE(LEFT(ARCH!J122,FIND("x",ARCH!J122)-1))*VALUE(MID(ARCH!J122,FIND("x",ARCH!J122)+1,9))))</f>
        <v>504</v>
      </c>
      <c r="K122" s="10" t="n">
        <f aca="false">IF(ARCH!K122="",INPUTS!$B$19,IF(LEFT(ARCH!K122,1)="d",PI()/4*VALUE(MID(ARCH!K122,2,9))^2,VALUE(LEFT(ARCH!K122,FIND("x",ARCH!K122)-1))*VALUE(MID(ARCH!K122,FIND("x",ARCH!K122)+1,9))))</f>
        <v>336</v>
      </c>
      <c r="L122" s="10" t="n">
        <f aca="false">IF(ARCH!L122="",INPUTS!$B$19,IF(LEFT(ARCH!L122,1)="d",PI()/4*VALUE(MID(ARCH!L122,2,9))^2,VALUE(LEFT(ARCH!L122,FIND("x",ARCH!L122)-1))*VALUE(MID(ARCH!L122,FIND("x",ARCH!L122)+1,9))))</f>
        <v>336</v>
      </c>
      <c r="M122" s="10" t="n">
        <f aca="false">IF(ARCH!M122="",INPUTS!$B$19,IF(LEFT(ARCH!M122,1)="d",PI()/4*VALUE(MID(ARCH!M122,2,9))^2,VALUE(LEFT(ARCH!M122,FIND("x",ARCH!M122)-1))*VALUE(MID(ARCH!M122,FIND("x",ARCH!M122)+1,9))))</f>
        <v>336</v>
      </c>
      <c r="N122" s="10" t="n">
        <f aca="false">IF(ARCH!N122="",INPUTS!$B$19,IF(LEFT(ARCH!N122,1)="d",PI()/4*VALUE(MID(ARCH!N122,2,9))^2,VALUE(LEFT(ARCH!N122,FIND("x",ARCH!N122)-1))*VALUE(MID(ARCH!N122,FIND("x",ARCH!N122)+1,9))))</f>
        <v>336</v>
      </c>
      <c r="O122" s="10" t="n">
        <f aca="false">IF(ARCH!O122="",INPUTS!$B$19,IF(LEFT(ARCH!O122,1)="d",PI()/4*VALUE(MID(ARCH!O122,2,9))^2,VALUE(LEFT(ARCH!O122,FIND("x",ARCH!O122)-1))*VALUE(MID(ARCH!O122,FIND("x",ARCH!O122)+1,9))))</f>
        <v>336</v>
      </c>
      <c r="P122" s="10" t="n">
        <f aca="false">IF(ARCH!P122="",INPUTS!$B$19,IF(LEFT(ARCH!P122,1)="d",PI()/4*VALUE(MID(ARCH!P122,2,9))^2,VALUE(LEFT(ARCH!P122,FIND("x",ARCH!P122)-1))*VALUE(MID(ARCH!P122,FIND("x",ARCH!P122)+1,9))))</f>
        <v>336</v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10" t="n">
        <f aca="false">IF(ARCH!E123="",INPUTS!$B$19,IF(LEFT(ARCH!E123,1)="d",PI()/4*VALUE(MID(ARCH!E123,2,9))^2,VALUE(LEFT(ARCH!E123,FIND("x",ARCH!E123)-1))*VALUE(MID(ARCH!E123,FIND("x",ARCH!E123)+1,9))))</f>
        <v>336</v>
      </c>
      <c r="F123" s="10" t="n">
        <f aca="false">IF(ARCH!F123="",INPUTS!$B$19,IF(LEFT(ARCH!F123,1)="d",PI()/4*VALUE(MID(ARCH!F123,2,9))^2,VALUE(LEFT(ARCH!F123,FIND("x",ARCH!F123)-1))*VALUE(MID(ARCH!F123,FIND("x",ARCH!F123)+1,9))))</f>
        <v>336</v>
      </c>
      <c r="G123" s="10" t="n">
        <f aca="false">IF(ARCH!G123="",INPUTS!$B$19,IF(LEFT(ARCH!G123,1)="d",PI()/4*VALUE(MID(ARCH!G123,2,9))^2,VALUE(LEFT(ARCH!G123,FIND("x",ARCH!G123)-1))*VALUE(MID(ARCH!G123,FIND("x",ARCH!G123)+1,9))))</f>
        <v>336</v>
      </c>
      <c r="H123" s="10" t="n">
        <f aca="false">IF(ARCH!H123="",INPUTS!$B$19,IF(LEFT(ARCH!H123,1)="d",PI()/4*VALUE(MID(ARCH!H123,2,9))^2,VALUE(LEFT(ARCH!H123,FIND("x",ARCH!H123)-1))*VALUE(MID(ARCH!H123,FIND("x",ARCH!H123)+1,9))))</f>
        <v>336</v>
      </c>
      <c r="I123" s="10" t="n">
        <f aca="false">IF(ARCH!I123="",INPUTS!$B$19,IF(LEFT(ARCH!I123,1)="d",PI()/4*VALUE(MID(ARCH!I123,2,9))^2,VALUE(LEFT(ARCH!I123,FIND("x",ARCH!I123)-1))*VALUE(MID(ARCH!I123,FIND("x",ARCH!I123)+1,9))))</f>
        <v>336</v>
      </c>
      <c r="J123" s="10" t="n">
        <f aca="false">IF(ARCH!J123="",INPUTS!$B$19,IF(LEFT(ARCH!J123,1)="d",PI()/4*VALUE(MID(ARCH!J123,2,9))^2,VALUE(LEFT(ARCH!J123,FIND("x",ARCH!J123)-1))*VALUE(MID(ARCH!J123,FIND("x",ARCH!J123)+1,9))))</f>
        <v>504</v>
      </c>
      <c r="K123" s="10" t="n">
        <f aca="false">IF(ARCH!K123="",INPUTS!$B$19,IF(LEFT(ARCH!K123,1)="d",PI()/4*VALUE(MID(ARCH!K123,2,9))^2,VALUE(LEFT(ARCH!K123,FIND("x",ARCH!K123)-1))*VALUE(MID(ARCH!K123,FIND("x",ARCH!K123)+1,9))))</f>
        <v>336</v>
      </c>
      <c r="L123" s="10" t="n">
        <f aca="false">IF(ARCH!L123="",INPUTS!$B$19,IF(LEFT(ARCH!L123,1)="d",PI()/4*VALUE(MID(ARCH!L123,2,9))^2,VALUE(LEFT(ARCH!L123,FIND("x",ARCH!L123)-1))*VALUE(MID(ARCH!L123,FIND("x",ARCH!L123)+1,9))))</f>
        <v>336</v>
      </c>
      <c r="M123" s="10" t="n">
        <f aca="false">IF(ARCH!M123="",INPUTS!$B$19,IF(LEFT(ARCH!M123,1)="d",PI()/4*VALUE(MID(ARCH!M123,2,9))^2,VALUE(LEFT(ARCH!M123,FIND("x",ARCH!M123)-1))*VALUE(MID(ARCH!M123,FIND("x",ARCH!M123)+1,9))))</f>
        <v>336</v>
      </c>
      <c r="N123" s="10" t="n">
        <f aca="false">IF(ARCH!N123="",INPUTS!$B$19,IF(LEFT(ARCH!N123,1)="d",PI()/4*VALUE(MID(ARCH!N123,2,9))^2,VALUE(LEFT(ARCH!N123,FIND("x",ARCH!N123)-1))*VALUE(MID(ARCH!N123,FIND("x",ARCH!N123)+1,9))))</f>
        <v>336</v>
      </c>
      <c r="O123" s="10" t="n">
        <f aca="false">IF(ARCH!O123="",INPUTS!$B$19,IF(LEFT(ARCH!O123,1)="d",PI()/4*VALUE(MID(ARCH!O123,2,9))^2,VALUE(LEFT(ARCH!O123,FIND("x",ARCH!O123)-1))*VALUE(MID(ARCH!O123,FIND("x",ARCH!O123)+1,9))))</f>
        <v>336</v>
      </c>
      <c r="P123" s="10" t="n">
        <f aca="false">IF(ARCH!P123="",INPUTS!$B$19,IF(LEFT(ARCH!P123,1)="d",PI()/4*VALUE(MID(ARCH!P123,2,9))^2,VALUE(LEFT(ARCH!P123,FIND("x",ARCH!P123)-1))*VALUE(MID(ARCH!P123,FIND("x",ARCH!P123)+1,9))))</f>
        <v>336</v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10" t="n">
        <f aca="false">IF(ARCH!E124="",INPUTS!$B$19,IF(LEFT(ARCH!E124,1)="d",PI()/4*VALUE(MID(ARCH!E124,2,9))^2,VALUE(LEFT(ARCH!E124,FIND("x",ARCH!E124)-1))*VALUE(MID(ARCH!E124,FIND("x",ARCH!E124)+1,9))))</f>
        <v>336</v>
      </c>
      <c r="F124" s="10" t="n">
        <f aca="false">IF(ARCH!F124="",INPUTS!$B$19,IF(LEFT(ARCH!F124,1)="d",PI()/4*VALUE(MID(ARCH!F124,2,9))^2,VALUE(LEFT(ARCH!F124,FIND("x",ARCH!F124)-1))*VALUE(MID(ARCH!F124,FIND("x",ARCH!F124)+1,9))))</f>
        <v>336</v>
      </c>
      <c r="G124" s="10" t="n">
        <f aca="false">IF(ARCH!G124="",INPUTS!$B$19,IF(LEFT(ARCH!G124,1)="d",PI()/4*VALUE(MID(ARCH!G124,2,9))^2,VALUE(LEFT(ARCH!G124,FIND("x",ARCH!G124)-1))*VALUE(MID(ARCH!G124,FIND("x",ARCH!G124)+1,9))))</f>
        <v>336</v>
      </c>
      <c r="H124" s="10" t="n">
        <f aca="false">IF(ARCH!H124="",INPUTS!$B$19,IF(LEFT(ARCH!H124,1)="d",PI()/4*VALUE(MID(ARCH!H124,2,9))^2,VALUE(LEFT(ARCH!H124,FIND("x",ARCH!H124)-1))*VALUE(MID(ARCH!H124,FIND("x",ARCH!H124)+1,9))))</f>
        <v>336</v>
      </c>
      <c r="I124" s="10" t="n">
        <f aca="false">IF(ARCH!I124="",INPUTS!$B$19,IF(LEFT(ARCH!I124,1)="d",PI()/4*VALUE(MID(ARCH!I124,2,9))^2,VALUE(LEFT(ARCH!I124,FIND("x",ARCH!I124)-1))*VALUE(MID(ARCH!I124,FIND("x",ARCH!I124)+1,9))))</f>
        <v>336</v>
      </c>
      <c r="J124" s="10" t="n">
        <f aca="false">IF(ARCH!J124="",INPUTS!$B$19,IF(LEFT(ARCH!J124,1)="d",PI()/4*VALUE(MID(ARCH!J124,2,9))^2,VALUE(LEFT(ARCH!J124,FIND("x",ARCH!J124)-1))*VALUE(MID(ARCH!J124,FIND("x",ARCH!J124)+1,9))))</f>
        <v>504</v>
      </c>
      <c r="K124" s="10" t="n">
        <f aca="false">IF(ARCH!K124="",INPUTS!$B$19,IF(LEFT(ARCH!K124,1)="d",PI()/4*VALUE(MID(ARCH!K124,2,9))^2,VALUE(LEFT(ARCH!K124,FIND("x",ARCH!K124)-1))*VALUE(MID(ARCH!K124,FIND("x",ARCH!K124)+1,9))))</f>
        <v>336</v>
      </c>
      <c r="L124" s="10" t="n">
        <f aca="false">IF(ARCH!L124="",INPUTS!$B$19,IF(LEFT(ARCH!L124,1)="d",PI()/4*VALUE(MID(ARCH!L124,2,9))^2,VALUE(LEFT(ARCH!L124,FIND("x",ARCH!L124)-1))*VALUE(MID(ARCH!L124,FIND("x",ARCH!L124)+1,9))))</f>
        <v>336</v>
      </c>
      <c r="M124" s="10" t="n">
        <f aca="false">IF(ARCH!M124="",INPUTS!$B$19,IF(LEFT(ARCH!M124,1)="d",PI()/4*VALUE(MID(ARCH!M124,2,9))^2,VALUE(LEFT(ARCH!M124,FIND("x",ARCH!M124)-1))*VALUE(MID(ARCH!M124,FIND("x",ARCH!M124)+1,9))))</f>
        <v>336</v>
      </c>
      <c r="N124" s="10" t="n">
        <f aca="false">IF(ARCH!N124="",INPUTS!$B$19,IF(LEFT(ARCH!N124,1)="d",PI()/4*VALUE(MID(ARCH!N124,2,9))^2,VALUE(LEFT(ARCH!N124,FIND("x",ARCH!N124)-1))*VALUE(MID(ARCH!N124,FIND("x",ARCH!N124)+1,9))))</f>
        <v>336</v>
      </c>
      <c r="O124" s="10" t="n">
        <f aca="false">IF(ARCH!O124="",INPUTS!$B$19,IF(LEFT(ARCH!O124,1)="d",PI()/4*VALUE(MID(ARCH!O124,2,9))^2,VALUE(LEFT(ARCH!O124,FIND("x",ARCH!O124)-1))*VALUE(MID(ARCH!O124,FIND("x",ARCH!O124)+1,9))))</f>
        <v>336</v>
      </c>
      <c r="P124" s="10" t="n">
        <f aca="false">IF(ARCH!P124="",INPUTS!$B$19,IF(LEFT(ARCH!P124,1)="d",PI()/4*VALUE(MID(ARCH!P124,2,9))^2,VALUE(LEFT(ARCH!P124,FIND("x",ARCH!P124)-1))*VALUE(MID(ARCH!P124,FIND("x",ARCH!P124)+1,9))))</f>
        <v>336</v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10" t="n">
        <f aca="false">IF(ARCH!E125="",INPUTS!$B$19,IF(LEFT(ARCH!E125,1)="d",PI()/4*VALUE(MID(ARCH!E125,2,9))^2,VALUE(LEFT(ARCH!E125,FIND("x",ARCH!E125)-1))*VALUE(MID(ARCH!E125,FIND("x",ARCH!E125)+1,9))))</f>
        <v>336</v>
      </c>
      <c r="F125" s="10" t="n">
        <f aca="false">IF(ARCH!F125="",INPUTS!$B$19,IF(LEFT(ARCH!F125,1)="d",PI()/4*VALUE(MID(ARCH!F125,2,9))^2,VALUE(LEFT(ARCH!F125,FIND("x",ARCH!F125)-1))*VALUE(MID(ARCH!F125,FIND("x",ARCH!F125)+1,9))))</f>
        <v>336</v>
      </c>
      <c r="G125" s="10" t="n">
        <f aca="false">IF(ARCH!G125="",INPUTS!$B$19,IF(LEFT(ARCH!G125,1)="d",PI()/4*VALUE(MID(ARCH!G125,2,9))^2,VALUE(LEFT(ARCH!G125,FIND("x",ARCH!G125)-1))*VALUE(MID(ARCH!G125,FIND("x",ARCH!G125)+1,9))))</f>
        <v>336</v>
      </c>
      <c r="H125" s="10" t="n">
        <f aca="false">IF(ARCH!H125="",INPUTS!$B$19,IF(LEFT(ARCH!H125,1)="d",PI()/4*VALUE(MID(ARCH!H125,2,9))^2,VALUE(LEFT(ARCH!H125,FIND("x",ARCH!H125)-1))*VALUE(MID(ARCH!H125,FIND("x",ARCH!H125)+1,9))))</f>
        <v>336</v>
      </c>
      <c r="I125" s="10" t="n">
        <f aca="false">IF(ARCH!I125="",INPUTS!$B$19,IF(LEFT(ARCH!I125,1)="d",PI()/4*VALUE(MID(ARCH!I125,2,9))^2,VALUE(LEFT(ARCH!I125,FIND("x",ARCH!I125)-1))*VALUE(MID(ARCH!I125,FIND("x",ARCH!I125)+1,9))))</f>
        <v>336</v>
      </c>
      <c r="J125" s="10" t="n">
        <f aca="false">IF(ARCH!J125="",INPUTS!$B$19,IF(LEFT(ARCH!J125,1)="d",PI()/4*VALUE(MID(ARCH!J125,2,9))^2,VALUE(LEFT(ARCH!J125,FIND("x",ARCH!J125)-1))*VALUE(MID(ARCH!J125,FIND("x",ARCH!J125)+1,9))))</f>
        <v>504</v>
      </c>
      <c r="K125" s="10" t="n">
        <f aca="false">IF(ARCH!K125="",INPUTS!$B$19,IF(LEFT(ARCH!K125,1)="d",PI()/4*VALUE(MID(ARCH!K125,2,9))^2,VALUE(LEFT(ARCH!K125,FIND("x",ARCH!K125)-1))*VALUE(MID(ARCH!K125,FIND("x",ARCH!K125)+1,9))))</f>
        <v>336</v>
      </c>
      <c r="L125" s="10" t="n">
        <f aca="false">IF(ARCH!L125="",INPUTS!$B$19,IF(LEFT(ARCH!L125,1)="d",PI()/4*VALUE(MID(ARCH!L125,2,9))^2,VALUE(LEFT(ARCH!L125,FIND("x",ARCH!L125)-1))*VALUE(MID(ARCH!L125,FIND("x",ARCH!L125)+1,9))))</f>
        <v>336</v>
      </c>
      <c r="M125" s="10" t="n">
        <f aca="false">IF(ARCH!M125="",INPUTS!$B$19,IF(LEFT(ARCH!M125,1)="d",PI()/4*VALUE(MID(ARCH!M125,2,9))^2,VALUE(LEFT(ARCH!M125,FIND("x",ARCH!M125)-1))*VALUE(MID(ARCH!M125,FIND("x",ARCH!M125)+1,9))))</f>
        <v>336</v>
      </c>
      <c r="N125" s="10" t="n">
        <f aca="false">IF(ARCH!N125="",INPUTS!$B$19,IF(LEFT(ARCH!N125,1)="d",PI()/4*VALUE(MID(ARCH!N125,2,9))^2,VALUE(LEFT(ARCH!N125,FIND("x",ARCH!N125)-1))*VALUE(MID(ARCH!N125,FIND("x",ARCH!N125)+1,9))))</f>
        <v>336</v>
      </c>
      <c r="O125" s="10" t="n">
        <f aca="false">IF(ARCH!O125="",INPUTS!$B$19,IF(LEFT(ARCH!O125,1)="d",PI()/4*VALUE(MID(ARCH!O125,2,9))^2,VALUE(LEFT(ARCH!O125,FIND("x",ARCH!O125)-1))*VALUE(MID(ARCH!O125,FIND("x",ARCH!O125)+1,9))))</f>
        <v>336</v>
      </c>
      <c r="P125" s="10" t="n">
        <f aca="false">IF(ARCH!P125="",INPUTS!$B$19,IF(LEFT(ARCH!P125,1)="d",PI()/4*VALUE(MID(ARCH!P125,2,9))^2,VALUE(LEFT(ARCH!P125,FIND("x",ARCH!P125)-1))*VALUE(MID(ARCH!P125,FIND("x",ARCH!P125)+1,9))))</f>
        <v>336</v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10" t="n">
        <f aca="false">IF(ARCH!E126="",INPUTS!$B$19,IF(LEFT(ARCH!E126,1)="d",PI()/4*VALUE(MID(ARCH!E126,2,9))^2,VALUE(LEFT(ARCH!E126,FIND("x",ARCH!E126)-1))*VALUE(MID(ARCH!E126,FIND("x",ARCH!E126)+1,9))))</f>
        <v>336</v>
      </c>
      <c r="F126" s="10" t="n">
        <f aca="false">IF(ARCH!F126="",INPUTS!$B$19,IF(LEFT(ARCH!F126,1)="d",PI()/4*VALUE(MID(ARCH!F126,2,9))^2,VALUE(LEFT(ARCH!F126,FIND("x",ARCH!F126)-1))*VALUE(MID(ARCH!F126,FIND("x",ARCH!F126)+1,9))))</f>
        <v>336</v>
      </c>
      <c r="G126" s="10" t="n">
        <f aca="false">IF(ARCH!G126="",INPUTS!$B$19,IF(LEFT(ARCH!G126,1)="d",PI()/4*VALUE(MID(ARCH!G126,2,9))^2,VALUE(LEFT(ARCH!G126,FIND("x",ARCH!G126)-1))*VALUE(MID(ARCH!G126,FIND("x",ARCH!G126)+1,9))))</f>
        <v>336</v>
      </c>
      <c r="H126" s="10" t="n">
        <f aca="false">IF(ARCH!H126="",INPUTS!$B$19,IF(LEFT(ARCH!H126,1)="d",PI()/4*VALUE(MID(ARCH!H126,2,9))^2,VALUE(LEFT(ARCH!H126,FIND("x",ARCH!H126)-1))*VALUE(MID(ARCH!H126,FIND("x",ARCH!H126)+1,9))))</f>
        <v>336</v>
      </c>
      <c r="I126" s="10" t="n">
        <f aca="false">IF(ARCH!I126="",INPUTS!$B$19,IF(LEFT(ARCH!I126,1)="d",PI()/4*VALUE(MID(ARCH!I126,2,9))^2,VALUE(LEFT(ARCH!I126,FIND("x",ARCH!I126)-1))*VALUE(MID(ARCH!I126,FIND("x",ARCH!I126)+1,9))))</f>
        <v>336</v>
      </c>
      <c r="J126" s="10" t="n">
        <f aca="false">IF(ARCH!J126="",INPUTS!$B$19,IF(LEFT(ARCH!J126,1)="d",PI()/4*VALUE(MID(ARCH!J126,2,9))^2,VALUE(LEFT(ARCH!J126,FIND("x",ARCH!J126)-1))*VALUE(MID(ARCH!J126,FIND("x",ARCH!J126)+1,9))))</f>
        <v>504</v>
      </c>
      <c r="K126" s="10" t="n">
        <f aca="false">IF(ARCH!K126="",INPUTS!$B$19,IF(LEFT(ARCH!K126,1)="d",PI()/4*VALUE(MID(ARCH!K126,2,9))^2,VALUE(LEFT(ARCH!K126,FIND("x",ARCH!K126)-1))*VALUE(MID(ARCH!K126,FIND("x",ARCH!K126)+1,9))))</f>
        <v>336</v>
      </c>
      <c r="L126" s="10" t="n">
        <f aca="false">IF(ARCH!L126="",INPUTS!$B$19,IF(LEFT(ARCH!L126,1)="d",PI()/4*VALUE(MID(ARCH!L126,2,9))^2,VALUE(LEFT(ARCH!L126,FIND("x",ARCH!L126)-1))*VALUE(MID(ARCH!L126,FIND("x",ARCH!L126)+1,9))))</f>
        <v>336</v>
      </c>
      <c r="M126" s="10" t="n">
        <f aca="false">IF(ARCH!M126="",INPUTS!$B$19,IF(LEFT(ARCH!M126,1)="d",PI()/4*VALUE(MID(ARCH!M126,2,9))^2,VALUE(LEFT(ARCH!M126,FIND("x",ARCH!M126)-1))*VALUE(MID(ARCH!M126,FIND("x",ARCH!M126)+1,9))))</f>
        <v>336</v>
      </c>
      <c r="N126" s="10" t="n">
        <f aca="false">IF(ARCH!N126="",INPUTS!$B$19,IF(LEFT(ARCH!N126,1)="d",PI()/4*VALUE(MID(ARCH!N126,2,9))^2,VALUE(LEFT(ARCH!N126,FIND("x",ARCH!N126)-1))*VALUE(MID(ARCH!N126,FIND("x",ARCH!N126)+1,9))))</f>
        <v>336</v>
      </c>
      <c r="O126" s="10" t="n">
        <f aca="false">IF(ARCH!O126="",INPUTS!$B$19,IF(LEFT(ARCH!O126,1)="d",PI()/4*VALUE(MID(ARCH!O126,2,9))^2,VALUE(LEFT(ARCH!O126,FIND("x",ARCH!O126)-1))*VALUE(MID(ARCH!O126,FIND("x",ARCH!O126)+1,9))))</f>
        <v>336</v>
      </c>
      <c r="P126" s="10" t="n">
        <f aca="false">IF(ARCH!P126="",INPUTS!$B$19,IF(LEFT(ARCH!P126,1)="d",PI()/4*VALUE(MID(ARCH!P126,2,9))^2,VALUE(LEFT(ARCH!P126,FIND("x",ARCH!P126)-1))*VALUE(MID(ARCH!P126,FIND("x",ARCH!P126)+1,9))))</f>
        <v>336</v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10" t="n">
        <f aca="false">IF(ARCH!E127="",INPUTS!$B$19,IF(LEFT(ARCH!E127,1)="d",PI()/4*VALUE(MID(ARCH!E127,2,9))^2,VALUE(LEFT(ARCH!E127,FIND("x",ARCH!E127)-1))*VALUE(MID(ARCH!E127,FIND("x",ARCH!E127)+1,9))))</f>
        <v>336</v>
      </c>
      <c r="F127" s="10" t="n">
        <f aca="false">IF(ARCH!F127="",INPUTS!$B$19,IF(LEFT(ARCH!F127,1)="d",PI()/4*VALUE(MID(ARCH!F127,2,9))^2,VALUE(LEFT(ARCH!F127,FIND("x",ARCH!F127)-1))*VALUE(MID(ARCH!F127,FIND("x",ARCH!F127)+1,9))))</f>
        <v>336</v>
      </c>
      <c r="G127" s="10" t="n">
        <f aca="false">IF(ARCH!G127="",INPUTS!$B$19,IF(LEFT(ARCH!G127,1)="d",PI()/4*VALUE(MID(ARCH!G127,2,9))^2,VALUE(LEFT(ARCH!G127,FIND("x",ARCH!G127)-1))*VALUE(MID(ARCH!G127,FIND("x",ARCH!G127)+1,9))))</f>
        <v>336</v>
      </c>
      <c r="H127" s="10" t="n">
        <f aca="false">IF(ARCH!H127="",INPUTS!$B$19,IF(LEFT(ARCH!H127,1)="d",PI()/4*VALUE(MID(ARCH!H127,2,9))^2,VALUE(LEFT(ARCH!H127,FIND("x",ARCH!H127)-1))*VALUE(MID(ARCH!H127,FIND("x",ARCH!H127)+1,9))))</f>
        <v>336</v>
      </c>
      <c r="I127" s="10" t="n">
        <f aca="false">IF(ARCH!I127="",INPUTS!$B$19,IF(LEFT(ARCH!I127,1)="d",PI()/4*VALUE(MID(ARCH!I127,2,9))^2,VALUE(LEFT(ARCH!I127,FIND("x",ARCH!I127)-1))*VALUE(MID(ARCH!I127,FIND("x",ARCH!I127)+1,9))))</f>
        <v>336</v>
      </c>
      <c r="J127" s="10" t="n">
        <f aca="false">IF(ARCH!J127="",INPUTS!$B$19,IF(LEFT(ARCH!J127,1)="d",PI()/4*VALUE(MID(ARCH!J127,2,9))^2,VALUE(LEFT(ARCH!J127,FIND("x",ARCH!J127)-1))*VALUE(MID(ARCH!J127,FIND("x",ARCH!J127)+1,9))))</f>
        <v>504</v>
      </c>
      <c r="K127" s="10" t="n">
        <f aca="false">IF(ARCH!K127="",INPUTS!$B$19,IF(LEFT(ARCH!K127,1)="d",PI()/4*VALUE(MID(ARCH!K127,2,9))^2,VALUE(LEFT(ARCH!K127,FIND("x",ARCH!K127)-1))*VALUE(MID(ARCH!K127,FIND("x",ARCH!K127)+1,9))))</f>
        <v>336</v>
      </c>
      <c r="L127" s="10" t="n">
        <f aca="false">IF(ARCH!L127="",INPUTS!$B$19,IF(LEFT(ARCH!L127,1)="d",PI()/4*VALUE(MID(ARCH!L127,2,9))^2,VALUE(LEFT(ARCH!L127,FIND("x",ARCH!L127)-1))*VALUE(MID(ARCH!L127,FIND("x",ARCH!L127)+1,9))))</f>
        <v>336</v>
      </c>
      <c r="M127" s="10" t="n">
        <f aca="false">IF(ARCH!M127="",INPUTS!$B$19,IF(LEFT(ARCH!M127,1)="d",PI()/4*VALUE(MID(ARCH!M127,2,9))^2,VALUE(LEFT(ARCH!M127,FIND("x",ARCH!M127)-1))*VALUE(MID(ARCH!M127,FIND("x",ARCH!M127)+1,9))))</f>
        <v>336</v>
      </c>
      <c r="N127" s="10" t="n">
        <f aca="false">IF(ARCH!N127="",INPUTS!$B$19,IF(LEFT(ARCH!N127,1)="d",PI()/4*VALUE(MID(ARCH!N127,2,9))^2,VALUE(LEFT(ARCH!N127,FIND("x",ARCH!N127)-1))*VALUE(MID(ARCH!N127,FIND("x",ARCH!N127)+1,9))))</f>
        <v>336</v>
      </c>
      <c r="O127" s="10" t="n">
        <f aca="false">IF(ARCH!O127="",INPUTS!$B$19,IF(LEFT(ARCH!O127,1)="d",PI()/4*VALUE(MID(ARCH!O127,2,9))^2,VALUE(LEFT(ARCH!O127,FIND("x",ARCH!O127)-1))*VALUE(MID(ARCH!O127,FIND("x",ARCH!O127)+1,9))))</f>
        <v>336</v>
      </c>
      <c r="P127" s="10" t="n">
        <f aca="false">IF(ARCH!P127="",INPUTS!$B$19,IF(LEFT(ARCH!P127,1)="d",PI()/4*VALUE(MID(ARCH!P127,2,9))^2,VALUE(LEFT(ARCH!P127,FIND("x",ARCH!P127)-1))*VALUE(MID(ARCH!P127,FIND("x",ARCH!P127)+1,9))))</f>
        <v>336</v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10" t="n">
        <f aca="false">IF(ARCH!E128="",INPUTS!$B$19,IF(LEFT(ARCH!E128,1)="d",PI()/4*VALUE(MID(ARCH!E128,2,9))^2,VALUE(LEFT(ARCH!E128,FIND("x",ARCH!E128)-1))*VALUE(MID(ARCH!E128,FIND("x",ARCH!E128)+1,9))))</f>
        <v>336</v>
      </c>
      <c r="F128" s="10" t="n">
        <f aca="false">IF(ARCH!F128="",INPUTS!$B$19,IF(LEFT(ARCH!F128,1)="d",PI()/4*VALUE(MID(ARCH!F128,2,9))^2,VALUE(LEFT(ARCH!F128,FIND("x",ARCH!F128)-1))*VALUE(MID(ARCH!F128,FIND("x",ARCH!F128)+1,9))))</f>
        <v>336</v>
      </c>
      <c r="G128" s="10" t="n">
        <f aca="false">IF(ARCH!G128="",INPUTS!$B$19,IF(LEFT(ARCH!G128,1)="d",PI()/4*VALUE(MID(ARCH!G128,2,9))^2,VALUE(LEFT(ARCH!G128,FIND("x",ARCH!G128)-1))*VALUE(MID(ARCH!G128,FIND("x",ARCH!G128)+1,9))))</f>
        <v>336</v>
      </c>
      <c r="H128" s="10" t="n">
        <f aca="false">IF(ARCH!H128="",INPUTS!$B$19,IF(LEFT(ARCH!H128,1)="d",PI()/4*VALUE(MID(ARCH!H128,2,9))^2,VALUE(LEFT(ARCH!H128,FIND("x",ARCH!H128)-1))*VALUE(MID(ARCH!H128,FIND("x",ARCH!H128)+1,9))))</f>
        <v>336</v>
      </c>
      <c r="I128" s="10" t="n">
        <f aca="false">IF(ARCH!I128="",INPUTS!$B$19,IF(LEFT(ARCH!I128,1)="d",PI()/4*VALUE(MID(ARCH!I128,2,9))^2,VALUE(LEFT(ARCH!I128,FIND("x",ARCH!I128)-1))*VALUE(MID(ARCH!I128,FIND("x",ARCH!I128)+1,9))))</f>
        <v>336</v>
      </c>
      <c r="J128" s="10" t="n">
        <f aca="false">IF(ARCH!J128="",INPUTS!$B$19,IF(LEFT(ARCH!J128,1)="d",PI()/4*VALUE(MID(ARCH!J128,2,9))^2,VALUE(LEFT(ARCH!J128,FIND("x",ARCH!J128)-1))*VALUE(MID(ARCH!J128,FIND("x",ARCH!J128)+1,9))))</f>
        <v>504</v>
      </c>
      <c r="K128" s="10" t="n">
        <f aca="false">IF(ARCH!K128="",INPUTS!$B$19,IF(LEFT(ARCH!K128,1)="d",PI()/4*VALUE(MID(ARCH!K128,2,9))^2,VALUE(LEFT(ARCH!K128,FIND("x",ARCH!K128)-1))*VALUE(MID(ARCH!K128,FIND("x",ARCH!K128)+1,9))))</f>
        <v>336</v>
      </c>
      <c r="L128" s="10" t="n">
        <f aca="false">IF(ARCH!L128="",INPUTS!$B$19,IF(LEFT(ARCH!L128,1)="d",PI()/4*VALUE(MID(ARCH!L128,2,9))^2,VALUE(LEFT(ARCH!L128,FIND("x",ARCH!L128)-1))*VALUE(MID(ARCH!L128,FIND("x",ARCH!L128)+1,9))))</f>
        <v>336</v>
      </c>
      <c r="M128" s="10" t="n">
        <f aca="false">IF(ARCH!M128="",INPUTS!$B$19,IF(LEFT(ARCH!M128,1)="d",PI()/4*VALUE(MID(ARCH!M128,2,9))^2,VALUE(LEFT(ARCH!M128,FIND("x",ARCH!M128)-1))*VALUE(MID(ARCH!M128,FIND("x",ARCH!M128)+1,9))))</f>
        <v>336</v>
      </c>
      <c r="N128" s="10" t="n">
        <f aca="false">IF(ARCH!N128="",INPUTS!$B$19,IF(LEFT(ARCH!N128,1)="d",PI()/4*VALUE(MID(ARCH!N128,2,9))^2,VALUE(LEFT(ARCH!N128,FIND("x",ARCH!N128)-1))*VALUE(MID(ARCH!N128,FIND("x",ARCH!N128)+1,9))))</f>
        <v>336</v>
      </c>
      <c r="O128" s="10" t="n">
        <f aca="false">IF(ARCH!O128="",INPUTS!$B$19,IF(LEFT(ARCH!O128,1)="d",PI()/4*VALUE(MID(ARCH!O128,2,9))^2,VALUE(LEFT(ARCH!O128,FIND("x",ARCH!O128)-1))*VALUE(MID(ARCH!O128,FIND("x",ARCH!O128)+1,9))))</f>
        <v>336</v>
      </c>
      <c r="P128" s="10" t="n">
        <f aca="false">IF(ARCH!P128="",INPUTS!$B$19,IF(LEFT(ARCH!P128,1)="d",PI()/4*VALUE(MID(ARCH!P128,2,9))^2,VALUE(LEFT(ARCH!P128,FIND("x",ARCH!P128)-1))*VALUE(MID(ARCH!P128,FIND("x",ARCH!P128)+1,9))))</f>
        <v>336</v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10" t="n">
        <f aca="false">IF(ARCH!E129="",INPUTS!$B$19,IF(LEFT(ARCH!E129,1)="d",PI()/4*VALUE(MID(ARCH!E129,2,9))^2,VALUE(LEFT(ARCH!E129,FIND("x",ARCH!E129)-1))*VALUE(MID(ARCH!E129,FIND("x",ARCH!E129)+1,9))))</f>
        <v>336</v>
      </c>
      <c r="F129" s="10" t="n">
        <f aca="false">IF(ARCH!F129="",INPUTS!$B$19,IF(LEFT(ARCH!F129,1)="d",PI()/4*VALUE(MID(ARCH!F129,2,9))^2,VALUE(LEFT(ARCH!F129,FIND("x",ARCH!F129)-1))*VALUE(MID(ARCH!F129,FIND("x",ARCH!F129)+1,9))))</f>
        <v>336</v>
      </c>
      <c r="G129" s="10" t="n">
        <f aca="false">IF(ARCH!G129="",INPUTS!$B$19,IF(LEFT(ARCH!G129,1)="d",PI()/4*VALUE(MID(ARCH!G129,2,9))^2,VALUE(LEFT(ARCH!G129,FIND("x",ARCH!G129)-1))*VALUE(MID(ARCH!G129,FIND("x",ARCH!G129)+1,9))))</f>
        <v>336</v>
      </c>
      <c r="H129" s="10" t="n">
        <f aca="false">IF(ARCH!H129="",INPUTS!$B$19,IF(LEFT(ARCH!H129,1)="d",PI()/4*VALUE(MID(ARCH!H129,2,9))^2,VALUE(LEFT(ARCH!H129,FIND("x",ARCH!H129)-1))*VALUE(MID(ARCH!H129,FIND("x",ARCH!H129)+1,9))))</f>
        <v>336</v>
      </c>
      <c r="I129" s="10" t="n">
        <f aca="false">IF(ARCH!I129="",INPUTS!$B$19,IF(LEFT(ARCH!I129,1)="d",PI()/4*VALUE(MID(ARCH!I129,2,9))^2,VALUE(LEFT(ARCH!I129,FIND("x",ARCH!I129)-1))*VALUE(MID(ARCH!I129,FIND("x",ARCH!I129)+1,9))))</f>
        <v>336</v>
      </c>
      <c r="J129" s="10" t="n">
        <f aca="false">IF(ARCH!J129="",INPUTS!$B$19,IF(LEFT(ARCH!J129,1)="d",PI()/4*VALUE(MID(ARCH!J129,2,9))^2,VALUE(LEFT(ARCH!J129,FIND("x",ARCH!J129)-1))*VALUE(MID(ARCH!J129,FIND("x",ARCH!J129)+1,9))))</f>
        <v>504</v>
      </c>
      <c r="K129" s="10" t="n">
        <f aca="false">IF(ARCH!K129="",INPUTS!$B$19,IF(LEFT(ARCH!K129,1)="d",PI()/4*VALUE(MID(ARCH!K129,2,9))^2,VALUE(LEFT(ARCH!K129,FIND("x",ARCH!K129)-1))*VALUE(MID(ARCH!K129,FIND("x",ARCH!K129)+1,9))))</f>
        <v>336</v>
      </c>
      <c r="L129" s="10" t="n">
        <f aca="false">IF(ARCH!L129="",INPUTS!$B$19,IF(LEFT(ARCH!L129,1)="d",PI()/4*VALUE(MID(ARCH!L129,2,9))^2,VALUE(LEFT(ARCH!L129,FIND("x",ARCH!L129)-1))*VALUE(MID(ARCH!L129,FIND("x",ARCH!L129)+1,9))))</f>
        <v>336</v>
      </c>
      <c r="M129" s="10" t="n">
        <f aca="false">IF(ARCH!M129="",INPUTS!$B$19,IF(LEFT(ARCH!M129,1)="d",PI()/4*VALUE(MID(ARCH!M129,2,9))^2,VALUE(LEFT(ARCH!M129,FIND("x",ARCH!M129)-1))*VALUE(MID(ARCH!M129,FIND("x",ARCH!M129)+1,9))))</f>
        <v>336</v>
      </c>
      <c r="N129" s="10" t="n">
        <f aca="false">IF(ARCH!N129="",INPUTS!$B$19,IF(LEFT(ARCH!N129,1)="d",PI()/4*VALUE(MID(ARCH!N129,2,9))^2,VALUE(LEFT(ARCH!N129,FIND("x",ARCH!N129)-1))*VALUE(MID(ARCH!N129,FIND("x",ARCH!N129)+1,9))))</f>
        <v>336</v>
      </c>
      <c r="O129" s="10" t="n">
        <f aca="false">IF(ARCH!O129="",INPUTS!$B$19,IF(LEFT(ARCH!O129,1)="d",PI()/4*VALUE(MID(ARCH!O129,2,9))^2,VALUE(LEFT(ARCH!O129,FIND("x",ARCH!O129)-1))*VALUE(MID(ARCH!O129,FIND("x",ARCH!O129)+1,9))))</f>
        <v>336</v>
      </c>
      <c r="P129" s="10" t="n">
        <f aca="false">IF(ARCH!P129="",INPUTS!$B$19,IF(LEFT(ARCH!P129,1)="d",PI()/4*VALUE(MID(ARCH!P129,2,9))^2,VALUE(LEFT(ARCH!P129,FIND("x",ARCH!P129)-1))*VALUE(MID(ARCH!P129,FIND("x",ARCH!P129)+1,9))))</f>
        <v>336</v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10" t="n">
        <f aca="false">IF(ARCH!E130="",INPUTS!$B$19,IF(LEFT(ARCH!E130,1)="d",PI()/4*VALUE(MID(ARCH!E130,2,9))^2,VALUE(LEFT(ARCH!E130,FIND("x",ARCH!E130)-1))*VALUE(MID(ARCH!E130,FIND("x",ARCH!E130)+1,9))))</f>
        <v>336</v>
      </c>
      <c r="F130" s="10" t="n">
        <f aca="false">IF(ARCH!F130="",INPUTS!$B$19,IF(LEFT(ARCH!F130,1)="d",PI()/4*VALUE(MID(ARCH!F130,2,9))^2,VALUE(LEFT(ARCH!F130,FIND("x",ARCH!F130)-1))*VALUE(MID(ARCH!F130,FIND("x",ARCH!F130)+1,9))))</f>
        <v>336</v>
      </c>
      <c r="G130" s="10" t="n">
        <f aca="false">IF(ARCH!G130="",INPUTS!$B$19,IF(LEFT(ARCH!G130,1)="d",PI()/4*VALUE(MID(ARCH!G130,2,9))^2,VALUE(LEFT(ARCH!G130,FIND("x",ARCH!G130)-1))*VALUE(MID(ARCH!G130,FIND("x",ARCH!G130)+1,9))))</f>
        <v>336</v>
      </c>
      <c r="H130" s="10" t="n">
        <f aca="false">IF(ARCH!H130="",INPUTS!$B$19,IF(LEFT(ARCH!H130,1)="d",PI()/4*VALUE(MID(ARCH!H130,2,9))^2,VALUE(LEFT(ARCH!H130,FIND("x",ARCH!H130)-1))*VALUE(MID(ARCH!H130,FIND("x",ARCH!H130)+1,9))))</f>
        <v>336</v>
      </c>
      <c r="I130" s="10" t="n">
        <f aca="false">IF(ARCH!I130="",INPUTS!$B$19,IF(LEFT(ARCH!I130,1)="d",PI()/4*VALUE(MID(ARCH!I130,2,9))^2,VALUE(LEFT(ARCH!I130,FIND("x",ARCH!I130)-1))*VALUE(MID(ARCH!I130,FIND("x",ARCH!I130)+1,9))))</f>
        <v>336</v>
      </c>
      <c r="J130" s="10" t="n">
        <f aca="false">IF(ARCH!J130="",INPUTS!$B$19,IF(LEFT(ARCH!J130,1)="d",PI()/4*VALUE(MID(ARCH!J130,2,9))^2,VALUE(LEFT(ARCH!J130,FIND("x",ARCH!J130)-1))*VALUE(MID(ARCH!J130,FIND("x",ARCH!J130)+1,9))))</f>
        <v>504</v>
      </c>
      <c r="K130" s="10" t="n">
        <f aca="false">IF(ARCH!K130="",INPUTS!$B$19,IF(LEFT(ARCH!K130,1)="d",PI()/4*VALUE(MID(ARCH!K130,2,9))^2,VALUE(LEFT(ARCH!K130,FIND("x",ARCH!K130)-1))*VALUE(MID(ARCH!K130,FIND("x",ARCH!K130)+1,9))))</f>
        <v>336</v>
      </c>
      <c r="L130" s="10" t="n">
        <f aca="false">IF(ARCH!L130="",INPUTS!$B$19,IF(LEFT(ARCH!L130,1)="d",PI()/4*VALUE(MID(ARCH!L130,2,9))^2,VALUE(LEFT(ARCH!L130,FIND("x",ARCH!L130)-1))*VALUE(MID(ARCH!L130,FIND("x",ARCH!L130)+1,9))))</f>
        <v>336</v>
      </c>
      <c r="M130" s="10" t="n">
        <f aca="false">IF(ARCH!M130="",INPUTS!$B$19,IF(LEFT(ARCH!M130,1)="d",PI()/4*VALUE(MID(ARCH!M130,2,9))^2,VALUE(LEFT(ARCH!M130,FIND("x",ARCH!M130)-1))*VALUE(MID(ARCH!M130,FIND("x",ARCH!M130)+1,9))))</f>
        <v>336</v>
      </c>
      <c r="N130" s="10" t="n">
        <f aca="false">IF(ARCH!N130="",INPUTS!$B$19,IF(LEFT(ARCH!N130,1)="d",PI()/4*VALUE(MID(ARCH!N130,2,9))^2,VALUE(LEFT(ARCH!N130,FIND("x",ARCH!N130)-1))*VALUE(MID(ARCH!N130,FIND("x",ARCH!N130)+1,9))))</f>
        <v>336</v>
      </c>
      <c r="O130" s="10" t="n">
        <f aca="false">IF(ARCH!O130="",INPUTS!$B$19,IF(LEFT(ARCH!O130,1)="d",PI()/4*VALUE(MID(ARCH!O130,2,9))^2,VALUE(LEFT(ARCH!O130,FIND("x",ARCH!O130)-1))*VALUE(MID(ARCH!O130,FIND("x",ARCH!O130)+1,9))))</f>
        <v>336</v>
      </c>
      <c r="P130" s="10" t="n">
        <f aca="false">IF(ARCH!P130="",INPUTS!$B$19,IF(LEFT(ARCH!P130,1)="d",PI()/4*VALUE(MID(ARCH!P130,2,9))^2,VALUE(LEFT(ARCH!P130,FIND("x",ARCH!P130)-1))*VALUE(MID(ARCH!P130,FIND("x",ARCH!P130)+1,9))))</f>
        <v>336</v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10" t="n">
        <f aca="false">IF(ARCH!E131="",INPUTS!$B$19,IF(LEFT(ARCH!E131,1)="d",PI()/4*VALUE(MID(ARCH!E131,2,9))^2,VALUE(LEFT(ARCH!E131,FIND("x",ARCH!E131)-1))*VALUE(MID(ARCH!E131,FIND("x",ARCH!E131)+1,9))))</f>
        <v>336</v>
      </c>
      <c r="F131" s="10" t="n">
        <f aca="false">IF(ARCH!F131="",INPUTS!$B$19,IF(LEFT(ARCH!F131,1)="d",PI()/4*VALUE(MID(ARCH!F131,2,9))^2,VALUE(LEFT(ARCH!F131,FIND("x",ARCH!F131)-1))*VALUE(MID(ARCH!F131,FIND("x",ARCH!F131)+1,9))))</f>
        <v>336</v>
      </c>
      <c r="G131" s="10" t="n">
        <f aca="false">IF(ARCH!G131="",INPUTS!$B$19,IF(LEFT(ARCH!G131,1)="d",PI()/4*VALUE(MID(ARCH!G131,2,9))^2,VALUE(LEFT(ARCH!G131,FIND("x",ARCH!G131)-1))*VALUE(MID(ARCH!G131,FIND("x",ARCH!G131)+1,9))))</f>
        <v>336</v>
      </c>
      <c r="H131" s="10" t="n">
        <f aca="false">IF(ARCH!H131="",INPUTS!$B$19,IF(LEFT(ARCH!H131,1)="d",PI()/4*VALUE(MID(ARCH!H131,2,9))^2,VALUE(LEFT(ARCH!H131,FIND("x",ARCH!H131)-1))*VALUE(MID(ARCH!H131,FIND("x",ARCH!H131)+1,9))))</f>
        <v>336</v>
      </c>
      <c r="I131" s="10" t="n">
        <f aca="false">IF(ARCH!I131="",INPUTS!$B$19,IF(LEFT(ARCH!I131,1)="d",PI()/4*VALUE(MID(ARCH!I131,2,9))^2,VALUE(LEFT(ARCH!I131,FIND("x",ARCH!I131)-1))*VALUE(MID(ARCH!I131,FIND("x",ARCH!I131)+1,9))))</f>
        <v>336</v>
      </c>
      <c r="J131" s="10" t="n">
        <f aca="false">IF(ARCH!J131="",INPUTS!$B$19,IF(LEFT(ARCH!J131,1)="d",PI()/4*VALUE(MID(ARCH!J131,2,9))^2,VALUE(LEFT(ARCH!J131,FIND("x",ARCH!J131)-1))*VALUE(MID(ARCH!J131,FIND("x",ARCH!J131)+1,9))))</f>
        <v>504</v>
      </c>
      <c r="K131" s="10" t="n">
        <f aca="false">IF(ARCH!K131="",INPUTS!$B$19,IF(LEFT(ARCH!K131,1)="d",PI()/4*VALUE(MID(ARCH!K131,2,9))^2,VALUE(LEFT(ARCH!K131,FIND("x",ARCH!K131)-1))*VALUE(MID(ARCH!K131,FIND("x",ARCH!K131)+1,9))))</f>
        <v>336</v>
      </c>
      <c r="L131" s="10" t="n">
        <f aca="false">IF(ARCH!L131="",INPUTS!$B$19,IF(LEFT(ARCH!L131,1)="d",PI()/4*VALUE(MID(ARCH!L131,2,9))^2,VALUE(LEFT(ARCH!L131,FIND("x",ARCH!L131)-1))*VALUE(MID(ARCH!L131,FIND("x",ARCH!L131)+1,9))))</f>
        <v>336</v>
      </c>
      <c r="M131" s="10" t="n">
        <f aca="false">IF(ARCH!M131="",INPUTS!$B$19,IF(LEFT(ARCH!M131,1)="d",PI()/4*VALUE(MID(ARCH!M131,2,9))^2,VALUE(LEFT(ARCH!M131,FIND("x",ARCH!M131)-1))*VALUE(MID(ARCH!M131,FIND("x",ARCH!M131)+1,9))))</f>
        <v>336</v>
      </c>
      <c r="N131" s="10" t="n">
        <f aca="false">IF(ARCH!N131="",INPUTS!$B$19,IF(LEFT(ARCH!N131,1)="d",PI()/4*VALUE(MID(ARCH!N131,2,9))^2,VALUE(LEFT(ARCH!N131,FIND("x",ARCH!N131)-1))*VALUE(MID(ARCH!N131,FIND("x",ARCH!N131)+1,9))))</f>
        <v>336</v>
      </c>
      <c r="O131" s="10" t="n">
        <f aca="false">IF(ARCH!O131="",INPUTS!$B$19,IF(LEFT(ARCH!O131,1)="d",PI()/4*VALUE(MID(ARCH!O131,2,9))^2,VALUE(LEFT(ARCH!O131,FIND("x",ARCH!O131)-1))*VALUE(MID(ARCH!O131,FIND("x",ARCH!O131)+1,9))))</f>
        <v>336</v>
      </c>
      <c r="P131" s="10" t="n">
        <f aca="false">IF(ARCH!P131="",INPUTS!$B$19,IF(LEFT(ARCH!P131,1)="d",PI()/4*VALUE(MID(ARCH!P131,2,9))^2,VALUE(LEFT(ARCH!P131,FIND("x",ARCH!P131)-1))*VALUE(MID(ARCH!P131,FIND("x",ARCH!P131)+1,9))))</f>
        <v>336</v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10" t="n">
        <f aca="false">IF(ARCH!E132="",INPUTS!$B$19,IF(LEFT(ARCH!E132,1)="d",PI()/4*VALUE(MID(ARCH!E132,2,9))^2,VALUE(LEFT(ARCH!E132,FIND("x",ARCH!E132)-1))*VALUE(MID(ARCH!E132,FIND("x",ARCH!E132)+1,9))))</f>
        <v>336</v>
      </c>
      <c r="F132" s="10" t="n">
        <f aca="false">IF(ARCH!F132="",INPUTS!$B$19,IF(LEFT(ARCH!F132,1)="d",PI()/4*VALUE(MID(ARCH!F132,2,9))^2,VALUE(LEFT(ARCH!F132,FIND("x",ARCH!F132)-1))*VALUE(MID(ARCH!F132,FIND("x",ARCH!F132)+1,9))))</f>
        <v>336</v>
      </c>
      <c r="G132" s="10" t="n">
        <f aca="false">IF(ARCH!G132="",INPUTS!$B$19,IF(LEFT(ARCH!G132,1)="d",PI()/4*VALUE(MID(ARCH!G132,2,9))^2,VALUE(LEFT(ARCH!G132,FIND("x",ARCH!G132)-1))*VALUE(MID(ARCH!G132,FIND("x",ARCH!G132)+1,9))))</f>
        <v>336</v>
      </c>
      <c r="H132" s="10" t="n">
        <f aca="false">IF(ARCH!H132="",INPUTS!$B$19,IF(LEFT(ARCH!H132,1)="d",PI()/4*VALUE(MID(ARCH!H132,2,9))^2,VALUE(LEFT(ARCH!H132,FIND("x",ARCH!H132)-1))*VALUE(MID(ARCH!H132,FIND("x",ARCH!H132)+1,9))))</f>
        <v>336</v>
      </c>
      <c r="I132" s="10" t="n">
        <f aca="false">IF(ARCH!I132="",INPUTS!$B$19,IF(LEFT(ARCH!I132,1)="d",PI()/4*VALUE(MID(ARCH!I132,2,9))^2,VALUE(LEFT(ARCH!I132,FIND("x",ARCH!I132)-1))*VALUE(MID(ARCH!I132,FIND("x",ARCH!I132)+1,9))))</f>
        <v>336</v>
      </c>
      <c r="J132" s="10" t="n">
        <f aca="false">IF(ARCH!J132="",INPUTS!$B$19,IF(LEFT(ARCH!J132,1)="d",PI()/4*VALUE(MID(ARCH!J132,2,9))^2,VALUE(LEFT(ARCH!J132,FIND("x",ARCH!J132)-1))*VALUE(MID(ARCH!J132,FIND("x",ARCH!J132)+1,9))))</f>
        <v>504</v>
      </c>
      <c r="K132" s="10" t="n">
        <f aca="false">IF(ARCH!K132="",INPUTS!$B$19,IF(LEFT(ARCH!K132,1)="d",PI()/4*VALUE(MID(ARCH!K132,2,9))^2,VALUE(LEFT(ARCH!K132,FIND("x",ARCH!K132)-1))*VALUE(MID(ARCH!K132,FIND("x",ARCH!K132)+1,9))))</f>
        <v>336</v>
      </c>
      <c r="L132" s="10" t="n">
        <f aca="false">IF(ARCH!L132="",INPUTS!$B$19,IF(LEFT(ARCH!L132,1)="d",PI()/4*VALUE(MID(ARCH!L132,2,9))^2,VALUE(LEFT(ARCH!L132,FIND("x",ARCH!L132)-1))*VALUE(MID(ARCH!L132,FIND("x",ARCH!L132)+1,9))))</f>
        <v>336</v>
      </c>
      <c r="M132" s="10" t="n">
        <f aca="false">IF(ARCH!M132="",INPUTS!$B$19,IF(LEFT(ARCH!M132,1)="d",PI()/4*VALUE(MID(ARCH!M132,2,9))^2,VALUE(LEFT(ARCH!M132,FIND("x",ARCH!M132)-1))*VALUE(MID(ARCH!M132,FIND("x",ARCH!M132)+1,9))))</f>
        <v>336</v>
      </c>
      <c r="N132" s="10" t="n">
        <f aca="false">IF(ARCH!N132="",INPUTS!$B$19,IF(LEFT(ARCH!N132,1)="d",PI()/4*VALUE(MID(ARCH!N132,2,9))^2,VALUE(LEFT(ARCH!N132,FIND("x",ARCH!N132)-1))*VALUE(MID(ARCH!N132,FIND("x",ARCH!N132)+1,9))))</f>
        <v>336</v>
      </c>
      <c r="O132" s="10" t="n">
        <f aca="false">IF(ARCH!O132="",INPUTS!$B$19,IF(LEFT(ARCH!O132,1)="d",PI()/4*VALUE(MID(ARCH!O132,2,9))^2,VALUE(LEFT(ARCH!O132,FIND("x",ARCH!O132)-1))*VALUE(MID(ARCH!O132,FIND("x",ARCH!O132)+1,9))))</f>
        <v>336</v>
      </c>
      <c r="P132" s="10" t="n">
        <f aca="false">IF(ARCH!P132="",INPUTS!$B$19,IF(LEFT(ARCH!P132,1)="d",PI()/4*VALUE(MID(ARCH!P132,2,9))^2,VALUE(LEFT(ARCH!P132,FIND("x",ARCH!P132)-1))*VALUE(MID(ARCH!P132,FIND("x",ARCH!P132)+1,9))))</f>
        <v>336</v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10" t="n">
        <f aca="false">IF(ARCH!E133="",INPUTS!$B$19,IF(LEFT(ARCH!E133,1)="d",PI()/4*VALUE(MID(ARCH!E133,2,9))^2,VALUE(LEFT(ARCH!E133,FIND("x",ARCH!E133)-1))*VALUE(MID(ARCH!E133,FIND("x",ARCH!E133)+1,9))))</f>
        <v>336</v>
      </c>
      <c r="F133" s="10" t="n">
        <f aca="false">IF(ARCH!F133="",INPUTS!$B$19,IF(LEFT(ARCH!F133,1)="d",PI()/4*VALUE(MID(ARCH!F133,2,9))^2,VALUE(LEFT(ARCH!F133,FIND("x",ARCH!F133)-1))*VALUE(MID(ARCH!F133,FIND("x",ARCH!F133)+1,9))))</f>
        <v>336</v>
      </c>
      <c r="G133" s="10" t="n">
        <f aca="false">IF(ARCH!G133="",INPUTS!$B$19,IF(LEFT(ARCH!G133,1)="d",PI()/4*VALUE(MID(ARCH!G133,2,9))^2,VALUE(LEFT(ARCH!G133,FIND("x",ARCH!G133)-1))*VALUE(MID(ARCH!G133,FIND("x",ARCH!G133)+1,9))))</f>
        <v>336</v>
      </c>
      <c r="H133" s="10" t="n">
        <f aca="false">IF(ARCH!H133="",INPUTS!$B$19,IF(LEFT(ARCH!H133,1)="d",PI()/4*VALUE(MID(ARCH!H133,2,9))^2,VALUE(LEFT(ARCH!H133,FIND("x",ARCH!H133)-1))*VALUE(MID(ARCH!H133,FIND("x",ARCH!H133)+1,9))))</f>
        <v>336</v>
      </c>
      <c r="I133" s="10" t="n">
        <f aca="false">IF(ARCH!I133="",INPUTS!$B$19,IF(LEFT(ARCH!I133,1)="d",PI()/4*VALUE(MID(ARCH!I133,2,9))^2,VALUE(LEFT(ARCH!I133,FIND("x",ARCH!I133)-1))*VALUE(MID(ARCH!I133,FIND("x",ARCH!I133)+1,9))))</f>
        <v>504</v>
      </c>
      <c r="J133" s="10" t="n">
        <f aca="false">IF(ARCH!J133="",INPUTS!$B$19,IF(LEFT(ARCH!J133,1)="d",PI()/4*VALUE(MID(ARCH!J133,2,9))^2,VALUE(LEFT(ARCH!J133,FIND("x",ARCH!J133)-1))*VALUE(MID(ARCH!J133,FIND("x",ARCH!J133)+1,9))))</f>
        <v>336</v>
      </c>
      <c r="K133" s="10" t="n">
        <f aca="false">IF(ARCH!K133="",INPUTS!$B$19,IF(LEFT(ARCH!K133,1)="d",PI()/4*VALUE(MID(ARCH!K133,2,9))^2,VALUE(LEFT(ARCH!K133,FIND("x",ARCH!K133)-1))*VALUE(MID(ARCH!K133,FIND("x",ARCH!K133)+1,9))))</f>
        <v>336</v>
      </c>
      <c r="L133" s="10" t="n">
        <f aca="false">IF(ARCH!L133="",INPUTS!$B$19,IF(LEFT(ARCH!L133,1)="d",PI()/4*VALUE(MID(ARCH!L133,2,9))^2,VALUE(LEFT(ARCH!L133,FIND("x",ARCH!L133)-1))*VALUE(MID(ARCH!L133,FIND("x",ARCH!L133)+1,9))))</f>
        <v>336</v>
      </c>
      <c r="M133" s="10" t="n">
        <f aca="false">IF(ARCH!M133="",INPUTS!$B$19,IF(LEFT(ARCH!M133,1)="d",PI()/4*VALUE(MID(ARCH!M133,2,9))^2,VALUE(LEFT(ARCH!M133,FIND("x",ARCH!M133)-1))*VALUE(MID(ARCH!M133,FIND("x",ARCH!M133)+1,9))))</f>
        <v>336</v>
      </c>
      <c r="N133" s="10" t="n">
        <f aca="false">IF(ARCH!N133="",INPUTS!$B$19,IF(LEFT(ARCH!N133,1)="d",PI()/4*VALUE(MID(ARCH!N133,2,9))^2,VALUE(LEFT(ARCH!N133,FIND("x",ARCH!N133)-1))*VALUE(MID(ARCH!N133,FIND("x",ARCH!N133)+1,9))))</f>
        <v>336</v>
      </c>
      <c r="O133" s="10" t="n">
        <f aca="false">IF(ARCH!O133="",INPUTS!$B$19,IF(LEFT(ARCH!O133,1)="d",PI()/4*VALUE(MID(ARCH!O133,2,9))^2,VALUE(LEFT(ARCH!O133,FIND("x",ARCH!O133)-1))*VALUE(MID(ARCH!O133,FIND("x",ARCH!O133)+1,9))))</f>
        <v>336</v>
      </c>
      <c r="P133" s="10" t="n">
        <f aca="false">IF(ARCH!P133="",INPUTS!$B$19,IF(LEFT(ARCH!P133,1)="d",PI()/4*VALUE(MID(ARCH!P133,2,9))^2,VALUE(LEFT(ARCH!P133,FIND("x",ARCH!P133)-1))*VALUE(MID(ARCH!P133,FIND("x",ARCH!P133)+1,9))))</f>
        <v>336</v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10" t="n">
        <f aca="false">IF(ARCH!E134="",INPUTS!$B$19,IF(LEFT(ARCH!E134,1)="d",PI()/4*VALUE(MID(ARCH!E134,2,9))^2,VALUE(LEFT(ARCH!E134,FIND("x",ARCH!E134)-1))*VALUE(MID(ARCH!E134,FIND("x",ARCH!E134)+1,9))))</f>
        <v>336</v>
      </c>
      <c r="F134" s="10" t="n">
        <f aca="false">IF(ARCH!F134="",INPUTS!$B$19,IF(LEFT(ARCH!F134,1)="d",PI()/4*VALUE(MID(ARCH!F134,2,9))^2,VALUE(LEFT(ARCH!F134,FIND("x",ARCH!F134)-1))*VALUE(MID(ARCH!F134,FIND("x",ARCH!F134)+1,9))))</f>
        <v>336</v>
      </c>
      <c r="G134" s="10" t="n">
        <f aca="false">IF(ARCH!G134="",INPUTS!$B$19,IF(LEFT(ARCH!G134,1)="d",PI()/4*VALUE(MID(ARCH!G134,2,9))^2,VALUE(LEFT(ARCH!G134,FIND("x",ARCH!G134)-1))*VALUE(MID(ARCH!G134,FIND("x",ARCH!G134)+1,9))))</f>
        <v>336</v>
      </c>
      <c r="H134" s="10" t="n">
        <f aca="false">IF(ARCH!H134="",INPUTS!$B$19,IF(LEFT(ARCH!H134,1)="d",PI()/4*VALUE(MID(ARCH!H134,2,9))^2,VALUE(LEFT(ARCH!H134,FIND("x",ARCH!H134)-1))*VALUE(MID(ARCH!H134,FIND("x",ARCH!H134)+1,9))))</f>
        <v>336</v>
      </c>
      <c r="I134" s="10" t="n">
        <f aca="false">IF(ARCH!I134="",INPUTS!$B$19,IF(LEFT(ARCH!I134,1)="d",PI()/4*VALUE(MID(ARCH!I134,2,9))^2,VALUE(LEFT(ARCH!I134,FIND("x",ARCH!I134)-1))*VALUE(MID(ARCH!I134,FIND("x",ARCH!I134)+1,9))))</f>
        <v>504</v>
      </c>
      <c r="J134" s="10" t="n">
        <f aca="false">IF(ARCH!J134="",INPUTS!$B$19,IF(LEFT(ARCH!J134,1)="d",PI()/4*VALUE(MID(ARCH!J134,2,9))^2,VALUE(LEFT(ARCH!J134,FIND("x",ARCH!J134)-1))*VALUE(MID(ARCH!J134,FIND("x",ARCH!J134)+1,9))))</f>
        <v>336</v>
      </c>
      <c r="K134" s="10" t="n">
        <f aca="false">IF(ARCH!K134="",INPUTS!$B$19,IF(LEFT(ARCH!K134,1)="d",PI()/4*VALUE(MID(ARCH!K134,2,9))^2,VALUE(LEFT(ARCH!K134,FIND("x",ARCH!K134)-1))*VALUE(MID(ARCH!K134,FIND("x",ARCH!K134)+1,9))))</f>
        <v>336</v>
      </c>
      <c r="L134" s="10" t="n">
        <f aca="false">IF(ARCH!L134="",INPUTS!$B$19,IF(LEFT(ARCH!L134,1)="d",PI()/4*VALUE(MID(ARCH!L134,2,9))^2,VALUE(LEFT(ARCH!L134,FIND("x",ARCH!L134)-1))*VALUE(MID(ARCH!L134,FIND("x",ARCH!L134)+1,9))))</f>
        <v>336</v>
      </c>
      <c r="M134" s="10" t="n">
        <f aca="false">IF(ARCH!M134="",INPUTS!$B$19,IF(LEFT(ARCH!M134,1)="d",PI()/4*VALUE(MID(ARCH!M134,2,9))^2,VALUE(LEFT(ARCH!M134,FIND("x",ARCH!M134)-1))*VALUE(MID(ARCH!M134,FIND("x",ARCH!M134)+1,9))))</f>
        <v>336</v>
      </c>
      <c r="N134" s="10" t="n">
        <f aca="false">IF(ARCH!N134="",INPUTS!$B$19,IF(LEFT(ARCH!N134,1)="d",PI()/4*VALUE(MID(ARCH!N134,2,9))^2,VALUE(LEFT(ARCH!N134,FIND("x",ARCH!N134)-1))*VALUE(MID(ARCH!N134,FIND("x",ARCH!N134)+1,9))))</f>
        <v>336</v>
      </c>
      <c r="O134" s="10" t="n">
        <f aca="false">IF(ARCH!O134="",INPUTS!$B$19,IF(LEFT(ARCH!O134,1)="d",PI()/4*VALUE(MID(ARCH!O134,2,9))^2,VALUE(LEFT(ARCH!O134,FIND("x",ARCH!O134)-1))*VALUE(MID(ARCH!O134,FIND("x",ARCH!O134)+1,9))))</f>
        <v>336</v>
      </c>
      <c r="P134" s="10" t="n">
        <f aca="false">IF(ARCH!P134="",INPUTS!$B$19,IF(LEFT(ARCH!P134,1)="d",PI()/4*VALUE(MID(ARCH!P134,2,9))^2,VALUE(LEFT(ARCH!P134,FIND("x",ARCH!P134)-1))*VALUE(MID(ARCH!P134,FIND("x",ARCH!P134)+1,9))))</f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265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4" t="str">
        <f aca="false">IF(TRIB!E2="","",IF($D2="A",INPUTS!$J$24,INPUTS!$O$24))</f>
        <v/>
      </c>
      <c r="F2" s="4" t="str">
        <f aca="false">IF(TRIB!F2="","",IF($D2="A",INPUTS!$J$25,INPUTS!$O$25))</f>
        <v>NR</v>
      </c>
      <c r="G2" s="4" t="str">
        <f aca="false">IF(TRIB!G2="","",IF($D2="A",INPUTS!$J$26,INPUTS!$O$26))</f>
        <v>RES</v>
      </c>
      <c r="H2" s="4" t="str">
        <f aca="false">IF(TRIB!H2="","",IF($D2="A",INPUTS!$J$27,INPUTS!$O$27))</f>
        <v>RES</v>
      </c>
      <c r="I2" s="4" t="str">
        <f aca="false">IF(TRIB!I2="","",IF($D2="A",INPUTS!$J$28,INPUTS!$O$28))</f>
        <v>RES</v>
      </c>
      <c r="J2" s="4" t="str">
        <f aca="false">IF(TRIB!J2="","",IF($D2="A",INPUTS!$J$29,INPUTS!$O$29))</f>
        <v>RES</v>
      </c>
      <c r="K2" s="4" t="str">
        <f aca="false">IF(TRIB!K2="","",IF($D2="A",INPUTS!$J$30,INPUTS!$O$30))</f>
        <v>RES</v>
      </c>
      <c r="L2" s="4" t="str">
        <f aca="false">IF(TRIB!L2="","",IF($D2="A",INPUTS!$J$31,INPUTS!$O$31))</f>
        <v>RES</v>
      </c>
      <c r="M2" s="4" t="str">
        <f aca="false">IF(TRIB!M2="","",IF($D2="A",INPUTS!$J$32,INPUTS!$O$32))</f>
        <v>RES</v>
      </c>
      <c r="N2" s="4" t="str">
        <f aca="false">IF(TRIB!N2="","",IF($D2="A",INPUTS!$J$33,INPUTS!$O$33))</f>
        <v>RES</v>
      </c>
      <c r="O2" s="4" t="str">
        <f aca="false">IF(TRIB!O2="","",IF($D2="A",INPUTS!$J$34,INPUTS!$O$34))</f>
        <v>RES</v>
      </c>
      <c r="P2" s="4" t="str">
        <f aca="false">IF(TRIB!P2="","",IF($D2="A",INPUTS!$J$35,INPUTS!$O$35))</f>
        <v>RES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4" t="str">
        <f aca="false">IF(TRIB!E3="","",IF($D3="A",INPUTS!$J$24,INPUTS!$O$24))</f>
        <v/>
      </c>
      <c r="F3" s="4" t="str">
        <f aca="false">IF(TRIB!F3="","",IF($D3="A",INPUTS!$J$25,INPUTS!$O$25))</f>
        <v/>
      </c>
      <c r="G3" s="4" t="str">
        <f aca="false">IF(TRIB!G3="","",IF($D3="A",INPUTS!$J$26,INPUTS!$O$26))</f>
        <v>RES</v>
      </c>
      <c r="H3" s="4" t="str">
        <f aca="false">IF(TRIB!H3="","",IF($D3="A",INPUTS!$J$27,INPUTS!$O$27))</f>
        <v>RES</v>
      </c>
      <c r="I3" s="4" t="str">
        <f aca="false">IF(TRIB!I3="","",IF($D3="A",INPUTS!$J$28,INPUTS!$O$28))</f>
        <v>RES</v>
      </c>
      <c r="J3" s="4" t="str">
        <f aca="false">IF(TRIB!J3="","",IF($D3="A",INPUTS!$J$29,INPUTS!$O$29))</f>
        <v>RES</v>
      </c>
      <c r="K3" s="4" t="str">
        <f aca="false">IF(TRIB!K3="","",IF($D3="A",INPUTS!$J$30,INPUTS!$O$30))</f>
        <v>RES</v>
      </c>
      <c r="L3" s="4" t="str">
        <f aca="false">IF(TRIB!L3="","",IF($D3="A",INPUTS!$J$31,INPUTS!$O$31))</f>
        <v>RES</v>
      </c>
      <c r="M3" s="4" t="str">
        <f aca="false">IF(TRIB!M3="","",IF($D3="A",INPUTS!$J$32,INPUTS!$O$32))</f>
        <v>RES</v>
      </c>
      <c r="N3" s="4" t="str">
        <f aca="false">IF(TRIB!N3="","",IF($D3="A",INPUTS!$J$33,INPUTS!$O$33))</f>
        <v>RES</v>
      </c>
      <c r="O3" s="4" t="str">
        <f aca="false">IF(TRIB!O3="","",IF($D3="A",INPUTS!$J$34,INPUTS!$O$34))</f>
        <v>RES</v>
      </c>
      <c r="P3" s="4" t="str">
        <f aca="false">IF(TRIB!P3="","",IF($D3="A",INPUTS!$J$35,INPUTS!$O$35))</f>
        <v>RES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4" t="str">
        <f aca="false">IF(TRIB!E4="","",IF($D4="A",INPUTS!$J$24,INPUTS!$O$24))</f>
        <v/>
      </c>
      <c r="F4" s="4" t="str">
        <f aca="false">IF(TRIB!F4="","",IF($D4="A",INPUTS!$J$25,INPUTS!$O$25))</f>
        <v>NR</v>
      </c>
      <c r="G4" s="4" t="str">
        <f aca="false">IF(TRIB!G4="","",IF($D4="A",INPUTS!$J$26,INPUTS!$O$26))</f>
        <v>RES</v>
      </c>
      <c r="H4" s="4" t="str">
        <f aca="false">IF(TRIB!H4="","",IF($D4="A",INPUTS!$J$27,INPUTS!$O$27))</f>
        <v>RES</v>
      </c>
      <c r="I4" s="4" t="str">
        <f aca="false">IF(TRIB!I4="","",IF($D4="A",INPUTS!$J$28,INPUTS!$O$28))</f>
        <v>RES</v>
      </c>
      <c r="J4" s="4" t="str">
        <f aca="false">IF(TRIB!J4="","",IF($D4="A",INPUTS!$J$29,INPUTS!$O$29))</f>
        <v>RES</v>
      </c>
      <c r="K4" s="4" t="str">
        <f aca="false">IF(TRIB!K4="","",IF($D4="A",INPUTS!$J$30,INPUTS!$O$30))</f>
        <v>RES</v>
      </c>
      <c r="L4" s="4" t="str">
        <f aca="false">IF(TRIB!L4="","",IF($D4="A",INPUTS!$J$31,INPUTS!$O$31))</f>
        <v>RES</v>
      </c>
      <c r="M4" s="4" t="str">
        <f aca="false">IF(TRIB!M4="","",IF($D4="A",INPUTS!$J$32,INPUTS!$O$32))</f>
        <v>RES</v>
      </c>
      <c r="N4" s="4" t="str">
        <f aca="false">IF(TRIB!N4="","",IF($D4="A",INPUTS!$J$33,INPUTS!$O$33))</f>
        <v>RES</v>
      </c>
      <c r="O4" s="4" t="str">
        <f aca="false">IF(TRIB!O4="","",IF($D4="A",INPUTS!$J$34,INPUTS!$O$34))</f>
        <v>RES</v>
      </c>
      <c r="P4" s="4" t="str">
        <f aca="false">IF(TRIB!P4="","",IF($D4="A",INPUTS!$J$35,INPUTS!$O$35))</f>
        <v>RES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4" t="str">
        <f aca="false">IF(TRIB!E5="","",IF($D5="A",INPUTS!$J$24,INPUTS!$O$24))</f>
        <v/>
      </c>
      <c r="F5" s="4" t="str">
        <f aca="false">IF(TRIB!F5="","",IF($D5="A",INPUTS!$J$25,INPUTS!$O$25))</f>
        <v>NR</v>
      </c>
      <c r="G5" s="4" t="str">
        <f aca="false">IF(TRIB!G5="","",IF($D5="A",INPUTS!$J$26,INPUTS!$O$26))</f>
        <v>RES</v>
      </c>
      <c r="H5" s="4" t="str">
        <f aca="false">IF(TRIB!H5="","",IF($D5="A",INPUTS!$J$27,INPUTS!$O$27))</f>
        <v>RES</v>
      </c>
      <c r="I5" s="4" t="str">
        <f aca="false">IF(TRIB!I5="","",IF($D5="A",INPUTS!$J$28,INPUTS!$O$28))</f>
        <v>RES</v>
      </c>
      <c r="J5" s="4" t="str">
        <f aca="false">IF(TRIB!J5="","",IF($D5="A",INPUTS!$J$29,INPUTS!$O$29))</f>
        <v>RES</v>
      </c>
      <c r="K5" s="4" t="str">
        <f aca="false">IF(TRIB!K5="","",IF($D5="A",INPUTS!$J$30,INPUTS!$O$30))</f>
        <v>RES</v>
      </c>
      <c r="L5" s="4" t="str">
        <f aca="false">IF(TRIB!L5="","",IF($D5="A",INPUTS!$J$31,INPUTS!$O$31))</f>
        <v>RES</v>
      </c>
      <c r="M5" s="4" t="str">
        <f aca="false">IF(TRIB!M5="","",IF($D5="A",INPUTS!$J$32,INPUTS!$O$32))</f>
        <v>RES</v>
      </c>
      <c r="N5" s="4" t="str">
        <f aca="false">IF(TRIB!N5="","",IF($D5="A",INPUTS!$J$33,INPUTS!$O$33))</f>
        <v>RES</v>
      </c>
      <c r="O5" s="4" t="str">
        <f aca="false">IF(TRIB!O5="","",IF($D5="A",INPUTS!$J$34,INPUTS!$O$34))</f>
        <v>RES</v>
      </c>
      <c r="P5" s="4" t="str">
        <f aca="false">IF(TRIB!P5="","",IF($D5="A",INPUTS!$J$35,INPUTS!$O$35))</f>
        <v>RES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4" t="str">
        <f aca="false">IF(TRIB!E6="","",IF($D6="A",INPUTS!$J$24,INPUTS!$O$24))</f>
        <v/>
      </c>
      <c r="F6" s="4" t="str">
        <f aca="false">IF(TRIB!F6="","",IF($D6="A",INPUTS!$J$25,INPUTS!$O$25))</f>
        <v>NR</v>
      </c>
      <c r="G6" s="4" t="str">
        <f aca="false">IF(TRIB!G6="","",IF($D6="A",INPUTS!$J$26,INPUTS!$O$26))</f>
        <v>RES</v>
      </c>
      <c r="H6" s="4" t="str">
        <f aca="false">IF(TRIB!H6="","",IF($D6="A",INPUTS!$J$27,INPUTS!$O$27))</f>
        <v>RES</v>
      </c>
      <c r="I6" s="4" t="str">
        <f aca="false">IF(TRIB!I6="","",IF($D6="A",INPUTS!$J$28,INPUTS!$O$28))</f>
        <v>RES</v>
      </c>
      <c r="J6" s="4" t="str">
        <f aca="false">IF(TRIB!J6="","",IF($D6="A",INPUTS!$J$29,INPUTS!$O$29))</f>
        <v>RES</v>
      </c>
      <c r="K6" s="4" t="str">
        <f aca="false">IF(TRIB!K6="","",IF($D6="A",INPUTS!$J$30,INPUTS!$O$30))</f>
        <v>RES</v>
      </c>
      <c r="L6" s="4" t="str">
        <f aca="false">IF(TRIB!L6="","",IF($D6="A",INPUTS!$J$31,INPUTS!$O$31))</f>
        <v>RES</v>
      </c>
      <c r="M6" s="4" t="str">
        <f aca="false">IF(TRIB!M6="","",IF($D6="A",INPUTS!$J$32,INPUTS!$O$32))</f>
        <v>RES</v>
      </c>
      <c r="N6" s="4" t="str">
        <f aca="false">IF(TRIB!N6="","",IF($D6="A",INPUTS!$J$33,INPUTS!$O$33))</f>
        <v>RES</v>
      </c>
      <c r="O6" s="4" t="str">
        <f aca="false">IF(TRIB!O6="","",IF($D6="A",INPUTS!$J$34,INPUTS!$O$34))</f>
        <v>RES</v>
      </c>
      <c r="P6" s="4" t="str">
        <f aca="false">IF(TRIB!P6="","",IF($D6="A",INPUTS!$J$35,INPUTS!$O$35))</f>
        <v>RES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4" t="str">
        <f aca="false">IF(TRIB!E7="","",IF($D7="A",INPUTS!$J$24,INPUTS!$O$24))</f>
        <v/>
      </c>
      <c r="F7" s="4" t="str">
        <f aca="false">IF(TRIB!F7="","",IF($D7="A",INPUTS!$J$25,INPUTS!$O$25))</f>
        <v>NR</v>
      </c>
      <c r="G7" s="4" t="str">
        <f aca="false">IF(TRIB!G7="","",IF($D7="A",INPUTS!$J$26,INPUTS!$O$26))</f>
        <v>RES</v>
      </c>
      <c r="H7" s="4" t="str">
        <f aca="false">IF(TRIB!H7="","",IF($D7="A",INPUTS!$J$27,INPUTS!$O$27))</f>
        <v>RES</v>
      </c>
      <c r="I7" s="4" t="str">
        <f aca="false">IF(TRIB!I7="","",IF($D7="A",INPUTS!$J$28,INPUTS!$O$28))</f>
        <v>RES</v>
      </c>
      <c r="J7" s="4" t="str">
        <f aca="false">IF(TRIB!J7="","",IF($D7="A",INPUTS!$J$29,INPUTS!$O$29))</f>
        <v>RES</v>
      </c>
      <c r="K7" s="4" t="str">
        <f aca="false">IF(TRIB!K7="","",IF($D7="A",INPUTS!$J$30,INPUTS!$O$30))</f>
        <v>RES</v>
      </c>
      <c r="L7" s="4" t="str">
        <f aca="false">IF(TRIB!L7="","",IF($D7="A",INPUTS!$J$31,INPUTS!$O$31))</f>
        <v>RES</v>
      </c>
      <c r="M7" s="4" t="str">
        <f aca="false">IF(TRIB!M7="","",IF($D7="A",INPUTS!$J$32,INPUTS!$O$32))</f>
        <v>RES</v>
      </c>
      <c r="N7" s="4" t="str">
        <f aca="false">IF(TRIB!N7="","",IF($D7="A",INPUTS!$J$33,INPUTS!$O$33))</f>
        <v>RES</v>
      </c>
      <c r="O7" s="4" t="str">
        <f aca="false">IF(TRIB!O7="","",IF($D7="A",INPUTS!$J$34,INPUTS!$O$34))</f>
        <v>RES</v>
      </c>
      <c r="P7" s="4" t="str">
        <f aca="false">IF(TRIB!P7="","",IF($D7="A",INPUTS!$J$35,INPUTS!$O$35))</f>
        <v>RES</v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4" t="str">
        <f aca="false">IF(TRIB!E8="","",IF($D8="A",INPUTS!$J$24,INPUTS!$O$24))</f>
        <v/>
      </c>
      <c r="F8" s="4" t="str">
        <f aca="false">IF(TRIB!F8="","",IF($D8="A",INPUTS!$J$25,INPUTS!$O$25))</f>
        <v>NR</v>
      </c>
      <c r="G8" s="4" t="str">
        <f aca="false">IF(TRIB!G8="","",IF($D8="A",INPUTS!$J$26,INPUTS!$O$26))</f>
        <v>RES</v>
      </c>
      <c r="H8" s="4" t="str">
        <f aca="false">IF(TRIB!H8="","",IF($D8="A",INPUTS!$J$27,INPUTS!$O$27))</f>
        <v>RES</v>
      </c>
      <c r="I8" s="4" t="str">
        <f aca="false">IF(TRIB!I8="","",IF($D8="A",INPUTS!$J$28,INPUTS!$O$28))</f>
        <v>RES</v>
      </c>
      <c r="J8" s="4" t="str">
        <f aca="false">IF(TRIB!J8="","",IF($D8="A",INPUTS!$J$29,INPUTS!$O$29))</f>
        <v>RES</v>
      </c>
      <c r="K8" s="4" t="str">
        <f aca="false">IF(TRIB!K8="","",IF($D8="A",INPUTS!$J$30,INPUTS!$O$30))</f>
        <v>RES</v>
      </c>
      <c r="L8" s="4" t="str">
        <f aca="false">IF(TRIB!L8="","",IF($D8="A",INPUTS!$J$31,INPUTS!$O$31))</f>
        <v>RES</v>
      </c>
      <c r="M8" s="4" t="str">
        <f aca="false">IF(TRIB!M8="","",IF($D8="A",INPUTS!$J$32,INPUTS!$O$32))</f>
        <v>RES</v>
      </c>
      <c r="N8" s="4" t="str">
        <f aca="false">IF(TRIB!N8="","",IF($D8="A",INPUTS!$J$33,INPUTS!$O$33))</f>
        <v>RES</v>
      </c>
      <c r="O8" s="4" t="str">
        <f aca="false">IF(TRIB!O8="","",IF($D8="A",INPUTS!$J$34,INPUTS!$O$34))</f>
        <v>RES</v>
      </c>
      <c r="P8" s="4" t="str">
        <f aca="false">IF(TRIB!P8="","",IF($D8="A",INPUTS!$J$35,INPUTS!$O$35))</f>
        <v>RES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4" t="str">
        <f aca="false">IF(TRIB!E9="","",IF($D9="A",INPUTS!$J$24,INPUTS!$O$24))</f>
        <v/>
      </c>
      <c r="F9" s="4" t="str">
        <f aca="false">IF(TRIB!F9="","",IF($D9="A",INPUTS!$J$25,INPUTS!$O$25))</f>
        <v>NR</v>
      </c>
      <c r="G9" s="4" t="str">
        <f aca="false">IF(TRIB!G9="","",IF($D9="A",INPUTS!$J$26,INPUTS!$O$26))</f>
        <v>RES</v>
      </c>
      <c r="H9" s="4" t="str">
        <f aca="false">IF(TRIB!H9="","",IF($D9="A",INPUTS!$J$27,INPUTS!$O$27))</f>
        <v>RES</v>
      </c>
      <c r="I9" s="4" t="str">
        <f aca="false">IF(TRIB!I9="","",IF($D9="A",INPUTS!$J$28,INPUTS!$O$28))</f>
        <v>RES</v>
      </c>
      <c r="J9" s="4" t="str">
        <f aca="false">IF(TRIB!J9="","",IF($D9="A",INPUTS!$J$29,INPUTS!$O$29))</f>
        <v>RES</v>
      </c>
      <c r="K9" s="4" t="str">
        <f aca="false">IF(TRIB!K9="","",IF($D9="A",INPUTS!$J$30,INPUTS!$O$30))</f>
        <v>RES</v>
      </c>
      <c r="L9" s="4" t="str">
        <f aca="false">IF(TRIB!L9="","",IF($D9="A",INPUTS!$J$31,INPUTS!$O$31))</f>
        <v>RES</v>
      </c>
      <c r="M9" s="4" t="str">
        <f aca="false">IF(TRIB!M9="","",IF($D9="A",INPUTS!$J$32,INPUTS!$O$32))</f>
        <v>RES</v>
      </c>
      <c r="N9" s="4" t="str">
        <f aca="false">IF(TRIB!N9="","",IF($D9="A",INPUTS!$J$33,INPUTS!$O$33))</f>
        <v>RES</v>
      </c>
      <c r="O9" s="4" t="str">
        <f aca="false">IF(TRIB!O9="","",IF($D9="A",INPUTS!$J$34,INPUTS!$O$34))</f>
        <v>RES</v>
      </c>
      <c r="P9" s="4" t="str">
        <f aca="false">IF(TRIB!P9="","",IF($D9="A",INPUTS!$J$35,INPUTS!$O$35))</f>
        <v>RES</v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4" t="str">
        <f aca="false">IF(TRIB!E10="","",IF($D10="A",INPUTS!$J$24,INPUTS!$O$24))</f>
        <v/>
      </c>
      <c r="F10" s="4" t="str">
        <f aca="false">IF(TRIB!F10="","",IF($D10="A",INPUTS!$J$25,INPUTS!$O$25))</f>
        <v>NR</v>
      </c>
      <c r="G10" s="4" t="str">
        <f aca="false">IF(TRIB!G10="","",IF($D10="A",INPUTS!$J$26,INPUTS!$O$26))</f>
        <v>RES</v>
      </c>
      <c r="H10" s="4" t="str">
        <f aca="false">IF(TRIB!H10="","",IF($D10="A",INPUTS!$J$27,INPUTS!$O$27))</f>
        <v>RES</v>
      </c>
      <c r="I10" s="4" t="str">
        <f aca="false">IF(TRIB!I10="","",IF($D10="A",INPUTS!$J$28,INPUTS!$O$28))</f>
        <v>RES</v>
      </c>
      <c r="J10" s="4" t="str">
        <f aca="false">IF(TRIB!J10="","",IF($D10="A",INPUTS!$J$29,INPUTS!$O$29))</f>
        <v>RES</v>
      </c>
      <c r="K10" s="4" t="str">
        <f aca="false">IF(TRIB!K10="","",IF($D10="A",INPUTS!$J$30,INPUTS!$O$30))</f>
        <v>RES</v>
      </c>
      <c r="L10" s="4" t="str">
        <f aca="false">IF(TRIB!L10="","",IF($D10="A",INPUTS!$J$31,INPUTS!$O$31))</f>
        <v>RES</v>
      </c>
      <c r="M10" s="4" t="str">
        <f aca="false">IF(TRIB!M10="","",IF($D10="A",INPUTS!$J$32,INPUTS!$O$32))</f>
        <v>RES</v>
      </c>
      <c r="N10" s="4" t="str">
        <f aca="false">IF(TRIB!N10="","",IF($D10="A",INPUTS!$J$33,INPUTS!$O$33))</f>
        <v>RES</v>
      </c>
      <c r="O10" s="4" t="str">
        <f aca="false">IF(TRIB!O10="","",IF($D10="A",INPUTS!$J$34,INPUTS!$O$34))</f>
        <v>RES</v>
      </c>
      <c r="P10" s="4" t="str">
        <f aca="false">IF(TRIB!P10="","",IF($D10="A",INPUTS!$J$35,INPUTS!$O$35))</f>
        <v>RES</v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4" t="str">
        <f aca="false">IF(TRIB!E11="","",IF($D11="A",INPUTS!$J$24,INPUTS!$O$24))</f>
        <v/>
      </c>
      <c r="F11" s="4" t="str">
        <f aca="false">IF(TRIB!F11="","",IF($D11="A",INPUTS!$J$25,INPUTS!$O$25))</f>
        <v>NR</v>
      </c>
      <c r="G11" s="4" t="str">
        <f aca="false">IF(TRIB!G11="","",IF($D11="A",INPUTS!$J$26,INPUTS!$O$26))</f>
        <v>RES</v>
      </c>
      <c r="H11" s="4" t="str">
        <f aca="false">IF(TRIB!H11="","",IF($D11="A",INPUTS!$J$27,INPUTS!$O$27))</f>
        <v>RES</v>
      </c>
      <c r="I11" s="4" t="str">
        <f aca="false">IF(TRIB!I11="","",IF($D11="A",INPUTS!$J$28,INPUTS!$O$28))</f>
        <v>RES</v>
      </c>
      <c r="J11" s="4" t="str">
        <f aca="false">IF(TRIB!J11="","",IF($D11="A",INPUTS!$J$29,INPUTS!$O$29))</f>
        <v>RES</v>
      </c>
      <c r="K11" s="4" t="str">
        <f aca="false">IF(TRIB!K11="","",IF($D11="A",INPUTS!$J$30,INPUTS!$O$30))</f>
        <v>RES</v>
      </c>
      <c r="L11" s="4" t="str">
        <f aca="false">IF(TRIB!L11="","",IF($D11="A",INPUTS!$J$31,INPUTS!$O$31))</f>
        <v>RES</v>
      </c>
      <c r="M11" s="4" t="str">
        <f aca="false">IF(TRIB!M11="","",IF($D11="A",INPUTS!$J$32,INPUTS!$O$32))</f>
        <v>RES</v>
      </c>
      <c r="N11" s="4" t="str">
        <f aca="false">IF(TRIB!N11="","",IF($D11="A",INPUTS!$J$33,INPUTS!$O$33))</f>
        <v>RES</v>
      </c>
      <c r="O11" s="4" t="str">
        <f aca="false">IF(TRIB!O11="","",IF($D11="A",INPUTS!$J$34,INPUTS!$O$34))</f>
        <v>RES</v>
      </c>
      <c r="P11" s="4" t="str">
        <f aca="false">IF(TRIB!P11="","",IF($D11="A",INPUTS!$J$35,INPUTS!$O$35))</f>
        <v>RES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4" t="str">
        <f aca="false">IF(TRIB!E12="","",IF($D12="A",INPUTS!$J$24,INPUTS!$O$24))</f>
        <v/>
      </c>
      <c r="F12" s="4" t="str">
        <f aca="false">IF(TRIB!F12="","",IF($D12="A",INPUTS!$J$25,INPUTS!$O$25))</f>
        <v>NR</v>
      </c>
      <c r="G12" s="4" t="str">
        <f aca="false">IF(TRIB!G12="","",IF($D12="A",INPUTS!$J$26,INPUTS!$O$26))</f>
        <v>RES</v>
      </c>
      <c r="H12" s="4" t="str">
        <f aca="false">IF(TRIB!H12="","",IF($D12="A",INPUTS!$J$27,INPUTS!$O$27))</f>
        <v>RES</v>
      </c>
      <c r="I12" s="4" t="str">
        <f aca="false">IF(TRIB!I12="","",IF($D12="A",INPUTS!$J$28,INPUTS!$O$28))</f>
        <v>RES</v>
      </c>
      <c r="J12" s="4" t="str">
        <f aca="false">IF(TRIB!J12="","",IF($D12="A",INPUTS!$J$29,INPUTS!$O$29))</f>
        <v>RES</v>
      </c>
      <c r="K12" s="4" t="str">
        <f aca="false">IF(TRIB!K12="","",IF($D12="A",INPUTS!$J$30,INPUTS!$O$30))</f>
        <v>RES</v>
      </c>
      <c r="L12" s="4" t="str">
        <f aca="false">IF(TRIB!L12="","",IF($D12="A",INPUTS!$J$31,INPUTS!$O$31))</f>
        <v>RES</v>
      </c>
      <c r="M12" s="4" t="str">
        <f aca="false">IF(TRIB!M12="","",IF($D12="A",INPUTS!$J$32,INPUTS!$O$32))</f>
        <v>RES</v>
      </c>
      <c r="N12" s="4" t="str">
        <f aca="false">IF(TRIB!N12="","",IF($D12="A",INPUTS!$J$33,INPUTS!$O$33))</f>
        <v>RES</v>
      </c>
      <c r="O12" s="4" t="str">
        <f aca="false">IF(TRIB!O12="","",IF($D12="A",INPUTS!$J$34,INPUTS!$O$34))</f>
        <v>RES</v>
      </c>
      <c r="P12" s="4" t="str">
        <f aca="false">IF(TRIB!P12="","",IF($D12="A",INPUTS!$J$35,INPUTS!$O$35))</f>
        <v>RES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4" t="str">
        <f aca="false">IF(TRIB!E13="","",IF($D13="A",INPUTS!$J$24,INPUTS!$O$24))</f>
        <v/>
      </c>
      <c r="F13" s="4" t="str">
        <f aca="false">IF(TRIB!F13="","",IF($D13="A",INPUTS!$J$25,INPUTS!$O$25))</f>
        <v>NR</v>
      </c>
      <c r="G13" s="4" t="str">
        <f aca="false">IF(TRIB!G13="","",IF($D13="A",INPUTS!$J$26,INPUTS!$O$26))</f>
        <v>RES</v>
      </c>
      <c r="H13" s="4" t="str">
        <f aca="false">IF(TRIB!H13="","",IF($D13="A",INPUTS!$J$27,INPUTS!$O$27))</f>
        <v>RES</v>
      </c>
      <c r="I13" s="4" t="str">
        <f aca="false">IF(TRIB!I13="","",IF($D13="A",INPUTS!$J$28,INPUTS!$O$28))</f>
        <v>RES</v>
      </c>
      <c r="J13" s="4" t="str">
        <f aca="false">IF(TRIB!J13="","",IF($D13="A",INPUTS!$J$29,INPUTS!$O$29))</f>
        <v>RES</v>
      </c>
      <c r="K13" s="4" t="str">
        <f aca="false">IF(TRIB!K13="","",IF($D13="A",INPUTS!$J$30,INPUTS!$O$30))</f>
        <v>RES</v>
      </c>
      <c r="L13" s="4" t="str">
        <f aca="false">IF(TRIB!L13="","",IF($D13="A",INPUTS!$J$31,INPUTS!$O$31))</f>
        <v>RES</v>
      </c>
      <c r="M13" s="4" t="str">
        <f aca="false">IF(TRIB!M13="","",IF($D13="A",INPUTS!$J$32,INPUTS!$O$32))</f>
        <v>RES</v>
      </c>
      <c r="N13" s="4" t="str">
        <f aca="false">IF(TRIB!N13="","",IF($D13="A",INPUTS!$J$33,INPUTS!$O$33))</f>
        <v>RES</v>
      </c>
      <c r="O13" s="4" t="str">
        <f aca="false">IF(TRIB!O13="","",IF($D13="A",INPUTS!$J$34,INPUTS!$O$34))</f>
        <v>RES</v>
      </c>
      <c r="P13" s="4" t="str">
        <f aca="false">IF(TRIB!P13="","",IF($D13="A",INPUTS!$J$35,INPUTS!$O$35))</f>
        <v>RES</v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4" t="str">
        <f aca="false">IF(TRIB!E14="","",IF($D14="A",INPUTS!$J$24,INPUTS!$O$24))</f>
        <v/>
      </c>
      <c r="F14" s="4" t="str">
        <f aca="false">IF(TRIB!F14="","",IF($D14="A",INPUTS!$J$25,INPUTS!$O$25))</f>
        <v>NR</v>
      </c>
      <c r="G14" s="4" t="str">
        <f aca="false">IF(TRIB!G14="","",IF($D14="A",INPUTS!$J$26,INPUTS!$O$26))</f>
        <v>RES</v>
      </c>
      <c r="H14" s="4" t="str">
        <f aca="false">IF(TRIB!H14="","",IF($D14="A",INPUTS!$J$27,INPUTS!$O$27))</f>
        <v>RES</v>
      </c>
      <c r="I14" s="4" t="str">
        <f aca="false">IF(TRIB!I14="","",IF($D14="A",INPUTS!$J$28,INPUTS!$O$28))</f>
        <v>RES</v>
      </c>
      <c r="J14" s="4" t="str">
        <f aca="false">IF(TRIB!J14="","",IF($D14="A",INPUTS!$J$29,INPUTS!$O$29))</f>
        <v>RES</v>
      </c>
      <c r="K14" s="4" t="str">
        <f aca="false">IF(TRIB!K14="","",IF($D14="A",INPUTS!$J$30,INPUTS!$O$30))</f>
        <v>RES</v>
      </c>
      <c r="L14" s="4" t="str">
        <f aca="false">IF(TRIB!L14="","",IF($D14="A",INPUTS!$J$31,INPUTS!$O$31))</f>
        <v>RES</v>
      </c>
      <c r="M14" s="4" t="str">
        <f aca="false">IF(TRIB!M14="","",IF($D14="A",INPUTS!$J$32,INPUTS!$O$32))</f>
        <v>RES</v>
      </c>
      <c r="N14" s="4" t="str">
        <f aca="false">IF(TRIB!N14="","",IF($D14="A",INPUTS!$J$33,INPUTS!$O$33))</f>
        <v>RES</v>
      </c>
      <c r="O14" s="4" t="str">
        <f aca="false">IF(TRIB!O14="","",IF($D14="A",INPUTS!$J$34,INPUTS!$O$34))</f>
        <v>RES</v>
      </c>
      <c r="P14" s="4" t="str">
        <f aca="false">IF(TRIB!P14="","",IF($D14="A",INPUTS!$J$35,INPUTS!$O$35))</f>
        <v>RES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4" t="str">
        <f aca="false">IF(TRIB!E15="","",IF($D15="A",INPUTS!$J$24,INPUTS!$O$24))</f>
        <v/>
      </c>
      <c r="F15" s="4" t="str">
        <f aca="false">IF(TRIB!F15="","",IF($D15="A",INPUTS!$J$25,INPUTS!$O$25))</f>
        <v>NR</v>
      </c>
      <c r="G15" s="4" t="str">
        <f aca="false">IF(TRIB!G15="","",IF($D15="A",INPUTS!$J$26,INPUTS!$O$26))</f>
        <v>RES</v>
      </c>
      <c r="H15" s="4" t="str">
        <f aca="false">IF(TRIB!H15="","",IF($D15="A",INPUTS!$J$27,INPUTS!$O$27))</f>
        <v>RES</v>
      </c>
      <c r="I15" s="4" t="str">
        <f aca="false">IF(TRIB!I15="","",IF($D15="A",INPUTS!$J$28,INPUTS!$O$28))</f>
        <v>RES</v>
      </c>
      <c r="J15" s="4" t="str">
        <f aca="false">IF(TRIB!J15="","",IF($D15="A",INPUTS!$J$29,INPUTS!$O$29))</f>
        <v>RES</v>
      </c>
      <c r="K15" s="4" t="str">
        <f aca="false">IF(TRIB!K15="","",IF($D15="A",INPUTS!$J$30,INPUTS!$O$30))</f>
        <v>RES</v>
      </c>
      <c r="L15" s="4" t="str">
        <f aca="false">IF(TRIB!L15="","",IF($D15="A",INPUTS!$J$31,INPUTS!$O$31))</f>
        <v>RES</v>
      </c>
      <c r="M15" s="4" t="str">
        <f aca="false">IF(TRIB!M15="","",IF($D15="A",INPUTS!$J$32,INPUTS!$O$32))</f>
        <v>RES</v>
      </c>
      <c r="N15" s="4" t="str">
        <f aca="false">IF(TRIB!N15="","",IF($D15="A",INPUTS!$J$33,INPUTS!$O$33))</f>
        <v>RES</v>
      </c>
      <c r="O15" s="4" t="str">
        <f aca="false">IF(TRIB!O15="","",IF($D15="A",INPUTS!$J$34,INPUTS!$O$34))</f>
        <v>RES</v>
      </c>
      <c r="P15" s="4" t="str">
        <f aca="false">IF(TRIB!P15="","",IF($D15="A",INPUTS!$J$35,INPUTS!$O$35))</f>
        <v>RES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4" t="str">
        <f aca="false">IF(TRIB!E16="","",IF($D16="A",INPUTS!$J$24,INPUTS!$O$24))</f>
        <v/>
      </c>
      <c r="F16" s="4" t="str">
        <f aca="false">IF(TRIB!F16="","",IF($D16="A",INPUTS!$J$25,INPUTS!$O$25))</f>
        <v>NR</v>
      </c>
      <c r="G16" s="4" t="str">
        <f aca="false">IF(TRIB!G16="","",IF($D16="A",INPUTS!$J$26,INPUTS!$O$26))</f>
        <v>RES</v>
      </c>
      <c r="H16" s="4" t="str">
        <f aca="false">IF(TRIB!H16="","",IF($D16="A",INPUTS!$J$27,INPUTS!$O$27))</f>
        <v>RES</v>
      </c>
      <c r="I16" s="4" t="str">
        <f aca="false">IF(TRIB!I16="","",IF($D16="A",INPUTS!$J$28,INPUTS!$O$28))</f>
        <v>RES</v>
      </c>
      <c r="J16" s="4" t="str">
        <f aca="false">IF(TRIB!J16="","",IF($D16="A",INPUTS!$J$29,INPUTS!$O$29))</f>
        <v>RES</v>
      </c>
      <c r="K16" s="4" t="str">
        <f aca="false">IF(TRIB!K16="","",IF($D16="A",INPUTS!$J$30,INPUTS!$O$30))</f>
        <v>RES</v>
      </c>
      <c r="L16" s="4" t="str">
        <f aca="false">IF(TRIB!L16="","",IF($D16="A",INPUTS!$J$31,INPUTS!$O$31))</f>
        <v>RES</v>
      </c>
      <c r="M16" s="4" t="str">
        <f aca="false">IF(TRIB!M16="","",IF($D16="A",INPUTS!$J$32,INPUTS!$O$32))</f>
        <v>RES</v>
      </c>
      <c r="N16" s="4" t="str">
        <f aca="false">IF(TRIB!N16="","",IF($D16="A",INPUTS!$J$33,INPUTS!$O$33))</f>
        <v>RES</v>
      </c>
      <c r="O16" s="4" t="str">
        <f aca="false">IF(TRIB!O16="","",IF($D16="A",INPUTS!$J$34,INPUTS!$O$34))</f>
        <v>RES</v>
      </c>
      <c r="P16" s="4" t="str">
        <f aca="false">IF(TRIB!P16="","",IF($D16="A",INPUTS!$J$35,INPUTS!$O$35))</f>
        <v>RES</v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4" t="str">
        <f aca="false">IF(TRIB!E17="","",IF($D17="A",INPUTS!$J$24,INPUTS!$O$24))</f>
        <v/>
      </c>
      <c r="F17" s="4" t="str">
        <f aca="false">IF(TRIB!F17="","",IF($D17="A",INPUTS!$J$25,INPUTS!$O$25))</f>
        <v>NR</v>
      </c>
      <c r="G17" s="4" t="str">
        <f aca="false">IF(TRIB!G17="","",IF($D17="A",INPUTS!$J$26,INPUTS!$O$26))</f>
        <v>RES</v>
      </c>
      <c r="H17" s="4" t="str">
        <f aca="false">IF(TRIB!H17="","",IF($D17="A",INPUTS!$J$27,INPUTS!$O$27))</f>
        <v>RES</v>
      </c>
      <c r="I17" s="4" t="str">
        <f aca="false">IF(TRIB!I17="","",IF($D17="A",INPUTS!$J$28,INPUTS!$O$28))</f>
        <v>RES</v>
      </c>
      <c r="J17" s="4" t="str">
        <f aca="false">IF(TRIB!J17="","",IF($D17="A",INPUTS!$J$29,INPUTS!$O$29))</f>
        <v>RES</v>
      </c>
      <c r="K17" s="4" t="str">
        <f aca="false">IF(TRIB!K17="","",IF($D17="A",INPUTS!$J$30,INPUTS!$O$30))</f>
        <v>RES</v>
      </c>
      <c r="L17" s="4" t="str">
        <f aca="false">IF(TRIB!L17="","",IF($D17="A",INPUTS!$J$31,INPUTS!$O$31))</f>
        <v>RES</v>
      </c>
      <c r="M17" s="4" t="str">
        <f aca="false">IF(TRIB!M17="","",IF($D17="A",INPUTS!$J$32,INPUTS!$O$32))</f>
        <v>RES</v>
      </c>
      <c r="N17" s="4" t="str">
        <f aca="false">IF(TRIB!N17="","",IF($D17="A",INPUTS!$J$33,INPUTS!$O$33))</f>
        <v>RES</v>
      </c>
      <c r="O17" s="4" t="str">
        <f aca="false">IF(TRIB!O17="","",IF($D17="A",INPUTS!$J$34,INPUTS!$O$34))</f>
        <v>RES</v>
      </c>
      <c r="P17" s="4" t="str">
        <f aca="false">IF(TRIB!P17="","",IF($D17="A",INPUTS!$J$35,INPUTS!$O$35))</f>
        <v>RES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4" t="str">
        <f aca="false">IF(TRIB!E18="","",IF($D18="A",INPUTS!$J$24,INPUTS!$O$24))</f>
        <v/>
      </c>
      <c r="F18" s="4" t="str">
        <f aca="false">IF(TRIB!F18="","",IF($D18="A",INPUTS!$J$25,INPUTS!$O$25))</f>
        <v>NR</v>
      </c>
      <c r="G18" s="4" t="str">
        <f aca="false">IF(TRIB!G18="","",IF($D18="A",INPUTS!$J$26,INPUTS!$O$26))</f>
        <v>RES</v>
      </c>
      <c r="H18" s="4" t="str">
        <f aca="false">IF(TRIB!H18="","",IF($D18="A",INPUTS!$J$27,INPUTS!$O$27))</f>
        <v>RES</v>
      </c>
      <c r="I18" s="4" t="str">
        <f aca="false">IF(TRIB!I18="","",IF($D18="A",INPUTS!$J$28,INPUTS!$O$28))</f>
        <v>RES</v>
      </c>
      <c r="J18" s="4" t="str">
        <f aca="false">IF(TRIB!J18="","",IF($D18="A",INPUTS!$J$29,INPUTS!$O$29))</f>
        <v>RES</v>
      </c>
      <c r="K18" s="4" t="str">
        <f aca="false">IF(TRIB!K18="","",IF($D18="A",INPUTS!$J$30,INPUTS!$O$30))</f>
        <v>RES</v>
      </c>
      <c r="L18" s="4" t="str">
        <f aca="false">IF(TRIB!L18="","",IF($D18="A",INPUTS!$J$31,INPUTS!$O$31))</f>
        <v>RES</v>
      </c>
      <c r="M18" s="4" t="str">
        <f aca="false">IF(TRIB!M18="","",IF($D18="A",INPUTS!$J$32,INPUTS!$O$32))</f>
        <v>RES</v>
      </c>
      <c r="N18" s="4" t="str">
        <f aca="false">IF(TRIB!N18="","",IF($D18="A",INPUTS!$J$33,INPUTS!$O$33))</f>
        <v>RES</v>
      </c>
      <c r="O18" s="4" t="str">
        <f aca="false">IF(TRIB!O18="","",IF($D18="A",INPUTS!$J$34,INPUTS!$O$34))</f>
        <v>RES</v>
      </c>
      <c r="P18" s="4" t="str">
        <f aca="false">IF(TRIB!P18="","",IF($D18="A",INPUTS!$J$35,INPUTS!$O$35))</f>
        <v>RES</v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4" t="str">
        <f aca="false">IF(TRIB!E19="","",IF($D19="A",INPUTS!$J$24,INPUTS!$O$24))</f>
        <v/>
      </c>
      <c r="F19" s="4" t="str">
        <f aca="false">IF(TRIB!F19="","",IF($D19="A",INPUTS!$J$25,INPUTS!$O$25))</f>
        <v>NR</v>
      </c>
      <c r="G19" s="4" t="str">
        <f aca="false">IF(TRIB!G19="","",IF($D19="A",INPUTS!$J$26,INPUTS!$O$26))</f>
        <v>RES</v>
      </c>
      <c r="H19" s="4" t="str">
        <f aca="false">IF(TRIB!H19="","",IF($D19="A",INPUTS!$J$27,INPUTS!$O$27))</f>
        <v>RES</v>
      </c>
      <c r="I19" s="4" t="str">
        <f aca="false">IF(TRIB!I19="","",IF($D19="A",INPUTS!$J$28,INPUTS!$O$28))</f>
        <v>RES</v>
      </c>
      <c r="J19" s="4" t="str">
        <f aca="false">IF(TRIB!J19="","",IF($D19="A",INPUTS!$J$29,INPUTS!$O$29))</f>
        <v>RES</v>
      </c>
      <c r="K19" s="4" t="str">
        <f aca="false">IF(TRIB!K19="","",IF($D19="A",INPUTS!$J$30,INPUTS!$O$30))</f>
        <v>RES</v>
      </c>
      <c r="L19" s="4" t="str">
        <f aca="false">IF(TRIB!L19="","",IF($D19="A",INPUTS!$J$31,INPUTS!$O$31))</f>
        <v>RES</v>
      </c>
      <c r="M19" s="4" t="str">
        <f aca="false">IF(TRIB!M19="","",IF($D19="A",INPUTS!$J$32,INPUTS!$O$32))</f>
        <v>RES</v>
      </c>
      <c r="N19" s="4" t="str">
        <f aca="false">IF(TRIB!N19="","",IF($D19="A",INPUTS!$J$33,INPUTS!$O$33))</f>
        <v>RES</v>
      </c>
      <c r="O19" s="4" t="str">
        <f aca="false">IF(TRIB!O19="","",IF($D19="A",INPUTS!$J$34,INPUTS!$O$34))</f>
        <v>RES</v>
      </c>
      <c r="P19" s="4" t="str">
        <f aca="false">IF(TRIB!P19="","",IF($D19="A",INPUTS!$J$35,INPUTS!$O$35))</f>
        <v>RES</v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4" t="str">
        <f aca="false">IF(TRIB!E20="","",IF($D20="A",INPUTS!$J$24,INPUTS!$O$24))</f>
        <v/>
      </c>
      <c r="F20" s="4" t="str">
        <f aca="false">IF(TRIB!F20="","",IF($D20="A",INPUTS!$J$25,INPUTS!$O$25))</f>
        <v>NR</v>
      </c>
      <c r="G20" s="4" t="str">
        <f aca="false">IF(TRIB!G20="","",IF($D20="A",INPUTS!$J$26,INPUTS!$O$26))</f>
        <v>RES</v>
      </c>
      <c r="H20" s="4" t="str">
        <f aca="false">IF(TRIB!H20="","",IF($D20="A",INPUTS!$J$27,INPUTS!$O$27))</f>
        <v>RES</v>
      </c>
      <c r="I20" s="4" t="str">
        <f aca="false">IF(TRIB!I20="","",IF($D20="A",INPUTS!$J$28,INPUTS!$O$28))</f>
        <v>RES</v>
      </c>
      <c r="J20" s="4" t="str">
        <f aca="false">IF(TRIB!J20="","",IF($D20="A",INPUTS!$J$29,INPUTS!$O$29))</f>
        <v>RES</v>
      </c>
      <c r="K20" s="4" t="str">
        <f aca="false">IF(TRIB!K20="","",IF($D20="A",INPUTS!$J$30,INPUTS!$O$30))</f>
        <v>RES</v>
      </c>
      <c r="L20" s="4" t="str">
        <f aca="false">IF(TRIB!L20="","",IF($D20="A",INPUTS!$J$31,INPUTS!$O$31))</f>
        <v>RES</v>
      </c>
      <c r="M20" s="4" t="str">
        <f aca="false">IF(TRIB!M20="","",IF($D20="A",INPUTS!$J$32,INPUTS!$O$32))</f>
        <v>RES</v>
      </c>
      <c r="N20" s="4" t="str">
        <f aca="false">IF(TRIB!N20="","",IF($D20="A",INPUTS!$J$33,INPUTS!$O$33))</f>
        <v>RES</v>
      </c>
      <c r="O20" s="4" t="str">
        <f aca="false">IF(TRIB!O20="","",IF($D20="A",INPUTS!$J$34,INPUTS!$O$34))</f>
        <v>RES</v>
      </c>
      <c r="P20" s="4" t="str">
        <f aca="false">IF(TRIB!P20="","",IF($D20="A",INPUTS!$J$35,INPUTS!$O$35))</f>
        <v>RES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4" t="str">
        <f aca="false">IF(TRIB!E21="","",IF($D21="A",INPUTS!$J$24,INPUTS!$O$24))</f>
        <v/>
      </c>
      <c r="F21" s="4" t="str">
        <f aca="false">IF(TRIB!F21="","",IF($D21="A",INPUTS!$J$25,INPUTS!$O$25))</f>
        <v>NR</v>
      </c>
      <c r="G21" s="4" t="str">
        <f aca="false">IF(TRIB!G21="","",IF($D21="A",INPUTS!$J$26,INPUTS!$O$26))</f>
        <v>RES</v>
      </c>
      <c r="H21" s="4" t="str">
        <f aca="false">IF(TRIB!H21="","",IF($D21="A",INPUTS!$J$27,INPUTS!$O$27))</f>
        <v>RES</v>
      </c>
      <c r="I21" s="4" t="str">
        <f aca="false">IF(TRIB!I21="","",IF($D21="A",INPUTS!$J$28,INPUTS!$O$28))</f>
        <v>RES</v>
      </c>
      <c r="J21" s="4" t="str">
        <f aca="false">IF(TRIB!J21="","",IF($D21="A",INPUTS!$J$29,INPUTS!$O$29))</f>
        <v>RES</v>
      </c>
      <c r="K21" s="4" t="str">
        <f aca="false">IF(TRIB!K21="","",IF($D21="A",INPUTS!$J$30,INPUTS!$O$30))</f>
        <v>RES</v>
      </c>
      <c r="L21" s="4" t="str">
        <f aca="false">IF(TRIB!L21="","",IF($D21="A",INPUTS!$J$31,INPUTS!$O$31))</f>
        <v>RES</v>
      </c>
      <c r="M21" s="4" t="str">
        <f aca="false">IF(TRIB!M21="","",IF($D21="A",INPUTS!$J$32,INPUTS!$O$32))</f>
        <v>RES</v>
      </c>
      <c r="N21" s="4" t="str">
        <f aca="false">IF(TRIB!N21="","",IF($D21="A",INPUTS!$J$33,INPUTS!$O$33))</f>
        <v>RES</v>
      </c>
      <c r="O21" s="4" t="str">
        <f aca="false">IF(TRIB!O21="","",IF($D21="A",INPUTS!$J$34,INPUTS!$O$34))</f>
        <v>RES</v>
      </c>
      <c r="P21" s="4" t="str">
        <f aca="false">IF(TRIB!P21="","",IF($D21="A",INPUTS!$J$35,INPUTS!$O$35))</f>
        <v>RES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4" t="str">
        <f aca="false">IF(TRIB!E22="","",IF($D22="A",INPUTS!$J$24,INPUTS!$O$24))</f>
        <v/>
      </c>
      <c r="F22" s="4" t="str">
        <f aca="false">IF(TRIB!F22="","",IF($D22="A",INPUTS!$J$25,INPUTS!$O$25))</f>
        <v>NR</v>
      </c>
      <c r="G22" s="4" t="str">
        <f aca="false">IF(TRIB!G22="","",IF($D22="A",INPUTS!$J$26,INPUTS!$O$26))</f>
        <v>RES</v>
      </c>
      <c r="H22" s="4" t="str">
        <f aca="false">IF(TRIB!H22="","",IF($D22="A",INPUTS!$J$27,INPUTS!$O$27))</f>
        <v>RES</v>
      </c>
      <c r="I22" s="4" t="str">
        <f aca="false">IF(TRIB!I22="","",IF($D22="A",INPUTS!$J$28,INPUTS!$O$28))</f>
        <v>RES</v>
      </c>
      <c r="J22" s="4" t="str">
        <f aca="false">IF(TRIB!J22="","",IF($D22="A",INPUTS!$J$29,INPUTS!$O$29))</f>
        <v>RES</v>
      </c>
      <c r="K22" s="4" t="str">
        <f aca="false">IF(TRIB!K22="","",IF($D22="A",INPUTS!$J$30,INPUTS!$O$30))</f>
        <v>RES</v>
      </c>
      <c r="L22" s="4" t="str">
        <f aca="false">IF(TRIB!L22="","",IF($D22="A",INPUTS!$J$31,INPUTS!$O$31))</f>
        <v>RES</v>
      </c>
      <c r="M22" s="4" t="str">
        <f aca="false">IF(TRIB!M22="","",IF($D22="A",INPUTS!$J$32,INPUTS!$O$32))</f>
        <v>RES</v>
      </c>
      <c r="N22" s="4" t="str">
        <f aca="false">IF(TRIB!N22="","",IF($D22="A",INPUTS!$J$33,INPUTS!$O$33))</f>
        <v>RES</v>
      </c>
      <c r="O22" s="4" t="str">
        <f aca="false">IF(TRIB!O22="","",IF($D22="A",INPUTS!$J$34,INPUTS!$O$34))</f>
        <v>RES</v>
      </c>
      <c r="P22" s="4" t="str">
        <f aca="false">IF(TRIB!P22="","",IF($D22="A",INPUTS!$J$35,INPUTS!$O$35))</f>
        <v>RES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4" t="str">
        <f aca="false">IF(TRIB!E23="","",IF($D23="A",INPUTS!$J$24,INPUTS!$O$24))</f>
        <v/>
      </c>
      <c r="F23" s="4" t="str">
        <f aca="false">IF(TRIB!F23="","",IF($D23="A",INPUTS!$J$25,INPUTS!$O$25))</f>
        <v>NR</v>
      </c>
      <c r="G23" s="4" t="str">
        <f aca="false">IF(TRIB!G23="","",IF($D23="A",INPUTS!$J$26,INPUTS!$O$26))</f>
        <v>RES</v>
      </c>
      <c r="H23" s="4" t="str">
        <f aca="false">IF(TRIB!H23="","",IF($D23="A",INPUTS!$J$27,INPUTS!$O$27))</f>
        <v>RES</v>
      </c>
      <c r="I23" s="4" t="str">
        <f aca="false">IF(TRIB!I23="","",IF($D23="A",INPUTS!$J$28,INPUTS!$O$28))</f>
        <v>RES</v>
      </c>
      <c r="J23" s="4" t="str">
        <f aca="false">IF(TRIB!J23="","",IF($D23="A",INPUTS!$J$29,INPUTS!$O$29))</f>
        <v>RES</v>
      </c>
      <c r="K23" s="4" t="str">
        <f aca="false">IF(TRIB!K23="","",IF($D23="A",INPUTS!$J$30,INPUTS!$O$30))</f>
        <v>RES</v>
      </c>
      <c r="L23" s="4" t="str">
        <f aca="false">IF(TRIB!L23="","",IF($D23="A",INPUTS!$J$31,INPUTS!$O$31))</f>
        <v>RES</v>
      </c>
      <c r="M23" s="4" t="str">
        <f aca="false">IF(TRIB!M23="","",IF($D23="A",INPUTS!$J$32,INPUTS!$O$32))</f>
        <v>RES</v>
      </c>
      <c r="N23" s="4" t="str">
        <f aca="false">IF(TRIB!N23="","",IF($D23="A",INPUTS!$J$33,INPUTS!$O$33))</f>
        <v>RES</v>
      </c>
      <c r="O23" s="4" t="str">
        <f aca="false">IF(TRIB!O23="","",IF($D23="A",INPUTS!$J$34,INPUTS!$O$34))</f>
        <v>RES</v>
      </c>
      <c r="P23" s="4" t="str">
        <f aca="false">IF(TRIB!P23="","",IF($D23="A",INPUTS!$J$35,INPUTS!$O$35))</f>
        <v>RES</v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4" t="str">
        <f aca="false">IF(TRIB!E24="","",IF($D24="A",INPUTS!$J$24,INPUTS!$O$24))</f>
        <v/>
      </c>
      <c r="F24" s="4" t="str">
        <f aca="false">IF(TRIB!F24="","",IF($D24="A",INPUTS!$J$25,INPUTS!$O$25))</f>
        <v>NR</v>
      </c>
      <c r="G24" s="4" t="str">
        <f aca="false">IF(TRIB!G24="","",IF($D24="A",INPUTS!$J$26,INPUTS!$O$26))</f>
        <v>RES</v>
      </c>
      <c r="H24" s="4" t="str">
        <f aca="false">IF(TRIB!H24="","",IF($D24="A",INPUTS!$J$27,INPUTS!$O$27))</f>
        <v>RES</v>
      </c>
      <c r="I24" s="4" t="str">
        <f aca="false">IF(TRIB!I24="","",IF($D24="A",INPUTS!$J$28,INPUTS!$O$28))</f>
        <v>RES</v>
      </c>
      <c r="J24" s="4" t="str">
        <f aca="false">IF(TRIB!J24="","",IF($D24="A",INPUTS!$J$29,INPUTS!$O$29))</f>
        <v>RES</v>
      </c>
      <c r="K24" s="4" t="str">
        <f aca="false">IF(TRIB!K24="","",IF($D24="A",INPUTS!$J$30,INPUTS!$O$30))</f>
        <v>RES</v>
      </c>
      <c r="L24" s="4" t="str">
        <f aca="false">IF(TRIB!L24="","",IF($D24="A",INPUTS!$J$31,INPUTS!$O$31))</f>
        <v>RES</v>
      </c>
      <c r="M24" s="4" t="str">
        <f aca="false">IF(TRIB!M24="","",IF($D24="A",INPUTS!$J$32,INPUTS!$O$32))</f>
        <v>RES</v>
      </c>
      <c r="N24" s="4" t="str">
        <f aca="false">IF(TRIB!N24="","",IF($D24="A",INPUTS!$J$33,INPUTS!$O$33))</f>
        <v>RES</v>
      </c>
      <c r="O24" s="4" t="str">
        <f aca="false">IF(TRIB!O24="","",IF($D24="A",INPUTS!$J$34,INPUTS!$O$34))</f>
        <v>RES</v>
      </c>
      <c r="P24" s="4" t="str">
        <f aca="false">IF(TRIB!P24="","",IF($D24="A",INPUTS!$J$35,INPUTS!$O$35))</f>
        <v>RES</v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4" t="str">
        <f aca="false">IF(TRIB!E25="","",IF($D25="A",INPUTS!$J$24,INPUTS!$O$24))</f>
        <v/>
      </c>
      <c r="F25" s="4" t="str">
        <f aca="false">IF(TRIB!F25="","",IF($D25="A",INPUTS!$J$25,INPUTS!$O$25))</f>
        <v>NR</v>
      </c>
      <c r="G25" s="4" t="str">
        <f aca="false">IF(TRIB!G25="","",IF($D25="A",INPUTS!$J$26,INPUTS!$O$26))</f>
        <v>RES</v>
      </c>
      <c r="H25" s="4" t="str">
        <f aca="false">IF(TRIB!H25="","",IF($D25="A",INPUTS!$J$27,INPUTS!$O$27))</f>
        <v>RES</v>
      </c>
      <c r="I25" s="4" t="str">
        <f aca="false">IF(TRIB!I25="","",IF($D25="A",INPUTS!$J$28,INPUTS!$O$28))</f>
        <v>RES</v>
      </c>
      <c r="J25" s="4" t="str">
        <f aca="false">IF(TRIB!J25="","",IF($D25="A",INPUTS!$J$29,INPUTS!$O$29))</f>
        <v>RES</v>
      </c>
      <c r="K25" s="4" t="str">
        <f aca="false">IF(TRIB!K25="","",IF($D25="A",INPUTS!$J$30,INPUTS!$O$30))</f>
        <v>RES</v>
      </c>
      <c r="L25" s="4" t="str">
        <f aca="false">IF(TRIB!L25="","",IF($D25="A",INPUTS!$J$31,INPUTS!$O$31))</f>
        <v>RES</v>
      </c>
      <c r="M25" s="4" t="str">
        <f aca="false">IF(TRIB!M25="","",IF($D25="A",INPUTS!$J$32,INPUTS!$O$32))</f>
        <v>RES</v>
      </c>
      <c r="N25" s="4" t="str">
        <f aca="false">IF(TRIB!N25="","",IF($D25="A",INPUTS!$J$33,INPUTS!$O$33))</f>
        <v>RES</v>
      </c>
      <c r="O25" s="4" t="str">
        <f aca="false">IF(TRIB!O25="","",IF($D25="A",INPUTS!$J$34,INPUTS!$O$34))</f>
        <v>RES</v>
      </c>
      <c r="P25" s="4" t="str">
        <f aca="false">IF(TRIB!P25="","",IF($D25="A",INPUTS!$J$35,INPUTS!$O$35))</f>
        <v>RES</v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4" t="str">
        <f aca="false">IF(TRIB!E26="","",IF($D26="A",INPUTS!$J$24,INPUTS!$O$24))</f>
        <v/>
      </c>
      <c r="F26" s="4" t="str">
        <f aca="false">IF(TRIB!F26="","",IF($D26="A",INPUTS!$J$25,INPUTS!$O$25))</f>
        <v>NR</v>
      </c>
      <c r="G26" s="4" t="str">
        <f aca="false">IF(TRIB!G26="","",IF($D26="A",INPUTS!$J$26,INPUTS!$O$26))</f>
        <v>RES</v>
      </c>
      <c r="H26" s="4" t="str">
        <f aca="false">IF(TRIB!H26="","",IF($D26="A",INPUTS!$J$27,INPUTS!$O$27))</f>
        <v>RES</v>
      </c>
      <c r="I26" s="4" t="str">
        <f aca="false">IF(TRIB!I26="","",IF($D26="A",INPUTS!$J$28,INPUTS!$O$28))</f>
        <v>RES</v>
      </c>
      <c r="J26" s="4" t="str">
        <f aca="false">IF(TRIB!J26="","",IF($D26="A",INPUTS!$J$29,INPUTS!$O$29))</f>
        <v>RES</v>
      </c>
      <c r="K26" s="4" t="str">
        <f aca="false">IF(TRIB!K26="","",IF($D26="A",INPUTS!$J$30,INPUTS!$O$30))</f>
        <v>RES</v>
      </c>
      <c r="L26" s="4" t="str">
        <f aca="false">IF(TRIB!L26="","",IF($D26="A",INPUTS!$J$31,INPUTS!$O$31))</f>
        <v>RES</v>
      </c>
      <c r="M26" s="4" t="str">
        <f aca="false">IF(TRIB!M26="","",IF($D26="A",INPUTS!$J$32,INPUTS!$O$32))</f>
        <v>RES</v>
      </c>
      <c r="N26" s="4" t="str">
        <f aca="false">IF(TRIB!N26="","",IF($D26="A",INPUTS!$J$33,INPUTS!$O$33))</f>
        <v>RES</v>
      </c>
      <c r="O26" s="4" t="str">
        <f aca="false">IF(TRIB!O26="","",IF($D26="A",INPUTS!$J$34,INPUTS!$O$34))</f>
        <v>RES</v>
      </c>
      <c r="P26" s="4" t="str">
        <f aca="false">IF(TRIB!P26="","",IF($D26="A",INPUTS!$J$35,INPUTS!$O$35))</f>
        <v>RES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4" t="str">
        <f aca="false">IF(TRIB!E27="","",IF($D27="A",INPUTS!$J$24,INPUTS!$O$24))</f>
        <v/>
      </c>
      <c r="F27" s="4" t="str">
        <f aca="false">IF(TRIB!F27="","",IF($D27="A",INPUTS!$J$25,INPUTS!$O$25))</f>
        <v>NR</v>
      </c>
      <c r="G27" s="4" t="str">
        <f aca="false">IF(TRIB!G27="","",IF($D27="A",INPUTS!$J$26,INPUTS!$O$26))</f>
        <v>RES</v>
      </c>
      <c r="H27" s="4" t="str">
        <f aca="false">IF(TRIB!H27="","",IF($D27="A",INPUTS!$J$27,INPUTS!$O$27))</f>
        <v>RES</v>
      </c>
      <c r="I27" s="4" t="str">
        <f aca="false">IF(TRIB!I27="","",IF($D27="A",INPUTS!$J$28,INPUTS!$O$28))</f>
        <v>RES</v>
      </c>
      <c r="J27" s="4" t="str">
        <f aca="false">IF(TRIB!J27="","",IF($D27="A",INPUTS!$J$29,INPUTS!$O$29))</f>
        <v>RES</v>
      </c>
      <c r="K27" s="4" t="str">
        <f aca="false">IF(TRIB!K27="","",IF($D27="A",INPUTS!$J$30,INPUTS!$O$30))</f>
        <v>RES</v>
      </c>
      <c r="L27" s="4" t="str">
        <f aca="false">IF(TRIB!L27="","",IF($D27="A",INPUTS!$J$31,INPUTS!$O$31))</f>
        <v>RES</v>
      </c>
      <c r="M27" s="4" t="str">
        <f aca="false">IF(TRIB!M27="","",IF($D27="A",INPUTS!$J$32,INPUTS!$O$32))</f>
        <v>RES</v>
      </c>
      <c r="N27" s="4" t="str">
        <f aca="false">IF(TRIB!N27="","",IF($D27="A",INPUTS!$J$33,INPUTS!$O$33))</f>
        <v>RES</v>
      </c>
      <c r="O27" s="4" t="str">
        <f aca="false">IF(TRIB!O27="","",IF($D27="A",INPUTS!$J$34,INPUTS!$O$34))</f>
        <v>RES</v>
      </c>
      <c r="P27" s="4" t="str">
        <f aca="false">IF(TRIB!P27="","",IF($D27="A",INPUTS!$J$35,INPUTS!$O$35))</f>
        <v>RES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4" t="str">
        <f aca="false">IF(TRIB!E28="","",IF($D28="A",INPUTS!$J$24,INPUTS!$O$24))</f>
        <v/>
      </c>
      <c r="F28" s="4" t="str">
        <f aca="false">IF(TRIB!F28="","",IF($D28="A",INPUTS!$J$25,INPUTS!$O$25))</f>
        <v>NR</v>
      </c>
      <c r="G28" s="4" t="str">
        <f aca="false">IF(TRIB!G28="","",IF($D28="A",INPUTS!$J$26,INPUTS!$O$26))</f>
        <v>RES</v>
      </c>
      <c r="H28" s="4" t="str">
        <f aca="false">IF(TRIB!H28="","",IF($D28="A",INPUTS!$J$27,INPUTS!$O$27))</f>
        <v>RES</v>
      </c>
      <c r="I28" s="4" t="str">
        <f aca="false">IF(TRIB!I28="","",IF($D28="A",INPUTS!$J$28,INPUTS!$O$28))</f>
        <v>RES</v>
      </c>
      <c r="J28" s="4" t="str">
        <f aca="false">IF(TRIB!J28="","",IF($D28="A",INPUTS!$J$29,INPUTS!$O$29))</f>
        <v>RES</v>
      </c>
      <c r="K28" s="4" t="str">
        <f aca="false">IF(TRIB!K28="","",IF($D28="A",INPUTS!$J$30,INPUTS!$O$30))</f>
        <v>RES</v>
      </c>
      <c r="L28" s="4" t="str">
        <f aca="false">IF(TRIB!L28="","",IF($D28="A",INPUTS!$J$31,INPUTS!$O$31))</f>
        <v>RES</v>
      </c>
      <c r="M28" s="4" t="str">
        <f aca="false">IF(TRIB!M28="","",IF($D28="A",INPUTS!$J$32,INPUTS!$O$32))</f>
        <v>RES</v>
      </c>
      <c r="N28" s="4" t="str">
        <f aca="false">IF(TRIB!N28="","",IF($D28="A",INPUTS!$J$33,INPUTS!$O$33))</f>
        <v>RES</v>
      </c>
      <c r="O28" s="4" t="str">
        <f aca="false">IF(TRIB!O28="","",IF($D28="A",INPUTS!$J$34,INPUTS!$O$34))</f>
        <v>RES</v>
      </c>
      <c r="P28" s="4" t="str">
        <f aca="false">IF(TRIB!P28="","",IF($D28="A",INPUTS!$J$35,INPUTS!$O$35))</f>
        <v>RES</v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4" t="str">
        <f aca="false">IF(TRIB!E29="","",IF($D29="A",INPUTS!$J$24,INPUTS!$O$24))</f>
        <v/>
      </c>
      <c r="F29" s="4" t="str">
        <f aca="false">IF(TRIB!F29="","",IF($D29="A",INPUTS!$J$25,INPUTS!$O$25))</f>
        <v>NR</v>
      </c>
      <c r="G29" s="4" t="str">
        <f aca="false">IF(TRIB!G29="","",IF($D29="A",INPUTS!$J$26,INPUTS!$O$26))</f>
        <v>RES</v>
      </c>
      <c r="H29" s="4" t="str">
        <f aca="false">IF(TRIB!H29="","",IF($D29="A",INPUTS!$J$27,INPUTS!$O$27))</f>
        <v>RES</v>
      </c>
      <c r="I29" s="4" t="str">
        <f aca="false">IF(TRIB!I29="","",IF($D29="A",INPUTS!$J$28,INPUTS!$O$28))</f>
        <v>RES</v>
      </c>
      <c r="J29" s="4" t="str">
        <f aca="false">IF(TRIB!J29="","",IF($D29="A",INPUTS!$J$29,INPUTS!$O$29))</f>
        <v>RES</v>
      </c>
      <c r="K29" s="4" t="str">
        <f aca="false">IF(TRIB!K29="","",IF($D29="A",INPUTS!$J$30,INPUTS!$O$30))</f>
        <v>RES</v>
      </c>
      <c r="L29" s="4" t="str">
        <f aca="false">IF(TRIB!L29="","",IF($D29="A",INPUTS!$J$31,INPUTS!$O$31))</f>
        <v>RES</v>
      </c>
      <c r="M29" s="4" t="str">
        <f aca="false">IF(TRIB!M29="","",IF($D29="A",INPUTS!$J$32,INPUTS!$O$32))</f>
        <v>RES</v>
      </c>
      <c r="N29" s="4" t="str">
        <f aca="false">IF(TRIB!N29="","",IF($D29="A",INPUTS!$J$33,INPUTS!$O$33))</f>
        <v>RES</v>
      </c>
      <c r="O29" s="4" t="str">
        <f aca="false">IF(TRIB!O29="","",IF($D29="A",INPUTS!$J$34,INPUTS!$O$34))</f>
        <v>RES</v>
      </c>
      <c r="P29" s="4" t="str">
        <f aca="false">IF(TRIB!P29="","",IF($D29="A",INPUTS!$J$35,INPUTS!$O$35))</f>
        <v>RES</v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4" t="str">
        <f aca="false">IF(TRIB!E30="","",IF($D30="A",INPUTS!$J$24,INPUTS!$O$24))</f>
        <v/>
      </c>
      <c r="F30" s="4" t="str">
        <f aca="false">IF(TRIB!F30="","",IF($D30="A",INPUTS!$J$25,INPUTS!$O$25))</f>
        <v>NR</v>
      </c>
      <c r="G30" s="4" t="str">
        <f aca="false">IF(TRIB!G30="","",IF($D30="A",INPUTS!$J$26,INPUTS!$O$26))</f>
        <v>RES</v>
      </c>
      <c r="H30" s="4" t="str">
        <f aca="false">IF(TRIB!H30="","",IF($D30="A",INPUTS!$J$27,INPUTS!$O$27))</f>
        <v>RES</v>
      </c>
      <c r="I30" s="4" t="str">
        <f aca="false">IF(TRIB!I30="","",IF($D30="A",INPUTS!$J$28,INPUTS!$O$28))</f>
        <v>RES</v>
      </c>
      <c r="J30" s="4" t="str">
        <f aca="false">IF(TRIB!J30="","",IF($D30="A",INPUTS!$J$29,INPUTS!$O$29))</f>
        <v>RES</v>
      </c>
      <c r="K30" s="4" t="str">
        <f aca="false">IF(TRIB!K30="","",IF($D30="A",INPUTS!$J$30,INPUTS!$O$30))</f>
        <v>RES</v>
      </c>
      <c r="L30" s="4" t="str">
        <f aca="false">IF(TRIB!L30="","",IF($D30="A",INPUTS!$J$31,INPUTS!$O$31))</f>
        <v>RES</v>
      </c>
      <c r="M30" s="4" t="str">
        <f aca="false">IF(TRIB!M30="","",IF($D30="A",INPUTS!$J$32,INPUTS!$O$32))</f>
        <v>RES</v>
      </c>
      <c r="N30" s="4" t="str">
        <f aca="false">IF(TRIB!N30="","",IF($D30="A",INPUTS!$J$33,INPUTS!$O$33))</f>
        <v>RES</v>
      </c>
      <c r="O30" s="4" t="str">
        <f aca="false">IF(TRIB!O30="","",IF($D30="A",INPUTS!$J$34,INPUTS!$O$34))</f>
        <v>RES</v>
      </c>
      <c r="P30" s="4" t="str">
        <f aca="false">IF(TRIB!P30="","",IF($D30="A",INPUTS!$J$35,INPUTS!$O$35))</f>
        <v>RES</v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4" t="str">
        <f aca="false">IF(TRIB!E31="","",IF($D31="A",INPUTS!$J$24,INPUTS!$O$24))</f>
        <v/>
      </c>
      <c r="F31" s="4" t="str">
        <f aca="false">IF(TRIB!F31="","",IF($D31="A",INPUTS!$J$25,INPUTS!$O$25))</f>
        <v>NR</v>
      </c>
      <c r="G31" s="4" t="str">
        <f aca="false">IF(TRIB!G31="","",IF($D31="A",INPUTS!$J$26,INPUTS!$O$26))</f>
        <v>RES</v>
      </c>
      <c r="H31" s="4" t="str">
        <f aca="false">IF(TRIB!H31="","",IF($D31="A",INPUTS!$J$27,INPUTS!$O$27))</f>
        <v>RES</v>
      </c>
      <c r="I31" s="4" t="str">
        <f aca="false">IF(TRIB!I31="","",IF($D31="A",INPUTS!$J$28,INPUTS!$O$28))</f>
        <v>RES</v>
      </c>
      <c r="J31" s="4" t="str">
        <f aca="false">IF(TRIB!J31="","",IF($D31="A",INPUTS!$J$29,INPUTS!$O$29))</f>
        <v>RES</v>
      </c>
      <c r="K31" s="4" t="str">
        <f aca="false">IF(TRIB!K31="","",IF($D31="A",INPUTS!$J$30,INPUTS!$O$30))</f>
        <v>RES</v>
      </c>
      <c r="L31" s="4" t="str">
        <f aca="false">IF(TRIB!L31="","",IF($D31="A",INPUTS!$J$31,INPUTS!$O$31))</f>
        <v>RES</v>
      </c>
      <c r="M31" s="4" t="str">
        <f aca="false">IF(TRIB!M31="","",IF($D31="A",INPUTS!$J$32,INPUTS!$O$32))</f>
        <v>RES</v>
      </c>
      <c r="N31" s="4" t="str">
        <f aca="false">IF(TRIB!N31="","",IF($D31="A",INPUTS!$J$33,INPUTS!$O$33))</f>
        <v>RES</v>
      </c>
      <c r="O31" s="4" t="str">
        <f aca="false">IF(TRIB!O31="","",IF($D31="A",INPUTS!$J$34,INPUTS!$O$34))</f>
        <v>RES</v>
      </c>
      <c r="P31" s="4" t="str">
        <f aca="false">IF(TRIB!P31="","",IF($D31="A",INPUTS!$J$35,INPUTS!$O$35))</f>
        <v>RES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4" t="str">
        <f aca="false">IF(TRIB!E32="","",IF($D32="A",INPUTS!$J$24,INPUTS!$O$24))</f>
        <v/>
      </c>
      <c r="F32" s="4" t="str">
        <f aca="false">IF(TRIB!F32="","",IF($D32="A",INPUTS!$J$25,INPUTS!$O$25))</f>
        <v>NR</v>
      </c>
      <c r="G32" s="4" t="str">
        <f aca="false">IF(TRIB!G32="","",IF($D32="A",INPUTS!$J$26,INPUTS!$O$26))</f>
        <v>RES</v>
      </c>
      <c r="H32" s="4" t="str">
        <f aca="false">IF(TRIB!H32="","",IF($D32="A",INPUTS!$J$27,INPUTS!$O$27))</f>
        <v>RES</v>
      </c>
      <c r="I32" s="4" t="str">
        <f aca="false">IF(TRIB!I32="","",IF($D32="A",INPUTS!$J$28,INPUTS!$O$28))</f>
        <v>RES</v>
      </c>
      <c r="J32" s="4" t="str">
        <f aca="false">IF(TRIB!J32="","",IF($D32="A",INPUTS!$J$29,INPUTS!$O$29))</f>
        <v>RES</v>
      </c>
      <c r="K32" s="4" t="str">
        <f aca="false">IF(TRIB!K32="","",IF($D32="A",INPUTS!$J$30,INPUTS!$O$30))</f>
        <v>RES</v>
      </c>
      <c r="L32" s="4" t="str">
        <f aca="false">IF(TRIB!L32="","",IF($D32="A",INPUTS!$J$31,INPUTS!$O$31))</f>
        <v>RES</v>
      </c>
      <c r="M32" s="4" t="str">
        <f aca="false">IF(TRIB!M32="","",IF($D32="A",INPUTS!$J$32,INPUTS!$O$32))</f>
        <v>RES</v>
      </c>
      <c r="N32" s="4" t="str">
        <f aca="false">IF(TRIB!N32="","",IF($D32="A",INPUTS!$J$33,INPUTS!$O$33))</f>
        <v>RES</v>
      </c>
      <c r="O32" s="4" t="str">
        <f aca="false">IF(TRIB!O32="","",IF($D32="A",INPUTS!$J$34,INPUTS!$O$34))</f>
        <v>RES</v>
      </c>
      <c r="P32" s="4" t="str">
        <f aca="false">IF(TRIB!P32="","",IF($D32="A",INPUTS!$J$35,INPUTS!$O$35))</f>
        <v>RES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4" t="str">
        <f aca="false">IF(TRIB!E33="","",IF($D33="A",INPUTS!$J$24,INPUTS!$O$24))</f>
        <v/>
      </c>
      <c r="F33" s="4" t="str">
        <f aca="false">IF(TRIB!F33="","",IF($D33="A",INPUTS!$J$25,INPUTS!$O$25))</f>
        <v>NR</v>
      </c>
      <c r="G33" s="4" t="str">
        <f aca="false">IF(TRIB!G33="","",IF($D33="A",INPUTS!$J$26,INPUTS!$O$26))</f>
        <v>RES</v>
      </c>
      <c r="H33" s="4" t="str">
        <f aca="false">IF(TRIB!H33="","",IF($D33="A",INPUTS!$J$27,INPUTS!$O$27))</f>
        <v>RES</v>
      </c>
      <c r="I33" s="4" t="str">
        <f aca="false">IF(TRIB!I33="","",IF($D33="A",INPUTS!$J$28,INPUTS!$O$28))</f>
        <v>RES</v>
      </c>
      <c r="J33" s="4" t="str">
        <f aca="false">IF(TRIB!J33="","",IF($D33="A",INPUTS!$J$29,INPUTS!$O$29))</f>
        <v>RES</v>
      </c>
      <c r="K33" s="4" t="str">
        <f aca="false">IF(TRIB!K33="","",IF($D33="A",INPUTS!$J$30,INPUTS!$O$30))</f>
        <v>RES</v>
      </c>
      <c r="L33" s="4" t="str">
        <f aca="false">IF(TRIB!L33="","",IF($D33="A",INPUTS!$J$31,INPUTS!$O$31))</f>
        <v>RES</v>
      </c>
      <c r="M33" s="4" t="str">
        <f aca="false">IF(TRIB!M33="","",IF($D33="A",INPUTS!$J$32,INPUTS!$O$32))</f>
        <v>RES</v>
      </c>
      <c r="N33" s="4" t="str">
        <f aca="false">IF(TRIB!N33="","",IF($D33="A",INPUTS!$J$33,INPUTS!$O$33))</f>
        <v>RES</v>
      </c>
      <c r="O33" s="4" t="str">
        <f aca="false">IF(TRIB!O33="","",IF($D33="A",INPUTS!$J$34,INPUTS!$O$34))</f>
        <v>RES</v>
      </c>
      <c r="P33" s="4" t="str">
        <f aca="false">IF(TRIB!P33="","",IF($D33="A",INPUTS!$J$35,INPUTS!$O$35))</f>
        <v>RES</v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4" t="str">
        <f aca="false">IF(TRIB!E34="","",IF($D34="A",INPUTS!$J$24,INPUTS!$O$24))</f>
        <v/>
      </c>
      <c r="F34" s="4" t="str">
        <f aca="false">IF(TRIB!F34="","",IF($D34="A",INPUTS!$J$25,INPUTS!$O$25))</f>
        <v>NR</v>
      </c>
      <c r="G34" s="4" t="str">
        <f aca="false">IF(TRIB!G34="","",IF($D34="A",INPUTS!$J$26,INPUTS!$O$26))</f>
        <v>RES</v>
      </c>
      <c r="H34" s="4" t="str">
        <f aca="false">IF(TRIB!H34="","",IF($D34="A",INPUTS!$J$27,INPUTS!$O$27))</f>
        <v>RES</v>
      </c>
      <c r="I34" s="4" t="str">
        <f aca="false">IF(TRIB!I34="","",IF($D34="A",INPUTS!$J$28,INPUTS!$O$28))</f>
        <v>RES</v>
      </c>
      <c r="J34" s="4" t="str">
        <f aca="false">IF(TRIB!J34="","",IF($D34="A",INPUTS!$J$29,INPUTS!$O$29))</f>
        <v>RES</v>
      </c>
      <c r="K34" s="4" t="str">
        <f aca="false">IF(TRIB!K34="","",IF($D34="A",INPUTS!$J$30,INPUTS!$O$30))</f>
        <v>RES</v>
      </c>
      <c r="L34" s="4" t="str">
        <f aca="false">IF(TRIB!L34="","",IF($D34="A",INPUTS!$J$31,INPUTS!$O$31))</f>
        <v>RES</v>
      </c>
      <c r="M34" s="4" t="str">
        <f aca="false">IF(TRIB!M34="","",IF($D34="A",INPUTS!$J$32,INPUTS!$O$32))</f>
        <v>RES</v>
      </c>
      <c r="N34" s="4" t="str">
        <f aca="false">IF(TRIB!N34="","",IF($D34="A",INPUTS!$J$33,INPUTS!$O$33))</f>
        <v>RES</v>
      </c>
      <c r="O34" s="4" t="str">
        <f aca="false">IF(TRIB!O34="","",IF($D34="A",INPUTS!$J$34,INPUTS!$O$34))</f>
        <v>RES</v>
      </c>
      <c r="P34" s="4" t="str">
        <f aca="false">IF(TRIB!P34="","",IF($D34="A",INPUTS!$J$35,INPUTS!$O$35))</f>
        <v>RES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4" t="str">
        <f aca="false">IF(TRIB!E35="","",IF($D35="A",INPUTS!$J$24,INPUTS!$O$24))</f>
        <v/>
      </c>
      <c r="F35" s="4" t="str">
        <f aca="false">IF(TRIB!F35="","",IF($D35="A",INPUTS!$J$25,INPUTS!$O$25))</f>
        <v/>
      </c>
      <c r="G35" s="4" t="str">
        <f aca="false">IF(TRIB!G35="","",IF($D35="A",INPUTS!$J$26,INPUTS!$O$26))</f>
        <v>RES</v>
      </c>
      <c r="H35" s="4" t="str">
        <f aca="false">IF(TRIB!H35="","",IF($D35="A",INPUTS!$J$27,INPUTS!$O$27))</f>
        <v>RES</v>
      </c>
      <c r="I35" s="4" t="str">
        <f aca="false">IF(TRIB!I35="","",IF($D35="A",INPUTS!$J$28,INPUTS!$O$28))</f>
        <v>RES</v>
      </c>
      <c r="J35" s="4" t="str">
        <f aca="false">IF(TRIB!J35="","",IF($D35="A",INPUTS!$J$29,INPUTS!$O$29))</f>
        <v>RES</v>
      </c>
      <c r="K35" s="4" t="str">
        <f aca="false">IF(TRIB!K35="","",IF($D35="A",INPUTS!$J$30,INPUTS!$O$30))</f>
        <v>RES</v>
      </c>
      <c r="L35" s="4" t="str">
        <f aca="false">IF(TRIB!L35="","",IF($D35="A",INPUTS!$J$31,INPUTS!$O$31))</f>
        <v>RES</v>
      </c>
      <c r="M35" s="4" t="str">
        <f aca="false">IF(TRIB!M35="","",IF($D35="A",INPUTS!$J$32,INPUTS!$O$32))</f>
        <v>RES</v>
      </c>
      <c r="N35" s="4" t="str">
        <f aca="false">IF(TRIB!N35="","",IF($D35="A",INPUTS!$J$33,INPUTS!$O$33))</f>
        <v>RES</v>
      </c>
      <c r="O35" s="4" t="str">
        <f aca="false">IF(TRIB!O35="","",IF($D35="A",INPUTS!$J$34,INPUTS!$O$34))</f>
        <v>RES</v>
      </c>
      <c r="P35" s="4" t="str">
        <f aca="false">IF(TRIB!P35="","",IF($D35="A",INPUTS!$J$35,INPUTS!$O$35))</f>
        <v>RES</v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4" t="str">
        <f aca="false">IF(TRIB!E36="","",IF($D36="A",INPUTS!$J$24,INPUTS!$O$24))</f>
        <v/>
      </c>
      <c r="F36" s="4" t="str">
        <f aca="false">IF(TRIB!F36="","",IF($D36="A",INPUTS!$J$25,INPUTS!$O$25))</f>
        <v>NR</v>
      </c>
      <c r="G36" s="4" t="str">
        <f aca="false">IF(TRIB!G36="","",IF($D36="A",INPUTS!$J$26,INPUTS!$O$26))</f>
        <v>RES</v>
      </c>
      <c r="H36" s="4" t="str">
        <f aca="false">IF(TRIB!H36="","",IF($D36="A",INPUTS!$J$27,INPUTS!$O$27))</f>
        <v>RES</v>
      </c>
      <c r="I36" s="4" t="str">
        <f aca="false">IF(TRIB!I36="","",IF($D36="A",INPUTS!$J$28,INPUTS!$O$28))</f>
        <v>RES</v>
      </c>
      <c r="J36" s="4" t="str">
        <f aca="false">IF(TRIB!J36="","",IF($D36="A",INPUTS!$J$29,INPUTS!$O$29))</f>
        <v>RES</v>
      </c>
      <c r="K36" s="4" t="str">
        <f aca="false">IF(TRIB!K36="","",IF($D36="A",INPUTS!$J$30,INPUTS!$O$30))</f>
        <v>RES</v>
      </c>
      <c r="L36" s="4" t="str">
        <f aca="false">IF(TRIB!L36="","",IF($D36="A",INPUTS!$J$31,INPUTS!$O$31))</f>
        <v>RES</v>
      </c>
      <c r="M36" s="4" t="str">
        <f aca="false">IF(TRIB!M36="","",IF($D36="A",INPUTS!$J$32,INPUTS!$O$32))</f>
        <v>RES</v>
      </c>
      <c r="N36" s="4" t="str">
        <f aca="false">IF(TRIB!N36="","",IF($D36="A",INPUTS!$J$33,INPUTS!$O$33))</f>
        <v>RES</v>
      </c>
      <c r="O36" s="4" t="str">
        <f aca="false">IF(TRIB!O36="","",IF($D36="A",INPUTS!$J$34,INPUTS!$O$34))</f>
        <v>RES</v>
      </c>
      <c r="P36" s="4" t="str">
        <f aca="false">IF(TRIB!P36="","",IF($D36="A",INPUTS!$J$35,INPUTS!$O$35))</f>
        <v>RES</v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4" t="str">
        <f aca="false">IF(TRIB!E37="","",IF($D37="A",INPUTS!$J$24,INPUTS!$O$24))</f>
        <v/>
      </c>
      <c r="F37" s="4" t="str">
        <f aca="false">IF(TRIB!F37="","",IF($D37="A",INPUTS!$J$25,INPUTS!$O$25))</f>
        <v>NR</v>
      </c>
      <c r="G37" s="4" t="str">
        <f aca="false">IF(TRIB!G37="","",IF($D37="A",INPUTS!$J$26,INPUTS!$O$26))</f>
        <v>RES</v>
      </c>
      <c r="H37" s="4" t="str">
        <f aca="false">IF(TRIB!H37="","",IF($D37="A",INPUTS!$J$27,INPUTS!$O$27))</f>
        <v>RES</v>
      </c>
      <c r="I37" s="4" t="str">
        <f aca="false">IF(TRIB!I37="","",IF($D37="A",INPUTS!$J$28,INPUTS!$O$28))</f>
        <v>RES</v>
      </c>
      <c r="J37" s="4" t="str">
        <f aca="false">IF(TRIB!J37="","",IF($D37="A",INPUTS!$J$29,INPUTS!$O$29))</f>
        <v>RES</v>
      </c>
      <c r="K37" s="4" t="str">
        <f aca="false">IF(TRIB!K37="","",IF($D37="A",INPUTS!$J$30,INPUTS!$O$30))</f>
        <v>RES</v>
      </c>
      <c r="L37" s="4" t="str">
        <f aca="false">IF(TRIB!L37="","",IF($D37="A",INPUTS!$J$31,INPUTS!$O$31))</f>
        <v>RES</v>
      </c>
      <c r="M37" s="4" t="str">
        <f aca="false">IF(TRIB!M37="","",IF($D37="A",INPUTS!$J$32,INPUTS!$O$32))</f>
        <v>RES</v>
      </c>
      <c r="N37" s="4" t="str">
        <f aca="false">IF(TRIB!N37="","",IF($D37="A",INPUTS!$J$33,INPUTS!$O$33))</f>
        <v>RES</v>
      </c>
      <c r="O37" s="4" t="str">
        <f aca="false">IF(TRIB!O37="","",IF($D37="A",INPUTS!$J$34,INPUTS!$O$34))</f>
        <v>RES</v>
      </c>
      <c r="P37" s="4" t="str">
        <f aca="false">IF(TRIB!P37="","",IF($D37="A",INPUTS!$J$35,INPUTS!$O$35))</f>
        <v>RES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4" t="str">
        <f aca="false">IF(TRIB!E38="","",IF($D38="A",INPUTS!$J$24,INPUTS!$O$24))</f>
        <v/>
      </c>
      <c r="F38" s="4" t="str">
        <f aca="false">IF(TRIB!F38="","",IF($D38="A",INPUTS!$J$25,INPUTS!$O$25))</f>
        <v>NR</v>
      </c>
      <c r="G38" s="4" t="str">
        <f aca="false">IF(TRIB!G38="","",IF($D38="A",INPUTS!$J$26,INPUTS!$O$26))</f>
        <v>RES</v>
      </c>
      <c r="H38" s="4" t="str">
        <f aca="false">IF(TRIB!H38="","",IF($D38="A",INPUTS!$J$27,INPUTS!$O$27))</f>
        <v>RES</v>
      </c>
      <c r="I38" s="4" t="str">
        <f aca="false">IF(TRIB!I38="","",IF($D38="A",INPUTS!$J$28,INPUTS!$O$28))</f>
        <v>RES</v>
      </c>
      <c r="J38" s="4" t="str">
        <f aca="false">IF(TRIB!J38="","",IF($D38="A",INPUTS!$J$29,INPUTS!$O$29))</f>
        <v>RES</v>
      </c>
      <c r="K38" s="4" t="str">
        <f aca="false">IF(TRIB!K38="","",IF($D38="A",INPUTS!$J$30,INPUTS!$O$30))</f>
        <v>RES</v>
      </c>
      <c r="L38" s="4" t="str">
        <f aca="false">IF(TRIB!L38="","",IF($D38="A",INPUTS!$J$31,INPUTS!$O$31))</f>
        <v>RES</v>
      </c>
      <c r="M38" s="4" t="str">
        <f aca="false">IF(TRIB!M38="","",IF($D38="A",INPUTS!$J$32,INPUTS!$O$32))</f>
        <v>RES</v>
      </c>
      <c r="N38" s="4" t="str">
        <f aca="false">IF(TRIB!N38="","",IF($D38="A",INPUTS!$J$33,INPUTS!$O$33))</f>
        <v>RES</v>
      </c>
      <c r="O38" s="4" t="str">
        <f aca="false">IF(TRIB!O38="","",IF($D38="A",INPUTS!$J$34,INPUTS!$O$34))</f>
        <v>RES</v>
      </c>
      <c r="P38" s="4" t="str">
        <f aca="false">IF(TRIB!P38="","",IF($D38="A",INPUTS!$J$35,INPUTS!$O$35))</f>
        <v>RES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4" t="str">
        <f aca="false">IF(TRIB!E39="","",IF($D39="A",INPUTS!$J$24,INPUTS!$O$24))</f>
        <v/>
      </c>
      <c r="F39" s="4" t="str">
        <f aca="false">IF(TRIB!F39="","",IF($D39="A",INPUTS!$J$25,INPUTS!$O$25))</f>
        <v>NR</v>
      </c>
      <c r="G39" s="4" t="str">
        <f aca="false">IF(TRIB!G39="","",IF($D39="A",INPUTS!$J$26,INPUTS!$O$26))</f>
        <v>RES</v>
      </c>
      <c r="H39" s="4" t="str">
        <f aca="false">IF(TRIB!H39="","",IF($D39="A",INPUTS!$J$27,INPUTS!$O$27))</f>
        <v>RES</v>
      </c>
      <c r="I39" s="4" t="str">
        <f aca="false">IF(TRIB!I39="","",IF($D39="A",INPUTS!$J$28,INPUTS!$O$28))</f>
        <v>RES</v>
      </c>
      <c r="J39" s="4" t="str">
        <f aca="false">IF(TRIB!J39="","",IF($D39="A",INPUTS!$J$29,INPUTS!$O$29))</f>
        <v>RES</v>
      </c>
      <c r="K39" s="4" t="str">
        <f aca="false">IF(TRIB!K39="","",IF($D39="A",INPUTS!$J$30,INPUTS!$O$30))</f>
        <v>RES</v>
      </c>
      <c r="L39" s="4" t="str">
        <f aca="false">IF(TRIB!L39="","",IF($D39="A",INPUTS!$J$31,INPUTS!$O$31))</f>
        <v>RES</v>
      </c>
      <c r="M39" s="4" t="str">
        <f aca="false">IF(TRIB!M39="","",IF($D39="A",INPUTS!$J$32,INPUTS!$O$32))</f>
        <v>RES</v>
      </c>
      <c r="N39" s="4" t="str">
        <f aca="false">IF(TRIB!N39="","",IF($D39="A",INPUTS!$J$33,INPUTS!$O$33))</f>
        <v>RES</v>
      </c>
      <c r="O39" s="4" t="str">
        <f aca="false">IF(TRIB!O39="","",IF($D39="A",INPUTS!$J$34,INPUTS!$O$34))</f>
        <v>RES</v>
      </c>
      <c r="P39" s="4" t="str">
        <f aca="false">IF(TRIB!P39="","",IF($D39="A",INPUTS!$J$35,INPUTS!$O$35))</f>
        <v>RES</v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4" t="str">
        <f aca="false">IF(TRIB!E40="","",IF($D40="A",INPUTS!$J$24,INPUTS!$O$24))</f>
        <v/>
      </c>
      <c r="F40" s="4" t="str">
        <f aca="false">IF(TRIB!F40="","",IF($D40="A",INPUTS!$J$25,INPUTS!$O$25))</f>
        <v>NR</v>
      </c>
      <c r="G40" s="4" t="str">
        <f aca="false">IF(TRIB!G40="","",IF($D40="A",INPUTS!$J$26,INPUTS!$O$26))</f>
        <v>RES</v>
      </c>
      <c r="H40" s="4" t="str">
        <f aca="false">IF(TRIB!H40="","",IF($D40="A",INPUTS!$J$27,INPUTS!$O$27))</f>
        <v>RES</v>
      </c>
      <c r="I40" s="4" t="str">
        <f aca="false">IF(TRIB!I40="","",IF($D40="A",INPUTS!$J$28,INPUTS!$O$28))</f>
        <v>RES</v>
      </c>
      <c r="J40" s="4" t="str">
        <f aca="false">IF(TRIB!J40="","",IF($D40="A",INPUTS!$J$29,INPUTS!$O$29))</f>
        <v>RES</v>
      </c>
      <c r="K40" s="4" t="str">
        <f aca="false">IF(TRIB!K40="","",IF($D40="A",INPUTS!$J$30,INPUTS!$O$30))</f>
        <v>RES</v>
      </c>
      <c r="L40" s="4" t="str">
        <f aca="false">IF(TRIB!L40="","",IF($D40="A",INPUTS!$J$31,INPUTS!$O$31))</f>
        <v>RES</v>
      </c>
      <c r="M40" s="4" t="str">
        <f aca="false">IF(TRIB!M40="","",IF($D40="A",INPUTS!$J$32,INPUTS!$O$32))</f>
        <v>RES</v>
      </c>
      <c r="N40" s="4" t="str">
        <f aca="false">IF(TRIB!N40="","",IF($D40="A",INPUTS!$J$33,INPUTS!$O$33))</f>
        <v>RES</v>
      </c>
      <c r="O40" s="4" t="str">
        <f aca="false">IF(TRIB!O40="","",IF($D40="A",INPUTS!$J$34,INPUTS!$O$34))</f>
        <v>RES</v>
      </c>
      <c r="P40" s="4" t="str">
        <f aca="false">IF(TRIB!P40="","",IF($D40="A",INPUTS!$J$35,INPUTS!$O$35))</f>
        <v>RES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4" t="str">
        <f aca="false">IF(TRIB!E41="","",IF($D41="A",INPUTS!$J$24,INPUTS!$O$24))</f>
        <v/>
      </c>
      <c r="F41" s="4" t="str">
        <f aca="false">IF(TRIB!F41="","",IF($D41="A",INPUTS!$J$25,INPUTS!$O$25))</f>
        <v>NR</v>
      </c>
      <c r="G41" s="4" t="str">
        <f aca="false">IF(TRIB!G41="","",IF($D41="A",INPUTS!$J$26,INPUTS!$O$26))</f>
        <v>RES</v>
      </c>
      <c r="H41" s="4" t="str">
        <f aca="false">IF(TRIB!H41="","",IF($D41="A",INPUTS!$J$27,INPUTS!$O$27))</f>
        <v>RES</v>
      </c>
      <c r="I41" s="4" t="str">
        <f aca="false">IF(TRIB!I41="","",IF($D41="A",INPUTS!$J$28,INPUTS!$O$28))</f>
        <v>RES</v>
      </c>
      <c r="J41" s="4" t="str">
        <f aca="false">IF(TRIB!J41="","",IF($D41="A",INPUTS!$J$29,INPUTS!$O$29))</f>
        <v>RES</v>
      </c>
      <c r="K41" s="4" t="str">
        <f aca="false">IF(TRIB!K41="","",IF($D41="A",INPUTS!$J$30,INPUTS!$O$30))</f>
        <v>RES</v>
      </c>
      <c r="L41" s="4" t="str">
        <f aca="false">IF(TRIB!L41="","",IF($D41="A",INPUTS!$J$31,INPUTS!$O$31))</f>
        <v>RES</v>
      </c>
      <c r="M41" s="4" t="str">
        <f aca="false">IF(TRIB!M41="","",IF($D41="A",INPUTS!$J$32,INPUTS!$O$32))</f>
        <v>RES</v>
      </c>
      <c r="N41" s="4" t="str">
        <f aca="false">IF(TRIB!N41="","",IF($D41="A",INPUTS!$J$33,INPUTS!$O$33))</f>
        <v>RES</v>
      </c>
      <c r="O41" s="4" t="str">
        <f aca="false">IF(TRIB!O41="","",IF($D41="A",INPUTS!$J$34,INPUTS!$O$34))</f>
        <v>RES</v>
      </c>
      <c r="P41" s="4" t="str">
        <f aca="false">IF(TRIB!P41="","",IF($D41="A",INPUTS!$J$35,INPUTS!$O$35))</f>
        <v>RES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4" t="str">
        <f aca="false">IF(TRIB!E42="","",IF($D42="A",INPUTS!$J$24,INPUTS!$O$24))</f>
        <v/>
      </c>
      <c r="F42" s="4" t="str">
        <f aca="false">IF(TRIB!F42="","",IF($D42="A",INPUTS!$J$25,INPUTS!$O$25))</f>
        <v>NR</v>
      </c>
      <c r="G42" s="4" t="str">
        <f aca="false">IF(TRIB!G42="","",IF($D42="A",INPUTS!$J$26,INPUTS!$O$26))</f>
        <v>RES</v>
      </c>
      <c r="H42" s="4" t="str">
        <f aca="false">IF(TRIB!H42="","",IF($D42="A",INPUTS!$J$27,INPUTS!$O$27))</f>
        <v>RES</v>
      </c>
      <c r="I42" s="4" t="str">
        <f aca="false">IF(TRIB!I42="","",IF($D42="A",INPUTS!$J$28,INPUTS!$O$28))</f>
        <v>RES</v>
      </c>
      <c r="J42" s="4" t="str">
        <f aca="false">IF(TRIB!J42="","",IF($D42="A",INPUTS!$J$29,INPUTS!$O$29))</f>
        <v>RES</v>
      </c>
      <c r="K42" s="4" t="str">
        <f aca="false">IF(TRIB!K42="","",IF($D42="A",INPUTS!$J$30,INPUTS!$O$30))</f>
        <v>RES</v>
      </c>
      <c r="L42" s="4" t="str">
        <f aca="false">IF(TRIB!L42="","",IF($D42="A",INPUTS!$J$31,INPUTS!$O$31))</f>
        <v>RES</v>
      </c>
      <c r="M42" s="4" t="str">
        <f aca="false">IF(TRIB!M42="","",IF($D42="A",INPUTS!$J$32,INPUTS!$O$32))</f>
        <v>RES</v>
      </c>
      <c r="N42" s="4" t="str">
        <f aca="false">IF(TRIB!N42="","",IF($D42="A",INPUTS!$J$33,INPUTS!$O$33))</f>
        <v>RES</v>
      </c>
      <c r="O42" s="4" t="str">
        <f aca="false">IF(TRIB!O42="","",IF($D42="A",INPUTS!$J$34,INPUTS!$O$34))</f>
        <v>RES</v>
      </c>
      <c r="P42" s="4" t="str">
        <f aca="false">IF(TRIB!P42="","",IF($D42="A",INPUTS!$J$35,INPUTS!$O$35))</f>
        <v>RES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4" t="str">
        <f aca="false">IF(TRIB!E43="","",IF($D43="A",INPUTS!$J$24,INPUTS!$O$24))</f>
        <v/>
      </c>
      <c r="F43" s="4" t="str">
        <f aca="false">IF(TRIB!F43="","",IF($D43="A",INPUTS!$J$25,INPUTS!$O$25))</f>
        <v>NR</v>
      </c>
      <c r="G43" s="4" t="str">
        <f aca="false">IF(TRIB!G43="","",IF($D43="A",INPUTS!$J$26,INPUTS!$O$26))</f>
        <v>RES</v>
      </c>
      <c r="H43" s="4" t="str">
        <f aca="false">IF(TRIB!H43="","",IF($D43="A",INPUTS!$J$27,INPUTS!$O$27))</f>
        <v>RES</v>
      </c>
      <c r="I43" s="4" t="str">
        <f aca="false">IF(TRIB!I43="","",IF($D43="A",INPUTS!$J$28,INPUTS!$O$28))</f>
        <v>RES</v>
      </c>
      <c r="J43" s="4" t="str">
        <f aca="false">IF(TRIB!J43="","",IF($D43="A",INPUTS!$J$29,INPUTS!$O$29))</f>
        <v>RES</v>
      </c>
      <c r="K43" s="4" t="str">
        <f aca="false">IF(TRIB!K43="","",IF($D43="A",INPUTS!$J$30,INPUTS!$O$30))</f>
        <v>RES</v>
      </c>
      <c r="L43" s="4" t="str">
        <f aca="false">IF(TRIB!L43="","",IF($D43="A",INPUTS!$J$31,INPUTS!$O$31))</f>
        <v>RES</v>
      </c>
      <c r="M43" s="4" t="str">
        <f aca="false">IF(TRIB!M43="","",IF($D43="A",INPUTS!$J$32,INPUTS!$O$32))</f>
        <v>RES</v>
      </c>
      <c r="N43" s="4" t="str">
        <f aca="false">IF(TRIB!N43="","",IF($D43="A",INPUTS!$J$33,INPUTS!$O$33))</f>
        <v>RES</v>
      </c>
      <c r="O43" s="4" t="str">
        <f aca="false">IF(TRIB!O43="","",IF($D43="A",INPUTS!$J$34,INPUTS!$O$34))</f>
        <v>RES</v>
      </c>
      <c r="P43" s="4" t="str">
        <f aca="false">IF(TRIB!P43="","",IF($D43="A",INPUTS!$J$35,INPUTS!$O$35))</f>
        <v>RES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4" t="str">
        <f aca="false">IF(TRIB!E44="","",IF($D44="A",INPUTS!$J$24,INPUTS!$O$24))</f>
        <v/>
      </c>
      <c r="F44" s="4" t="str">
        <f aca="false">IF(TRIB!F44="","",IF($D44="A",INPUTS!$J$25,INPUTS!$O$25))</f>
        <v>NR</v>
      </c>
      <c r="G44" s="4" t="str">
        <f aca="false">IF(TRIB!G44="","",IF($D44="A",INPUTS!$J$26,INPUTS!$O$26))</f>
        <v>RES</v>
      </c>
      <c r="H44" s="4" t="str">
        <f aca="false">IF(TRIB!H44="","",IF($D44="A",INPUTS!$J$27,INPUTS!$O$27))</f>
        <v>RES</v>
      </c>
      <c r="I44" s="4" t="str">
        <f aca="false">IF(TRIB!I44="","",IF($D44="A",INPUTS!$J$28,INPUTS!$O$28))</f>
        <v>RES</v>
      </c>
      <c r="J44" s="4" t="str">
        <f aca="false">IF(TRIB!J44="","",IF($D44="A",INPUTS!$J$29,INPUTS!$O$29))</f>
        <v>RES</v>
      </c>
      <c r="K44" s="4" t="str">
        <f aca="false">IF(TRIB!K44="","",IF($D44="A",INPUTS!$J$30,INPUTS!$O$30))</f>
        <v>RES</v>
      </c>
      <c r="L44" s="4" t="str">
        <f aca="false">IF(TRIB!L44="","",IF($D44="A",INPUTS!$J$31,INPUTS!$O$31))</f>
        <v>RES</v>
      </c>
      <c r="M44" s="4" t="str">
        <f aca="false">IF(TRIB!M44="","",IF($D44="A",INPUTS!$J$32,INPUTS!$O$32))</f>
        <v>RES</v>
      </c>
      <c r="N44" s="4" t="str">
        <f aca="false">IF(TRIB!N44="","",IF($D44="A",INPUTS!$J$33,INPUTS!$O$33))</f>
        <v>RES</v>
      </c>
      <c r="O44" s="4" t="str">
        <f aca="false">IF(TRIB!O44="","",IF($D44="A",INPUTS!$J$34,INPUTS!$O$34))</f>
        <v>RES</v>
      </c>
      <c r="P44" s="4" t="str">
        <f aca="false">IF(TRIB!P44="","",IF($D44="A",INPUTS!$J$35,INPUTS!$O$35))</f>
        <v>RES</v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4" t="str">
        <f aca="false">IF(TRIB!E45="","",IF($D45="A",INPUTS!$J$24,INPUTS!$O$24))</f>
        <v/>
      </c>
      <c r="F45" s="4" t="str">
        <f aca="false">IF(TRIB!F45="","",IF($D45="A",INPUTS!$J$25,INPUTS!$O$25))</f>
        <v>NR</v>
      </c>
      <c r="G45" s="4" t="str">
        <f aca="false">IF(TRIB!G45="","",IF($D45="A",INPUTS!$J$26,INPUTS!$O$26))</f>
        <v>RES</v>
      </c>
      <c r="H45" s="4" t="str">
        <f aca="false">IF(TRIB!H45="","",IF($D45="A",INPUTS!$J$27,INPUTS!$O$27))</f>
        <v>RES</v>
      </c>
      <c r="I45" s="4" t="str">
        <f aca="false">IF(TRIB!I45="","",IF($D45="A",INPUTS!$J$28,INPUTS!$O$28))</f>
        <v>RES</v>
      </c>
      <c r="J45" s="4" t="str">
        <f aca="false">IF(TRIB!J45="","",IF($D45="A",INPUTS!$J$29,INPUTS!$O$29))</f>
        <v>RES</v>
      </c>
      <c r="K45" s="4" t="str">
        <f aca="false">IF(TRIB!K45="","",IF($D45="A",INPUTS!$J$30,INPUTS!$O$30))</f>
        <v>RES</v>
      </c>
      <c r="L45" s="4" t="str">
        <f aca="false">IF(TRIB!L45="","",IF($D45="A",INPUTS!$J$31,INPUTS!$O$31))</f>
        <v>RES</v>
      </c>
      <c r="M45" s="4" t="str">
        <f aca="false">IF(TRIB!M45="","",IF($D45="A",INPUTS!$J$32,INPUTS!$O$32))</f>
        <v>RES</v>
      </c>
      <c r="N45" s="4" t="str">
        <f aca="false">IF(TRIB!N45="","",IF($D45="A",INPUTS!$J$33,INPUTS!$O$33))</f>
        <v>RES</v>
      </c>
      <c r="O45" s="4" t="str">
        <f aca="false">IF(TRIB!O45="","",IF($D45="A",INPUTS!$J$34,INPUTS!$O$34))</f>
        <v>RES</v>
      </c>
      <c r="P45" s="4" t="str">
        <f aca="false">IF(TRIB!P45="","",IF($D45="A",INPUTS!$J$35,INPUTS!$O$35))</f>
        <v>RES</v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4" t="str">
        <f aca="false">IF(TRIB!E46="","",IF($D46="A",INPUTS!$J$24,INPUTS!$O$24))</f>
        <v/>
      </c>
      <c r="F46" s="4" t="str">
        <f aca="false">IF(TRIB!F46="","",IF($D46="A",INPUTS!$J$25,INPUTS!$O$25))</f>
        <v>NR</v>
      </c>
      <c r="G46" s="4" t="str">
        <f aca="false">IF(TRIB!G46="","",IF($D46="A",INPUTS!$J$26,INPUTS!$O$26))</f>
        <v>RES</v>
      </c>
      <c r="H46" s="4" t="str">
        <f aca="false">IF(TRIB!H46="","",IF($D46="A",INPUTS!$J$27,INPUTS!$O$27))</f>
        <v>RES</v>
      </c>
      <c r="I46" s="4" t="str">
        <f aca="false">IF(TRIB!I46="","",IF($D46="A",INPUTS!$J$28,INPUTS!$O$28))</f>
        <v>RES</v>
      </c>
      <c r="J46" s="4" t="str">
        <f aca="false">IF(TRIB!J46="","",IF($D46="A",INPUTS!$J$29,INPUTS!$O$29))</f>
        <v>RES</v>
      </c>
      <c r="K46" s="4" t="str">
        <f aca="false">IF(TRIB!K46="","",IF($D46="A",INPUTS!$J$30,INPUTS!$O$30))</f>
        <v>RES</v>
      </c>
      <c r="L46" s="4" t="str">
        <f aca="false">IF(TRIB!L46="","",IF($D46="A",INPUTS!$J$31,INPUTS!$O$31))</f>
        <v>RES</v>
      </c>
      <c r="M46" s="4" t="str">
        <f aca="false">IF(TRIB!M46="","",IF($D46="A",INPUTS!$J$32,INPUTS!$O$32))</f>
        <v>RES</v>
      </c>
      <c r="N46" s="4" t="str">
        <f aca="false">IF(TRIB!N46="","",IF($D46="A",INPUTS!$J$33,INPUTS!$O$33))</f>
        <v>RES</v>
      </c>
      <c r="O46" s="4" t="str">
        <f aca="false">IF(TRIB!O46="","",IF($D46="A",INPUTS!$J$34,INPUTS!$O$34))</f>
        <v>RES</v>
      </c>
      <c r="P46" s="4" t="str">
        <f aca="false">IF(TRIB!P46="","",IF($D46="A",INPUTS!$J$35,INPUTS!$O$35))</f>
        <v>RES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4" t="str">
        <f aca="false">IF(TRIB!E47="","",IF($D47="A",INPUTS!$J$24,INPUTS!$O$24))</f>
        <v/>
      </c>
      <c r="F47" s="4" t="str">
        <f aca="false">IF(TRIB!F47="","",IF($D47="A",INPUTS!$J$25,INPUTS!$O$25))</f>
        <v>NR</v>
      </c>
      <c r="G47" s="4" t="str">
        <f aca="false">IF(TRIB!G47="","",IF($D47="A",INPUTS!$J$26,INPUTS!$O$26))</f>
        <v>RES</v>
      </c>
      <c r="H47" s="4" t="str">
        <f aca="false">IF(TRIB!H47="","",IF($D47="A",INPUTS!$J$27,INPUTS!$O$27))</f>
        <v>RES</v>
      </c>
      <c r="I47" s="4" t="str">
        <f aca="false">IF(TRIB!I47="","",IF($D47="A",INPUTS!$J$28,INPUTS!$O$28))</f>
        <v>RES</v>
      </c>
      <c r="J47" s="4" t="str">
        <f aca="false">IF(TRIB!J47="","",IF($D47="A",INPUTS!$J$29,INPUTS!$O$29))</f>
        <v>RES</v>
      </c>
      <c r="K47" s="4" t="str">
        <f aca="false">IF(TRIB!K47="","",IF($D47="A",INPUTS!$J$30,INPUTS!$O$30))</f>
        <v>RES</v>
      </c>
      <c r="L47" s="4" t="str">
        <f aca="false">IF(TRIB!L47="","",IF($D47="A",INPUTS!$J$31,INPUTS!$O$31))</f>
        <v>RES</v>
      </c>
      <c r="M47" s="4" t="str">
        <f aca="false">IF(TRIB!M47="","",IF($D47="A",INPUTS!$J$32,INPUTS!$O$32))</f>
        <v>RES</v>
      </c>
      <c r="N47" s="4" t="str">
        <f aca="false">IF(TRIB!N47="","",IF($D47="A",INPUTS!$J$33,INPUTS!$O$33))</f>
        <v>RES</v>
      </c>
      <c r="O47" s="4" t="str">
        <f aca="false">IF(TRIB!O47="","",IF($D47="A",INPUTS!$J$34,INPUTS!$O$34))</f>
        <v>RES</v>
      </c>
      <c r="P47" s="4" t="str">
        <f aca="false">IF(TRIB!P47="","",IF($D47="A",INPUTS!$J$35,INPUTS!$O$35))</f>
        <v>RES</v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4" t="str">
        <f aca="false">IF(TRIB!E48="","",IF($D48="A",INPUTS!$J$24,INPUTS!$O$24))</f>
        <v/>
      </c>
      <c r="F48" s="4" t="str">
        <f aca="false">IF(TRIB!F48="","",IF($D48="A",INPUTS!$J$25,INPUTS!$O$25))</f>
        <v>NR</v>
      </c>
      <c r="G48" s="4" t="str">
        <f aca="false">IF(TRIB!G48="","",IF($D48="A",INPUTS!$J$26,INPUTS!$O$26))</f>
        <v>RES</v>
      </c>
      <c r="H48" s="4" t="str">
        <f aca="false">IF(TRIB!H48="","",IF($D48="A",INPUTS!$J$27,INPUTS!$O$27))</f>
        <v>RES</v>
      </c>
      <c r="I48" s="4" t="str">
        <f aca="false">IF(TRIB!I48="","",IF($D48="A",INPUTS!$J$28,INPUTS!$O$28))</f>
        <v>RES</v>
      </c>
      <c r="J48" s="4" t="str">
        <f aca="false">IF(TRIB!J48="","",IF($D48="A",INPUTS!$J$29,INPUTS!$O$29))</f>
        <v>RES</v>
      </c>
      <c r="K48" s="4" t="str">
        <f aca="false">IF(TRIB!K48="","",IF($D48="A",INPUTS!$J$30,INPUTS!$O$30))</f>
        <v>RES</v>
      </c>
      <c r="L48" s="4" t="str">
        <f aca="false">IF(TRIB!L48="","",IF($D48="A",INPUTS!$J$31,INPUTS!$O$31))</f>
        <v>RES</v>
      </c>
      <c r="M48" s="4" t="str">
        <f aca="false">IF(TRIB!M48="","",IF($D48="A",INPUTS!$J$32,INPUTS!$O$32))</f>
        <v>RES</v>
      </c>
      <c r="N48" s="4" t="str">
        <f aca="false">IF(TRIB!N48="","",IF($D48="A",INPUTS!$J$33,INPUTS!$O$33))</f>
        <v>RES</v>
      </c>
      <c r="O48" s="4" t="str">
        <f aca="false">IF(TRIB!O48="","",IF($D48="A",INPUTS!$J$34,INPUTS!$O$34))</f>
        <v>RES</v>
      </c>
      <c r="P48" s="4" t="str">
        <f aca="false">IF(TRIB!P48="","",IF($D48="A",INPUTS!$J$35,INPUTS!$O$35))</f>
        <v>RES</v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4" t="str">
        <f aca="false">IF(TRIB!E49="","",IF($D49="A",INPUTS!$J$24,INPUTS!$O$24))</f>
        <v/>
      </c>
      <c r="F49" s="4" t="str">
        <f aca="false">IF(TRIB!F49="","",IF($D49="A",INPUTS!$J$25,INPUTS!$O$25))</f>
        <v>NR</v>
      </c>
      <c r="G49" s="4" t="str">
        <f aca="false">IF(TRIB!G49="","",IF($D49="A",INPUTS!$J$26,INPUTS!$O$26))</f>
        <v>RES</v>
      </c>
      <c r="H49" s="4" t="str">
        <f aca="false">IF(TRIB!H49="","",IF($D49="A",INPUTS!$J$27,INPUTS!$O$27))</f>
        <v>RES</v>
      </c>
      <c r="I49" s="4" t="str">
        <f aca="false">IF(TRIB!I49="","",IF($D49="A",INPUTS!$J$28,INPUTS!$O$28))</f>
        <v>RES</v>
      </c>
      <c r="J49" s="4" t="str">
        <f aca="false">IF(TRIB!J49="","",IF($D49="A",INPUTS!$J$29,INPUTS!$O$29))</f>
        <v>RES</v>
      </c>
      <c r="K49" s="4" t="str">
        <f aca="false">IF(TRIB!K49="","",IF($D49="A",INPUTS!$J$30,INPUTS!$O$30))</f>
        <v>RES</v>
      </c>
      <c r="L49" s="4" t="str">
        <f aca="false">IF(TRIB!L49="","",IF($D49="A",INPUTS!$J$31,INPUTS!$O$31))</f>
        <v>RES</v>
      </c>
      <c r="M49" s="4" t="str">
        <f aca="false">IF(TRIB!M49="","",IF($D49="A",INPUTS!$J$32,INPUTS!$O$32))</f>
        <v>RES</v>
      </c>
      <c r="N49" s="4" t="str">
        <f aca="false">IF(TRIB!N49="","",IF($D49="A",INPUTS!$J$33,INPUTS!$O$33))</f>
        <v>RES</v>
      </c>
      <c r="O49" s="4" t="str">
        <f aca="false">IF(TRIB!O49="","",IF($D49="A",INPUTS!$J$34,INPUTS!$O$34))</f>
        <v>RES</v>
      </c>
      <c r="P49" s="4" t="str">
        <f aca="false">IF(TRIB!P49="","",IF($D49="A",INPUTS!$J$35,INPUTS!$O$35))</f>
        <v>RES</v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4" t="str">
        <f aca="false">IF(TRIB!E50="","",IF($D50="A",INPUTS!$J$24,INPUTS!$O$24))</f>
        <v/>
      </c>
      <c r="F50" s="4" t="str">
        <f aca="false">IF(TRIB!F50="","",IF($D50="A",INPUTS!$J$25,INPUTS!$O$25))</f>
        <v>NR</v>
      </c>
      <c r="G50" s="4" t="str">
        <f aca="false">IF(TRIB!G50="","",IF($D50="A",INPUTS!$J$26,INPUTS!$O$26))</f>
        <v>RES</v>
      </c>
      <c r="H50" s="4" t="str">
        <f aca="false">IF(TRIB!H50="","",IF($D50="A",INPUTS!$J$27,INPUTS!$O$27))</f>
        <v>RES</v>
      </c>
      <c r="I50" s="4" t="str">
        <f aca="false">IF(TRIB!I50="","",IF($D50="A",INPUTS!$J$28,INPUTS!$O$28))</f>
        <v>RES</v>
      </c>
      <c r="J50" s="4" t="str">
        <f aca="false">IF(TRIB!J50="","",IF($D50="A",INPUTS!$J$29,INPUTS!$O$29))</f>
        <v>RES</v>
      </c>
      <c r="K50" s="4" t="str">
        <f aca="false">IF(TRIB!K50="","",IF($D50="A",INPUTS!$J$30,INPUTS!$O$30))</f>
        <v>RES</v>
      </c>
      <c r="L50" s="4" t="str">
        <f aca="false">IF(TRIB!L50="","",IF($D50="A",INPUTS!$J$31,INPUTS!$O$31))</f>
        <v>RES</v>
      </c>
      <c r="M50" s="4" t="str">
        <f aca="false">IF(TRIB!M50="","",IF($D50="A",INPUTS!$J$32,INPUTS!$O$32))</f>
        <v>RES</v>
      </c>
      <c r="N50" s="4" t="str">
        <f aca="false">IF(TRIB!N50="","",IF($D50="A",INPUTS!$J$33,INPUTS!$O$33))</f>
        <v>RES</v>
      </c>
      <c r="O50" s="4" t="str">
        <f aca="false">IF(TRIB!O50="","",IF($D50="A",INPUTS!$J$34,INPUTS!$O$34))</f>
        <v>RES</v>
      </c>
      <c r="P50" s="4" t="str">
        <f aca="false">IF(TRIB!P50="","",IF($D50="A",INPUTS!$J$35,INPUTS!$O$35))</f>
        <v>RES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4" t="str">
        <f aca="false">IF(TRIB!E51="","",IF($D51="A",INPUTS!$J$24,INPUTS!$O$24))</f>
        <v/>
      </c>
      <c r="F51" s="4" t="str">
        <f aca="false">IF(TRIB!F51="","",IF($D51="A",INPUTS!$J$25,INPUTS!$O$25))</f>
        <v>NR</v>
      </c>
      <c r="G51" s="4" t="str">
        <f aca="false">IF(TRIB!G51="","",IF($D51="A",INPUTS!$J$26,INPUTS!$O$26))</f>
        <v>RES</v>
      </c>
      <c r="H51" s="4" t="str">
        <f aca="false">IF(TRIB!H51="","",IF($D51="A",INPUTS!$J$27,INPUTS!$O$27))</f>
        <v>RES</v>
      </c>
      <c r="I51" s="4" t="str">
        <f aca="false">IF(TRIB!I51="","",IF($D51="A",INPUTS!$J$28,INPUTS!$O$28))</f>
        <v>RES</v>
      </c>
      <c r="J51" s="4" t="str">
        <f aca="false">IF(TRIB!J51="","",IF($D51="A",INPUTS!$J$29,INPUTS!$O$29))</f>
        <v>RES</v>
      </c>
      <c r="K51" s="4" t="str">
        <f aca="false">IF(TRIB!K51="","",IF($D51="A",INPUTS!$J$30,INPUTS!$O$30))</f>
        <v>RES</v>
      </c>
      <c r="L51" s="4" t="str">
        <f aca="false">IF(TRIB!L51="","",IF($D51="A",INPUTS!$J$31,INPUTS!$O$31))</f>
        <v>RES</v>
      </c>
      <c r="M51" s="4" t="str">
        <f aca="false">IF(TRIB!M51="","",IF($D51="A",INPUTS!$J$32,INPUTS!$O$32))</f>
        <v>RES</v>
      </c>
      <c r="N51" s="4" t="str">
        <f aca="false">IF(TRIB!N51="","",IF($D51="A",INPUTS!$J$33,INPUTS!$O$33))</f>
        <v>RES</v>
      </c>
      <c r="O51" s="4" t="str">
        <f aca="false">IF(TRIB!O51="","",IF($D51="A",INPUTS!$J$34,INPUTS!$O$34))</f>
        <v>RES</v>
      </c>
      <c r="P51" s="4" t="str">
        <f aca="false">IF(TRIB!P51="","",IF($D51="A",INPUTS!$J$35,INPUTS!$O$35))</f>
        <v>RES</v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4" t="str">
        <f aca="false">IF(TRIB!E52="","",IF($D52="A",INPUTS!$J$24,INPUTS!$O$24))</f>
        <v/>
      </c>
      <c r="F52" s="4" t="str">
        <f aca="false">IF(TRIB!F52="","",IF($D52="A",INPUTS!$J$25,INPUTS!$O$25))</f>
        <v>NR</v>
      </c>
      <c r="G52" s="4" t="str">
        <f aca="false">IF(TRIB!G52="","",IF($D52="A",INPUTS!$J$26,INPUTS!$O$26))</f>
        <v>RES</v>
      </c>
      <c r="H52" s="4" t="str">
        <f aca="false">IF(TRIB!H52="","",IF($D52="A",INPUTS!$J$27,INPUTS!$O$27))</f>
        <v>RES</v>
      </c>
      <c r="I52" s="4" t="str">
        <f aca="false">IF(TRIB!I52="","",IF($D52="A",INPUTS!$J$28,INPUTS!$O$28))</f>
        <v>RES</v>
      </c>
      <c r="J52" s="4" t="str">
        <f aca="false">IF(TRIB!J52="","",IF($D52="A",INPUTS!$J$29,INPUTS!$O$29))</f>
        <v>RES</v>
      </c>
      <c r="K52" s="4" t="str">
        <f aca="false">IF(TRIB!K52="","",IF($D52="A",INPUTS!$J$30,INPUTS!$O$30))</f>
        <v>RES</v>
      </c>
      <c r="L52" s="4" t="str">
        <f aca="false">IF(TRIB!L52="","",IF($D52="A",INPUTS!$J$31,INPUTS!$O$31))</f>
        <v>RES</v>
      </c>
      <c r="M52" s="4" t="str">
        <f aca="false">IF(TRIB!M52="","",IF($D52="A",INPUTS!$J$32,INPUTS!$O$32))</f>
        <v>RES</v>
      </c>
      <c r="N52" s="4" t="str">
        <f aca="false">IF(TRIB!N52="","",IF($D52="A",INPUTS!$J$33,INPUTS!$O$33))</f>
        <v>RES</v>
      </c>
      <c r="O52" s="4" t="str">
        <f aca="false">IF(TRIB!O52="","",IF($D52="A",INPUTS!$J$34,INPUTS!$O$34))</f>
        <v>RES</v>
      </c>
      <c r="P52" s="4" t="str">
        <f aca="false">IF(TRIB!P52="","",IF($D52="A",INPUTS!$J$35,INPUTS!$O$35))</f>
        <v>RES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4" t="str">
        <f aca="false">IF(TRIB!E53="","",IF($D53="A",INPUTS!$J$24,INPUTS!$O$24))</f>
        <v>NR</v>
      </c>
      <c r="F53" s="4" t="str">
        <f aca="false">IF(TRIB!F53="","",IF($D53="A",INPUTS!$J$25,INPUTS!$O$25))</f>
        <v>NR</v>
      </c>
      <c r="G53" s="4" t="str">
        <f aca="false">IF(TRIB!G53="","",IF($D53="A",INPUTS!$J$26,INPUTS!$O$26))</f>
        <v>NR</v>
      </c>
      <c r="H53" s="4" t="str">
        <f aca="false">IF(TRIB!H53="","",IF($D53="A",INPUTS!$J$27,INPUTS!$O$27))</f>
        <v>GAR</v>
      </c>
      <c r="I53" s="4" t="str">
        <f aca="false">IF(TRIB!I53="","",IF($D53="A",INPUTS!$J$28,INPUTS!$O$28))</f>
        <v>GAR</v>
      </c>
      <c r="J53" s="4" t="str">
        <f aca="false">IF(TRIB!J53="","",IF($D53="A",INPUTS!$J$29,INPUTS!$O$29))</f>
        <v>GAR</v>
      </c>
      <c r="K53" s="4" t="str">
        <f aca="false">IF(TRIB!K53="","",IF($D53="A",INPUTS!$J$30,INPUTS!$O$30))</f>
        <v>RES</v>
      </c>
      <c r="L53" s="4" t="str">
        <f aca="false">IF(TRIB!L53="","",IF($D53="A",INPUTS!$J$31,INPUTS!$O$31))</f>
        <v>RES</v>
      </c>
      <c r="M53" s="4" t="str">
        <f aca="false">IF(TRIB!M53="","",IF($D53="A",INPUTS!$J$32,INPUTS!$O$32))</f>
        <v>RES</v>
      </c>
      <c r="N53" s="4" t="str">
        <f aca="false">IF(TRIB!N53="","",IF($D53="A",INPUTS!$J$33,INPUTS!$O$33))</f>
        <v>RES</v>
      </c>
      <c r="O53" s="4" t="str">
        <f aca="false">IF(TRIB!O53="","",IF($D53="A",INPUTS!$J$34,INPUTS!$O$34))</f>
        <v>RES</v>
      </c>
      <c r="P53" s="4" t="str">
        <f aca="false">IF(TRIB!P53="","",IF($D53="A",INPUTS!$J$35,INPUTS!$O$35))</f>
        <v>RES</v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4" t="str">
        <f aca="false">IF(TRIB!E54="","",IF($D54="A",INPUTS!$J$24,INPUTS!$O$24))</f>
        <v>NR</v>
      </c>
      <c r="F54" s="4" t="str">
        <f aca="false">IF(TRIB!F54="","",IF($D54="A",INPUTS!$J$25,INPUTS!$O$25))</f>
        <v>NR</v>
      </c>
      <c r="G54" s="4" t="str">
        <f aca="false">IF(TRIB!G54="","",IF($D54="A",INPUTS!$J$26,INPUTS!$O$26))</f>
        <v>NR</v>
      </c>
      <c r="H54" s="4" t="str">
        <f aca="false">IF(TRIB!H54="","",IF($D54="A",INPUTS!$J$27,INPUTS!$O$27))</f>
        <v>GAR</v>
      </c>
      <c r="I54" s="4" t="str">
        <f aca="false">IF(TRIB!I54="","",IF($D54="A",INPUTS!$J$28,INPUTS!$O$28))</f>
        <v>GAR</v>
      </c>
      <c r="J54" s="4" t="str">
        <f aca="false">IF(TRIB!J54="","",IF($D54="A",INPUTS!$J$29,INPUTS!$O$29))</f>
        <v>GAR</v>
      </c>
      <c r="K54" s="4" t="str">
        <f aca="false">IF(TRIB!K54="","",IF($D54="A",INPUTS!$J$30,INPUTS!$O$30))</f>
        <v>RES</v>
      </c>
      <c r="L54" s="4" t="str">
        <f aca="false">IF(TRIB!L54="","",IF($D54="A",INPUTS!$J$31,INPUTS!$O$31))</f>
        <v>RES</v>
      </c>
      <c r="M54" s="4" t="str">
        <f aca="false">IF(TRIB!M54="","",IF($D54="A",INPUTS!$J$32,INPUTS!$O$32))</f>
        <v>RES</v>
      </c>
      <c r="N54" s="4" t="str">
        <f aca="false">IF(TRIB!N54="","",IF($D54="A",INPUTS!$J$33,INPUTS!$O$33))</f>
        <v>RES</v>
      </c>
      <c r="O54" s="4" t="str">
        <f aca="false">IF(TRIB!O54="","",IF($D54="A",INPUTS!$J$34,INPUTS!$O$34))</f>
        <v>RES</v>
      </c>
      <c r="P54" s="4" t="str">
        <f aca="false">IF(TRIB!P54="","",IF($D54="A",INPUTS!$J$35,INPUTS!$O$35))</f>
        <v>RES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4" t="str">
        <f aca="false">IF(TRIB!E55="","",IF($D55="A",INPUTS!$J$24,INPUTS!$O$24))</f>
        <v>NR</v>
      </c>
      <c r="F55" s="4" t="str">
        <f aca="false">IF(TRIB!F55="","",IF($D55="A",INPUTS!$J$25,INPUTS!$O$25))</f>
        <v>NR</v>
      </c>
      <c r="G55" s="4" t="str">
        <f aca="false">IF(TRIB!G55="","",IF($D55="A",INPUTS!$J$26,INPUTS!$O$26))</f>
        <v>NR</v>
      </c>
      <c r="H55" s="4" t="str">
        <f aca="false">IF(TRIB!H55="","",IF($D55="A",INPUTS!$J$27,INPUTS!$O$27))</f>
        <v>GAR</v>
      </c>
      <c r="I55" s="4" t="str">
        <f aca="false">IF(TRIB!I55="","",IF($D55="A",INPUTS!$J$28,INPUTS!$O$28))</f>
        <v>GAR</v>
      </c>
      <c r="J55" s="4" t="str">
        <f aca="false">IF(TRIB!J55="","",IF($D55="A",INPUTS!$J$29,INPUTS!$O$29))</f>
        <v>GAR</v>
      </c>
      <c r="K55" s="4" t="str">
        <f aca="false">IF(TRIB!K55="","",IF($D55="A",INPUTS!$J$30,INPUTS!$O$30))</f>
        <v>RES</v>
      </c>
      <c r="L55" s="4" t="str">
        <f aca="false">IF(TRIB!L55="","",IF($D55="A",INPUTS!$J$31,INPUTS!$O$31))</f>
        <v>RES</v>
      </c>
      <c r="M55" s="4" t="str">
        <f aca="false">IF(TRIB!M55="","",IF($D55="A",INPUTS!$J$32,INPUTS!$O$32))</f>
        <v>RES</v>
      </c>
      <c r="N55" s="4" t="str">
        <f aca="false">IF(TRIB!N55="","",IF($D55="A",INPUTS!$J$33,INPUTS!$O$33))</f>
        <v>RES</v>
      </c>
      <c r="O55" s="4" t="str">
        <f aca="false">IF(TRIB!O55="","",IF($D55="A",INPUTS!$J$34,INPUTS!$O$34))</f>
        <v>RES</v>
      </c>
      <c r="P55" s="4" t="str">
        <f aca="false">IF(TRIB!P55="","",IF($D55="A",INPUTS!$J$35,INPUTS!$O$35))</f>
        <v>RES</v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4" t="str">
        <f aca="false">IF(TRIB!E56="","",IF($D56="A",INPUTS!$J$24,INPUTS!$O$24))</f>
        <v>NR</v>
      </c>
      <c r="F56" s="4" t="str">
        <f aca="false">IF(TRIB!F56="","",IF($D56="A",INPUTS!$J$25,INPUTS!$O$25))</f>
        <v>NR</v>
      </c>
      <c r="G56" s="4" t="str">
        <f aca="false">IF(TRIB!G56="","",IF($D56="A",INPUTS!$J$26,INPUTS!$O$26))</f>
        <v>NR</v>
      </c>
      <c r="H56" s="4" t="str">
        <f aca="false">IF(TRIB!H56="","",IF($D56="A",INPUTS!$J$27,INPUTS!$O$27))</f>
        <v>GAR</v>
      </c>
      <c r="I56" s="4" t="str">
        <f aca="false">IF(TRIB!I56="","",IF($D56="A",INPUTS!$J$28,INPUTS!$O$28))</f>
        <v>GAR</v>
      </c>
      <c r="J56" s="4" t="str">
        <f aca="false">IF(TRIB!J56="","",IF($D56="A",INPUTS!$J$29,INPUTS!$O$29))</f>
        <v>GAR</v>
      </c>
      <c r="K56" s="4" t="str">
        <f aca="false">IF(TRIB!K56="","",IF($D56="A",INPUTS!$J$30,INPUTS!$O$30))</f>
        <v>RES</v>
      </c>
      <c r="L56" s="4" t="str">
        <f aca="false">IF(TRIB!L56="","",IF($D56="A",INPUTS!$J$31,INPUTS!$O$31))</f>
        <v>RES</v>
      </c>
      <c r="M56" s="4" t="str">
        <f aca="false">IF(TRIB!M56="","",IF($D56="A",INPUTS!$J$32,INPUTS!$O$32))</f>
        <v>RES</v>
      </c>
      <c r="N56" s="4" t="str">
        <f aca="false">IF(TRIB!N56="","",IF($D56="A",INPUTS!$J$33,INPUTS!$O$33))</f>
        <v>RES</v>
      </c>
      <c r="O56" s="4" t="str">
        <f aca="false">IF(TRIB!O56="","",IF($D56="A",INPUTS!$J$34,INPUTS!$O$34))</f>
        <v>RES</v>
      </c>
      <c r="P56" s="4" t="str">
        <f aca="false">IF(TRIB!P56="","",IF($D56="A",INPUTS!$J$35,INPUTS!$O$35))</f>
        <v>RES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4" t="str">
        <f aca="false">IF(TRIB!E57="","",IF($D57="A",INPUTS!$J$24,INPUTS!$O$24))</f>
        <v>NR</v>
      </c>
      <c r="F57" s="4" t="str">
        <f aca="false">IF(TRIB!F57="","",IF($D57="A",INPUTS!$J$25,INPUTS!$O$25))</f>
        <v>NR</v>
      </c>
      <c r="G57" s="4" t="str">
        <f aca="false">IF(TRIB!G57="","",IF($D57="A",INPUTS!$J$26,INPUTS!$O$26))</f>
        <v>NR</v>
      </c>
      <c r="H57" s="4" t="str">
        <f aca="false">IF(TRIB!H57="","",IF($D57="A",INPUTS!$J$27,INPUTS!$O$27))</f>
        <v>GAR</v>
      </c>
      <c r="I57" s="4" t="str">
        <f aca="false">IF(TRIB!I57="","",IF($D57="A",INPUTS!$J$28,INPUTS!$O$28))</f>
        <v>GAR</v>
      </c>
      <c r="J57" s="4" t="str">
        <f aca="false">IF(TRIB!J57="","",IF($D57="A",INPUTS!$J$29,INPUTS!$O$29))</f>
        <v>GAR</v>
      </c>
      <c r="K57" s="4" t="str">
        <f aca="false">IF(TRIB!K57="","",IF($D57="A",INPUTS!$J$30,INPUTS!$O$30))</f>
        <v>RES</v>
      </c>
      <c r="L57" s="4" t="str">
        <f aca="false">IF(TRIB!L57="","",IF($D57="A",INPUTS!$J$31,INPUTS!$O$31))</f>
        <v>RES</v>
      </c>
      <c r="M57" s="4" t="str">
        <f aca="false">IF(TRIB!M57="","",IF($D57="A",INPUTS!$J$32,INPUTS!$O$32))</f>
        <v>RES</v>
      </c>
      <c r="N57" s="4" t="str">
        <f aca="false">IF(TRIB!N57="","",IF($D57="A",INPUTS!$J$33,INPUTS!$O$33))</f>
        <v>RES</v>
      </c>
      <c r="O57" s="4" t="str">
        <f aca="false">IF(TRIB!O57="","",IF($D57="A",INPUTS!$J$34,INPUTS!$O$34))</f>
        <v>RES</v>
      </c>
      <c r="P57" s="4" t="str">
        <f aca="false">IF(TRIB!P57="","",IF($D57="A",INPUTS!$J$35,INPUTS!$O$35))</f>
        <v>RES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4" t="str">
        <f aca="false">IF(TRIB!E58="","",IF($D58="A",INPUTS!$J$24,INPUTS!$O$24))</f>
        <v>NR</v>
      </c>
      <c r="F58" s="4" t="str">
        <f aca="false">IF(TRIB!F58="","",IF($D58="A",INPUTS!$J$25,INPUTS!$O$25))</f>
        <v>NR</v>
      </c>
      <c r="G58" s="4" t="str">
        <f aca="false">IF(TRIB!G58="","",IF($D58="A",INPUTS!$J$26,INPUTS!$O$26))</f>
        <v>NR</v>
      </c>
      <c r="H58" s="4" t="str">
        <f aca="false">IF(TRIB!H58="","",IF($D58="A",INPUTS!$J$27,INPUTS!$O$27))</f>
        <v>GAR</v>
      </c>
      <c r="I58" s="4" t="str">
        <f aca="false">IF(TRIB!I58="","",IF($D58="A",INPUTS!$J$28,INPUTS!$O$28))</f>
        <v>GAR</v>
      </c>
      <c r="J58" s="4" t="str">
        <f aca="false">IF(TRIB!J58="","",IF($D58="A",INPUTS!$J$29,INPUTS!$O$29))</f>
        <v>GAR</v>
      </c>
      <c r="K58" s="4" t="str">
        <f aca="false">IF(TRIB!K58="","",IF($D58="A",INPUTS!$J$30,INPUTS!$O$30))</f>
        <v>RES</v>
      </c>
      <c r="L58" s="4" t="str">
        <f aca="false">IF(TRIB!L58="","",IF($D58="A",INPUTS!$J$31,INPUTS!$O$31))</f>
        <v>RES</v>
      </c>
      <c r="M58" s="4" t="str">
        <f aca="false">IF(TRIB!M58="","",IF($D58="A",INPUTS!$J$32,INPUTS!$O$32))</f>
        <v>RES</v>
      </c>
      <c r="N58" s="4" t="str">
        <f aca="false">IF(TRIB!N58="","",IF($D58="A",INPUTS!$J$33,INPUTS!$O$33))</f>
        <v>RES</v>
      </c>
      <c r="O58" s="4" t="str">
        <f aca="false">IF(TRIB!O58="","",IF($D58="A",INPUTS!$J$34,INPUTS!$O$34))</f>
        <v>RES</v>
      </c>
      <c r="P58" s="4" t="str">
        <f aca="false">IF(TRIB!P58="","",IF($D58="A",INPUTS!$J$35,INPUTS!$O$35))</f>
        <v>RES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4" t="str">
        <f aca="false">IF(TRIB!E59="","",IF($D59="A",INPUTS!$J$24,INPUTS!$O$24))</f>
        <v>NR</v>
      </c>
      <c r="F59" s="4" t="str">
        <f aca="false">IF(TRIB!F59="","",IF($D59="A",INPUTS!$J$25,INPUTS!$O$25))</f>
        <v>NR</v>
      </c>
      <c r="G59" s="4" t="str">
        <f aca="false">IF(TRIB!G59="","",IF($D59="A",INPUTS!$J$26,INPUTS!$O$26))</f>
        <v>NR</v>
      </c>
      <c r="H59" s="4" t="str">
        <f aca="false">IF(TRIB!H59="","",IF($D59="A",INPUTS!$J$27,INPUTS!$O$27))</f>
        <v>GAR</v>
      </c>
      <c r="I59" s="4" t="str">
        <f aca="false">IF(TRIB!I59="","",IF($D59="A",INPUTS!$J$28,INPUTS!$O$28))</f>
        <v>GAR</v>
      </c>
      <c r="J59" s="4" t="str">
        <f aca="false">IF(TRIB!J59="","",IF($D59="A",INPUTS!$J$29,INPUTS!$O$29))</f>
        <v>GAR</v>
      </c>
      <c r="K59" s="4" t="str">
        <f aca="false">IF(TRIB!K59="","",IF($D59="A",INPUTS!$J$30,INPUTS!$O$30))</f>
        <v>RES</v>
      </c>
      <c r="L59" s="4" t="str">
        <f aca="false">IF(TRIB!L59="","",IF($D59="A",INPUTS!$J$31,INPUTS!$O$31))</f>
        <v>RES</v>
      </c>
      <c r="M59" s="4" t="str">
        <f aca="false">IF(TRIB!M59="","",IF($D59="A",INPUTS!$J$32,INPUTS!$O$32))</f>
        <v>RES</v>
      </c>
      <c r="N59" s="4" t="str">
        <f aca="false">IF(TRIB!N59="","",IF($D59="A",INPUTS!$J$33,INPUTS!$O$33))</f>
        <v>RES</v>
      </c>
      <c r="O59" s="4" t="str">
        <f aca="false">IF(TRIB!O59="","",IF($D59="A",INPUTS!$J$34,INPUTS!$O$34))</f>
        <v>RES</v>
      </c>
      <c r="P59" s="4" t="str">
        <f aca="false">IF(TRIB!P59="","",IF($D59="A",INPUTS!$J$35,INPUTS!$O$35))</f>
        <v>RES</v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4" t="str">
        <f aca="false">IF(TRIB!E60="","",IF($D60="A",INPUTS!$J$24,INPUTS!$O$24))</f>
        <v>NR</v>
      </c>
      <c r="F60" s="4" t="str">
        <f aca="false">IF(TRIB!F60="","",IF($D60="A",INPUTS!$J$25,INPUTS!$O$25))</f>
        <v>NR</v>
      </c>
      <c r="G60" s="4" t="str">
        <f aca="false">IF(TRIB!G60="","",IF($D60="A",INPUTS!$J$26,INPUTS!$O$26))</f>
        <v>NR</v>
      </c>
      <c r="H60" s="4" t="str">
        <f aca="false">IF(TRIB!H60="","",IF($D60="A",INPUTS!$J$27,INPUTS!$O$27))</f>
        <v>GAR</v>
      </c>
      <c r="I60" s="4" t="str">
        <f aca="false">IF(TRIB!I60="","",IF($D60="A",INPUTS!$J$28,INPUTS!$O$28))</f>
        <v>GAR</v>
      </c>
      <c r="J60" s="4" t="str">
        <f aca="false">IF(TRIB!J60="","",IF($D60="A",INPUTS!$J$29,INPUTS!$O$29))</f>
        <v>GAR</v>
      </c>
      <c r="K60" s="4" t="str">
        <f aca="false">IF(TRIB!K60="","",IF($D60="A",INPUTS!$J$30,INPUTS!$O$30))</f>
        <v>RES</v>
      </c>
      <c r="L60" s="4" t="str">
        <f aca="false">IF(TRIB!L60="","",IF($D60="A",INPUTS!$J$31,INPUTS!$O$31))</f>
        <v>RES</v>
      </c>
      <c r="M60" s="4" t="str">
        <f aca="false">IF(TRIB!M60="","",IF($D60="A",INPUTS!$J$32,INPUTS!$O$32))</f>
        <v>RES</v>
      </c>
      <c r="N60" s="4" t="str">
        <f aca="false">IF(TRIB!N60="","",IF($D60="A",INPUTS!$J$33,INPUTS!$O$33))</f>
        <v>RES</v>
      </c>
      <c r="O60" s="4" t="str">
        <f aca="false">IF(TRIB!O60="","",IF($D60="A",INPUTS!$J$34,INPUTS!$O$34))</f>
        <v>RES</v>
      </c>
      <c r="P60" s="4" t="str">
        <f aca="false">IF(TRIB!P60="","",IF($D60="A",INPUTS!$J$35,INPUTS!$O$35))</f>
        <v>RES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4" t="str">
        <f aca="false">IF(TRIB!E61="","",IF($D61="A",INPUTS!$J$24,INPUTS!$O$24))</f>
        <v>NR</v>
      </c>
      <c r="F61" s="4" t="str">
        <f aca="false">IF(TRIB!F61="","",IF($D61="A",INPUTS!$J$25,INPUTS!$O$25))</f>
        <v>NR</v>
      </c>
      <c r="G61" s="4" t="str">
        <f aca="false">IF(TRIB!G61="","",IF($D61="A",INPUTS!$J$26,INPUTS!$O$26))</f>
        <v>NR</v>
      </c>
      <c r="H61" s="4" t="str">
        <f aca="false">IF(TRIB!H61="","",IF($D61="A",INPUTS!$J$27,INPUTS!$O$27))</f>
        <v>GAR</v>
      </c>
      <c r="I61" s="4" t="str">
        <f aca="false">IF(TRIB!I61="","",IF($D61="A",INPUTS!$J$28,INPUTS!$O$28))</f>
        <v>GAR</v>
      </c>
      <c r="J61" s="4" t="str">
        <f aca="false">IF(TRIB!J61="","",IF($D61="A",INPUTS!$J$29,INPUTS!$O$29))</f>
        <v>GAR</v>
      </c>
      <c r="K61" s="4" t="str">
        <f aca="false">IF(TRIB!K61="","",IF($D61="A",INPUTS!$J$30,INPUTS!$O$30))</f>
        <v>RES</v>
      </c>
      <c r="L61" s="4" t="str">
        <f aca="false">IF(TRIB!L61="","",IF($D61="A",INPUTS!$J$31,INPUTS!$O$31))</f>
        <v>RES</v>
      </c>
      <c r="M61" s="4" t="str">
        <f aca="false">IF(TRIB!M61="","",IF($D61="A",INPUTS!$J$32,INPUTS!$O$32))</f>
        <v>RES</v>
      </c>
      <c r="N61" s="4" t="str">
        <f aca="false">IF(TRIB!N61="","",IF($D61="A",INPUTS!$J$33,INPUTS!$O$33))</f>
        <v>RES</v>
      </c>
      <c r="O61" s="4" t="str">
        <f aca="false">IF(TRIB!O61="","",IF($D61="A",INPUTS!$J$34,INPUTS!$O$34))</f>
        <v>RES</v>
      </c>
      <c r="P61" s="4" t="str">
        <f aca="false">IF(TRIB!P61="","",IF($D61="A",INPUTS!$J$35,INPUTS!$O$35))</f>
        <v>RES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4" t="str">
        <f aca="false">IF(TRIB!E62="","",IF($D62="A",INPUTS!$J$24,INPUTS!$O$24))</f>
        <v>NR</v>
      </c>
      <c r="F62" s="4" t="str">
        <f aca="false">IF(TRIB!F62="","",IF($D62="A",INPUTS!$J$25,INPUTS!$O$25))</f>
        <v>NR</v>
      </c>
      <c r="G62" s="4" t="str">
        <f aca="false">IF(TRIB!G62="","",IF($D62="A",INPUTS!$J$26,INPUTS!$O$26))</f>
        <v>NR</v>
      </c>
      <c r="H62" s="4" t="str">
        <f aca="false">IF(TRIB!H62="","",IF($D62="A",INPUTS!$J$27,INPUTS!$O$27))</f>
        <v>GAR</v>
      </c>
      <c r="I62" s="4" t="str">
        <f aca="false">IF(TRIB!I62="","",IF($D62="A",INPUTS!$J$28,INPUTS!$O$28))</f>
        <v>GAR</v>
      </c>
      <c r="J62" s="4" t="str">
        <f aca="false">IF(TRIB!J62="","",IF($D62="A",INPUTS!$J$29,INPUTS!$O$29))</f>
        <v>GAR</v>
      </c>
      <c r="K62" s="4" t="str">
        <f aca="false">IF(TRIB!K62="","",IF($D62="A",INPUTS!$J$30,INPUTS!$O$30))</f>
        <v>RES</v>
      </c>
      <c r="L62" s="4" t="str">
        <f aca="false">IF(TRIB!L62="","",IF($D62="A",INPUTS!$J$31,INPUTS!$O$31))</f>
        <v>RES</v>
      </c>
      <c r="M62" s="4" t="str">
        <f aca="false">IF(TRIB!M62="","",IF($D62="A",INPUTS!$J$32,INPUTS!$O$32))</f>
        <v>RES</v>
      </c>
      <c r="N62" s="4" t="str">
        <f aca="false">IF(TRIB!N62="","",IF($D62="A",INPUTS!$J$33,INPUTS!$O$33))</f>
        <v>RES</v>
      </c>
      <c r="O62" s="4" t="str">
        <f aca="false">IF(TRIB!O62="","",IF($D62="A",INPUTS!$J$34,INPUTS!$O$34))</f>
        <v>RES</v>
      </c>
      <c r="P62" s="4" t="str">
        <f aca="false">IF(TRIB!P62="","",IF($D62="A",INPUTS!$J$35,INPUTS!$O$35))</f>
        <v>RES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4" t="str">
        <f aca="false">IF(TRIB!E63="","",IF($D63="A",INPUTS!$J$24,INPUTS!$O$24))</f>
        <v>NR</v>
      </c>
      <c r="F63" s="4" t="str">
        <f aca="false">IF(TRIB!F63="","",IF($D63="A",INPUTS!$J$25,INPUTS!$O$25))</f>
        <v>NR</v>
      </c>
      <c r="G63" s="4" t="str">
        <f aca="false">IF(TRIB!G63="","",IF($D63="A",INPUTS!$J$26,INPUTS!$O$26))</f>
        <v>NR</v>
      </c>
      <c r="H63" s="4" t="str">
        <f aca="false">IF(TRIB!H63="","",IF($D63="A",INPUTS!$J$27,INPUTS!$O$27))</f>
        <v>GAR</v>
      </c>
      <c r="I63" s="4" t="str">
        <f aca="false">IF(TRIB!I63="","",IF($D63="A",INPUTS!$J$28,INPUTS!$O$28))</f>
        <v>GAR</v>
      </c>
      <c r="J63" s="4" t="str">
        <f aca="false">IF(TRIB!J63="","",IF($D63="A",INPUTS!$J$29,INPUTS!$O$29))</f>
        <v>GAR</v>
      </c>
      <c r="K63" s="4" t="str">
        <f aca="false">IF(TRIB!K63="","",IF($D63="A",INPUTS!$J$30,INPUTS!$O$30))</f>
        <v>RES</v>
      </c>
      <c r="L63" s="4" t="str">
        <f aca="false">IF(TRIB!L63="","",IF($D63="A",INPUTS!$J$31,INPUTS!$O$31))</f>
        <v>RES</v>
      </c>
      <c r="M63" s="4" t="str">
        <f aca="false">IF(TRIB!M63="","",IF($D63="A",INPUTS!$J$32,INPUTS!$O$32))</f>
        <v>RES</v>
      </c>
      <c r="N63" s="4" t="str">
        <f aca="false">IF(TRIB!N63="","",IF($D63="A",INPUTS!$J$33,INPUTS!$O$33))</f>
        <v>RES</v>
      </c>
      <c r="O63" s="4" t="str">
        <f aca="false">IF(TRIB!O63="","",IF($D63="A",INPUTS!$J$34,INPUTS!$O$34))</f>
        <v>RES</v>
      </c>
      <c r="P63" s="4" t="str">
        <f aca="false">IF(TRIB!P63="","",IF($D63="A",INPUTS!$J$35,INPUTS!$O$35))</f>
        <v>RES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4" t="str">
        <f aca="false">IF(TRIB!E64="","",IF($D64="A",INPUTS!$J$24,INPUTS!$O$24))</f>
        <v>NR</v>
      </c>
      <c r="F64" s="4" t="str">
        <f aca="false">IF(TRIB!F64="","",IF($D64="A",INPUTS!$J$25,INPUTS!$O$25))</f>
        <v>NR</v>
      </c>
      <c r="G64" s="4" t="str">
        <f aca="false">IF(TRIB!G64="","",IF($D64="A",INPUTS!$J$26,INPUTS!$O$26))</f>
        <v>NR</v>
      </c>
      <c r="H64" s="4" t="str">
        <f aca="false">IF(TRIB!H64="","",IF($D64="A",INPUTS!$J$27,INPUTS!$O$27))</f>
        <v>GAR</v>
      </c>
      <c r="I64" s="4" t="str">
        <f aca="false">IF(TRIB!I64="","",IF($D64="A",INPUTS!$J$28,INPUTS!$O$28))</f>
        <v>GAR</v>
      </c>
      <c r="J64" s="4" t="str">
        <f aca="false">IF(TRIB!J64="","",IF($D64="A",INPUTS!$J$29,INPUTS!$O$29))</f>
        <v>GAR</v>
      </c>
      <c r="K64" s="4" t="str">
        <f aca="false">IF(TRIB!K64="","",IF($D64="A",INPUTS!$J$30,INPUTS!$O$30))</f>
        <v/>
      </c>
      <c r="L64" s="4" t="str">
        <f aca="false">IF(TRIB!L64="","",IF($D64="A",INPUTS!$J$31,INPUTS!$O$31))</f>
        <v/>
      </c>
      <c r="M64" s="4" t="str">
        <f aca="false">IF(TRIB!M64="","",IF($D64="A",INPUTS!$J$32,INPUTS!$O$32))</f>
        <v/>
      </c>
      <c r="N64" s="4" t="str">
        <f aca="false">IF(TRIB!N64="","",IF($D64="A",INPUTS!$J$33,INPUTS!$O$33))</f>
        <v/>
      </c>
      <c r="O64" s="4" t="str">
        <f aca="false">IF(TRIB!O64="","",IF($D64="A",INPUTS!$J$34,INPUTS!$O$34))</f>
        <v/>
      </c>
      <c r="P64" s="4" t="str">
        <f aca="false">IF(TRIB!P64="","",IF($D64="A",INPUTS!$J$35,INPUTS!$O$35))</f>
        <v/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4" t="str">
        <f aca="false">IF(TRIB!E65="","",IF($D65="A",INPUTS!$J$24,INPUTS!$O$24))</f>
        <v>NR</v>
      </c>
      <c r="F65" s="4" t="str">
        <f aca="false">IF(TRIB!F65="","",IF($D65="A",INPUTS!$J$25,INPUTS!$O$25))</f>
        <v>NR</v>
      </c>
      <c r="G65" s="4" t="str">
        <f aca="false">IF(TRIB!G65="","",IF($D65="A",INPUTS!$J$26,INPUTS!$O$26))</f>
        <v>NR</v>
      </c>
      <c r="H65" s="4" t="str">
        <f aca="false">IF(TRIB!H65="","",IF($D65="A",INPUTS!$J$27,INPUTS!$O$27))</f>
        <v>GAR</v>
      </c>
      <c r="I65" s="4" t="str">
        <f aca="false">IF(TRIB!I65="","",IF($D65="A",INPUTS!$J$28,INPUTS!$O$28))</f>
        <v>GAR</v>
      </c>
      <c r="J65" s="4" t="str">
        <f aca="false">IF(TRIB!J65="","",IF($D65="A",INPUTS!$J$29,INPUTS!$O$29))</f>
        <v>GAR</v>
      </c>
      <c r="K65" s="4" t="str">
        <f aca="false">IF(TRIB!K65="","",IF($D65="A",INPUTS!$J$30,INPUTS!$O$30))</f>
        <v/>
      </c>
      <c r="L65" s="4" t="str">
        <f aca="false">IF(TRIB!L65="","",IF($D65="A",INPUTS!$J$31,INPUTS!$O$31))</f>
        <v/>
      </c>
      <c r="M65" s="4" t="str">
        <f aca="false">IF(TRIB!M65="","",IF($D65="A",INPUTS!$J$32,INPUTS!$O$32))</f>
        <v/>
      </c>
      <c r="N65" s="4" t="str">
        <f aca="false">IF(TRIB!N65="","",IF($D65="A",INPUTS!$J$33,INPUTS!$O$33))</f>
        <v/>
      </c>
      <c r="O65" s="4" t="str">
        <f aca="false">IF(TRIB!O65="","",IF($D65="A",INPUTS!$J$34,INPUTS!$O$34))</f>
        <v/>
      </c>
      <c r="P65" s="4" t="str">
        <f aca="false">IF(TRIB!P65="","",IF($D65="A",INPUTS!$J$35,INPUTS!$O$35))</f>
        <v/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4" t="str">
        <f aca="false">IF(TRIB!E66="","",IF($D66="A",INPUTS!$J$24,INPUTS!$O$24))</f>
        <v>NR</v>
      </c>
      <c r="F66" s="4" t="str">
        <f aca="false">IF(TRIB!F66="","",IF($D66="A",INPUTS!$J$25,INPUTS!$O$25))</f>
        <v>NR</v>
      </c>
      <c r="G66" s="4" t="str">
        <f aca="false">IF(TRIB!G66="","",IF($D66="A",INPUTS!$J$26,INPUTS!$O$26))</f>
        <v>NR</v>
      </c>
      <c r="H66" s="4" t="str">
        <f aca="false">IF(TRIB!H66="","",IF($D66="A",INPUTS!$J$27,INPUTS!$O$27))</f>
        <v>GAR</v>
      </c>
      <c r="I66" s="4" t="str">
        <f aca="false">IF(TRIB!I66="","",IF($D66="A",INPUTS!$J$28,INPUTS!$O$28))</f>
        <v>GAR</v>
      </c>
      <c r="J66" s="4" t="str">
        <f aca="false">IF(TRIB!J66="","",IF($D66="A",INPUTS!$J$29,INPUTS!$O$29))</f>
        <v>GAR</v>
      </c>
      <c r="K66" s="4" t="str">
        <f aca="false">IF(TRIB!K66="","",IF($D66="A",INPUTS!$J$30,INPUTS!$O$30))</f>
        <v/>
      </c>
      <c r="L66" s="4" t="str">
        <f aca="false">IF(TRIB!L66="","",IF($D66="A",INPUTS!$J$31,INPUTS!$O$31))</f>
        <v/>
      </c>
      <c r="M66" s="4" t="str">
        <f aca="false">IF(TRIB!M66="","",IF($D66="A",INPUTS!$J$32,INPUTS!$O$32))</f>
        <v/>
      </c>
      <c r="N66" s="4" t="str">
        <f aca="false">IF(TRIB!N66="","",IF($D66="A",INPUTS!$J$33,INPUTS!$O$33))</f>
        <v/>
      </c>
      <c r="O66" s="4" t="str">
        <f aca="false">IF(TRIB!O66="","",IF($D66="A",INPUTS!$J$34,INPUTS!$O$34))</f>
        <v/>
      </c>
      <c r="P66" s="4" t="str">
        <f aca="false">IF(TRIB!P66="","",IF($D66="A",INPUTS!$J$35,INPUTS!$O$35))</f>
        <v/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4" t="str">
        <f aca="false">IF(TRIB!E67="","",IF($D67="A",INPUTS!$J$24,INPUTS!$O$24))</f>
        <v>NR</v>
      </c>
      <c r="F67" s="4" t="str">
        <f aca="false">IF(TRIB!F67="","",IF($D67="A",INPUTS!$J$25,INPUTS!$O$25))</f>
        <v>NR</v>
      </c>
      <c r="G67" s="4" t="str">
        <f aca="false">IF(TRIB!G67="","",IF($D67="A",INPUTS!$J$26,INPUTS!$O$26))</f>
        <v>NR</v>
      </c>
      <c r="H67" s="4" t="str">
        <f aca="false">IF(TRIB!H67="","",IF($D67="A",INPUTS!$J$27,INPUTS!$O$27))</f>
        <v>GAR</v>
      </c>
      <c r="I67" s="4" t="str">
        <f aca="false">IF(TRIB!I67="","",IF($D67="A",INPUTS!$J$28,INPUTS!$O$28))</f>
        <v>GAR</v>
      </c>
      <c r="J67" s="4" t="str">
        <f aca="false">IF(TRIB!J67="","",IF($D67="A",INPUTS!$J$29,INPUTS!$O$29))</f>
        <v>GAR</v>
      </c>
      <c r="K67" s="4" t="str">
        <f aca="false">IF(TRIB!K67="","",IF($D67="A",INPUTS!$J$30,INPUTS!$O$30))</f>
        <v/>
      </c>
      <c r="L67" s="4" t="str">
        <f aca="false">IF(TRIB!L67="","",IF($D67="A",INPUTS!$J$31,INPUTS!$O$31))</f>
        <v/>
      </c>
      <c r="M67" s="4" t="str">
        <f aca="false">IF(TRIB!M67="","",IF($D67="A",INPUTS!$J$32,INPUTS!$O$32))</f>
        <v/>
      </c>
      <c r="N67" s="4" t="str">
        <f aca="false">IF(TRIB!N67="","",IF($D67="A",INPUTS!$J$33,INPUTS!$O$33))</f>
        <v/>
      </c>
      <c r="O67" s="4" t="str">
        <f aca="false">IF(TRIB!O67="","",IF($D67="A",INPUTS!$J$34,INPUTS!$O$34))</f>
        <v/>
      </c>
      <c r="P67" s="4" t="str">
        <f aca="false">IF(TRIB!P67="","",IF($D67="A",INPUTS!$J$35,INPUTS!$O$35))</f>
        <v/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4" t="str">
        <f aca="false">IF(TRIB!E68="","",IF($D68="A",INPUTS!$J$24,INPUTS!$O$24))</f>
        <v>NR</v>
      </c>
      <c r="F68" s="4" t="str">
        <f aca="false">IF(TRIB!F68="","",IF($D68="A",INPUTS!$J$25,INPUTS!$O$25))</f>
        <v>NR</v>
      </c>
      <c r="G68" s="4" t="str">
        <f aca="false">IF(TRIB!G68="","",IF($D68="A",INPUTS!$J$26,INPUTS!$O$26))</f>
        <v>NR</v>
      </c>
      <c r="H68" s="4" t="str">
        <f aca="false">IF(TRIB!H68="","",IF($D68="A",INPUTS!$J$27,INPUTS!$O$27))</f>
        <v>GAR</v>
      </c>
      <c r="I68" s="4" t="str">
        <f aca="false">IF(TRIB!I68="","",IF($D68="A",INPUTS!$J$28,INPUTS!$O$28))</f>
        <v>GAR</v>
      </c>
      <c r="J68" s="4" t="str">
        <f aca="false">IF(TRIB!J68="","",IF($D68="A",INPUTS!$J$29,INPUTS!$O$29))</f>
        <v>GAR</v>
      </c>
      <c r="K68" s="4" t="str">
        <f aca="false">IF(TRIB!K68="","",IF($D68="A",INPUTS!$J$30,INPUTS!$O$30))</f>
        <v/>
      </c>
      <c r="L68" s="4" t="str">
        <f aca="false">IF(TRIB!L68="","",IF($D68="A",INPUTS!$J$31,INPUTS!$O$31))</f>
        <v/>
      </c>
      <c r="M68" s="4" t="str">
        <f aca="false">IF(TRIB!M68="","",IF($D68="A",INPUTS!$J$32,INPUTS!$O$32))</f>
        <v/>
      </c>
      <c r="N68" s="4" t="str">
        <f aca="false">IF(TRIB!N68="","",IF($D68="A",INPUTS!$J$33,INPUTS!$O$33))</f>
        <v/>
      </c>
      <c r="O68" s="4" t="str">
        <f aca="false">IF(TRIB!O68="","",IF($D68="A",INPUTS!$J$34,INPUTS!$O$34))</f>
        <v/>
      </c>
      <c r="P68" s="4" t="str">
        <f aca="false">IF(TRIB!P68="","",IF($D68="A",INPUTS!$J$35,INPUTS!$O$35))</f>
        <v/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4" t="str">
        <f aca="false">IF(TRIB!E69="","",IF($D69="A",INPUTS!$J$24,INPUTS!$O$24))</f>
        <v>NR</v>
      </c>
      <c r="F69" s="4" t="str">
        <f aca="false">IF(TRIB!F69="","",IF($D69="A",INPUTS!$J$25,INPUTS!$O$25))</f>
        <v>NR</v>
      </c>
      <c r="G69" s="4" t="str">
        <f aca="false">IF(TRIB!G69="","",IF($D69="A",INPUTS!$J$26,INPUTS!$O$26))</f>
        <v>NR</v>
      </c>
      <c r="H69" s="4" t="str">
        <f aca="false">IF(TRIB!H69="","",IF($D69="A",INPUTS!$J$27,INPUTS!$O$27))</f>
        <v>GAR</v>
      </c>
      <c r="I69" s="4" t="str">
        <f aca="false">IF(TRIB!I69="","",IF($D69="A",INPUTS!$J$28,INPUTS!$O$28))</f>
        <v>GAR</v>
      </c>
      <c r="J69" s="4" t="str">
        <f aca="false">IF(TRIB!J69="","",IF($D69="A",INPUTS!$J$29,INPUTS!$O$29))</f>
        <v>GAR</v>
      </c>
      <c r="K69" s="4" t="str">
        <f aca="false">IF(TRIB!K69="","",IF($D69="A",INPUTS!$J$30,INPUTS!$O$30))</f>
        <v/>
      </c>
      <c r="L69" s="4" t="str">
        <f aca="false">IF(TRIB!L69="","",IF($D69="A",INPUTS!$J$31,INPUTS!$O$31))</f>
        <v/>
      </c>
      <c r="M69" s="4" t="str">
        <f aca="false">IF(TRIB!M69="","",IF($D69="A",INPUTS!$J$32,INPUTS!$O$32))</f>
        <v/>
      </c>
      <c r="N69" s="4" t="str">
        <f aca="false">IF(TRIB!N69="","",IF($D69="A",INPUTS!$J$33,INPUTS!$O$33))</f>
        <v/>
      </c>
      <c r="O69" s="4" t="str">
        <f aca="false">IF(TRIB!O69="","",IF($D69="A",INPUTS!$J$34,INPUTS!$O$34))</f>
        <v/>
      </c>
      <c r="P69" s="4" t="str">
        <f aca="false">IF(TRIB!P69="","",IF($D69="A",INPUTS!$J$35,INPUTS!$O$35))</f>
        <v/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4" t="str">
        <f aca="false">IF(TRIB!E70="","",IF($D70="A",INPUTS!$J$24,INPUTS!$O$24))</f>
        <v>NR</v>
      </c>
      <c r="F70" s="4" t="str">
        <f aca="false">IF(TRIB!F70="","",IF($D70="A",INPUTS!$J$25,INPUTS!$O$25))</f>
        <v>NR</v>
      </c>
      <c r="G70" s="4" t="str">
        <f aca="false">IF(TRIB!G70="","",IF($D70="A",INPUTS!$J$26,INPUTS!$O$26))</f>
        <v>NR</v>
      </c>
      <c r="H70" s="4" t="str">
        <f aca="false">IF(TRIB!H70="","",IF($D70="A",INPUTS!$J$27,INPUTS!$O$27))</f>
        <v>GAR</v>
      </c>
      <c r="I70" s="4" t="str">
        <f aca="false">IF(TRIB!I70="","",IF($D70="A",INPUTS!$J$28,INPUTS!$O$28))</f>
        <v>GAR</v>
      </c>
      <c r="J70" s="4" t="str">
        <f aca="false">IF(TRIB!J70="","",IF($D70="A",INPUTS!$J$29,INPUTS!$O$29))</f>
        <v>GAR</v>
      </c>
      <c r="K70" s="4" t="str">
        <f aca="false">IF(TRIB!K70="","",IF($D70="A",INPUTS!$J$30,INPUTS!$O$30))</f>
        <v/>
      </c>
      <c r="L70" s="4" t="str">
        <f aca="false">IF(TRIB!L70="","",IF($D70="A",INPUTS!$J$31,INPUTS!$O$31))</f>
        <v/>
      </c>
      <c r="M70" s="4" t="str">
        <f aca="false">IF(TRIB!M70="","",IF($D70="A",INPUTS!$J$32,INPUTS!$O$32))</f>
        <v/>
      </c>
      <c r="N70" s="4" t="str">
        <f aca="false">IF(TRIB!N70="","",IF($D70="A",INPUTS!$J$33,INPUTS!$O$33))</f>
        <v/>
      </c>
      <c r="O70" s="4" t="str">
        <f aca="false">IF(TRIB!O70="","",IF($D70="A",INPUTS!$J$34,INPUTS!$O$34))</f>
        <v/>
      </c>
      <c r="P70" s="4" t="str">
        <f aca="false">IF(TRIB!P70="","",IF($D70="A",INPUTS!$J$35,INPUTS!$O$35))</f>
        <v/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4" t="str">
        <f aca="false">IF(TRIB!E71="","",IF($D71="A",INPUTS!$J$24,INPUTS!$O$24))</f>
        <v>NR</v>
      </c>
      <c r="F71" s="4" t="str">
        <f aca="false">IF(TRIB!F71="","",IF($D71="A",INPUTS!$J$25,INPUTS!$O$25))</f>
        <v>NR</v>
      </c>
      <c r="G71" s="4" t="str">
        <f aca="false">IF(TRIB!G71="","",IF($D71="A",INPUTS!$J$26,INPUTS!$O$26))</f>
        <v>NR</v>
      </c>
      <c r="H71" s="4" t="str">
        <f aca="false">IF(TRIB!H71="","",IF($D71="A",INPUTS!$J$27,INPUTS!$O$27))</f>
        <v>GAR</v>
      </c>
      <c r="I71" s="4" t="str">
        <f aca="false">IF(TRIB!I71="","",IF($D71="A",INPUTS!$J$28,INPUTS!$O$28))</f>
        <v>GAR</v>
      </c>
      <c r="J71" s="4" t="str">
        <f aca="false">IF(TRIB!J71="","",IF($D71="A",INPUTS!$J$29,INPUTS!$O$29))</f>
        <v>GAR</v>
      </c>
      <c r="K71" s="4" t="str">
        <f aca="false">IF(TRIB!K71="","",IF($D71="A",INPUTS!$J$30,INPUTS!$O$30))</f>
        <v/>
      </c>
      <c r="L71" s="4" t="str">
        <f aca="false">IF(TRIB!L71="","",IF($D71="A",INPUTS!$J$31,INPUTS!$O$31))</f>
        <v/>
      </c>
      <c r="M71" s="4" t="str">
        <f aca="false">IF(TRIB!M71="","",IF($D71="A",INPUTS!$J$32,INPUTS!$O$32))</f>
        <v/>
      </c>
      <c r="N71" s="4" t="str">
        <f aca="false">IF(TRIB!N71="","",IF($D71="A",INPUTS!$J$33,INPUTS!$O$33))</f>
        <v/>
      </c>
      <c r="O71" s="4" t="str">
        <f aca="false">IF(TRIB!O71="","",IF($D71="A",INPUTS!$J$34,INPUTS!$O$34))</f>
        <v/>
      </c>
      <c r="P71" s="4" t="str">
        <f aca="false">IF(TRIB!P71="","",IF($D71="A",INPUTS!$J$35,INPUTS!$O$35))</f>
        <v/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4" t="str">
        <f aca="false">IF(TRIB!E72="","",IF($D72="A",INPUTS!$J$24,INPUTS!$O$24))</f>
        <v>NR</v>
      </c>
      <c r="F72" s="4" t="str">
        <f aca="false">IF(TRIB!F72="","",IF($D72="A",INPUTS!$J$25,INPUTS!$O$25))</f>
        <v>NR</v>
      </c>
      <c r="G72" s="4" t="str">
        <f aca="false">IF(TRIB!G72="","",IF($D72="A",INPUTS!$J$26,INPUTS!$O$26))</f>
        <v>NR</v>
      </c>
      <c r="H72" s="4" t="str">
        <f aca="false">IF(TRIB!H72="","",IF($D72="A",INPUTS!$J$27,INPUTS!$O$27))</f>
        <v>GAR</v>
      </c>
      <c r="I72" s="4" t="str">
        <f aca="false">IF(TRIB!I72="","",IF($D72="A",INPUTS!$J$28,INPUTS!$O$28))</f>
        <v>GAR</v>
      </c>
      <c r="J72" s="4" t="str">
        <f aca="false">IF(TRIB!J72="","",IF($D72="A",INPUTS!$J$29,INPUTS!$O$29))</f>
        <v>GAR</v>
      </c>
      <c r="K72" s="4" t="str">
        <f aca="false">IF(TRIB!K72="","",IF($D72="A",INPUTS!$J$30,INPUTS!$O$30))</f>
        <v/>
      </c>
      <c r="L72" s="4" t="str">
        <f aca="false">IF(TRIB!L72="","",IF($D72="A",INPUTS!$J$31,INPUTS!$O$31))</f>
        <v/>
      </c>
      <c r="M72" s="4" t="str">
        <f aca="false">IF(TRIB!M72="","",IF($D72="A",INPUTS!$J$32,INPUTS!$O$32))</f>
        <v/>
      </c>
      <c r="N72" s="4" t="str">
        <f aca="false">IF(TRIB!N72="","",IF($D72="A",INPUTS!$J$33,INPUTS!$O$33))</f>
        <v/>
      </c>
      <c r="O72" s="4" t="str">
        <f aca="false">IF(TRIB!O72="","",IF($D72="A",INPUTS!$J$34,INPUTS!$O$34))</f>
        <v/>
      </c>
      <c r="P72" s="4" t="str">
        <f aca="false">IF(TRIB!P72="","",IF($D72="A",INPUTS!$J$35,INPUTS!$O$35))</f>
        <v/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4" t="str">
        <f aca="false">IF(TRIB!E73="","",IF($D73="A",INPUTS!$J$24,INPUTS!$O$24))</f>
        <v>NR</v>
      </c>
      <c r="F73" s="4" t="str">
        <f aca="false">IF(TRIB!F73="","",IF($D73="A",INPUTS!$J$25,INPUTS!$O$25))</f>
        <v>NR</v>
      </c>
      <c r="G73" s="4" t="str">
        <f aca="false">IF(TRIB!G73="","",IF($D73="A",INPUTS!$J$26,INPUTS!$O$26))</f>
        <v>NR</v>
      </c>
      <c r="H73" s="4" t="str">
        <f aca="false">IF(TRIB!H73="","",IF($D73="A",INPUTS!$J$27,INPUTS!$O$27))</f>
        <v>GAR</v>
      </c>
      <c r="I73" s="4" t="str">
        <f aca="false">IF(TRIB!I73="","",IF($D73="A",INPUTS!$J$28,INPUTS!$O$28))</f>
        <v>GAR</v>
      </c>
      <c r="J73" s="4" t="str">
        <f aca="false">IF(TRIB!J73="","",IF($D73="A",INPUTS!$J$29,INPUTS!$O$29))</f>
        <v>GAR</v>
      </c>
      <c r="K73" s="4" t="str">
        <f aca="false">IF(TRIB!K73="","",IF($D73="A",INPUTS!$J$30,INPUTS!$O$30))</f>
        <v/>
      </c>
      <c r="L73" s="4" t="str">
        <f aca="false">IF(TRIB!L73="","",IF($D73="A",INPUTS!$J$31,INPUTS!$O$31))</f>
        <v/>
      </c>
      <c r="M73" s="4" t="str">
        <f aca="false">IF(TRIB!M73="","",IF($D73="A",INPUTS!$J$32,INPUTS!$O$32))</f>
        <v/>
      </c>
      <c r="N73" s="4" t="str">
        <f aca="false">IF(TRIB!N73="","",IF($D73="A",INPUTS!$J$33,INPUTS!$O$33))</f>
        <v/>
      </c>
      <c r="O73" s="4" t="str">
        <f aca="false">IF(TRIB!O73="","",IF($D73="A",INPUTS!$J$34,INPUTS!$O$34))</f>
        <v/>
      </c>
      <c r="P73" s="4" t="str">
        <f aca="false">IF(TRIB!P73="","",IF($D73="A",INPUTS!$J$35,INPUTS!$O$35))</f>
        <v/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4" t="str">
        <f aca="false">IF(TRIB!E74="","",IF($D74="A",INPUTS!$J$24,INPUTS!$O$24))</f>
        <v>NR</v>
      </c>
      <c r="F74" s="4" t="str">
        <f aca="false">IF(TRIB!F74="","",IF($D74="A",INPUTS!$J$25,INPUTS!$O$25))</f>
        <v>NR</v>
      </c>
      <c r="G74" s="4" t="str">
        <f aca="false">IF(TRIB!G74="","",IF($D74="A",INPUTS!$J$26,INPUTS!$O$26))</f>
        <v>NR</v>
      </c>
      <c r="H74" s="4" t="str">
        <f aca="false">IF(TRIB!H74="","",IF($D74="A",INPUTS!$J$27,INPUTS!$O$27))</f>
        <v>GAR</v>
      </c>
      <c r="I74" s="4" t="str">
        <f aca="false">IF(TRIB!I74="","",IF($D74="A",INPUTS!$J$28,INPUTS!$O$28))</f>
        <v>GAR</v>
      </c>
      <c r="J74" s="4" t="str">
        <f aca="false">IF(TRIB!J74="","",IF($D74="A",INPUTS!$J$29,INPUTS!$O$29))</f>
        <v>GAR</v>
      </c>
      <c r="K74" s="4" t="str">
        <f aca="false">IF(TRIB!K74="","",IF($D74="A",INPUTS!$J$30,INPUTS!$O$30))</f>
        <v/>
      </c>
      <c r="L74" s="4" t="str">
        <f aca="false">IF(TRIB!L74="","",IF($D74="A",INPUTS!$J$31,INPUTS!$O$31))</f>
        <v/>
      </c>
      <c r="M74" s="4" t="str">
        <f aca="false">IF(TRIB!M74="","",IF($D74="A",INPUTS!$J$32,INPUTS!$O$32))</f>
        <v/>
      </c>
      <c r="N74" s="4" t="str">
        <f aca="false">IF(TRIB!N74="","",IF($D74="A",INPUTS!$J$33,INPUTS!$O$33))</f>
        <v/>
      </c>
      <c r="O74" s="4" t="str">
        <f aca="false">IF(TRIB!O74="","",IF($D74="A",INPUTS!$J$34,INPUTS!$O$34))</f>
        <v/>
      </c>
      <c r="P74" s="4" t="str">
        <f aca="false">IF(TRIB!P74="","",IF($D74="A",INPUTS!$J$35,INPUTS!$O$35))</f>
        <v/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4" t="str">
        <f aca="false">IF(TRIB!E75="","",IF($D75="A",INPUTS!$J$24,INPUTS!$O$24))</f>
        <v>NR</v>
      </c>
      <c r="F75" s="4" t="str">
        <f aca="false">IF(TRIB!F75="","",IF($D75="A",INPUTS!$J$25,INPUTS!$O$25))</f>
        <v>NR</v>
      </c>
      <c r="G75" s="4" t="str">
        <f aca="false">IF(TRIB!G75="","",IF($D75="A",INPUTS!$J$26,INPUTS!$O$26))</f>
        <v>NR</v>
      </c>
      <c r="H75" s="4" t="str">
        <f aca="false">IF(TRIB!H75="","",IF($D75="A",INPUTS!$J$27,INPUTS!$O$27))</f>
        <v>GAR</v>
      </c>
      <c r="I75" s="4" t="str">
        <f aca="false">IF(TRIB!I75="","",IF($D75="A",INPUTS!$J$28,INPUTS!$O$28))</f>
        <v>GAR</v>
      </c>
      <c r="J75" s="4" t="str">
        <f aca="false">IF(TRIB!J75="","",IF($D75="A",INPUTS!$J$29,INPUTS!$O$29))</f>
        <v>GAR</v>
      </c>
      <c r="K75" s="4" t="str">
        <f aca="false">IF(TRIB!K75="","",IF($D75="A",INPUTS!$J$30,INPUTS!$O$30))</f>
        <v/>
      </c>
      <c r="L75" s="4" t="str">
        <f aca="false">IF(TRIB!L75="","",IF($D75="A",INPUTS!$J$31,INPUTS!$O$31))</f>
        <v/>
      </c>
      <c r="M75" s="4" t="str">
        <f aca="false">IF(TRIB!M75="","",IF($D75="A",INPUTS!$J$32,INPUTS!$O$32))</f>
        <v/>
      </c>
      <c r="N75" s="4" t="str">
        <f aca="false">IF(TRIB!N75="","",IF($D75="A",INPUTS!$J$33,INPUTS!$O$33))</f>
        <v/>
      </c>
      <c r="O75" s="4" t="str">
        <f aca="false">IF(TRIB!O75="","",IF($D75="A",INPUTS!$J$34,INPUTS!$O$34))</f>
        <v/>
      </c>
      <c r="P75" s="4" t="str">
        <f aca="false">IF(TRIB!P75="","",IF($D75="A",INPUTS!$J$35,INPUTS!$O$35))</f>
        <v/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4" t="str">
        <f aca="false">IF(TRIB!E76="","",IF($D76="A",INPUTS!$J$24,INPUTS!$O$24))</f>
        <v>NR</v>
      </c>
      <c r="F76" s="4" t="str">
        <f aca="false">IF(TRIB!F76="","",IF($D76="A",INPUTS!$J$25,INPUTS!$O$25))</f>
        <v>NR</v>
      </c>
      <c r="G76" s="4" t="str">
        <f aca="false">IF(TRIB!G76="","",IF($D76="A",INPUTS!$J$26,INPUTS!$O$26))</f>
        <v>NR</v>
      </c>
      <c r="H76" s="4" t="str">
        <f aca="false">IF(TRIB!H76="","",IF($D76="A",INPUTS!$J$27,INPUTS!$O$27))</f>
        <v>GAR</v>
      </c>
      <c r="I76" s="4" t="str">
        <f aca="false">IF(TRIB!I76="","",IF($D76="A",INPUTS!$J$28,INPUTS!$O$28))</f>
        <v>GAR</v>
      </c>
      <c r="J76" s="4" t="str">
        <f aca="false">IF(TRIB!J76="","",IF($D76="A",INPUTS!$J$29,INPUTS!$O$29))</f>
        <v>GAR</v>
      </c>
      <c r="K76" s="4" t="str">
        <f aca="false">IF(TRIB!K76="","",IF($D76="A",INPUTS!$J$30,INPUTS!$O$30))</f>
        <v/>
      </c>
      <c r="L76" s="4" t="str">
        <f aca="false">IF(TRIB!L76="","",IF($D76="A",INPUTS!$J$31,INPUTS!$O$31))</f>
        <v/>
      </c>
      <c r="M76" s="4" t="str">
        <f aca="false">IF(TRIB!M76="","",IF($D76="A",INPUTS!$J$32,INPUTS!$O$32))</f>
        <v/>
      </c>
      <c r="N76" s="4" t="str">
        <f aca="false">IF(TRIB!N76="","",IF($D76="A",INPUTS!$J$33,INPUTS!$O$33))</f>
        <v/>
      </c>
      <c r="O76" s="4" t="str">
        <f aca="false">IF(TRIB!O76="","",IF($D76="A",INPUTS!$J$34,INPUTS!$O$34))</f>
        <v/>
      </c>
      <c r="P76" s="4" t="str">
        <f aca="false">IF(TRIB!P76="","",IF($D76="A",INPUTS!$J$35,INPUTS!$O$35))</f>
        <v/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4" t="str">
        <f aca="false">IF(TRIB!E77="","",IF($D77="A",INPUTS!$J$24,INPUTS!$O$24))</f>
        <v>NR</v>
      </c>
      <c r="F77" s="4" t="str">
        <f aca="false">IF(TRIB!F77="","",IF($D77="A",INPUTS!$J$25,INPUTS!$O$25))</f>
        <v>NR</v>
      </c>
      <c r="G77" s="4" t="str">
        <f aca="false">IF(TRIB!G77="","",IF($D77="A",INPUTS!$J$26,INPUTS!$O$26))</f>
        <v>NR</v>
      </c>
      <c r="H77" s="4" t="str">
        <f aca="false">IF(TRIB!H77="","",IF($D77="A",INPUTS!$J$27,INPUTS!$O$27))</f>
        <v>GAR</v>
      </c>
      <c r="I77" s="4" t="str">
        <f aca="false">IF(TRIB!I77="","",IF($D77="A",INPUTS!$J$28,INPUTS!$O$28))</f>
        <v>GAR</v>
      </c>
      <c r="J77" s="4" t="str">
        <f aca="false">IF(TRIB!J77="","",IF($D77="A",INPUTS!$J$29,INPUTS!$O$29))</f>
        <v>GAR</v>
      </c>
      <c r="K77" s="4" t="str">
        <f aca="false">IF(TRIB!K77="","",IF($D77="A",INPUTS!$J$30,INPUTS!$O$30))</f>
        <v/>
      </c>
      <c r="L77" s="4" t="str">
        <f aca="false">IF(TRIB!L77="","",IF($D77="A",INPUTS!$J$31,INPUTS!$O$31))</f>
        <v/>
      </c>
      <c r="M77" s="4" t="str">
        <f aca="false">IF(TRIB!M77="","",IF($D77="A",INPUTS!$J$32,INPUTS!$O$32))</f>
        <v/>
      </c>
      <c r="N77" s="4" t="str">
        <f aca="false">IF(TRIB!N77="","",IF($D77="A",INPUTS!$J$33,INPUTS!$O$33))</f>
        <v/>
      </c>
      <c r="O77" s="4" t="str">
        <f aca="false">IF(TRIB!O77="","",IF($D77="A",INPUTS!$J$34,INPUTS!$O$34))</f>
        <v/>
      </c>
      <c r="P77" s="4" t="str">
        <f aca="false">IF(TRIB!P77="","",IF($D77="A",INPUTS!$J$35,INPUTS!$O$35))</f>
        <v/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4" t="str">
        <f aca="false">IF(TRIB!E78="","",IF($D78="A",INPUTS!$J$24,INPUTS!$O$24))</f>
        <v>NR</v>
      </c>
      <c r="F78" s="4" t="str">
        <f aca="false">IF(TRIB!F78="","",IF($D78="A",INPUTS!$J$25,INPUTS!$O$25))</f>
        <v>NR</v>
      </c>
      <c r="G78" s="4" t="str">
        <f aca="false">IF(TRIB!G78="","",IF($D78="A",INPUTS!$J$26,INPUTS!$O$26))</f>
        <v>NR</v>
      </c>
      <c r="H78" s="4" t="str">
        <f aca="false">IF(TRIB!H78="","",IF($D78="A",INPUTS!$J$27,INPUTS!$O$27))</f>
        <v>GAR</v>
      </c>
      <c r="I78" s="4" t="str">
        <f aca="false">IF(TRIB!I78="","",IF($D78="A",INPUTS!$J$28,INPUTS!$O$28))</f>
        <v>GAR</v>
      </c>
      <c r="J78" s="4" t="str">
        <f aca="false">IF(TRIB!J78="","",IF($D78="A",INPUTS!$J$29,INPUTS!$O$29))</f>
        <v>GAR</v>
      </c>
      <c r="K78" s="4" t="str">
        <f aca="false">IF(TRIB!K78="","",IF($D78="A",INPUTS!$J$30,INPUTS!$O$30))</f>
        <v/>
      </c>
      <c r="L78" s="4" t="str">
        <f aca="false">IF(TRIB!L78="","",IF($D78="A",INPUTS!$J$31,INPUTS!$O$31))</f>
        <v/>
      </c>
      <c r="M78" s="4" t="str">
        <f aca="false">IF(TRIB!M78="","",IF($D78="A",INPUTS!$J$32,INPUTS!$O$32))</f>
        <v/>
      </c>
      <c r="N78" s="4" t="str">
        <f aca="false">IF(TRIB!N78="","",IF($D78="A",INPUTS!$J$33,INPUTS!$O$33))</f>
        <v/>
      </c>
      <c r="O78" s="4" t="str">
        <f aca="false">IF(TRIB!O78="","",IF($D78="A",INPUTS!$J$34,INPUTS!$O$34))</f>
        <v/>
      </c>
      <c r="P78" s="4" t="str">
        <f aca="false">IF(TRIB!P78="","",IF($D78="A",INPUTS!$J$35,INPUTS!$O$35))</f>
        <v/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4" t="str">
        <f aca="false">IF(TRIB!E79="","",IF($D79="A",INPUTS!$J$24,INPUTS!$O$24))</f>
        <v>NR</v>
      </c>
      <c r="F79" s="4" t="str">
        <f aca="false">IF(TRIB!F79="","",IF($D79="A",INPUTS!$J$25,INPUTS!$O$25))</f>
        <v>NR</v>
      </c>
      <c r="G79" s="4" t="str">
        <f aca="false">IF(TRIB!G79="","",IF($D79="A",INPUTS!$J$26,INPUTS!$O$26))</f>
        <v>NR</v>
      </c>
      <c r="H79" s="4" t="str">
        <f aca="false">IF(TRIB!H79="","",IF($D79="A",INPUTS!$J$27,INPUTS!$O$27))</f>
        <v>GAR</v>
      </c>
      <c r="I79" s="4" t="str">
        <f aca="false">IF(TRIB!I79="","",IF($D79="A",INPUTS!$J$28,INPUTS!$O$28))</f>
        <v>GAR</v>
      </c>
      <c r="J79" s="4" t="str">
        <f aca="false">IF(TRIB!J79="","",IF($D79="A",INPUTS!$J$29,INPUTS!$O$29))</f>
        <v>GAR</v>
      </c>
      <c r="K79" s="4" t="str">
        <f aca="false">IF(TRIB!K79="","",IF($D79="A",INPUTS!$J$30,INPUTS!$O$30))</f>
        <v/>
      </c>
      <c r="L79" s="4" t="str">
        <f aca="false">IF(TRIB!L79="","",IF($D79="A",INPUTS!$J$31,INPUTS!$O$31))</f>
        <v/>
      </c>
      <c r="M79" s="4" t="str">
        <f aca="false">IF(TRIB!M79="","",IF($D79="A",INPUTS!$J$32,INPUTS!$O$32))</f>
        <v/>
      </c>
      <c r="N79" s="4" t="str">
        <f aca="false">IF(TRIB!N79="","",IF($D79="A",INPUTS!$J$33,INPUTS!$O$33))</f>
        <v/>
      </c>
      <c r="O79" s="4" t="str">
        <f aca="false">IF(TRIB!O79="","",IF($D79="A",INPUTS!$J$34,INPUTS!$O$34))</f>
        <v/>
      </c>
      <c r="P79" s="4" t="str">
        <f aca="false">IF(TRIB!P79="","",IF($D79="A",INPUTS!$J$35,INPUTS!$O$35))</f>
        <v/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4" t="str">
        <f aca="false">IF(TRIB!E80="","",IF($D80="A",INPUTS!$J$24,INPUTS!$O$24))</f>
        <v>NR</v>
      </c>
      <c r="F80" s="4" t="str">
        <f aca="false">IF(TRIB!F80="","",IF($D80="A",INPUTS!$J$25,INPUTS!$O$25))</f>
        <v>NR</v>
      </c>
      <c r="G80" s="4" t="str">
        <f aca="false">IF(TRIB!G80="","",IF($D80="A",INPUTS!$J$26,INPUTS!$O$26))</f>
        <v>NR</v>
      </c>
      <c r="H80" s="4" t="str">
        <f aca="false">IF(TRIB!H80="","",IF($D80="A",INPUTS!$J$27,INPUTS!$O$27))</f>
        <v>GAR</v>
      </c>
      <c r="I80" s="4" t="str">
        <f aca="false">IF(TRIB!I80="","",IF($D80="A",INPUTS!$J$28,INPUTS!$O$28))</f>
        <v>GAR</v>
      </c>
      <c r="J80" s="4" t="str">
        <f aca="false">IF(TRIB!J80="","",IF($D80="A",INPUTS!$J$29,INPUTS!$O$29))</f>
        <v>GAR</v>
      </c>
      <c r="K80" s="4" t="str">
        <f aca="false">IF(TRIB!K80="","",IF($D80="A",INPUTS!$J$30,INPUTS!$O$30))</f>
        <v/>
      </c>
      <c r="L80" s="4" t="str">
        <f aca="false">IF(TRIB!L80="","",IF($D80="A",INPUTS!$J$31,INPUTS!$O$31))</f>
        <v/>
      </c>
      <c r="M80" s="4" t="str">
        <f aca="false">IF(TRIB!M80="","",IF($D80="A",INPUTS!$J$32,INPUTS!$O$32))</f>
        <v/>
      </c>
      <c r="N80" s="4" t="str">
        <f aca="false">IF(TRIB!N80="","",IF($D80="A",INPUTS!$J$33,INPUTS!$O$33))</f>
        <v/>
      </c>
      <c r="O80" s="4" t="str">
        <f aca="false">IF(TRIB!O80="","",IF($D80="A",INPUTS!$J$34,INPUTS!$O$34))</f>
        <v/>
      </c>
      <c r="P80" s="4" t="str">
        <f aca="false">IF(TRIB!P80="","",IF($D80="A",INPUTS!$J$35,INPUTS!$O$35))</f>
        <v/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4" t="str">
        <f aca="false">IF(TRIB!E81="","",IF($D81="A",INPUTS!$J$24,INPUTS!$O$24))</f>
        <v>NR</v>
      </c>
      <c r="F81" s="4" t="str">
        <f aca="false">IF(TRIB!F81="","",IF($D81="A",INPUTS!$J$25,INPUTS!$O$25))</f>
        <v>NR</v>
      </c>
      <c r="G81" s="4" t="str">
        <f aca="false">IF(TRIB!G81="","",IF($D81="A",INPUTS!$J$26,INPUTS!$O$26))</f>
        <v>NR</v>
      </c>
      <c r="H81" s="4" t="str">
        <f aca="false">IF(TRIB!H81="","",IF($D81="A",INPUTS!$J$27,INPUTS!$O$27))</f>
        <v>GAR</v>
      </c>
      <c r="I81" s="4" t="str">
        <f aca="false">IF(TRIB!I81="","",IF($D81="A",INPUTS!$J$28,INPUTS!$O$28))</f>
        <v>GAR</v>
      </c>
      <c r="J81" s="4" t="str">
        <f aca="false">IF(TRIB!J81="","",IF($D81="A",INPUTS!$J$29,INPUTS!$O$29))</f>
        <v>GAR</v>
      </c>
      <c r="K81" s="4" t="str">
        <f aca="false">IF(TRIB!K81="","",IF($D81="A",INPUTS!$J$30,INPUTS!$O$30))</f>
        <v/>
      </c>
      <c r="L81" s="4" t="str">
        <f aca="false">IF(TRIB!L81="","",IF($D81="A",INPUTS!$J$31,INPUTS!$O$31))</f>
        <v/>
      </c>
      <c r="M81" s="4" t="str">
        <f aca="false">IF(TRIB!M81="","",IF($D81="A",INPUTS!$J$32,INPUTS!$O$32))</f>
        <v/>
      </c>
      <c r="N81" s="4" t="str">
        <f aca="false">IF(TRIB!N81="","",IF($D81="A",INPUTS!$J$33,INPUTS!$O$33))</f>
        <v/>
      </c>
      <c r="O81" s="4" t="str">
        <f aca="false">IF(TRIB!O81="","",IF($D81="A",INPUTS!$J$34,INPUTS!$O$34))</f>
        <v/>
      </c>
      <c r="P81" s="4" t="str">
        <f aca="false">IF(TRIB!P81="","",IF($D81="A",INPUTS!$J$35,INPUTS!$O$35))</f>
        <v/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4" t="str">
        <f aca="false">IF(TRIB!E82="","",IF($D82="A",INPUTS!$J$24,INPUTS!$O$24))</f>
        <v>NR</v>
      </c>
      <c r="F82" s="4" t="str">
        <f aca="false">IF(TRIB!F82="","",IF($D82="A",INPUTS!$J$25,INPUTS!$O$25))</f>
        <v>NR</v>
      </c>
      <c r="G82" s="4" t="str">
        <f aca="false">IF(TRIB!G82="","",IF($D82="A",INPUTS!$J$26,INPUTS!$O$26))</f>
        <v>NR</v>
      </c>
      <c r="H82" s="4" t="str">
        <f aca="false">IF(TRIB!H82="","",IF($D82="A",INPUTS!$J$27,INPUTS!$O$27))</f>
        <v>GAR</v>
      </c>
      <c r="I82" s="4" t="str">
        <f aca="false">IF(TRIB!I82="","",IF($D82="A",INPUTS!$J$28,INPUTS!$O$28))</f>
        <v>GAR</v>
      </c>
      <c r="J82" s="4" t="str">
        <f aca="false">IF(TRIB!J82="","",IF($D82="A",INPUTS!$J$29,INPUTS!$O$29))</f>
        <v>GAR</v>
      </c>
      <c r="K82" s="4" t="str">
        <f aca="false">IF(TRIB!K82="","",IF($D82="A",INPUTS!$J$30,INPUTS!$O$30))</f>
        <v/>
      </c>
      <c r="L82" s="4" t="str">
        <f aca="false">IF(TRIB!L82="","",IF($D82="A",INPUTS!$J$31,INPUTS!$O$31))</f>
        <v/>
      </c>
      <c r="M82" s="4" t="str">
        <f aca="false">IF(TRIB!M82="","",IF($D82="A",INPUTS!$J$32,INPUTS!$O$32))</f>
        <v/>
      </c>
      <c r="N82" s="4" t="str">
        <f aca="false">IF(TRIB!N82="","",IF($D82="A",INPUTS!$J$33,INPUTS!$O$33))</f>
        <v/>
      </c>
      <c r="O82" s="4" t="str">
        <f aca="false">IF(TRIB!O82="","",IF($D82="A",INPUTS!$J$34,INPUTS!$O$34))</f>
        <v/>
      </c>
      <c r="P82" s="4" t="str">
        <f aca="false">IF(TRIB!P82="","",IF($D82="A",INPUTS!$J$35,INPUTS!$O$35))</f>
        <v/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4" t="str">
        <f aca="false">IF(TRIB!E83="","",IF($D83="A",INPUTS!$J$24,INPUTS!$O$24))</f>
        <v>NR</v>
      </c>
      <c r="F83" s="4" t="str">
        <f aca="false">IF(TRIB!F83="","",IF($D83="A",INPUTS!$J$25,INPUTS!$O$25))</f>
        <v>NR</v>
      </c>
      <c r="G83" s="4" t="str">
        <f aca="false">IF(TRIB!G83="","",IF($D83="A",INPUTS!$J$26,INPUTS!$O$26))</f>
        <v>NR</v>
      </c>
      <c r="H83" s="4" t="str">
        <f aca="false">IF(TRIB!H83="","",IF($D83="A",INPUTS!$J$27,INPUTS!$O$27))</f>
        <v>GAR</v>
      </c>
      <c r="I83" s="4" t="str">
        <f aca="false">IF(TRIB!I83="","",IF($D83="A",INPUTS!$J$28,INPUTS!$O$28))</f>
        <v>GAR</v>
      </c>
      <c r="J83" s="4" t="str">
        <f aca="false">IF(TRIB!J83="","",IF($D83="A",INPUTS!$J$29,INPUTS!$O$29))</f>
        <v>GAR</v>
      </c>
      <c r="K83" s="4" t="str">
        <f aca="false">IF(TRIB!K83="","",IF($D83="A",INPUTS!$J$30,INPUTS!$O$30))</f>
        <v/>
      </c>
      <c r="L83" s="4" t="str">
        <f aca="false">IF(TRIB!L83="","",IF($D83="A",INPUTS!$J$31,INPUTS!$O$31))</f>
        <v/>
      </c>
      <c r="M83" s="4" t="str">
        <f aca="false">IF(TRIB!M83="","",IF($D83="A",INPUTS!$J$32,INPUTS!$O$32))</f>
        <v/>
      </c>
      <c r="N83" s="4" t="str">
        <f aca="false">IF(TRIB!N83="","",IF($D83="A",INPUTS!$J$33,INPUTS!$O$33))</f>
        <v/>
      </c>
      <c r="O83" s="4" t="str">
        <f aca="false">IF(TRIB!O83="","",IF($D83="A",INPUTS!$J$34,INPUTS!$O$34))</f>
        <v/>
      </c>
      <c r="P83" s="4" t="str">
        <f aca="false">IF(TRIB!P83="","",IF($D83="A",INPUTS!$J$35,INPUTS!$O$35))</f>
        <v/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4" t="str">
        <f aca="false">IF(TRIB!E84="","",IF($D84="A",INPUTS!$J$24,INPUTS!$O$24))</f>
        <v>NR</v>
      </c>
      <c r="F84" s="4" t="str">
        <f aca="false">IF(TRIB!F84="","",IF($D84="A",INPUTS!$J$25,INPUTS!$O$25))</f>
        <v>NR</v>
      </c>
      <c r="G84" s="4" t="str">
        <f aca="false">IF(TRIB!G84="","",IF($D84="A",INPUTS!$J$26,INPUTS!$O$26))</f>
        <v>NR</v>
      </c>
      <c r="H84" s="4" t="str">
        <f aca="false">IF(TRIB!H84="","",IF($D84="A",INPUTS!$J$27,INPUTS!$O$27))</f>
        <v>GAR</v>
      </c>
      <c r="I84" s="4" t="str">
        <f aca="false">IF(TRIB!I84="","",IF($D84="A",INPUTS!$J$28,INPUTS!$O$28))</f>
        <v>GAR</v>
      </c>
      <c r="J84" s="4" t="str">
        <f aca="false">IF(TRIB!J84="","",IF($D84="A",INPUTS!$J$29,INPUTS!$O$29))</f>
        <v>GAR</v>
      </c>
      <c r="K84" s="4" t="str">
        <f aca="false">IF(TRIB!K84="","",IF($D84="A",INPUTS!$J$30,INPUTS!$O$30))</f>
        <v/>
      </c>
      <c r="L84" s="4" t="str">
        <f aca="false">IF(TRIB!L84="","",IF($D84="A",INPUTS!$J$31,INPUTS!$O$31))</f>
        <v/>
      </c>
      <c r="M84" s="4" t="str">
        <f aca="false">IF(TRIB!M84="","",IF($D84="A",INPUTS!$J$32,INPUTS!$O$32))</f>
        <v/>
      </c>
      <c r="N84" s="4" t="str">
        <f aca="false">IF(TRIB!N84="","",IF($D84="A",INPUTS!$J$33,INPUTS!$O$33))</f>
        <v/>
      </c>
      <c r="O84" s="4" t="str">
        <f aca="false">IF(TRIB!O84="","",IF($D84="A",INPUTS!$J$34,INPUTS!$O$34))</f>
        <v/>
      </c>
      <c r="P84" s="4" t="str">
        <f aca="false">IF(TRIB!P84="","",IF($D84="A",INPUTS!$J$35,INPUTS!$O$35))</f>
        <v/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4" t="str">
        <f aca="false">IF(TRIB!E85="","",IF($D85="A",INPUTS!$J$24,INPUTS!$O$24))</f>
        <v>NR</v>
      </c>
      <c r="F85" s="4" t="str">
        <f aca="false">IF(TRIB!F85="","",IF($D85="A",INPUTS!$J$25,INPUTS!$O$25))</f>
        <v>NR</v>
      </c>
      <c r="G85" s="4" t="str">
        <f aca="false">IF(TRIB!G85="","",IF($D85="A",INPUTS!$J$26,INPUTS!$O$26))</f>
        <v>NR</v>
      </c>
      <c r="H85" s="4" t="str">
        <f aca="false">IF(TRIB!H85="","",IF($D85="A",INPUTS!$J$27,INPUTS!$O$27))</f>
        <v>GAR</v>
      </c>
      <c r="I85" s="4" t="str">
        <f aca="false">IF(TRIB!I85="","",IF($D85="A",INPUTS!$J$28,INPUTS!$O$28))</f>
        <v>GAR</v>
      </c>
      <c r="J85" s="4" t="str">
        <f aca="false">IF(TRIB!J85="","",IF($D85="A",INPUTS!$J$29,INPUTS!$O$29))</f>
        <v>GAR</v>
      </c>
      <c r="K85" s="4" t="str">
        <f aca="false">IF(TRIB!K85="","",IF($D85="A",INPUTS!$J$30,INPUTS!$O$30))</f>
        <v/>
      </c>
      <c r="L85" s="4" t="str">
        <f aca="false">IF(TRIB!L85="","",IF($D85="A",INPUTS!$J$31,INPUTS!$O$31))</f>
        <v/>
      </c>
      <c r="M85" s="4" t="str">
        <f aca="false">IF(TRIB!M85="","",IF($D85="A",INPUTS!$J$32,INPUTS!$O$32))</f>
        <v/>
      </c>
      <c r="N85" s="4" t="str">
        <f aca="false">IF(TRIB!N85="","",IF($D85="A",INPUTS!$J$33,INPUTS!$O$33))</f>
        <v/>
      </c>
      <c r="O85" s="4" t="str">
        <f aca="false">IF(TRIB!O85="","",IF($D85="A",INPUTS!$J$34,INPUTS!$O$34))</f>
        <v/>
      </c>
      <c r="P85" s="4" t="str">
        <f aca="false">IF(TRIB!P85="","",IF($D85="A",INPUTS!$J$35,INPUTS!$O$35))</f>
        <v/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4" t="str">
        <f aca="false">IF(TRIB!E86="","",IF($D86="A",INPUTS!$J$24,INPUTS!$O$24))</f>
        <v>NR</v>
      </c>
      <c r="F86" s="4" t="str">
        <f aca="false">IF(TRIB!F86="","",IF($D86="A",INPUTS!$J$25,INPUTS!$O$25))</f>
        <v>NR</v>
      </c>
      <c r="G86" s="4" t="str">
        <f aca="false">IF(TRIB!G86="","",IF($D86="A",INPUTS!$J$26,INPUTS!$O$26))</f>
        <v>NR</v>
      </c>
      <c r="H86" s="4" t="str">
        <f aca="false">IF(TRIB!H86="","",IF($D86="A",INPUTS!$J$27,INPUTS!$O$27))</f>
        <v>GAR</v>
      </c>
      <c r="I86" s="4" t="str">
        <f aca="false">IF(TRIB!I86="","",IF($D86="A",INPUTS!$J$28,INPUTS!$O$28))</f>
        <v>GAR</v>
      </c>
      <c r="J86" s="4" t="str">
        <f aca="false">IF(TRIB!J86="","",IF($D86="A",INPUTS!$J$29,INPUTS!$O$29))</f>
        <v>GAR</v>
      </c>
      <c r="K86" s="4" t="str">
        <f aca="false">IF(TRIB!K86="","",IF($D86="A",INPUTS!$J$30,INPUTS!$O$30))</f>
        <v/>
      </c>
      <c r="L86" s="4" t="str">
        <f aca="false">IF(TRIB!L86="","",IF($D86="A",INPUTS!$J$31,INPUTS!$O$31))</f>
        <v/>
      </c>
      <c r="M86" s="4" t="str">
        <f aca="false">IF(TRIB!M86="","",IF($D86="A",INPUTS!$J$32,INPUTS!$O$32))</f>
        <v/>
      </c>
      <c r="N86" s="4" t="str">
        <f aca="false">IF(TRIB!N86="","",IF($D86="A",INPUTS!$J$33,INPUTS!$O$33))</f>
        <v/>
      </c>
      <c r="O86" s="4" t="str">
        <f aca="false">IF(TRIB!O86="","",IF($D86="A",INPUTS!$J$34,INPUTS!$O$34))</f>
        <v/>
      </c>
      <c r="P86" s="4" t="str">
        <f aca="false">IF(TRIB!P86="","",IF($D86="A",INPUTS!$J$35,INPUTS!$O$35))</f>
        <v/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4" t="str">
        <f aca="false">IF(TRIB!E87="","",IF($D87="A",INPUTS!$J$24,INPUTS!$O$24))</f>
        <v>NR</v>
      </c>
      <c r="F87" s="4" t="str">
        <f aca="false">IF(TRIB!F87="","",IF($D87="A",INPUTS!$J$25,INPUTS!$O$25))</f>
        <v>NR</v>
      </c>
      <c r="G87" s="4" t="str">
        <f aca="false">IF(TRIB!G87="","",IF($D87="A",INPUTS!$J$26,INPUTS!$O$26))</f>
        <v>NR</v>
      </c>
      <c r="H87" s="4" t="str">
        <f aca="false">IF(TRIB!H87="","",IF($D87="A",INPUTS!$J$27,INPUTS!$O$27))</f>
        <v>GAR</v>
      </c>
      <c r="I87" s="4" t="str">
        <f aca="false">IF(TRIB!I87="","",IF($D87="A",INPUTS!$J$28,INPUTS!$O$28))</f>
        <v/>
      </c>
      <c r="J87" s="4" t="str">
        <f aca="false">IF(TRIB!J87="","",IF($D87="A",INPUTS!$J$29,INPUTS!$O$29))</f>
        <v/>
      </c>
      <c r="K87" s="4" t="str">
        <f aca="false">IF(TRIB!K87="","",IF($D87="A",INPUTS!$J$30,INPUTS!$O$30))</f>
        <v/>
      </c>
      <c r="L87" s="4" t="str">
        <f aca="false">IF(TRIB!L87="","",IF($D87="A",INPUTS!$J$31,INPUTS!$O$31))</f>
        <v/>
      </c>
      <c r="M87" s="4" t="str">
        <f aca="false">IF(TRIB!M87="","",IF($D87="A",INPUTS!$J$32,INPUTS!$O$32))</f>
        <v/>
      </c>
      <c r="N87" s="4" t="str">
        <f aca="false">IF(TRIB!N87="","",IF($D87="A",INPUTS!$J$33,INPUTS!$O$33))</f>
        <v/>
      </c>
      <c r="O87" s="4" t="str">
        <f aca="false">IF(TRIB!O87="","",IF($D87="A",INPUTS!$J$34,INPUTS!$O$34))</f>
        <v/>
      </c>
      <c r="P87" s="4" t="str">
        <f aca="false">IF(TRIB!P87="","",IF($D87="A",INPUTS!$J$35,INPUTS!$O$35))</f>
        <v/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4" t="str">
        <f aca="false">IF(TRIB!E88="","",IF($D88="A",INPUTS!$J$24,INPUTS!$O$24))</f>
        <v>NR</v>
      </c>
      <c r="F88" s="4" t="str">
        <f aca="false">IF(TRIB!F88="","",IF($D88="A",INPUTS!$J$25,INPUTS!$O$25))</f>
        <v>NR</v>
      </c>
      <c r="G88" s="4" t="str">
        <f aca="false">IF(TRIB!G88="","",IF($D88="A",INPUTS!$J$26,INPUTS!$O$26))</f>
        <v>NR</v>
      </c>
      <c r="H88" s="4" t="str">
        <f aca="false">IF(TRIB!H88="","",IF($D88="A",INPUTS!$J$27,INPUTS!$O$27))</f>
        <v>GAR</v>
      </c>
      <c r="I88" s="4" t="str">
        <f aca="false">IF(TRIB!I88="","",IF($D88="A",INPUTS!$J$28,INPUTS!$O$28))</f>
        <v/>
      </c>
      <c r="J88" s="4" t="str">
        <f aca="false">IF(TRIB!J88="","",IF($D88="A",INPUTS!$J$29,INPUTS!$O$29))</f>
        <v/>
      </c>
      <c r="K88" s="4" t="str">
        <f aca="false">IF(TRIB!K88="","",IF($D88="A",INPUTS!$J$30,INPUTS!$O$30))</f>
        <v/>
      </c>
      <c r="L88" s="4" t="str">
        <f aca="false">IF(TRIB!L88="","",IF($D88="A",INPUTS!$J$31,INPUTS!$O$31))</f>
        <v/>
      </c>
      <c r="M88" s="4" t="str">
        <f aca="false">IF(TRIB!M88="","",IF($D88="A",INPUTS!$J$32,INPUTS!$O$32))</f>
        <v/>
      </c>
      <c r="N88" s="4" t="str">
        <f aca="false">IF(TRIB!N88="","",IF($D88="A",INPUTS!$J$33,INPUTS!$O$33))</f>
        <v/>
      </c>
      <c r="O88" s="4" t="str">
        <f aca="false">IF(TRIB!O88="","",IF($D88="A",INPUTS!$J$34,INPUTS!$O$34))</f>
        <v/>
      </c>
      <c r="P88" s="4" t="str">
        <f aca="false">IF(TRIB!P88="","",IF($D88="A",INPUTS!$J$35,INPUTS!$O$35))</f>
        <v/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4" t="str">
        <f aca="false">IF(TRIB!E89="","",IF($D89="A",INPUTS!$J$24,INPUTS!$O$24))</f>
        <v>NR</v>
      </c>
      <c r="F89" s="4" t="str">
        <f aca="false">IF(TRIB!F89="","",IF($D89="A",INPUTS!$J$25,INPUTS!$O$25))</f>
        <v>NR</v>
      </c>
      <c r="G89" s="4" t="str">
        <f aca="false">IF(TRIB!G89="","",IF($D89="A",INPUTS!$J$26,INPUTS!$O$26))</f>
        <v>NR</v>
      </c>
      <c r="H89" s="4" t="str">
        <f aca="false">IF(TRIB!H89="","",IF($D89="A",INPUTS!$J$27,INPUTS!$O$27))</f>
        <v>GAR</v>
      </c>
      <c r="I89" s="4" t="str">
        <f aca="false">IF(TRIB!I89="","",IF($D89="A",INPUTS!$J$28,INPUTS!$O$28))</f>
        <v>GAR</v>
      </c>
      <c r="J89" s="4" t="str">
        <f aca="false">IF(TRIB!J89="","",IF($D89="A",INPUTS!$J$29,INPUTS!$O$29))</f>
        <v>GAR</v>
      </c>
      <c r="K89" s="4" t="str">
        <f aca="false">IF(TRIB!K89="","",IF($D89="A",INPUTS!$J$30,INPUTS!$O$30))</f>
        <v/>
      </c>
      <c r="L89" s="4" t="str">
        <f aca="false">IF(TRIB!L89="","",IF($D89="A",INPUTS!$J$31,INPUTS!$O$31))</f>
        <v/>
      </c>
      <c r="M89" s="4" t="str">
        <f aca="false">IF(TRIB!M89="","",IF($D89="A",INPUTS!$J$32,INPUTS!$O$32))</f>
        <v/>
      </c>
      <c r="N89" s="4" t="str">
        <f aca="false">IF(TRIB!N89="","",IF($D89="A",INPUTS!$J$33,INPUTS!$O$33))</f>
        <v/>
      </c>
      <c r="O89" s="4" t="str">
        <f aca="false">IF(TRIB!O89="","",IF($D89="A",INPUTS!$J$34,INPUTS!$O$34))</f>
        <v/>
      </c>
      <c r="P89" s="4" t="str">
        <f aca="false">IF(TRIB!P89="","",IF($D89="A",INPUTS!$J$35,INPUTS!$O$35))</f>
        <v/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4" t="str">
        <f aca="false">IF(TRIB!E90="","",IF($D90="A",INPUTS!$J$24,INPUTS!$O$24))</f>
        <v>NR</v>
      </c>
      <c r="F90" s="4" t="str">
        <f aca="false">IF(TRIB!F90="","",IF($D90="A",INPUTS!$J$25,INPUTS!$O$25))</f>
        <v>NR</v>
      </c>
      <c r="G90" s="4" t="str">
        <f aca="false">IF(TRIB!G90="","",IF($D90="A",INPUTS!$J$26,INPUTS!$O$26))</f>
        <v>NR</v>
      </c>
      <c r="H90" s="4" t="str">
        <f aca="false">IF(TRIB!H90="","",IF($D90="A",INPUTS!$J$27,INPUTS!$O$27))</f>
        <v>GAR</v>
      </c>
      <c r="I90" s="4" t="str">
        <f aca="false">IF(TRIB!I90="","",IF($D90="A",INPUTS!$J$28,INPUTS!$O$28))</f>
        <v>GAR</v>
      </c>
      <c r="J90" s="4" t="str">
        <f aca="false">IF(TRIB!J90="","",IF($D90="A",INPUTS!$J$29,INPUTS!$O$29))</f>
        <v>GAR</v>
      </c>
      <c r="K90" s="4" t="str">
        <f aca="false">IF(TRIB!K90="","",IF($D90="A",INPUTS!$J$30,INPUTS!$O$30))</f>
        <v/>
      </c>
      <c r="L90" s="4" t="str">
        <f aca="false">IF(TRIB!L90="","",IF($D90="A",INPUTS!$J$31,INPUTS!$O$31))</f>
        <v/>
      </c>
      <c r="M90" s="4" t="str">
        <f aca="false">IF(TRIB!M90="","",IF($D90="A",INPUTS!$J$32,INPUTS!$O$32))</f>
        <v/>
      </c>
      <c r="N90" s="4" t="str">
        <f aca="false">IF(TRIB!N90="","",IF($D90="A",INPUTS!$J$33,INPUTS!$O$33))</f>
        <v/>
      </c>
      <c r="O90" s="4" t="str">
        <f aca="false">IF(TRIB!O90="","",IF($D90="A",INPUTS!$J$34,INPUTS!$O$34))</f>
        <v/>
      </c>
      <c r="P90" s="4" t="str">
        <f aca="false">IF(TRIB!P90="","",IF($D90="A",INPUTS!$J$35,INPUTS!$O$35))</f>
        <v/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4" t="str">
        <f aca="false">IF(TRIB!E91="","",IF($D91="A",INPUTS!$J$24,INPUTS!$O$24))</f>
        <v>NR</v>
      </c>
      <c r="F91" s="4" t="str">
        <f aca="false">IF(TRIB!F91="","",IF($D91="A",INPUTS!$J$25,INPUTS!$O$25))</f>
        <v>NR</v>
      </c>
      <c r="G91" s="4" t="str">
        <f aca="false">IF(TRIB!G91="","",IF($D91="A",INPUTS!$J$26,INPUTS!$O$26))</f>
        <v>NR</v>
      </c>
      <c r="H91" s="4" t="str">
        <f aca="false">IF(TRIB!H91="","",IF($D91="A",INPUTS!$J$27,INPUTS!$O$27))</f>
        <v>GAR</v>
      </c>
      <c r="I91" s="4" t="str">
        <f aca="false">IF(TRIB!I91="","",IF($D91="A",INPUTS!$J$28,INPUTS!$O$28))</f>
        <v>GAR</v>
      </c>
      <c r="J91" s="4" t="str">
        <f aca="false">IF(TRIB!J91="","",IF($D91="A",INPUTS!$J$29,INPUTS!$O$29))</f>
        <v>GAR</v>
      </c>
      <c r="K91" s="4" t="str">
        <f aca="false">IF(TRIB!K91="","",IF($D91="A",INPUTS!$J$30,INPUTS!$O$30))</f>
        <v/>
      </c>
      <c r="L91" s="4" t="str">
        <f aca="false">IF(TRIB!L91="","",IF($D91="A",INPUTS!$J$31,INPUTS!$O$31))</f>
        <v/>
      </c>
      <c r="M91" s="4" t="str">
        <f aca="false">IF(TRIB!M91="","",IF($D91="A",INPUTS!$J$32,INPUTS!$O$32))</f>
        <v/>
      </c>
      <c r="N91" s="4" t="str">
        <f aca="false">IF(TRIB!N91="","",IF($D91="A",INPUTS!$J$33,INPUTS!$O$33))</f>
        <v/>
      </c>
      <c r="O91" s="4" t="str">
        <f aca="false">IF(TRIB!O91="","",IF($D91="A",INPUTS!$J$34,INPUTS!$O$34))</f>
        <v/>
      </c>
      <c r="P91" s="4" t="str">
        <f aca="false">IF(TRIB!P91="","",IF($D91="A",INPUTS!$J$35,INPUTS!$O$35))</f>
        <v/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4" t="str">
        <f aca="false">IF(TRIB!E92="","",IF($D92="A",INPUTS!$J$24,INPUTS!$O$24))</f>
        <v>NR</v>
      </c>
      <c r="F92" s="4" t="str">
        <f aca="false">IF(TRIB!F92="","",IF($D92="A",INPUTS!$J$25,INPUTS!$O$25))</f>
        <v>NR</v>
      </c>
      <c r="G92" s="4" t="str">
        <f aca="false">IF(TRIB!G92="","",IF($D92="A",INPUTS!$J$26,INPUTS!$O$26))</f>
        <v>NR</v>
      </c>
      <c r="H92" s="4" t="str">
        <f aca="false">IF(TRIB!H92="","",IF($D92="A",INPUTS!$J$27,INPUTS!$O$27))</f>
        <v>GAR</v>
      </c>
      <c r="I92" s="4" t="str">
        <f aca="false">IF(TRIB!I92="","",IF($D92="A",INPUTS!$J$28,INPUTS!$O$28))</f>
        <v>GAR</v>
      </c>
      <c r="J92" s="4" t="str">
        <f aca="false">IF(TRIB!J92="","",IF($D92="A",INPUTS!$J$29,INPUTS!$O$29))</f>
        <v/>
      </c>
      <c r="K92" s="4" t="str">
        <f aca="false">IF(TRIB!K92="","",IF($D92="A",INPUTS!$J$30,INPUTS!$O$30))</f>
        <v/>
      </c>
      <c r="L92" s="4" t="str">
        <f aca="false">IF(TRIB!L92="","",IF($D92="A",INPUTS!$J$31,INPUTS!$O$31))</f>
        <v/>
      </c>
      <c r="M92" s="4" t="str">
        <f aca="false">IF(TRIB!M92="","",IF($D92="A",INPUTS!$J$32,INPUTS!$O$32))</f>
        <v/>
      </c>
      <c r="N92" s="4" t="str">
        <f aca="false">IF(TRIB!N92="","",IF($D92="A",INPUTS!$J$33,INPUTS!$O$33))</f>
        <v/>
      </c>
      <c r="O92" s="4" t="str">
        <f aca="false">IF(TRIB!O92="","",IF($D92="A",INPUTS!$J$34,INPUTS!$O$34))</f>
        <v/>
      </c>
      <c r="P92" s="4" t="str">
        <f aca="false">IF(TRIB!P92="","",IF($D92="A",INPUTS!$J$35,INPUTS!$O$35))</f>
        <v/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4" t="str">
        <f aca="false">IF(TRIB!E93="","",IF($D93="A",INPUTS!$J$24,INPUTS!$O$24))</f>
        <v>NR</v>
      </c>
      <c r="F93" s="4" t="str">
        <f aca="false">IF(TRIB!F93="","",IF($D93="A",INPUTS!$J$25,INPUTS!$O$25))</f>
        <v>NR</v>
      </c>
      <c r="G93" s="4" t="str">
        <f aca="false">IF(TRIB!G93="","",IF($D93="A",INPUTS!$J$26,INPUTS!$O$26))</f>
        <v>NR</v>
      </c>
      <c r="H93" s="4" t="str">
        <f aca="false">IF(TRIB!H93="","",IF($D93="A",INPUTS!$J$27,INPUTS!$O$27))</f>
        <v>GAR</v>
      </c>
      <c r="I93" s="4" t="str">
        <f aca="false">IF(TRIB!I93="","",IF($D93="A",INPUTS!$J$28,INPUTS!$O$28))</f>
        <v>GAR</v>
      </c>
      <c r="J93" s="4" t="str">
        <f aca="false">IF(TRIB!J93="","",IF($D93="A",INPUTS!$J$29,INPUTS!$O$29))</f>
        <v/>
      </c>
      <c r="K93" s="4" t="str">
        <f aca="false">IF(TRIB!K93="","",IF($D93="A",INPUTS!$J$30,INPUTS!$O$30))</f>
        <v/>
      </c>
      <c r="L93" s="4" t="str">
        <f aca="false">IF(TRIB!L93="","",IF($D93="A",INPUTS!$J$31,INPUTS!$O$31))</f>
        <v/>
      </c>
      <c r="M93" s="4" t="str">
        <f aca="false">IF(TRIB!M93="","",IF($D93="A",INPUTS!$J$32,INPUTS!$O$32))</f>
        <v/>
      </c>
      <c r="N93" s="4" t="str">
        <f aca="false">IF(TRIB!N93="","",IF($D93="A",INPUTS!$J$33,INPUTS!$O$33))</f>
        <v/>
      </c>
      <c r="O93" s="4" t="str">
        <f aca="false">IF(TRIB!O93="","",IF($D93="A",INPUTS!$J$34,INPUTS!$O$34))</f>
        <v/>
      </c>
      <c r="P93" s="4" t="str">
        <f aca="false">IF(TRIB!P93="","",IF($D93="A",INPUTS!$J$35,INPUTS!$O$35))</f>
        <v/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4" t="str">
        <f aca="false">IF(TRIB!E94="","",IF($D94="A",INPUTS!$J$24,INPUTS!$O$24))</f>
        <v>NR</v>
      </c>
      <c r="F94" s="4" t="str">
        <f aca="false">IF(TRIB!F94="","",IF($D94="A",INPUTS!$J$25,INPUTS!$O$25))</f>
        <v>NR</v>
      </c>
      <c r="G94" s="4" t="str">
        <f aca="false">IF(TRIB!G94="","",IF($D94="A",INPUTS!$J$26,INPUTS!$O$26))</f>
        <v>NR</v>
      </c>
      <c r="H94" s="4" t="str">
        <f aca="false">IF(TRIB!H94="","",IF($D94="A",INPUTS!$J$27,INPUTS!$O$27))</f>
        <v>GAR</v>
      </c>
      <c r="I94" s="4" t="str">
        <f aca="false">IF(TRIB!I94="","",IF($D94="A",INPUTS!$J$28,INPUTS!$O$28))</f>
        <v>GAR</v>
      </c>
      <c r="J94" s="4" t="str">
        <f aca="false">IF(TRIB!J94="","",IF($D94="A",INPUTS!$J$29,INPUTS!$O$29))</f>
        <v>GAR</v>
      </c>
      <c r="K94" s="4" t="str">
        <f aca="false">IF(TRIB!K94="","",IF($D94="A",INPUTS!$J$30,INPUTS!$O$30))</f>
        <v/>
      </c>
      <c r="L94" s="4" t="str">
        <f aca="false">IF(TRIB!L94="","",IF($D94="A",INPUTS!$J$31,INPUTS!$O$31))</f>
        <v/>
      </c>
      <c r="M94" s="4" t="str">
        <f aca="false">IF(TRIB!M94="","",IF($D94="A",INPUTS!$J$32,INPUTS!$O$32))</f>
        <v/>
      </c>
      <c r="N94" s="4" t="str">
        <f aca="false">IF(TRIB!N94="","",IF($D94="A",INPUTS!$J$33,INPUTS!$O$33))</f>
        <v/>
      </c>
      <c r="O94" s="4" t="str">
        <f aca="false">IF(TRIB!O94="","",IF($D94="A",INPUTS!$J$34,INPUTS!$O$34))</f>
        <v/>
      </c>
      <c r="P94" s="4" t="str">
        <f aca="false">IF(TRIB!P94="","",IF($D94="A",INPUTS!$J$35,INPUTS!$O$35))</f>
        <v/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4" t="str">
        <f aca="false">IF(TRIB!E95="","",IF($D95="A",INPUTS!$J$24,INPUTS!$O$24))</f>
        <v>NR</v>
      </c>
      <c r="F95" s="4" t="str">
        <f aca="false">IF(TRIB!F95="","",IF($D95="A",INPUTS!$J$25,INPUTS!$O$25))</f>
        <v>NR</v>
      </c>
      <c r="G95" s="4" t="str">
        <f aca="false">IF(TRIB!G95="","",IF($D95="A",INPUTS!$J$26,INPUTS!$O$26))</f>
        <v>NR</v>
      </c>
      <c r="H95" s="4" t="str">
        <f aca="false">IF(TRIB!H95="","",IF($D95="A",INPUTS!$J$27,INPUTS!$O$27))</f>
        <v>GAR</v>
      </c>
      <c r="I95" s="4" t="str">
        <f aca="false">IF(TRIB!I95="","",IF($D95="A",INPUTS!$J$28,INPUTS!$O$28))</f>
        <v>GAR</v>
      </c>
      <c r="J95" s="4" t="str">
        <f aca="false">IF(TRIB!J95="","",IF($D95="A",INPUTS!$J$29,INPUTS!$O$29))</f>
        <v>GAR</v>
      </c>
      <c r="K95" s="4" t="str">
        <f aca="false">IF(TRIB!K95="","",IF($D95="A",INPUTS!$J$30,INPUTS!$O$30))</f>
        <v/>
      </c>
      <c r="L95" s="4" t="str">
        <f aca="false">IF(TRIB!L95="","",IF($D95="A",INPUTS!$J$31,INPUTS!$O$31))</f>
        <v/>
      </c>
      <c r="M95" s="4" t="str">
        <f aca="false">IF(TRIB!M95="","",IF($D95="A",INPUTS!$J$32,INPUTS!$O$32))</f>
        <v/>
      </c>
      <c r="N95" s="4" t="str">
        <f aca="false">IF(TRIB!N95="","",IF($D95="A",INPUTS!$J$33,INPUTS!$O$33))</f>
        <v/>
      </c>
      <c r="O95" s="4" t="str">
        <f aca="false">IF(TRIB!O95="","",IF($D95="A",INPUTS!$J$34,INPUTS!$O$34))</f>
        <v/>
      </c>
      <c r="P95" s="4" t="str">
        <f aca="false">IF(TRIB!P95="","",IF($D95="A",INPUTS!$J$35,INPUTS!$O$35))</f>
        <v/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4" t="str">
        <f aca="false">IF(TRIB!E96="","",IF($D96="A",INPUTS!$J$24,INPUTS!$O$24))</f>
        <v>NR</v>
      </c>
      <c r="F96" s="4" t="str">
        <f aca="false">IF(TRIB!F96="","",IF($D96="A",INPUTS!$J$25,INPUTS!$O$25))</f>
        <v>NR</v>
      </c>
      <c r="G96" s="4" t="str">
        <f aca="false">IF(TRIB!G96="","",IF($D96="A",INPUTS!$J$26,INPUTS!$O$26))</f>
        <v>NR</v>
      </c>
      <c r="H96" s="4" t="str">
        <f aca="false">IF(TRIB!H96="","",IF($D96="A",INPUTS!$J$27,INPUTS!$O$27))</f>
        <v>GAR</v>
      </c>
      <c r="I96" s="4" t="str">
        <f aca="false">IF(TRIB!I96="","",IF($D96="A",INPUTS!$J$28,INPUTS!$O$28))</f>
        <v>GAR</v>
      </c>
      <c r="J96" s="4" t="str">
        <f aca="false">IF(TRIB!J96="","",IF($D96="A",INPUTS!$J$29,INPUTS!$O$29))</f>
        <v/>
      </c>
      <c r="K96" s="4" t="str">
        <f aca="false">IF(TRIB!K96="","",IF($D96="A",INPUTS!$J$30,INPUTS!$O$30))</f>
        <v/>
      </c>
      <c r="L96" s="4" t="str">
        <f aca="false">IF(TRIB!L96="","",IF($D96="A",INPUTS!$J$31,INPUTS!$O$31))</f>
        <v/>
      </c>
      <c r="M96" s="4" t="str">
        <f aca="false">IF(TRIB!M96="","",IF($D96="A",INPUTS!$J$32,INPUTS!$O$32))</f>
        <v/>
      </c>
      <c r="N96" s="4" t="str">
        <f aca="false">IF(TRIB!N96="","",IF($D96="A",INPUTS!$J$33,INPUTS!$O$33))</f>
        <v/>
      </c>
      <c r="O96" s="4" t="str">
        <f aca="false">IF(TRIB!O96="","",IF($D96="A",INPUTS!$J$34,INPUTS!$O$34))</f>
        <v/>
      </c>
      <c r="P96" s="4" t="str">
        <f aca="false">IF(TRIB!P96="","",IF($D96="A",INPUTS!$J$35,INPUTS!$O$35))</f>
        <v/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4" t="str">
        <f aca="false">IF(TRIB!E97="","",IF($D97="A",INPUTS!$J$24,INPUTS!$O$24))</f>
        <v>NR</v>
      </c>
      <c r="F97" s="4" t="str">
        <f aca="false">IF(TRIB!F97="","",IF($D97="A",INPUTS!$J$25,INPUTS!$O$25))</f>
        <v>NR</v>
      </c>
      <c r="G97" s="4" t="str">
        <f aca="false">IF(TRIB!G97="","",IF($D97="A",INPUTS!$J$26,INPUTS!$O$26))</f>
        <v>NR</v>
      </c>
      <c r="H97" s="4" t="str">
        <f aca="false">IF(TRIB!H97="","",IF($D97="A",INPUTS!$J$27,INPUTS!$O$27))</f>
        <v>GAR</v>
      </c>
      <c r="I97" s="4" t="str">
        <f aca="false">IF(TRIB!I97="","",IF($D97="A",INPUTS!$J$28,INPUTS!$O$28))</f>
        <v>GAR</v>
      </c>
      <c r="J97" s="4" t="str">
        <f aca="false">IF(TRIB!J97="","",IF($D97="A",INPUTS!$J$29,INPUTS!$O$29))</f>
        <v/>
      </c>
      <c r="K97" s="4" t="str">
        <f aca="false">IF(TRIB!K97="","",IF($D97="A",INPUTS!$J$30,INPUTS!$O$30))</f>
        <v/>
      </c>
      <c r="L97" s="4" t="str">
        <f aca="false">IF(TRIB!L97="","",IF($D97="A",INPUTS!$J$31,INPUTS!$O$31))</f>
        <v/>
      </c>
      <c r="M97" s="4" t="str">
        <f aca="false">IF(TRIB!M97="","",IF($D97="A",INPUTS!$J$32,INPUTS!$O$32))</f>
        <v/>
      </c>
      <c r="N97" s="4" t="str">
        <f aca="false">IF(TRIB!N97="","",IF($D97="A",INPUTS!$J$33,INPUTS!$O$33))</f>
        <v/>
      </c>
      <c r="O97" s="4" t="str">
        <f aca="false">IF(TRIB!O97="","",IF($D97="A",INPUTS!$J$34,INPUTS!$O$34))</f>
        <v/>
      </c>
      <c r="P97" s="4" t="str">
        <f aca="false">IF(TRIB!P97="","",IF($D97="A",INPUTS!$J$35,INPUTS!$O$35))</f>
        <v/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4" t="str">
        <f aca="false">IF(TRIB!E98="","",IF($D98="A",INPUTS!$J$24,INPUTS!$O$24))</f>
        <v>NR</v>
      </c>
      <c r="F98" s="4" t="str">
        <f aca="false">IF(TRIB!F98="","",IF($D98="A",INPUTS!$J$25,INPUTS!$O$25))</f>
        <v>NR</v>
      </c>
      <c r="G98" s="4" t="str">
        <f aca="false">IF(TRIB!G98="","",IF($D98="A",INPUTS!$J$26,INPUTS!$O$26))</f>
        <v>NR</v>
      </c>
      <c r="H98" s="4" t="str">
        <f aca="false">IF(TRIB!H98="","",IF($D98="A",INPUTS!$J$27,INPUTS!$O$27))</f>
        <v>GAR</v>
      </c>
      <c r="I98" s="4" t="str">
        <f aca="false">IF(TRIB!I98="","",IF($D98="A",INPUTS!$J$28,INPUTS!$O$28))</f>
        <v>GAR</v>
      </c>
      <c r="J98" s="4" t="str">
        <f aca="false">IF(TRIB!J98="","",IF($D98="A",INPUTS!$J$29,INPUTS!$O$29))</f>
        <v/>
      </c>
      <c r="K98" s="4" t="str">
        <f aca="false">IF(TRIB!K98="","",IF($D98="A",INPUTS!$J$30,INPUTS!$O$30))</f>
        <v/>
      </c>
      <c r="L98" s="4" t="str">
        <f aca="false">IF(TRIB!L98="","",IF($D98="A",INPUTS!$J$31,INPUTS!$O$31))</f>
        <v/>
      </c>
      <c r="M98" s="4" t="str">
        <f aca="false">IF(TRIB!M98="","",IF($D98="A",INPUTS!$J$32,INPUTS!$O$32))</f>
        <v/>
      </c>
      <c r="N98" s="4" t="str">
        <f aca="false">IF(TRIB!N98="","",IF($D98="A",INPUTS!$J$33,INPUTS!$O$33))</f>
        <v/>
      </c>
      <c r="O98" s="4" t="str">
        <f aca="false">IF(TRIB!O98="","",IF($D98="A",INPUTS!$J$34,INPUTS!$O$34))</f>
        <v/>
      </c>
      <c r="P98" s="4" t="str">
        <f aca="false">IF(TRIB!P98="","",IF($D98="A",INPUTS!$J$35,INPUTS!$O$35))</f>
        <v/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4" t="str">
        <f aca="false">IF(TRIB!E99="","",IF($D99="A",INPUTS!$J$24,INPUTS!$O$24))</f>
        <v>NR</v>
      </c>
      <c r="F99" s="4" t="str">
        <f aca="false">IF(TRIB!F99="","",IF($D99="A",INPUTS!$J$25,INPUTS!$O$25))</f>
        <v>NR</v>
      </c>
      <c r="G99" s="4" t="str">
        <f aca="false">IF(TRIB!G99="","",IF($D99="A",INPUTS!$J$26,INPUTS!$O$26))</f>
        <v>NR</v>
      </c>
      <c r="H99" s="4" t="str">
        <f aca="false">IF(TRIB!H99="","",IF($D99="A",INPUTS!$J$27,INPUTS!$O$27))</f>
        <v>GAR</v>
      </c>
      <c r="I99" s="4" t="str">
        <f aca="false">IF(TRIB!I99="","",IF($D99="A",INPUTS!$J$28,INPUTS!$O$28))</f>
        <v>GAR</v>
      </c>
      <c r="J99" s="4" t="str">
        <f aca="false">IF(TRIB!J99="","",IF($D99="A",INPUTS!$J$29,INPUTS!$O$29))</f>
        <v/>
      </c>
      <c r="K99" s="4" t="str">
        <f aca="false">IF(TRIB!K99="","",IF($D99="A",INPUTS!$J$30,INPUTS!$O$30))</f>
        <v/>
      </c>
      <c r="L99" s="4" t="str">
        <f aca="false">IF(TRIB!L99="","",IF($D99="A",INPUTS!$J$31,INPUTS!$O$31))</f>
        <v/>
      </c>
      <c r="M99" s="4" t="str">
        <f aca="false">IF(TRIB!M99="","",IF($D99="A",INPUTS!$J$32,INPUTS!$O$32))</f>
        <v/>
      </c>
      <c r="N99" s="4" t="str">
        <f aca="false">IF(TRIB!N99="","",IF($D99="A",INPUTS!$J$33,INPUTS!$O$33))</f>
        <v/>
      </c>
      <c r="O99" s="4" t="str">
        <f aca="false">IF(TRIB!O99="","",IF($D99="A",INPUTS!$J$34,INPUTS!$O$34))</f>
        <v/>
      </c>
      <c r="P99" s="4" t="str">
        <f aca="false">IF(TRIB!P99="","",IF($D99="A",INPUTS!$J$35,INPUTS!$O$35))</f>
        <v/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4" t="str">
        <f aca="false">IF(TRIB!E100="","",IF($D100="A",INPUTS!$J$24,INPUTS!$O$24))</f>
        <v>NR</v>
      </c>
      <c r="F100" s="4" t="str">
        <f aca="false">IF(TRIB!F100="","",IF($D100="A",INPUTS!$J$25,INPUTS!$O$25))</f>
        <v>NR</v>
      </c>
      <c r="G100" s="4" t="str">
        <f aca="false">IF(TRIB!G100="","",IF($D100="A",INPUTS!$J$26,INPUTS!$O$26))</f>
        <v>NR</v>
      </c>
      <c r="H100" s="4" t="str">
        <f aca="false">IF(TRIB!H100="","",IF($D100="A",INPUTS!$J$27,INPUTS!$O$27))</f>
        <v>GAR</v>
      </c>
      <c r="I100" s="4" t="str">
        <f aca="false">IF(TRIB!I100="","",IF($D100="A",INPUTS!$J$28,INPUTS!$O$28))</f>
        <v>GAR</v>
      </c>
      <c r="J100" s="4" t="str">
        <f aca="false">IF(TRIB!J100="","",IF($D100="A",INPUTS!$J$29,INPUTS!$O$29))</f>
        <v/>
      </c>
      <c r="K100" s="4" t="str">
        <f aca="false">IF(TRIB!K100="","",IF($D100="A",INPUTS!$J$30,INPUTS!$O$30))</f>
        <v/>
      </c>
      <c r="L100" s="4" t="str">
        <f aca="false">IF(TRIB!L100="","",IF($D100="A",INPUTS!$J$31,INPUTS!$O$31))</f>
        <v/>
      </c>
      <c r="M100" s="4" t="str">
        <f aca="false">IF(TRIB!M100="","",IF($D100="A",INPUTS!$J$32,INPUTS!$O$32))</f>
        <v/>
      </c>
      <c r="N100" s="4" t="str">
        <f aca="false">IF(TRIB!N100="","",IF($D100="A",INPUTS!$J$33,INPUTS!$O$33))</f>
        <v/>
      </c>
      <c r="O100" s="4" t="str">
        <f aca="false">IF(TRIB!O100="","",IF($D100="A",INPUTS!$J$34,INPUTS!$O$34))</f>
        <v/>
      </c>
      <c r="P100" s="4" t="str">
        <f aca="false">IF(TRIB!P100="","",IF($D100="A",INPUTS!$J$35,INPUTS!$O$35))</f>
        <v/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4" t="str">
        <f aca="false">IF(TRIB!E101="","",IF($D101="A",INPUTS!$J$24,INPUTS!$O$24))</f>
        <v>NR</v>
      </c>
      <c r="F101" s="4" t="str">
        <f aca="false">IF(TRIB!F101="","",IF($D101="A",INPUTS!$J$25,INPUTS!$O$25))</f>
        <v>NR</v>
      </c>
      <c r="G101" s="4" t="str">
        <f aca="false">IF(TRIB!G101="","",IF($D101="A",INPUTS!$J$26,INPUTS!$O$26))</f>
        <v>NR</v>
      </c>
      <c r="H101" s="4" t="str">
        <f aca="false">IF(TRIB!H101="","",IF($D101="A",INPUTS!$J$27,INPUTS!$O$27))</f>
        <v>GAR</v>
      </c>
      <c r="I101" s="4" t="str">
        <f aca="false">IF(TRIB!I101="","",IF($D101="A",INPUTS!$J$28,INPUTS!$O$28))</f>
        <v>GAR</v>
      </c>
      <c r="J101" s="4" t="str">
        <f aca="false">IF(TRIB!J101="","",IF($D101="A",INPUTS!$J$29,INPUTS!$O$29))</f>
        <v>GAR</v>
      </c>
      <c r="K101" s="4" t="str">
        <f aca="false">IF(TRIB!K101="","",IF($D101="A",INPUTS!$J$30,INPUTS!$O$30))</f>
        <v/>
      </c>
      <c r="L101" s="4" t="str">
        <f aca="false">IF(TRIB!L101="","",IF($D101="A",INPUTS!$J$31,INPUTS!$O$31))</f>
        <v/>
      </c>
      <c r="M101" s="4" t="str">
        <f aca="false">IF(TRIB!M101="","",IF($D101="A",INPUTS!$J$32,INPUTS!$O$32))</f>
        <v/>
      </c>
      <c r="N101" s="4" t="str">
        <f aca="false">IF(TRIB!N101="","",IF($D101="A",INPUTS!$J$33,INPUTS!$O$33))</f>
        <v/>
      </c>
      <c r="O101" s="4" t="str">
        <f aca="false">IF(TRIB!O101="","",IF($D101="A",INPUTS!$J$34,INPUTS!$O$34))</f>
        <v/>
      </c>
      <c r="P101" s="4" t="str">
        <f aca="false">IF(TRIB!P101="","",IF($D101="A",INPUTS!$J$35,INPUTS!$O$35))</f>
        <v/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4" t="str">
        <f aca="false">IF(TRIB!E102="","",IF($D102="A",INPUTS!$J$24,INPUTS!$O$24))</f>
        <v>NR</v>
      </c>
      <c r="F102" s="4" t="str">
        <f aca="false">IF(TRIB!F102="","",IF($D102="A",INPUTS!$J$25,INPUTS!$O$25))</f>
        <v>NR</v>
      </c>
      <c r="G102" s="4" t="str">
        <f aca="false">IF(TRIB!G102="","",IF($D102="A",INPUTS!$J$26,INPUTS!$O$26))</f>
        <v>NR</v>
      </c>
      <c r="H102" s="4" t="str">
        <f aca="false">IF(TRIB!H102="","",IF($D102="A",INPUTS!$J$27,INPUTS!$O$27))</f>
        <v>GAR</v>
      </c>
      <c r="I102" s="4" t="str">
        <f aca="false">IF(TRIB!I102="","",IF($D102="A",INPUTS!$J$28,INPUTS!$O$28))</f>
        <v>GAR</v>
      </c>
      <c r="J102" s="4" t="str">
        <f aca="false">IF(TRIB!J102="","",IF($D102="A",INPUTS!$J$29,INPUTS!$O$29))</f>
        <v/>
      </c>
      <c r="K102" s="4" t="str">
        <f aca="false">IF(TRIB!K102="","",IF($D102="A",INPUTS!$J$30,INPUTS!$O$30))</f>
        <v/>
      </c>
      <c r="L102" s="4" t="str">
        <f aca="false">IF(TRIB!L102="","",IF($D102="A",INPUTS!$J$31,INPUTS!$O$31))</f>
        <v/>
      </c>
      <c r="M102" s="4" t="str">
        <f aca="false">IF(TRIB!M102="","",IF($D102="A",INPUTS!$J$32,INPUTS!$O$32))</f>
        <v/>
      </c>
      <c r="N102" s="4" t="str">
        <f aca="false">IF(TRIB!N102="","",IF($D102="A",INPUTS!$J$33,INPUTS!$O$33))</f>
        <v/>
      </c>
      <c r="O102" s="4" t="str">
        <f aca="false">IF(TRIB!O102="","",IF($D102="A",INPUTS!$J$34,INPUTS!$O$34))</f>
        <v/>
      </c>
      <c r="P102" s="4" t="str">
        <f aca="false">IF(TRIB!P102="","",IF($D102="A",INPUTS!$J$35,INPUTS!$O$35))</f>
        <v/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4" t="str">
        <f aca="false">IF(TRIB!E103="","",IF($D103="A",INPUTS!$J$24,INPUTS!$O$24))</f>
        <v>NR</v>
      </c>
      <c r="F103" s="4" t="str">
        <f aca="false">IF(TRIB!F103="","",IF($D103="A",INPUTS!$J$25,INPUTS!$O$25))</f>
        <v>NR</v>
      </c>
      <c r="G103" s="4" t="str">
        <f aca="false">IF(TRIB!G103="","",IF($D103="A",INPUTS!$J$26,INPUTS!$O$26))</f>
        <v>NR</v>
      </c>
      <c r="H103" s="4" t="str">
        <f aca="false">IF(TRIB!H103="","",IF($D103="A",INPUTS!$J$27,INPUTS!$O$27))</f>
        <v>GAR</v>
      </c>
      <c r="I103" s="4" t="str">
        <f aca="false">IF(TRIB!I103="","",IF($D103="A",INPUTS!$J$28,INPUTS!$O$28))</f>
        <v>GAR</v>
      </c>
      <c r="J103" s="4" t="str">
        <f aca="false">IF(TRIB!J103="","",IF($D103="A",INPUTS!$J$29,INPUTS!$O$29))</f>
        <v/>
      </c>
      <c r="K103" s="4" t="str">
        <f aca="false">IF(TRIB!K103="","",IF($D103="A",INPUTS!$J$30,INPUTS!$O$30))</f>
        <v/>
      </c>
      <c r="L103" s="4" t="str">
        <f aca="false">IF(TRIB!L103="","",IF($D103="A",INPUTS!$J$31,INPUTS!$O$31))</f>
        <v/>
      </c>
      <c r="M103" s="4" t="str">
        <f aca="false">IF(TRIB!M103="","",IF($D103="A",INPUTS!$J$32,INPUTS!$O$32))</f>
        <v/>
      </c>
      <c r="N103" s="4" t="str">
        <f aca="false">IF(TRIB!N103="","",IF($D103="A",INPUTS!$J$33,INPUTS!$O$33))</f>
        <v/>
      </c>
      <c r="O103" s="4" t="str">
        <f aca="false">IF(TRIB!O103="","",IF($D103="A",INPUTS!$J$34,INPUTS!$O$34))</f>
        <v/>
      </c>
      <c r="P103" s="4" t="str">
        <f aca="false">IF(TRIB!P103="","",IF($D103="A",INPUTS!$J$35,INPUTS!$O$35))</f>
        <v/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4" t="str">
        <f aca="false">IF(TRIB!E104="","",IF($D104="A",INPUTS!$J$24,INPUTS!$O$24))</f>
        <v>NR</v>
      </c>
      <c r="F104" s="4" t="str">
        <f aca="false">IF(TRIB!F104="","",IF($D104="A",INPUTS!$J$25,INPUTS!$O$25))</f>
        <v>NR</v>
      </c>
      <c r="G104" s="4" t="str">
        <f aca="false">IF(TRIB!G104="","",IF($D104="A",INPUTS!$J$26,INPUTS!$O$26))</f>
        <v>NR</v>
      </c>
      <c r="H104" s="4" t="str">
        <f aca="false">IF(TRIB!H104="","",IF($D104="A",INPUTS!$J$27,INPUTS!$O$27))</f>
        <v>GAR</v>
      </c>
      <c r="I104" s="4" t="str">
        <f aca="false">IF(TRIB!I104="","",IF($D104="A",INPUTS!$J$28,INPUTS!$O$28))</f>
        <v>GAR</v>
      </c>
      <c r="J104" s="4" t="str">
        <f aca="false">IF(TRIB!J104="","",IF($D104="A",INPUTS!$J$29,INPUTS!$O$29))</f>
        <v/>
      </c>
      <c r="K104" s="4" t="str">
        <f aca="false">IF(TRIB!K104="","",IF($D104="A",INPUTS!$J$30,INPUTS!$O$30))</f>
        <v/>
      </c>
      <c r="L104" s="4" t="str">
        <f aca="false">IF(TRIB!L104="","",IF($D104="A",INPUTS!$J$31,INPUTS!$O$31))</f>
        <v/>
      </c>
      <c r="M104" s="4" t="str">
        <f aca="false">IF(TRIB!M104="","",IF($D104="A",INPUTS!$J$32,INPUTS!$O$32))</f>
        <v/>
      </c>
      <c r="N104" s="4" t="str">
        <f aca="false">IF(TRIB!N104="","",IF($D104="A",INPUTS!$J$33,INPUTS!$O$33))</f>
        <v/>
      </c>
      <c r="O104" s="4" t="str">
        <f aca="false">IF(TRIB!O104="","",IF($D104="A",INPUTS!$J$34,INPUTS!$O$34))</f>
        <v/>
      </c>
      <c r="P104" s="4" t="str">
        <f aca="false">IF(TRIB!P104="","",IF($D104="A",INPUTS!$J$35,INPUTS!$O$35))</f>
        <v/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4" t="str">
        <f aca="false">IF(TRIB!E105="","",IF($D105="A",INPUTS!$J$24,INPUTS!$O$24))</f>
        <v>NR</v>
      </c>
      <c r="F105" s="4" t="str">
        <f aca="false">IF(TRIB!F105="","",IF($D105="A",INPUTS!$J$25,INPUTS!$O$25))</f>
        <v>NR</v>
      </c>
      <c r="G105" s="4" t="str">
        <f aca="false">IF(TRIB!G105="","",IF($D105="A",INPUTS!$J$26,INPUTS!$O$26))</f>
        <v>NR</v>
      </c>
      <c r="H105" s="4" t="str">
        <f aca="false">IF(TRIB!H105="","",IF($D105="A",INPUTS!$J$27,INPUTS!$O$27))</f>
        <v>GAR</v>
      </c>
      <c r="I105" s="4" t="str">
        <f aca="false">IF(TRIB!I105="","",IF($D105="A",INPUTS!$J$28,INPUTS!$O$28))</f>
        <v>GAR</v>
      </c>
      <c r="J105" s="4" t="str">
        <f aca="false">IF(TRIB!J105="","",IF($D105="A",INPUTS!$J$29,INPUTS!$O$29))</f>
        <v/>
      </c>
      <c r="K105" s="4" t="str">
        <f aca="false">IF(TRIB!K105="","",IF($D105="A",INPUTS!$J$30,INPUTS!$O$30))</f>
        <v/>
      </c>
      <c r="L105" s="4" t="str">
        <f aca="false">IF(TRIB!L105="","",IF($D105="A",INPUTS!$J$31,INPUTS!$O$31))</f>
        <v/>
      </c>
      <c r="M105" s="4" t="str">
        <f aca="false">IF(TRIB!M105="","",IF($D105="A",INPUTS!$J$32,INPUTS!$O$32))</f>
        <v/>
      </c>
      <c r="N105" s="4" t="str">
        <f aca="false">IF(TRIB!N105="","",IF($D105="A",INPUTS!$J$33,INPUTS!$O$33))</f>
        <v/>
      </c>
      <c r="O105" s="4" t="str">
        <f aca="false">IF(TRIB!O105="","",IF($D105="A",INPUTS!$J$34,INPUTS!$O$34))</f>
        <v/>
      </c>
      <c r="P105" s="4" t="str">
        <f aca="false">IF(TRIB!P105="","",IF($D105="A",INPUTS!$J$35,INPUTS!$O$35))</f>
        <v/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4" t="str">
        <f aca="false">IF(TRIB!E106="","",IF($D106="A",INPUTS!$J$24,INPUTS!$O$24))</f>
        <v>NR</v>
      </c>
      <c r="F106" s="4" t="str">
        <f aca="false">IF(TRIB!F106="","",IF($D106="A",INPUTS!$J$25,INPUTS!$O$25))</f>
        <v>NR</v>
      </c>
      <c r="G106" s="4" t="str">
        <f aca="false">IF(TRIB!G106="","",IF($D106="A",INPUTS!$J$26,INPUTS!$O$26))</f>
        <v>NR</v>
      </c>
      <c r="H106" s="4" t="str">
        <f aca="false">IF(TRIB!H106="","",IF($D106="A",INPUTS!$J$27,INPUTS!$O$27))</f>
        <v>GAR</v>
      </c>
      <c r="I106" s="4" t="str">
        <f aca="false">IF(TRIB!I106="","",IF($D106="A",INPUTS!$J$28,INPUTS!$O$28))</f>
        <v>GAR</v>
      </c>
      <c r="J106" s="4" t="str">
        <f aca="false">IF(TRIB!J106="","",IF($D106="A",INPUTS!$J$29,INPUTS!$O$29))</f>
        <v/>
      </c>
      <c r="K106" s="4" t="str">
        <f aca="false">IF(TRIB!K106="","",IF($D106="A",INPUTS!$J$30,INPUTS!$O$30))</f>
        <v/>
      </c>
      <c r="L106" s="4" t="str">
        <f aca="false">IF(TRIB!L106="","",IF($D106="A",INPUTS!$J$31,INPUTS!$O$31))</f>
        <v/>
      </c>
      <c r="M106" s="4" t="str">
        <f aca="false">IF(TRIB!M106="","",IF($D106="A",INPUTS!$J$32,INPUTS!$O$32))</f>
        <v/>
      </c>
      <c r="N106" s="4" t="str">
        <f aca="false">IF(TRIB!N106="","",IF($D106="A",INPUTS!$J$33,INPUTS!$O$33))</f>
        <v/>
      </c>
      <c r="O106" s="4" t="str">
        <f aca="false">IF(TRIB!O106="","",IF($D106="A",INPUTS!$J$34,INPUTS!$O$34))</f>
        <v/>
      </c>
      <c r="P106" s="4" t="str">
        <f aca="false">IF(TRIB!P106="","",IF($D106="A",INPUTS!$J$35,INPUTS!$O$35))</f>
        <v/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4" t="str">
        <f aca="false">IF(TRIB!E107="","",IF($D107="A",INPUTS!$J$24,INPUTS!$O$24))</f>
        <v>NR</v>
      </c>
      <c r="F107" s="4" t="str">
        <f aca="false">IF(TRIB!F107="","",IF($D107="A",INPUTS!$J$25,INPUTS!$O$25))</f>
        <v>NR</v>
      </c>
      <c r="G107" s="4" t="str">
        <f aca="false">IF(TRIB!G107="","",IF($D107="A",INPUTS!$J$26,INPUTS!$O$26))</f>
        <v>NR</v>
      </c>
      <c r="H107" s="4" t="str">
        <f aca="false">IF(TRIB!H107="","",IF($D107="A",INPUTS!$J$27,INPUTS!$O$27))</f>
        <v>GAR</v>
      </c>
      <c r="I107" s="4" t="str">
        <f aca="false">IF(TRIB!I107="","",IF($D107="A",INPUTS!$J$28,INPUTS!$O$28))</f>
        <v>GAR</v>
      </c>
      <c r="J107" s="4" t="str">
        <f aca="false">IF(TRIB!J107="","",IF($D107="A",INPUTS!$J$29,INPUTS!$O$29))</f>
        <v/>
      </c>
      <c r="K107" s="4" t="str">
        <f aca="false">IF(TRIB!K107="","",IF($D107="A",INPUTS!$J$30,INPUTS!$O$30))</f>
        <v/>
      </c>
      <c r="L107" s="4" t="str">
        <f aca="false">IF(TRIB!L107="","",IF($D107="A",INPUTS!$J$31,INPUTS!$O$31))</f>
        <v/>
      </c>
      <c r="M107" s="4" t="str">
        <f aca="false">IF(TRIB!M107="","",IF($D107="A",INPUTS!$J$32,INPUTS!$O$32))</f>
        <v/>
      </c>
      <c r="N107" s="4" t="str">
        <f aca="false">IF(TRIB!N107="","",IF($D107="A",INPUTS!$J$33,INPUTS!$O$33))</f>
        <v/>
      </c>
      <c r="O107" s="4" t="str">
        <f aca="false">IF(TRIB!O107="","",IF($D107="A",INPUTS!$J$34,INPUTS!$O$34))</f>
        <v/>
      </c>
      <c r="P107" s="4" t="str">
        <f aca="false">IF(TRIB!P107="","",IF($D107="A",INPUTS!$J$35,INPUTS!$O$35))</f>
        <v/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4" t="str">
        <f aca="false">IF(TRIB!E108="","",IF($D108="A",INPUTS!$J$24,INPUTS!$O$24))</f>
        <v>NR</v>
      </c>
      <c r="F108" s="4" t="str">
        <f aca="false">IF(TRIB!F108="","",IF($D108="A",INPUTS!$J$25,INPUTS!$O$25))</f>
        <v>NR</v>
      </c>
      <c r="G108" s="4" t="str">
        <f aca="false">IF(TRIB!G108="","",IF($D108="A",INPUTS!$J$26,INPUTS!$O$26))</f>
        <v>NR</v>
      </c>
      <c r="H108" s="4" t="str">
        <f aca="false">IF(TRIB!H108="","",IF($D108="A",INPUTS!$J$27,INPUTS!$O$27))</f>
        <v>GAR</v>
      </c>
      <c r="I108" s="4" t="str">
        <f aca="false">IF(TRIB!I108="","",IF($D108="A",INPUTS!$J$28,INPUTS!$O$28))</f>
        <v>GAR</v>
      </c>
      <c r="J108" s="4" t="str">
        <f aca="false">IF(TRIB!J108="","",IF($D108="A",INPUTS!$J$29,INPUTS!$O$29))</f>
        <v/>
      </c>
      <c r="K108" s="4" t="str">
        <f aca="false">IF(TRIB!K108="","",IF($D108="A",INPUTS!$J$30,INPUTS!$O$30))</f>
        <v/>
      </c>
      <c r="L108" s="4" t="str">
        <f aca="false">IF(TRIB!L108="","",IF($D108="A",INPUTS!$J$31,INPUTS!$O$31))</f>
        <v/>
      </c>
      <c r="M108" s="4" t="str">
        <f aca="false">IF(TRIB!M108="","",IF($D108="A",INPUTS!$J$32,INPUTS!$O$32))</f>
        <v/>
      </c>
      <c r="N108" s="4" t="str">
        <f aca="false">IF(TRIB!N108="","",IF($D108="A",INPUTS!$J$33,INPUTS!$O$33))</f>
        <v/>
      </c>
      <c r="O108" s="4" t="str">
        <f aca="false">IF(TRIB!O108="","",IF($D108="A",INPUTS!$J$34,INPUTS!$O$34))</f>
        <v/>
      </c>
      <c r="P108" s="4" t="str">
        <f aca="false">IF(TRIB!P108="","",IF($D108="A",INPUTS!$J$35,INPUTS!$O$35))</f>
        <v/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4" t="str">
        <f aca="false">IF(TRIB!E109="","",IF($D109="A",INPUTS!$J$24,INPUTS!$O$24))</f>
        <v>NR</v>
      </c>
      <c r="F109" s="4" t="str">
        <f aca="false">IF(TRIB!F109="","",IF($D109="A",INPUTS!$J$25,INPUTS!$O$25))</f>
        <v>NR</v>
      </c>
      <c r="G109" s="4" t="str">
        <f aca="false">IF(TRIB!G109="","",IF($D109="A",INPUTS!$J$26,INPUTS!$O$26))</f>
        <v>NR</v>
      </c>
      <c r="H109" s="4" t="str">
        <f aca="false">IF(TRIB!H109="","",IF($D109="A",INPUTS!$J$27,INPUTS!$O$27))</f>
        <v>GAR</v>
      </c>
      <c r="I109" s="4" t="str">
        <f aca="false">IF(TRIB!I109="","",IF($D109="A",INPUTS!$J$28,INPUTS!$O$28))</f>
        <v>GAR</v>
      </c>
      <c r="J109" s="4" t="str">
        <f aca="false">IF(TRIB!J109="","",IF($D109="A",INPUTS!$J$29,INPUTS!$O$29))</f>
        <v/>
      </c>
      <c r="K109" s="4" t="str">
        <f aca="false">IF(TRIB!K109="","",IF($D109="A",INPUTS!$J$30,INPUTS!$O$30))</f>
        <v/>
      </c>
      <c r="L109" s="4" t="str">
        <f aca="false">IF(TRIB!L109="","",IF($D109="A",INPUTS!$J$31,INPUTS!$O$31))</f>
        <v/>
      </c>
      <c r="M109" s="4" t="str">
        <f aca="false">IF(TRIB!M109="","",IF($D109="A",INPUTS!$J$32,INPUTS!$O$32))</f>
        <v/>
      </c>
      <c r="N109" s="4" t="str">
        <f aca="false">IF(TRIB!N109="","",IF($D109="A",INPUTS!$J$33,INPUTS!$O$33))</f>
        <v/>
      </c>
      <c r="O109" s="4" t="str">
        <f aca="false">IF(TRIB!O109="","",IF($D109="A",INPUTS!$J$34,INPUTS!$O$34))</f>
        <v/>
      </c>
      <c r="P109" s="4" t="str">
        <f aca="false">IF(TRIB!P109="","",IF($D109="A",INPUTS!$J$35,INPUTS!$O$35))</f>
        <v/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4" t="str">
        <f aca="false">IF(TRIB!E110="","",IF($D110="A",INPUTS!$J$24,INPUTS!$O$24))</f>
        <v>NR</v>
      </c>
      <c r="F110" s="4" t="str">
        <f aca="false">IF(TRIB!F110="","",IF($D110="A",INPUTS!$J$25,INPUTS!$O$25))</f>
        <v>NR</v>
      </c>
      <c r="G110" s="4" t="str">
        <f aca="false">IF(TRIB!G110="","",IF($D110="A",INPUTS!$J$26,INPUTS!$O$26))</f>
        <v>NR</v>
      </c>
      <c r="H110" s="4" t="str">
        <f aca="false">IF(TRIB!H110="","",IF($D110="A",INPUTS!$J$27,INPUTS!$O$27))</f>
        <v/>
      </c>
      <c r="I110" s="4" t="str">
        <f aca="false">IF(TRIB!I110="","",IF($D110="A",INPUTS!$J$28,INPUTS!$O$28))</f>
        <v/>
      </c>
      <c r="J110" s="4" t="str">
        <f aca="false">IF(TRIB!J110="","",IF($D110="A",INPUTS!$J$29,INPUTS!$O$29))</f>
        <v/>
      </c>
      <c r="K110" s="4" t="str">
        <f aca="false">IF(TRIB!K110="","",IF($D110="A",INPUTS!$J$30,INPUTS!$O$30))</f>
        <v/>
      </c>
      <c r="L110" s="4" t="str">
        <f aca="false">IF(TRIB!L110="","",IF($D110="A",INPUTS!$J$31,INPUTS!$O$31))</f>
        <v/>
      </c>
      <c r="M110" s="4" t="str">
        <f aca="false">IF(TRIB!M110="","",IF($D110="A",INPUTS!$J$32,INPUTS!$O$32))</f>
        <v/>
      </c>
      <c r="N110" s="4" t="str">
        <f aca="false">IF(TRIB!N110="","",IF($D110="A",INPUTS!$J$33,INPUTS!$O$33))</f>
        <v/>
      </c>
      <c r="O110" s="4" t="str">
        <f aca="false">IF(TRIB!O110="","",IF($D110="A",INPUTS!$J$34,INPUTS!$O$34))</f>
        <v/>
      </c>
      <c r="P110" s="4" t="str">
        <f aca="false">IF(TRIB!P110="","",IF($D110="A",INPUTS!$J$35,INPUTS!$O$35))</f>
        <v/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4" t="str">
        <f aca="false">IF(TRIB!E111="","",IF($D111="A",INPUTS!$J$24,INPUTS!$O$24))</f>
        <v>NR</v>
      </c>
      <c r="F111" s="4" t="str">
        <f aca="false">IF(TRIB!F111="","",IF($D111="A",INPUTS!$J$25,INPUTS!$O$25))</f>
        <v>NR</v>
      </c>
      <c r="G111" s="4" t="str">
        <f aca="false">IF(TRIB!G111="","",IF($D111="A",INPUTS!$J$26,INPUTS!$O$26))</f>
        <v>NR</v>
      </c>
      <c r="H111" s="4" t="str">
        <f aca="false">IF(TRIB!H111="","",IF($D111="A",INPUTS!$J$27,INPUTS!$O$27))</f>
        <v/>
      </c>
      <c r="I111" s="4" t="str">
        <f aca="false">IF(TRIB!I111="","",IF($D111="A",INPUTS!$J$28,INPUTS!$O$28))</f>
        <v/>
      </c>
      <c r="J111" s="4" t="str">
        <f aca="false">IF(TRIB!J111="","",IF($D111="A",INPUTS!$J$29,INPUTS!$O$29))</f>
        <v/>
      </c>
      <c r="K111" s="4" t="str">
        <f aca="false">IF(TRIB!K111="","",IF($D111="A",INPUTS!$J$30,INPUTS!$O$30))</f>
        <v/>
      </c>
      <c r="L111" s="4" t="str">
        <f aca="false">IF(TRIB!L111="","",IF($D111="A",INPUTS!$J$31,INPUTS!$O$31))</f>
        <v/>
      </c>
      <c r="M111" s="4" t="str">
        <f aca="false">IF(TRIB!M111="","",IF($D111="A",INPUTS!$J$32,INPUTS!$O$32))</f>
        <v/>
      </c>
      <c r="N111" s="4" t="str">
        <f aca="false">IF(TRIB!N111="","",IF($D111="A",INPUTS!$J$33,INPUTS!$O$33))</f>
        <v/>
      </c>
      <c r="O111" s="4" t="str">
        <f aca="false">IF(TRIB!O111="","",IF($D111="A",INPUTS!$J$34,INPUTS!$O$34))</f>
        <v/>
      </c>
      <c r="P111" s="4" t="str">
        <f aca="false">IF(TRIB!P111="","",IF($D111="A",INPUTS!$J$35,INPUTS!$O$35))</f>
        <v/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4" t="str">
        <f aca="false">IF(TRIB!E112="","",IF($D112="A",INPUTS!$J$24,INPUTS!$O$24))</f>
        <v/>
      </c>
      <c r="F112" s="4" t="str">
        <f aca="false">IF(TRIB!F112="","",IF($D112="A",INPUTS!$J$25,INPUTS!$O$25))</f>
        <v>NR</v>
      </c>
      <c r="G112" s="4" t="str">
        <f aca="false">IF(TRIB!G112="","",IF($D112="A",INPUTS!$J$26,INPUTS!$O$26))</f>
        <v/>
      </c>
      <c r="H112" s="4" t="str">
        <f aca="false">IF(TRIB!H112="","",IF($D112="A",INPUTS!$J$27,INPUTS!$O$27))</f>
        <v/>
      </c>
      <c r="I112" s="4" t="str">
        <f aca="false">IF(TRIB!I112="","",IF($D112="A",INPUTS!$J$28,INPUTS!$O$28))</f>
        <v/>
      </c>
      <c r="J112" s="4" t="str">
        <f aca="false">IF(TRIB!J112="","",IF($D112="A",INPUTS!$J$29,INPUTS!$O$29))</f>
        <v/>
      </c>
      <c r="K112" s="4" t="str">
        <f aca="false">IF(TRIB!K112="","",IF($D112="A",INPUTS!$J$30,INPUTS!$O$30))</f>
        <v/>
      </c>
      <c r="L112" s="4" t="str">
        <f aca="false">IF(TRIB!L112="","",IF($D112="A",INPUTS!$J$31,INPUTS!$O$31))</f>
        <v/>
      </c>
      <c r="M112" s="4" t="str">
        <f aca="false">IF(TRIB!M112="","",IF($D112="A",INPUTS!$J$32,INPUTS!$O$32))</f>
        <v/>
      </c>
      <c r="N112" s="4" t="str">
        <f aca="false">IF(TRIB!N112="","",IF($D112="A",INPUTS!$J$33,INPUTS!$O$33))</f>
        <v/>
      </c>
      <c r="O112" s="4" t="str">
        <f aca="false">IF(TRIB!O112="","",IF($D112="A",INPUTS!$J$34,INPUTS!$O$34))</f>
        <v/>
      </c>
      <c r="P112" s="4" t="str">
        <f aca="false">IF(TRIB!P112="","",IF($D112="A",INPUTS!$J$35,INPUTS!$O$35))</f>
        <v/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4" t="str">
        <f aca="false">IF(TRIB!E113="","",IF($D113="A",INPUTS!$J$24,INPUTS!$O$24))</f>
        <v/>
      </c>
      <c r="F113" s="4" t="str">
        <f aca="false">IF(TRIB!F113="","",IF($D113="A",INPUTS!$J$25,INPUTS!$O$25))</f>
        <v>NR</v>
      </c>
      <c r="G113" s="4" t="str">
        <f aca="false">IF(TRIB!G113="","",IF($D113="A",INPUTS!$J$26,INPUTS!$O$26))</f>
        <v/>
      </c>
      <c r="H113" s="4" t="str">
        <f aca="false">IF(TRIB!H113="","",IF($D113="A",INPUTS!$J$27,INPUTS!$O$27))</f>
        <v/>
      </c>
      <c r="I113" s="4" t="str">
        <f aca="false">IF(TRIB!I113="","",IF($D113="A",INPUTS!$J$28,INPUTS!$O$28))</f>
        <v/>
      </c>
      <c r="J113" s="4" t="str">
        <f aca="false">IF(TRIB!J113="","",IF($D113="A",INPUTS!$J$29,INPUTS!$O$29))</f>
        <v/>
      </c>
      <c r="K113" s="4" t="str">
        <f aca="false">IF(TRIB!K113="","",IF($D113="A",INPUTS!$J$30,INPUTS!$O$30))</f>
        <v/>
      </c>
      <c r="L113" s="4" t="str">
        <f aca="false">IF(TRIB!L113="","",IF($D113="A",INPUTS!$J$31,INPUTS!$O$31))</f>
        <v/>
      </c>
      <c r="M113" s="4" t="str">
        <f aca="false">IF(TRIB!M113="","",IF($D113="A",INPUTS!$J$32,INPUTS!$O$32))</f>
        <v/>
      </c>
      <c r="N113" s="4" t="str">
        <f aca="false">IF(TRIB!N113="","",IF($D113="A",INPUTS!$J$33,INPUTS!$O$33))</f>
        <v/>
      </c>
      <c r="O113" s="4" t="str">
        <f aca="false">IF(TRIB!O113="","",IF($D113="A",INPUTS!$J$34,INPUTS!$O$34))</f>
        <v/>
      </c>
      <c r="P113" s="4" t="str">
        <f aca="false">IF(TRIB!P113="","",IF($D113="A",INPUTS!$J$35,INPUTS!$O$35))</f>
        <v/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4" t="str">
        <f aca="false">IF(TRIB!E114="","",IF($D114="A",INPUTS!$J$24,INPUTS!$O$24))</f>
        <v>NR</v>
      </c>
      <c r="F114" s="4" t="str">
        <f aca="false">IF(TRIB!F114="","",IF($D114="A",INPUTS!$J$25,INPUTS!$O$25))</f>
        <v>NR</v>
      </c>
      <c r="G114" s="4" t="str">
        <f aca="false">IF(TRIB!G114="","",IF($D114="A",INPUTS!$J$26,INPUTS!$O$26))</f>
        <v/>
      </c>
      <c r="H114" s="4" t="str">
        <f aca="false">IF(TRIB!H114="","",IF($D114="A",INPUTS!$J$27,INPUTS!$O$27))</f>
        <v/>
      </c>
      <c r="I114" s="4" t="str">
        <f aca="false">IF(TRIB!I114="","",IF($D114="A",INPUTS!$J$28,INPUTS!$O$28))</f>
        <v/>
      </c>
      <c r="J114" s="4" t="str">
        <f aca="false">IF(TRIB!J114="","",IF($D114="A",INPUTS!$J$29,INPUTS!$O$29))</f>
        <v/>
      </c>
      <c r="K114" s="4" t="str">
        <f aca="false">IF(TRIB!K114="","",IF($D114="A",INPUTS!$J$30,INPUTS!$O$30))</f>
        <v/>
      </c>
      <c r="L114" s="4" t="str">
        <f aca="false">IF(TRIB!L114="","",IF($D114="A",INPUTS!$J$31,INPUTS!$O$31))</f>
        <v/>
      </c>
      <c r="M114" s="4" t="str">
        <f aca="false">IF(TRIB!M114="","",IF($D114="A",INPUTS!$J$32,INPUTS!$O$32))</f>
        <v/>
      </c>
      <c r="N114" s="4" t="str">
        <f aca="false">IF(TRIB!N114="","",IF($D114="A",INPUTS!$J$33,INPUTS!$O$33))</f>
        <v/>
      </c>
      <c r="O114" s="4" t="str">
        <f aca="false">IF(TRIB!O114="","",IF($D114="A",INPUTS!$J$34,INPUTS!$O$34))</f>
        <v/>
      </c>
      <c r="P114" s="4" t="str">
        <f aca="false">IF(TRIB!P114="","",IF($D114="A",INPUTS!$J$35,INPUTS!$O$35))</f>
        <v/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4" t="str">
        <f aca="false">IF(TRIB!E115="","",IF($D115="A",INPUTS!$J$24,INPUTS!$O$24))</f>
        <v>NR</v>
      </c>
      <c r="F115" s="4" t="str">
        <f aca="false">IF(TRIB!F115="","",IF($D115="A",INPUTS!$J$25,INPUTS!$O$25))</f>
        <v>NR</v>
      </c>
      <c r="G115" s="4" t="str">
        <f aca="false">IF(TRIB!G115="","",IF($D115="A",INPUTS!$J$26,INPUTS!$O$26))</f>
        <v/>
      </c>
      <c r="H115" s="4" t="str">
        <f aca="false">IF(TRIB!H115="","",IF($D115="A",INPUTS!$J$27,INPUTS!$O$27))</f>
        <v/>
      </c>
      <c r="I115" s="4" t="str">
        <f aca="false">IF(TRIB!I115="","",IF($D115="A",INPUTS!$J$28,INPUTS!$O$28))</f>
        <v/>
      </c>
      <c r="J115" s="4" t="str">
        <f aca="false">IF(TRIB!J115="","",IF($D115="A",INPUTS!$J$29,INPUTS!$O$29))</f>
        <v/>
      </c>
      <c r="K115" s="4" t="str">
        <f aca="false">IF(TRIB!K115="","",IF($D115="A",INPUTS!$J$30,INPUTS!$O$30))</f>
        <v/>
      </c>
      <c r="L115" s="4" t="str">
        <f aca="false">IF(TRIB!L115="","",IF($D115="A",INPUTS!$J$31,INPUTS!$O$31))</f>
        <v/>
      </c>
      <c r="M115" s="4" t="str">
        <f aca="false">IF(TRIB!M115="","",IF($D115="A",INPUTS!$J$32,INPUTS!$O$32))</f>
        <v/>
      </c>
      <c r="N115" s="4" t="str">
        <f aca="false">IF(TRIB!N115="","",IF($D115="A",INPUTS!$J$33,INPUTS!$O$33))</f>
        <v/>
      </c>
      <c r="O115" s="4" t="str">
        <f aca="false">IF(TRIB!O115="","",IF($D115="A",INPUTS!$J$34,INPUTS!$O$34))</f>
        <v/>
      </c>
      <c r="P115" s="4" t="str">
        <f aca="false">IF(TRIB!P115="","",IF($D115="A",INPUTS!$J$35,INPUTS!$O$35))</f>
        <v/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4" t="str">
        <f aca="false">IF(TRIB!E116="","",IF($D116="A",INPUTS!$J$24,INPUTS!$O$24))</f>
        <v>NR</v>
      </c>
      <c r="F116" s="4" t="str">
        <f aca="false">IF(TRIB!F116="","",IF($D116="A",INPUTS!$J$25,INPUTS!$O$25))</f>
        <v>NR</v>
      </c>
      <c r="G116" s="4" t="str">
        <f aca="false">IF(TRIB!G116="","",IF($D116="A",INPUTS!$J$26,INPUTS!$O$26))</f>
        <v/>
      </c>
      <c r="H116" s="4" t="str">
        <f aca="false">IF(TRIB!H116="","",IF($D116="A",INPUTS!$J$27,INPUTS!$O$27))</f>
        <v/>
      </c>
      <c r="I116" s="4" t="str">
        <f aca="false">IF(TRIB!I116="","",IF($D116="A",INPUTS!$J$28,INPUTS!$O$28))</f>
        <v/>
      </c>
      <c r="J116" s="4" t="str">
        <f aca="false">IF(TRIB!J116="","",IF($D116="A",INPUTS!$J$29,INPUTS!$O$29))</f>
        <v/>
      </c>
      <c r="K116" s="4" t="str">
        <f aca="false">IF(TRIB!K116="","",IF($D116="A",INPUTS!$J$30,INPUTS!$O$30))</f>
        <v/>
      </c>
      <c r="L116" s="4" t="str">
        <f aca="false">IF(TRIB!L116="","",IF($D116="A",INPUTS!$J$31,INPUTS!$O$31))</f>
        <v/>
      </c>
      <c r="M116" s="4" t="str">
        <f aca="false">IF(TRIB!M116="","",IF($D116="A",INPUTS!$J$32,INPUTS!$O$32))</f>
        <v/>
      </c>
      <c r="N116" s="4" t="str">
        <f aca="false">IF(TRIB!N116="","",IF($D116="A",INPUTS!$J$33,INPUTS!$O$33))</f>
        <v/>
      </c>
      <c r="O116" s="4" t="str">
        <f aca="false">IF(TRIB!O116="","",IF($D116="A",INPUTS!$J$34,INPUTS!$O$34))</f>
        <v/>
      </c>
      <c r="P116" s="4" t="str">
        <f aca="false">IF(TRIB!P116="","",IF($D116="A",INPUTS!$J$35,INPUTS!$O$35))</f>
        <v/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4" t="str">
        <f aca="false">IF(TRIB!E117="","",IF($D117="A",INPUTS!$J$24,INPUTS!$O$24))</f>
        <v>NR</v>
      </c>
      <c r="F117" s="4" t="str">
        <f aca="false">IF(TRIB!F117="","",IF($D117="A",INPUTS!$J$25,INPUTS!$O$25))</f>
        <v>NR</v>
      </c>
      <c r="G117" s="4" t="str">
        <f aca="false">IF(TRIB!G117="","",IF($D117="A",INPUTS!$J$26,INPUTS!$O$26))</f>
        <v/>
      </c>
      <c r="H117" s="4" t="str">
        <f aca="false">IF(TRIB!H117="","",IF($D117="A",INPUTS!$J$27,INPUTS!$O$27))</f>
        <v/>
      </c>
      <c r="I117" s="4" t="str">
        <f aca="false">IF(TRIB!I117="","",IF($D117="A",INPUTS!$J$28,INPUTS!$O$28))</f>
        <v/>
      </c>
      <c r="J117" s="4" t="str">
        <f aca="false">IF(TRIB!J117="","",IF($D117="A",INPUTS!$J$29,INPUTS!$O$29))</f>
        <v/>
      </c>
      <c r="K117" s="4" t="str">
        <f aca="false">IF(TRIB!K117="","",IF($D117="A",INPUTS!$J$30,INPUTS!$O$30))</f>
        <v/>
      </c>
      <c r="L117" s="4" t="str">
        <f aca="false">IF(TRIB!L117="","",IF($D117="A",INPUTS!$J$31,INPUTS!$O$31))</f>
        <v/>
      </c>
      <c r="M117" s="4" t="str">
        <f aca="false">IF(TRIB!M117="","",IF($D117="A",INPUTS!$J$32,INPUTS!$O$32))</f>
        <v/>
      </c>
      <c r="N117" s="4" t="str">
        <f aca="false">IF(TRIB!N117="","",IF($D117="A",INPUTS!$J$33,INPUTS!$O$33))</f>
        <v/>
      </c>
      <c r="O117" s="4" t="str">
        <f aca="false">IF(TRIB!O117="","",IF($D117="A",INPUTS!$J$34,INPUTS!$O$34))</f>
        <v/>
      </c>
      <c r="P117" s="4" t="str">
        <f aca="false">IF(TRIB!P117="","",IF($D117="A",INPUTS!$J$35,INPUTS!$O$35))</f>
        <v/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4" t="str">
        <f aca="false">IF(TRIB!E118="","",IF($D118="A",INPUTS!$J$24,INPUTS!$O$24))</f>
        <v>NR</v>
      </c>
      <c r="F118" s="4" t="str">
        <f aca="false">IF(TRIB!F118="","",IF($D118="A",INPUTS!$J$25,INPUTS!$O$25))</f>
        <v>NR</v>
      </c>
      <c r="G118" s="4" t="str">
        <f aca="false">IF(TRIB!G118="","",IF($D118="A",INPUTS!$J$26,INPUTS!$O$26))</f>
        <v/>
      </c>
      <c r="H118" s="4" t="str">
        <f aca="false">IF(TRIB!H118="","",IF($D118="A",INPUTS!$J$27,INPUTS!$O$27))</f>
        <v/>
      </c>
      <c r="I118" s="4" t="str">
        <f aca="false">IF(TRIB!I118="","",IF($D118="A",INPUTS!$J$28,INPUTS!$O$28))</f>
        <v/>
      </c>
      <c r="J118" s="4" t="str">
        <f aca="false">IF(TRIB!J118="","",IF($D118="A",INPUTS!$J$29,INPUTS!$O$29))</f>
        <v/>
      </c>
      <c r="K118" s="4" t="str">
        <f aca="false">IF(TRIB!K118="","",IF($D118="A",INPUTS!$J$30,INPUTS!$O$30))</f>
        <v/>
      </c>
      <c r="L118" s="4" t="str">
        <f aca="false">IF(TRIB!L118="","",IF($D118="A",INPUTS!$J$31,INPUTS!$O$31))</f>
        <v/>
      </c>
      <c r="M118" s="4" t="str">
        <f aca="false">IF(TRIB!M118="","",IF($D118="A",INPUTS!$J$32,INPUTS!$O$32))</f>
        <v/>
      </c>
      <c r="N118" s="4" t="str">
        <f aca="false">IF(TRIB!N118="","",IF($D118="A",INPUTS!$J$33,INPUTS!$O$33))</f>
        <v/>
      </c>
      <c r="O118" s="4" t="str">
        <f aca="false">IF(TRIB!O118="","",IF($D118="A",INPUTS!$J$34,INPUTS!$O$34))</f>
        <v/>
      </c>
      <c r="P118" s="4" t="str">
        <f aca="false">IF(TRIB!P118="","",IF($D118="A",INPUTS!$J$35,INPUTS!$O$35))</f>
        <v/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4" t="str">
        <f aca="false">IF(TRIB!E119="","",IF($D119="A",INPUTS!$J$24,INPUTS!$O$24))</f>
        <v/>
      </c>
      <c r="F119" s="4" t="str">
        <f aca="false">IF(TRIB!F119="","",IF($D119="A",INPUTS!$J$25,INPUTS!$O$25))</f>
        <v/>
      </c>
      <c r="G119" s="4" t="str">
        <f aca="false">IF(TRIB!G119="","",IF($D119="A",INPUTS!$J$26,INPUTS!$O$26))</f>
        <v/>
      </c>
      <c r="H119" s="4" t="str">
        <f aca="false">IF(TRIB!H119="","",IF($D119="A",INPUTS!$J$27,INPUTS!$O$27))</f>
        <v/>
      </c>
      <c r="I119" s="4" t="str">
        <f aca="false">IF(TRIB!I119="","",IF($D119="A",INPUTS!$J$28,INPUTS!$O$28))</f>
        <v/>
      </c>
      <c r="J119" s="4" t="str">
        <f aca="false">IF(TRIB!J119="","",IF($D119="A",INPUTS!$J$29,INPUTS!$O$29))</f>
        <v>RES</v>
      </c>
      <c r="K119" s="4" t="str">
        <f aca="false">IF(TRIB!K119="","",IF($D119="A",INPUTS!$J$30,INPUTS!$O$30))</f>
        <v/>
      </c>
      <c r="L119" s="4" t="str">
        <f aca="false">IF(TRIB!L119="","",IF($D119="A",INPUTS!$J$31,INPUTS!$O$31))</f>
        <v/>
      </c>
      <c r="M119" s="4" t="str">
        <f aca="false">IF(TRIB!M119="","",IF($D119="A",INPUTS!$J$32,INPUTS!$O$32))</f>
        <v/>
      </c>
      <c r="N119" s="4" t="str">
        <f aca="false">IF(TRIB!N119="","",IF($D119="A",INPUTS!$J$33,INPUTS!$O$33))</f>
        <v/>
      </c>
      <c r="O119" s="4" t="str">
        <f aca="false">IF(TRIB!O119="","",IF($D119="A",INPUTS!$J$34,INPUTS!$O$34))</f>
        <v/>
      </c>
      <c r="P119" s="4" t="str">
        <f aca="false">IF(TRIB!P119="","",IF($D119="A",INPUTS!$J$35,INPUTS!$O$35))</f>
        <v/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4" t="str">
        <f aca="false">IF(TRIB!E120="","",IF($D120="A",INPUTS!$J$24,INPUTS!$O$24))</f>
        <v/>
      </c>
      <c r="F120" s="4" t="str">
        <f aca="false">IF(TRIB!F120="","",IF($D120="A",INPUTS!$J$25,INPUTS!$O$25))</f>
        <v/>
      </c>
      <c r="G120" s="4" t="str">
        <f aca="false">IF(TRIB!G120="","",IF($D120="A",INPUTS!$J$26,INPUTS!$O$26))</f>
        <v/>
      </c>
      <c r="H120" s="4" t="str">
        <f aca="false">IF(TRIB!H120="","",IF($D120="A",INPUTS!$J$27,INPUTS!$O$27))</f>
        <v/>
      </c>
      <c r="I120" s="4" t="str">
        <f aca="false">IF(TRIB!I120="","",IF($D120="A",INPUTS!$J$28,INPUTS!$O$28))</f>
        <v/>
      </c>
      <c r="J120" s="4" t="str">
        <f aca="false">IF(TRIB!J120="","",IF($D120="A",INPUTS!$J$29,INPUTS!$O$29))</f>
        <v>RES</v>
      </c>
      <c r="K120" s="4" t="str">
        <f aca="false">IF(TRIB!K120="","",IF($D120="A",INPUTS!$J$30,INPUTS!$O$30))</f>
        <v/>
      </c>
      <c r="L120" s="4" t="str">
        <f aca="false">IF(TRIB!L120="","",IF($D120="A",INPUTS!$J$31,INPUTS!$O$31))</f>
        <v/>
      </c>
      <c r="M120" s="4" t="str">
        <f aca="false">IF(TRIB!M120="","",IF($D120="A",INPUTS!$J$32,INPUTS!$O$32))</f>
        <v/>
      </c>
      <c r="N120" s="4" t="str">
        <f aca="false">IF(TRIB!N120="","",IF($D120="A",INPUTS!$J$33,INPUTS!$O$33))</f>
        <v/>
      </c>
      <c r="O120" s="4" t="str">
        <f aca="false">IF(TRIB!O120="","",IF($D120="A",INPUTS!$J$34,INPUTS!$O$34))</f>
        <v/>
      </c>
      <c r="P120" s="4" t="str">
        <f aca="false">IF(TRIB!P120="","",IF($D120="A",INPUTS!$J$35,INPUTS!$O$35))</f>
        <v/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4" t="str">
        <f aca="false">IF(TRIB!E121="","",IF($D121="A",INPUTS!$J$24,INPUTS!$O$24))</f>
        <v/>
      </c>
      <c r="F121" s="4" t="str">
        <f aca="false">IF(TRIB!F121="","",IF($D121="A",INPUTS!$J$25,INPUTS!$O$25))</f>
        <v/>
      </c>
      <c r="G121" s="4" t="str">
        <f aca="false">IF(TRIB!G121="","",IF($D121="A",INPUTS!$J$26,INPUTS!$O$26))</f>
        <v/>
      </c>
      <c r="H121" s="4" t="str">
        <f aca="false">IF(TRIB!H121="","",IF($D121="A",INPUTS!$J$27,INPUTS!$O$27))</f>
        <v/>
      </c>
      <c r="I121" s="4" t="str">
        <f aca="false">IF(TRIB!I121="","",IF($D121="A",INPUTS!$J$28,INPUTS!$O$28))</f>
        <v/>
      </c>
      <c r="J121" s="4" t="str">
        <f aca="false">IF(TRIB!J121="","",IF($D121="A",INPUTS!$J$29,INPUTS!$O$29))</f>
        <v>RES</v>
      </c>
      <c r="K121" s="4" t="str">
        <f aca="false">IF(TRIB!K121="","",IF($D121="A",INPUTS!$J$30,INPUTS!$O$30))</f>
        <v/>
      </c>
      <c r="L121" s="4" t="str">
        <f aca="false">IF(TRIB!L121="","",IF($D121="A",INPUTS!$J$31,INPUTS!$O$31))</f>
        <v/>
      </c>
      <c r="M121" s="4" t="str">
        <f aca="false">IF(TRIB!M121="","",IF($D121="A",INPUTS!$J$32,INPUTS!$O$32))</f>
        <v/>
      </c>
      <c r="N121" s="4" t="str">
        <f aca="false">IF(TRIB!N121="","",IF($D121="A",INPUTS!$J$33,INPUTS!$O$33))</f>
        <v/>
      </c>
      <c r="O121" s="4" t="str">
        <f aca="false">IF(TRIB!O121="","",IF($D121="A",INPUTS!$J$34,INPUTS!$O$34))</f>
        <v/>
      </c>
      <c r="P121" s="4" t="str">
        <f aca="false">IF(TRIB!P121="","",IF($D121="A",INPUTS!$J$35,INPUTS!$O$35))</f>
        <v/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4" t="str">
        <f aca="false">IF(TRIB!E122="","",IF($D122="A",INPUTS!$J$24,INPUTS!$O$24))</f>
        <v/>
      </c>
      <c r="F122" s="4" t="str">
        <f aca="false">IF(TRIB!F122="","",IF($D122="A",INPUTS!$J$25,INPUTS!$O$25))</f>
        <v/>
      </c>
      <c r="G122" s="4" t="str">
        <f aca="false">IF(TRIB!G122="","",IF($D122="A",INPUTS!$J$26,INPUTS!$O$26))</f>
        <v/>
      </c>
      <c r="H122" s="4" t="str">
        <f aca="false">IF(TRIB!H122="","",IF($D122="A",INPUTS!$J$27,INPUTS!$O$27))</f>
        <v/>
      </c>
      <c r="I122" s="4" t="str">
        <f aca="false">IF(TRIB!I122="","",IF($D122="A",INPUTS!$J$28,INPUTS!$O$28))</f>
        <v/>
      </c>
      <c r="J122" s="4" t="str">
        <f aca="false">IF(TRIB!J122="","",IF($D122="A",INPUTS!$J$29,INPUTS!$O$29))</f>
        <v>RES</v>
      </c>
      <c r="K122" s="4" t="str">
        <f aca="false">IF(TRIB!K122="","",IF($D122="A",INPUTS!$J$30,INPUTS!$O$30))</f>
        <v/>
      </c>
      <c r="L122" s="4" t="str">
        <f aca="false">IF(TRIB!L122="","",IF($D122="A",INPUTS!$J$31,INPUTS!$O$31))</f>
        <v/>
      </c>
      <c r="M122" s="4" t="str">
        <f aca="false">IF(TRIB!M122="","",IF($D122="A",INPUTS!$J$32,INPUTS!$O$32))</f>
        <v/>
      </c>
      <c r="N122" s="4" t="str">
        <f aca="false">IF(TRIB!N122="","",IF($D122="A",INPUTS!$J$33,INPUTS!$O$33))</f>
        <v/>
      </c>
      <c r="O122" s="4" t="str">
        <f aca="false">IF(TRIB!O122="","",IF($D122="A",INPUTS!$J$34,INPUTS!$O$34))</f>
        <v/>
      </c>
      <c r="P122" s="4" t="str">
        <f aca="false">IF(TRIB!P122="","",IF($D122="A",INPUTS!$J$35,INPUTS!$O$35))</f>
        <v/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4" t="str">
        <f aca="false">IF(TRIB!E123="","",IF($D123="A",INPUTS!$J$24,INPUTS!$O$24))</f>
        <v/>
      </c>
      <c r="F123" s="4" t="str">
        <f aca="false">IF(TRIB!F123="","",IF($D123="A",INPUTS!$J$25,INPUTS!$O$25))</f>
        <v/>
      </c>
      <c r="G123" s="4" t="str">
        <f aca="false">IF(TRIB!G123="","",IF($D123="A",INPUTS!$J$26,INPUTS!$O$26))</f>
        <v/>
      </c>
      <c r="H123" s="4" t="str">
        <f aca="false">IF(TRIB!H123="","",IF($D123="A",INPUTS!$J$27,INPUTS!$O$27))</f>
        <v/>
      </c>
      <c r="I123" s="4" t="str">
        <f aca="false">IF(TRIB!I123="","",IF($D123="A",INPUTS!$J$28,INPUTS!$O$28))</f>
        <v/>
      </c>
      <c r="J123" s="4" t="str">
        <f aca="false">IF(TRIB!J123="","",IF($D123="A",INPUTS!$J$29,INPUTS!$O$29))</f>
        <v>RES</v>
      </c>
      <c r="K123" s="4" t="str">
        <f aca="false">IF(TRIB!K123="","",IF($D123="A",INPUTS!$J$30,INPUTS!$O$30))</f>
        <v/>
      </c>
      <c r="L123" s="4" t="str">
        <f aca="false">IF(TRIB!L123="","",IF($D123="A",INPUTS!$J$31,INPUTS!$O$31))</f>
        <v/>
      </c>
      <c r="M123" s="4" t="str">
        <f aca="false">IF(TRIB!M123="","",IF($D123="A",INPUTS!$J$32,INPUTS!$O$32))</f>
        <v/>
      </c>
      <c r="N123" s="4" t="str">
        <f aca="false">IF(TRIB!N123="","",IF($D123="A",INPUTS!$J$33,INPUTS!$O$33))</f>
        <v/>
      </c>
      <c r="O123" s="4" t="str">
        <f aca="false">IF(TRIB!O123="","",IF($D123="A",INPUTS!$J$34,INPUTS!$O$34))</f>
        <v/>
      </c>
      <c r="P123" s="4" t="str">
        <f aca="false">IF(TRIB!P123="","",IF($D123="A",INPUTS!$J$35,INPUTS!$O$35))</f>
        <v/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4" t="str">
        <f aca="false">IF(TRIB!E124="","",IF($D124="A",INPUTS!$J$24,INPUTS!$O$24))</f>
        <v/>
      </c>
      <c r="F124" s="4" t="str">
        <f aca="false">IF(TRIB!F124="","",IF($D124="A",INPUTS!$J$25,INPUTS!$O$25))</f>
        <v/>
      </c>
      <c r="G124" s="4" t="str">
        <f aca="false">IF(TRIB!G124="","",IF($D124="A",INPUTS!$J$26,INPUTS!$O$26))</f>
        <v/>
      </c>
      <c r="H124" s="4" t="str">
        <f aca="false">IF(TRIB!H124="","",IF($D124="A",INPUTS!$J$27,INPUTS!$O$27))</f>
        <v/>
      </c>
      <c r="I124" s="4" t="str">
        <f aca="false">IF(TRIB!I124="","",IF($D124="A",INPUTS!$J$28,INPUTS!$O$28))</f>
        <v/>
      </c>
      <c r="J124" s="4" t="str">
        <f aca="false">IF(TRIB!J124="","",IF($D124="A",INPUTS!$J$29,INPUTS!$O$29))</f>
        <v>RES</v>
      </c>
      <c r="K124" s="4" t="str">
        <f aca="false">IF(TRIB!K124="","",IF($D124="A",INPUTS!$J$30,INPUTS!$O$30))</f>
        <v/>
      </c>
      <c r="L124" s="4" t="str">
        <f aca="false">IF(TRIB!L124="","",IF($D124="A",INPUTS!$J$31,INPUTS!$O$31))</f>
        <v/>
      </c>
      <c r="M124" s="4" t="str">
        <f aca="false">IF(TRIB!M124="","",IF($D124="A",INPUTS!$J$32,INPUTS!$O$32))</f>
        <v/>
      </c>
      <c r="N124" s="4" t="str">
        <f aca="false">IF(TRIB!N124="","",IF($D124="A",INPUTS!$J$33,INPUTS!$O$33))</f>
        <v/>
      </c>
      <c r="O124" s="4" t="str">
        <f aca="false">IF(TRIB!O124="","",IF($D124="A",INPUTS!$J$34,INPUTS!$O$34))</f>
        <v/>
      </c>
      <c r="P124" s="4" t="str">
        <f aca="false">IF(TRIB!P124="","",IF($D124="A",INPUTS!$J$35,INPUTS!$O$35))</f>
        <v/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4" t="str">
        <f aca="false">IF(TRIB!E125="","",IF($D125="A",INPUTS!$J$24,INPUTS!$O$24))</f>
        <v/>
      </c>
      <c r="F125" s="4" t="str">
        <f aca="false">IF(TRIB!F125="","",IF($D125="A",INPUTS!$J$25,INPUTS!$O$25))</f>
        <v/>
      </c>
      <c r="G125" s="4" t="str">
        <f aca="false">IF(TRIB!G125="","",IF($D125="A",INPUTS!$J$26,INPUTS!$O$26))</f>
        <v/>
      </c>
      <c r="H125" s="4" t="str">
        <f aca="false">IF(TRIB!H125="","",IF($D125="A",INPUTS!$J$27,INPUTS!$O$27))</f>
        <v/>
      </c>
      <c r="I125" s="4" t="str">
        <f aca="false">IF(TRIB!I125="","",IF($D125="A",INPUTS!$J$28,INPUTS!$O$28))</f>
        <v/>
      </c>
      <c r="J125" s="4" t="str">
        <f aca="false">IF(TRIB!J125="","",IF($D125="A",INPUTS!$J$29,INPUTS!$O$29))</f>
        <v>RES</v>
      </c>
      <c r="K125" s="4" t="str">
        <f aca="false">IF(TRIB!K125="","",IF($D125="A",INPUTS!$J$30,INPUTS!$O$30))</f>
        <v/>
      </c>
      <c r="L125" s="4" t="str">
        <f aca="false">IF(TRIB!L125="","",IF($D125="A",INPUTS!$J$31,INPUTS!$O$31))</f>
        <v/>
      </c>
      <c r="M125" s="4" t="str">
        <f aca="false">IF(TRIB!M125="","",IF($D125="A",INPUTS!$J$32,INPUTS!$O$32))</f>
        <v/>
      </c>
      <c r="N125" s="4" t="str">
        <f aca="false">IF(TRIB!N125="","",IF($D125="A",INPUTS!$J$33,INPUTS!$O$33))</f>
        <v/>
      </c>
      <c r="O125" s="4" t="str">
        <f aca="false">IF(TRIB!O125="","",IF($D125="A",INPUTS!$J$34,INPUTS!$O$34))</f>
        <v/>
      </c>
      <c r="P125" s="4" t="str">
        <f aca="false">IF(TRIB!P125="","",IF($D125="A",INPUTS!$J$35,INPUTS!$O$35))</f>
        <v/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4" t="str">
        <f aca="false">IF(TRIB!E126="","",IF($D126="A",INPUTS!$J$24,INPUTS!$O$24))</f>
        <v/>
      </c>
      <c r="F126" s="4" t="str">
        <f aca="false">IF(TRIB!F126="","",IF($D126="A",INPUTS!$J$25,INPUTS!$O$25))</f>
        <v/>
      </c>
      <c r="G126" s="4" t="str">
        <f aca="false">IF(TRIB!G126="","",IF($D126="A",INPUTS!$J$26,INPUTS!$O$26))</f>
        <v/>
      </c>
      <c r="H126" s="4" t="str">
        <f aca="false">IF(TRIB!H126="","",IF($D126="A",INPUTS!$J$27,INPUTS!$O$27))</f>
        <v/>
      </c>
      <c r="I126" s="4" t="str">
        <f aca="false">IF(TRIB!I126="","",IF($D126="A",INPUTS!$J$28,INPUTS!$O$28))</f>
        <v/>
      </c>
      <c r="J126" s="4" t="str">
        <f aca="false">IF(TRIB!J126="","",IF($D126="A",INPUTS!$J$29,INPUTS!$O$29))</f>
        <v>RES</v>
      </c>
      <c r="K126" s="4" t="str">
        <f aca="false">IF(TRIB!K126="","",IF($D126="A",INPUTS!$J$30,INPUTS!$O$30))</f>
        <v/>
      </c>
      <c r="L126" s="4" t="str">
        <f aca="false">IF(TRIB!L126="","",IF($D126="A",INPUTS!$J$31,INPUTS!$O$31))</f>
        <v/>
      </c>
      <c r="M126" s="4" t="str">
        <f aca="false">IF(TRIB!M126="","",IF($D126="A",INPUTS!$J$32,INPUTS!$O$32))</f>
        <v/>
      </c>
      <c r="N126" s="4" t="str">
        <f aca="false">IF(TRIB!N126="","",IF($D126="A",INPUTS!$J$33,INPUTS!$O$33))</f>
        <v/>
      </c>
      <c r="O126" s="4" t="str">
        <f aca="false">IF(TRIB!O126="","",IF($D126="A",INPUTS!$J$34,INPUTS!$O$34))</f>
        <v/>
      </c>
      <c r="P126" s="4" t="str">
        <f aca="false">IF(TRIB!P126="","",IF($D126="A",INPUTS!$J$35,INPUTS!$O$35))</f>
        <v/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4" t="str">
        <f aca="false">IF(TRIB!E127="","",IF($D127="A",INPUTS!$J$24,INPUTS!$O$24))</f>
        <v/>
      </c>
      <c r="F127" s="4" t="str">
        <f aca="false">IF(TRIB!F127="","",IF($D127="A",INPUTS!$J$25,INPUTS!$O$25))</f>
        <v/>
      </c>
      <c r="G127" s="4" t="str">
        <f aca="false">IF(TRIB!G127="","",IF($D127="A",INPUTS!$J$26,INPUTS!$O$26))</f>
        <v/>
      </c>
      <c r="H127" s="4" t="str">
        <f aca="false">IF(TRIB!H127="","",IF($D127="A",INPUTS!$J$27,INPUTS!$O$27))</f>
        <v/>
      </c>
      <c r="I127" s="4" t="str">
        <f aca="false">IF(TRIB!I127="","",IF($D127="A",INPUTS!$J$28,INPUTS!$O$28))</f>
        <v/>
      </c>
      <c r="J127" s="4" t="str">
        <f aca="false">IF(TRIB!J127="","",IF($D127="A",INPUTS!$J$29,INPUTS!$O$29))</f>
        <v>RES</v>
      </c>
      <c r="K127" s="4" t="str">
        <f aca="false">IF(TRIB!K127="","",IF($D127="A",INPUTS!$J$30,INPUTS!$O$30))</f>
        <v/>
      </c>
      <c r="L127" s="4" t="str">
        <f aca="false">IF(TRIB!L127="","",IF($D127="A",INPUTS!$J$31,INPUTS!$O$31))</f>
        <v/>
      </c>
      <c r="M127" s="4" t="str">
        <f aca="false">IF(TRIB!M127="","",IF($D127="A",INPUTS!$J$32,INPUTS!$O$32))</f>
        <v/>
      </c>
      <c r="N127" s="4" t="str">
        <f aca="false">IF(TRIB!N127="","",IF($D127="A",INPUTS!$J$33,INPUTS!$O$33))</f>
        <v/>
      </c>
      <c r="O127" s="4" t="str">
        <f aca="false">IF(TRIB!O127="","",IF($D127="A",INPUTS!$J$34,INPUTS!$O$34))</f>
        <v/>
      </c>
      <c r="P127" s="4" t="str">
        <f aca="false">IF(TRIB!P127="","",IF($D127="A",INPUTS!$J$35,INPUTS!$O$35))</f>
        <v/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4" t="str">
        <f aca="false">IF(TRIB!E128="","",IF($D128="A",INPUTS!$J$24,INPUTS!$O$24))</f>
        <v/>
      </c>
      <c r="F128" s="4" t="str">
        <f aca="false">IF(TRIB!F128="","",IF($D128="A",INPUTS!$J$25,INPUTS!$O$25))</f>
        <v/>
      </c>
      <c r="G128" s="4" t="str">
        <f aca="false">IF(TRIB!G128="","",IF($D128="A",INPUTS!$J$26,INPUTS!$O$26))</f>
        <v/>
      </c>
      <c r="H128" s="4" t="str">
        <f aca="false">IF(TRIB!H128="","",IF($D128="A",INPUTS!$J$27,INPUTS!$O$27))</f>
        <v/>
      </c>
      <c r="I128" s="4" t="str">
        <f aca="false">IF(TRIB!I128="","",IF($D128="A",INPUTS!$J$28,INPUTS!$O$28))</f>
        <v/>
      </c>
      <c r="J128" s="4" t="str">
        <f aca="false">IF(TRIB!J128="","",IF($D128="A",INPUTS!$J$29,INPUTS!$O$29))</f>
        <v>RES</v>
      </c>
      <c r="K128" s="4" t="str">
        <f aca="false">IF(TRIB!K128="","",IF($D128="A",INPUTS!$J$30,INPUTS!$O$30))</f>
        <v/>
      </c>
      <c r="L128" s="4" t="str">
        <f aca="false">IF(TRIB!L128="","",IF($D128="A",INPUTS!$J$31,INPUTS!$O$31))</f>
        <v/>
      </c>
      <c r="M128" s="4" t="str">
        <f aca="false">IF(TRIB!M128="","",IF($D128="A",INPUTS!$J$32,INPUTS!$O$32))</f>
        <v/>
      </c>
      <c r="N128" s="4" t="str">
        <f aca="false">IF(TRIB!N128="","",IF($D128="A",INPUTS!$J$33,INPUTS!$O$33))</f>
        <v/>
      </c>
      <c r="O128" s="4" t="str">
        <f aca="false">IF(TRIB!O128="","",IF($D128="A",INPUTS!$J$34,INPUTS!$O$34))</f>
        <v/>
      </c>
      <c r="P128" s="4" t="str">
        <f aca="false">IF(TRIB!P128="","",IF($D128="A",INPUTS!$J$35,INPUTS!$O$35))</f>
        <v/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4" t="str">
        <f aca="false">IF(TRIB!E129="","",IF($D129="A",INPUTS!$J$24,INPUTS!$O$24))</f>
        <v/>
      </c>
      <c r="F129" s="4" t="str">
        <f aca="false">IF(TRIB!F129="","",IF($D129="A",INPUTS!$J$25,INPUTS!$O$25))</f>
        <v/>
      </c>
      <c r="G129" s="4" t="str">
        <f aca="false">IF(TRIB!G129="","",IF($D129="A",INPUTS!$J$26,INPUTS!$O$26))</f>
        <v/>
      </c>
      <c r="H129" s="4" t="str">
        <f aca="false">IF(TRIB!H129="","",IF($D129="A",INPUTS!$J$27,INPUTS!$O$27))</f>
        <v/>
      </c>
      <c r="I129" s="4" t="str">
        <f aca="false">IF(TRIB!I129="","",IF($D129="A",INPUTS!$J$28,INPUTS!$O$28))</f>
        <v/>
      </c>
      <c r="J129" s="4" t="str">
        <f aca="false">IF(TRIB!J129="","",IF($D129="A",INPUTS!$J$29,INPUTS!$O$29))</f>
        <v>RES</v>
      </c>
      <c r="K129" s="4" t="str">
        <f aca="false">IF(TRIB!K129="","",IF($D129="A",INPUTS!$J$30,INPUTS!$O$30))</f>
        <v/>
      </c>
      <c r="L129" s="4" t="str">
        <f aca="false">IF(TRIB!L129="","",IF($D129="A",INPUTS!$J$31,INPUTS!$O$31))</f>
        <v/>
      </c>
      <c r="M129" s="4" t="str">
        <f aca="false">IF(TRIB!M129="","",IF($D129="A",INPUTS!$J$32,INPUTS!$O$32))</f>
        <v/>
      </c>
      <c r="N129" s="4" t="str">
        <f aca="false">IF(TRIB!N129="","",IF($D129="A",INPUTS!$J$33,INPUTS!$O$33))</f>
        <v/>
      </c>
      <c r="O129" s="4" t="str">
        <f aca="false">IF(TRIB!O129="","",IF($D129="A",INPUTS!$J$34,INPUTS!$O$34))</f>
        <v/>
      </c>
      <c r="P129" s="4" t="str">
        <f aca="false">IF(TRIB!P129="","",IF($D129="A",INPUTS!$J$35,INPUTS!$O$35))</f>
        <v/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4" t="str">
        <f aca="false">IF(TRIB!E130="","",IF($D130="A",INPUTS!$J$24,INPUTS!$O$24))</f>
        <v/>
      </c>
      <c r="F130" s="4" t="str">
        <f aca="false">IF(TRIB!F130="","",IF($D130="A",INPUTS!$J$25,INPUTS!$O$25))</f>
        <v/>
      </c>
      <c r="G130" s="4" t="str">
        <f aca="false">IF(TRIB!G130="","",IF($D130="A",INPUTS!$J$26,INPUTS!$O$26))</f>
        <v/>
      </c>
      <c r="H130" s="4" t="str">
        <f aca="false">IF(TRIB!H130="","",IF($D130="A",INPUTS!$J$27,INPUTS!$O$27))</f>
        <v/>
      </c>
      <c r="I130" s="4" t="str">
        <f aca="false">IF(TRIB!I130="","",IF($D130="A",INPUTS!$J$28,INPUTS!$O$28))</f>
        <v/>
      </c>
      <c r="J130" s="4" t="str">
        <f aca="false">IF(TRIB!J130="","",IF($D130="A",INPUTS!$J$29,INPUTS!$O$29))</f>
        <v>RES</v>
      </c>
      <c r="K130" s="4" t="str">
        <f aca="false">IF(TRIB!K130="","",IF($D130="A",INPUTS!$J$30,INPUTS!$O$30))</f>
        <v/>
      </c>
      <c r="L130" s="4" t="str">
        <f aca="false">IF(TRIB!L130="","",IF($D130="A",INPUTS!$J$31,INPUTS!$O$31))</f>
        <v/>
      </c>
      <c r="M130" s="4" t="str">
        <f aca="false">IF(TRIB!M130="","",IF($D130="A",INPUTS!$J$32,INPUTS!$O$32))</f>
        <v/>
      </c>
      <c r="N130" s="4" t="str">
        <f aca="false">IF(TRIB!N130="","",IF($D130="A",INPUTS!$J$33,INPUTS!$O$33))</f>
        <v/>
      </c>
      <c r="O130" s="4" t="str">
        <f aca="false">IF(TRIB!O130="","",IF($D130="A",INPUTS!$J$34,INPUTS!$O$34))</f>
        <v/>
      </c>
      <c r="P130" s="4" t="str">
        <f aca="false">IF(TRIB!P130="","",IF($D130="A",INPUTS!$J$35,INPUTS!$O$35))</f>
        <v/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4" t="str">
        <f aca="false">IF(TRIB!E131="","",IF($D131="A",INPUTS!$J$24,INPUTS!$O$24))</f>
        <v/>
      </c>
      <c r="F131" s="4" t="str">
        <f aca="false">IF(TRIB!F131="","",IF($D131="A",INPUTS!$J$25,INPUTS!$O$25))</f>
        <v/>
      </c>
      <c r="G131" s="4" t="str">
        <f aca="false">IF(TRIB!G131="","",IF($D131="A",INPUTS!$J$26,INPUTS!$O$26))</f>
        <v/>
      </c>
      <c r="H131" s="4" t="str">
        <f aca="false">IF(TRIB!H131="","",IF($D131="A",INPUTS!$J$27,INPUTS!$O$27))</f>
        <v/>
      </c>
      <c r="I131" s="4" t="str">
        <f aca="false">IF(TRIB!I131="","",IF($D131="A",INPUTS!$J$28,INPUTS!$O$28))</f>
        <v/>
      </c>
      <c r="J131" s="4" t="str">
        <f aca="false">IF(TRIB!J131="","",IF($D131="A",INPUTS!$J$29,INPUTS!$O$29))</f>
        <v>RES</v>
      </c>
      <c r="K131" s="4" t="str">
        <f aca="false">IF(TRIB!K131="","",IF($D131="A",INPUTS!$J$30,INPUTS!$O$30))</f>
        <v/>
      </c>
      <c r="L131" s="4" t="str">
        <f aca="false">IF(TRIB!L131="","",IF($D131="A",INPUTS!$J$31,INPUTS!$O$31))</f>
        <v/>
      </c>
      <c r="M131" s="4" t="str">
        <f aca="false">IF(TRIB!M131="","",IF($D131="A",INPUTS!$J$32,INPUTS!$O$32))</f>
        <v/>
      </c>
      <c r="N131" s="4" t="str">
        <f aca="false">IF(TRIB!N131="","",IF($D131="A",INPUTS!$J$33,INPUTS!$O$33))</f>
        <v/>
      </c>
      <c r="O131" s="4" t="str">
        <f aca="false">IF(TRIB!O131="","",IF($D131="A",INPUTS!$J$34,INPUTS!$O$34))</f>
        <v/>
      </c>
      <c r="P131" s="4" t="str">
        <f aca="false">IF(TRIB!P131="","",IF($D131="A",INPUTS!$J$35,INPUTS!$O$35))</f>
        <v/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4" t="str">
        <f aca="false">IF(TRIB!E132="","",IF($D132="A",INPUTS!$J$24,INPUTS!$O$24))</f>
        <v/>
      </c>
      <c r="F132" s="4" t="str">
        <f aca="false">IF(TRIB!F132="","",IF($D132="A",INPUTS!$J$25,INPUTS!$O$25))</f>
        <v/>
      </c>
      <c r="G132" s="4" t="str">
        <f aca="false">IF(TRIB!G132="","",IF($D132="A",INPUTS!$J$26,INPUTS!$O$26))</f>
        <v/>
      </c>
      <c r="H132" s="4" t="str">
        <f aca="false">IF(TRIB!H132="","",IF($D132="A",INPUTS!$J$27,INPUTS!$O$27))</f>
        <v/>
      </c>
      <c r="I132" s="4" t="str">
        <f aca="false">IF(TRIB!I132="","",IF($D132="A",INPUTS!$J$28,INPUTS!$O$28))</f>
        <v/>
      </c>
      <c r="J132" s="4" t="str">
        <f aca="false">IF(TRIB!J132="","",IF($D132="A",INPUTS!$J$29,INPUTS!$O$29))</f>
        <v>RES</v>
      </c>
      <c r="K132" s="4" t="str">
        <f aca="false">IF(TRIB!K132="","",IF($D132="A",INPUTS!$J$30,INPUTS!$O$30))</f>
        <v/>
      </c>
      <c r="L132" s="4" t="str">
        <f aca="false">IF(TRIB!L132="","",IF($D132="A",INPUTS!$J$31,INPUTS!$O$31))</f>
        <v/>
      </c>
      <c r="M132" s="4" t="str">
        <f aca="false">IF(TRIB!M132="","",IF($D132="A",INPUTS!$J$32,INPUTS!$O$32))</f>
        <v/>
      </c>
      <c r="N132" s="4" t="str">
        <f aca="false">IF(TRIB!N132="","",IF($D132="A",INPUTS!$J$33,INPUTS!$O$33))</f>
        <v/>
      </c>
      <c r="O132" s="4" t="str">
        <f aca="false">IF(TRIB!O132="","",IF($D132="A",INPUTS!$J$34,INPUTS!$O$34))</f>
        <v/>
      </c>
      <c r="P132" s="4" t="str">
        <f aca="false">IF(TRIB!P132="","",IF($D132="A",INPUTS!$J$35,INPUTS!$O$35))</f>
        <v/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4" t="str">
        <f aca="false">IF(TRIB!E133="","",IF($D133="A",INPUTS!$J$24,INPUTS!$O$24))</f>
        <v/>
      </c>
      <c r="F133" s="4" t="str">
        <f aca="false">IF(TRIB!F133="","",IF($D133="A",INPUTS!$J$25,INPUTS!$O$25))</f>
        <v/>
      </c>
      <c r="G133" s="4" t="str">
        <f aca="false">IF(TRIB!G133="","",IF($D133="A",INPUTS!$J$26,INPUTS!$O$26))</f>
        <v/>
      </c>
      <c r="H133" s="4" t="str">
        <f aca="false">IF(TRIB!H133="","",IF($D133="A",INPUTS!$J$27,INPUTS!$O$27))</f>
        <v/>
      </c>
      <c r="I133" s="4" t="str">
        <f aca="false">IF(TRIB!I133="","",IF($D133="A",INPUTS!$J$28,INPUTS!$O$28))</f>
        <v>RES</v>
      </c>
      <c r="J133" s="4" t="str">
        <f aca="false">IF(TRIB!J133="","",IF($D133="A",INPUTS!$J$29,INPUTS!$O$29))</f>
        <v/>
      </c>
      <c r="K133" s="4" t="str">
        <f aca="false">IF(TRIB!K133="","",IF($D133="A",INPUTS!$J$30,INPUTS!$O$30))</f>
        <v/>
      </c>
      <c r="L133" s="4" t="str">
        <f aca="false">IF(TRIB!L133="","",IF($D133="A",INPUTS!$J$31,INPUTS!$O$31))</f>
        <v/>
      </c>
      <c r="M133" s="4" t="str">
        <f aca="false">IF(TRIB!M133="","",IF($D133="A",INPUTS!$J$32,INPUTS!$O$32))</f>
        <v/>
      </c>
      <c r="N133" s="4" t="str">
        <f aca="false">IF(TRIB!N133="","",IF($D133="A",INPUTS!$J$33,INPUTS!$O$33))</f>
        <v/>
      </c>
      <c r="O133" s="4" t="str">
        <f aca="false">IF(TRIB!O133="","",IF($D133="A",INPUTS!$J$34,INPUTS!$O$34))</f>
        <v/>
      </c>
      <c r="P133" s="4" t="str">
        <f aca="false">IF(TRIB!P133="","",IF($D133="A",INPUTS!$J$35,INPUTS!$O$35))</f>
        <v/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4" t="str">
        <f aca="false">IF(TRIB!E134="","",IF($D134="A",INPUTS!$J$24,INPUTS!$O$24))</f>
        <v/>
      </c>
      <c r="F134" s="4" t="str">
        <f aca="false">IF(TRIB!F134="","",IF($D134="A",INPUTS!$J$25,INPUTS!$O$25))</f>
        <v/>
      </c>
      <c r="G134" s="4" t="str">
        <f aca="false">IF(TRIB!G134="","",IF($D134="A",INPUTS!$J$26,INPUTS!$O$26))</f>
        <v/>
      </c>
      <c r="H134" s="4" t="str">
        <f aca="false">IF(TRIB!H134="","",IF($D134="A",INPUTS!$J$27,INPUTS!$O$27))</f>
        <v/>
      </c>
      <c r="I134" s="4" t="str">
        <f aca="false">IF(TRIB!I134="","",IF($D134="A",INPUTS!$J$28,INPUTS!$O$28))</f>
        <v>RES</v>
      </c>
      <c r="J134" s="4" t="str">
        <f aca="false">IF(TRIB!J134="","",IF($D134="A",INPUTS!$J$29,INPUTS!$O$29))</f>
        <v/>
      </c>
      <c r="K134" s="4" t="str">
        <f aca="false">IF(TRIB!K134="","",IF($D134="A",INPUTS!$J$30,INPUTS!$O$30))</f>
        <v/>
      </c>
      <c r="L134" s="4" t="str">
        <f aca="false">IF(TRIB!L134="","",IF($D134="A",INPUTS!$J$31,INPUTS!$O$31))</f>
        <v/>
      </c>
      <c r="M134" s="4" t="str">
        <f aca="false">IF(TRIB!M134="","",IF($D134="A",INPUTS!$J$32,INPUTS!$O$32))</f>
        <v/>
      </c>
      <c r="N134" s="4" t="str">
        <f aca="false">IF(TRIB!N134="","",IF($D134="A",INPUTS!$J$33,INPUTS!$O$33))</f>
        <v/>
      </c>
      <c r="O134" s="4" t="str">
        <f aca="false">IF(TRIB!O134="","",IF($D134="A",INPUTS!$J$34,INPUTS!$O$34))</f>
        <v/>
      </c>
      <c r="P134" s="4" t="str">
        <f aca="false">IF(TRIB!P134="","",IF($D134="A",INPUTS!$J$35,INPUTS!$O$35))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266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9" t="n">
        <f aca="false">IF(TRIB!E2="",0,(TRIB!E2*IF($D2="A",(INPUTS!$G$24/12*INPUTS!$B$12+INPUTS!$H$24),(INPUTS!$L$24/12*INPUTS!$B$12+INPUTS!$M$24))+IF(FACADE!E2="",0,FACADE!E2)*INPUTS!$B$15)/1000+ARCH_AG!E2/144*INPUTS!$B$12*INPUTS!$C$24/1000)</f>
        <v>0</v>
      </c>
      <c r="F2" s="9" t="n">
        <f aca="false">IF(TRIB!F2="",0,(TRIB!F2*IF($D2="A",(INPUTS!$G$25/12*INPUTS!$B$12+INPUTS!$H$25),(INPUTS!$L$25/12*INPUTS!$B$12+INPUTS!$M$25))+IF(FACADE!F2="",0,FACADE!F2)*INPUTS!$B$15)/1000+ARCH_AG!F2/144*INPUTS!$B$12*INPUTS!$C$25/1000)</f>
        <v>56.0275</v>
      </c>
      <c r="G2" s="9" t="n">
        <f aca="false">IF(TRIB!G2="",0,(TRIB!G2*IF($D2="A",(INPUTS!$G$26/12*INPUTS!$B$12+INPUTS!$H$26),(INPUTS!$L$26/12*INPUTS!$B$12+INPUTS!$M$26))+IF(FACADE!G2="",0,FACADE!G2)*INPUTS!$B$15)/1000+ARCH_AG!G2/144*INPUTS!$B$12*INPUTS!$C$26/1000)</f>
        <v>29.7225</v>
      </c>
      <c r="H2" s="9" t="n">
        <f aca="false">IF(TRIB!H2="",0,(TRIB!H2*IF($D2="A",(INPUTS!$G$27/12*INPUTS!$B$12+INPUTS!$H$27),(INPUTS!$L$27/12*INPUTS!$B$12+INPUTS!$M$27))+IF(FACADE!H2="",0,FACADE!H2)*INPUTS!$B$15)/1000+ARCH_AG!H2/144*INPUTS!$B$12*INPUTS!$C$27/1000)</f>
        <v>29.7525</v>
      </c>
      <c r="I2" s="9" t="n">
        <f aca="false">IF(TRIB!I2="",0,(TRIB!I2*IF($D2="A",(INPUTS!$G$28/12*INPUTS!$B$12+INPUTS!$H$28),(INPUTS!$L$28/12*INPUTS!$B$12+INPUTS!$M$28))+IF(FACADE!I2="",0,FACADE!I2)*INPUTS!$B$15)/1000+ARCH_AG!I2/144*INPUTS!$B$12*INPUTS!$C$28/1000)</f>
        <v>29.7525</v>
      </c>
      <c r="J2" s="9" t="n">
        <f aca="false">IF(TRIB!J2="",0,(TRIB!J2*IF($D2="A",(INPUTS!$G$29/12*INPUTS!$B$12+INPUTS!$H$29),(INPUTS!$L$29/12*INPUTS!$B$12+INPUTS!$M$29))+IF(FACADE!J2="",0,FACADE!J2)*INPUTS!$B$15)/1000+ARCH_AG!J2/144*INPUTS!$B$12*INPUTS!$C$29/1000)</f>
        <v>29.8725</v>
      </c>
      <c r="K2" s="9" t="n">
        <f aca="false">IF(TRIB!K2="",0,(TRIB!K2*IF($D2="A",(INPUTS!$G$30/12*INPUTS!$B$12+INPUTS!$H$30),(INPUTS!$L$30/12*INPUTS!$B$12+INPUTS!$M$30))+IF(FACADE!K2="",0,FACADE!K2)*INPUTS!$B$15)/1000+ARCH_AG!K2/144*INPUTS!$B$12*INPUTS!$C$30/1000)</f>
        <v>28.3425</v>
      </c>
      <c r="L2" s="9" t="n">
        <f aca="false">IF(TRIB!L2="",0,(TRIB!L2*IF($D2="A",(INPUTS!$G$31/12*INPUTS!$B$12+INPUTS!$H$31),(INPUTS!$L$31/12*INPUTS!$B$12+INPUTS!$M$31))+IF(FACADE!L2="",0,FACADE!L2)*INPUTS!$B$15)/1000+ARCH_AG!L2/144*INPUTS!$B$12*INPUTS!$C$31/1000)</f>
        <v>28.3425</v>
      </c>
      <c r="M2" s="9" t="n">
        <f aca="false">IF(TRIB!M2="",0,(TRIB!M2*IF($D2="A",(INPUTS!$G$32/12*INPUTS!$B$12+INPUTS!$H$32),(INPUTS!$L$32/12*INPUTS!$B$12+INPUTS!$M$32))+IF(FACADE!M2="",0,FACADE!M2)*INPUTS!$B$15)/1000+ARCH_AG!M2/144*INPUTS!$B$12*INPUTS!$C$32/1000)</f>
        <v>28.3425</v>
      </c>
      <c r="N2" s="9" t="n">
        <f aca="false">IF(TRIB!N2="",0,(TRIB!N2*IF($D2="A",(INPUTS!$G$33/12*INPUTS!$B$12+INPUTS!$H$33),(INPUTS!$L$33/12*INPUTS!$B$12+INPUTS!$M$33))+IF(FACADE!N2="",0,FACADE!N2)*INPUTS!$B$15)/1000+ARCH_AG!N2/144*INPUTS!$B$12*INPUTS!$C$33/1000)</f>
        <v>28.3425</v>
      </c>
      <c r="O2" s="9" t="n">
        <f aca="false">IF(TRIB!O2="",0,(TRIB!O2*IF($D2="A",(INPUTS!$G$34/12*INPUTS!$B$12+INPUTS!$H$34),(INPUTS!$L$34/12*INPUTS!$B$12+INPUTS!$M$34))+IF(FACADE!O2="",0,FACADE!O2)*INPUTS!$B$15)/1000+ARCH_AG!O2/144*INPUTS!$B$12*INPUTS!$C$34/1000)</f>
        <v>28.3425</v>
      </c>
      <c r="P2" s="9" t="n">
        <f aca="false">IF(TRIB!P2="",0,(TRIB!P2*IF($D2="A",(INPUTS!$G$35/12*INPUTS!$B$12+INPUTS!$H$35),(INPUTS!$L$35/12*INPUTS!$B$12+INPUTS!$M$35))+IF(FACADE!P2="",0,FACADE!P2)*INPUTS!$B$15)/1000+ARCH_AG!P2/144*INPUTS!$B$12*INPUTS!$C$35/1000)</f>
        <v>29.13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9" t="n">
        <f aca="false">IF(TRIB!E3="",0,(TRIB!E3*IF($D3="A",(INPUTS!$G$24/12*INPUTS!$B$12+INPUTS!$H$24),(INPUTS!$L$24/12*INPUTS!$B$12+INPUTS!$M$24))+IF(FACADE!E3="",0,FACADE!E3)*INPUTS!$B$15)/1000+ARCH_AG!E3/144*INPUTS!$B$12*INPUTS!$C$24/1000)</f>
        <v>0</v>
      </c>
      <c r="F3" s="9" t="n">
        <f aca="false">IF(TRIB!F3="",0,(TRIB!F3*IF($D3="A",(INPUTS!$G$25/12*INPUTS!$B$12+INPUTS!$H$25),(INPUTS!$L$25/12*INPUTS!$B$12+INPUTS!$M$25))+IF(FACADE!F3="",0,FACADE!F3)*INPUTS!$B$15)/1000+ARCH_AG!F3/144*INPUTS!$B$12*INPUTS!$C$25/1000)</f>
        <v>0</v>
      </c>
      <c r="G3" s="9" t="n">
        <f aca="false">IF(TRIB!G3="",0,(TRIB!G3*IF($D3="A",(INPUTS!$G$26/12*INPUTS!$B$12+INPUTS!$H$26),(INPUTS!$L$26/12*INPUTS!$B$12+INPUTS!$M$26))+IF(FACADE!G3="",0,FACADE!G3)*INPUTS!$B$15)/1000+ARCH_AG!G3/144*INPUTS!$B$12*INPUTS!$C$26/1000)</f>
        <v>45.2980084294039</v>
      </c>
      <c r="H3" s="9" t="n">
        <f aca="false">IF(TRIB!H3="",0,(TRIB!H3*IF($D3="A",(INPUTS!$G$27/12*INPUTS!$B$12+INPUTS!$H$27),(INPUTS!$L$27/12*INPUTS!$B$12+INPUTS!$M$27))+IF(FACADE!H3="",0,FACADE!H3)*INPUTS!$B$15)/1000+ARCH_AG!H3/144*INPUTS!$B$12*INPUTS!$C$27/1000)</f>
        <v>45.1780084294039</v>
      </c>
      <c r="I3" s="9" t="n">
        <f aca="false">IF(TRIB!I3="",0,(TRIB!I3*IF($D3="A",(INPUTS!$G$28/12*INPUTS!$B$12+INPUTS!$H$28),(INPUTS!$L$28/12*INPUTS!$B$12+INPUTS!$M$28))+IF(FACADE!I3="",0,FACADE!I3)*INPUTS!$B$15)/1000+ARCH_AG!I3/144*INPUTS!$B$12*INPUTS!$C$28/1000)</f>
        <v>45.1780084294039</v>
      </c>
      <c r="J3" s="9" t="n">
        <f aca="false">IF(TRIB!J3="",0,(TRIB!J3*IF($D3="A",(INPUTS!$G$29/12*INPUTS!$B$12+INPUTS!$H$29),(INPUTS!$L$29/12*INPUTS!$B$12+INPUTS!$M$29))+IF(FACADE!J3="",0,FACADE!J3)*INPUTS!$B$15)/1000+ARCH_AG!J3/144*INPUTS!$B$12*INPUTS!$C$29/1000)</f>
        <v>45.1780084294039</v>
      </c>
      <c r="K3" s="9" t="n">
        <f aca="false">IF(TRIB!K3="",0,(TRIB!K3*IF($D3="A",(INPUTS!$G$30/12*INPUTS!$B$12+INPUTS!$H$30),(INPUTS!$L$30/12*INPUTS!$B$12+INPUTS!$M$30))+IF(FACADE!K3="",0,FACADE!K3)*INPUTS!$B$15)/1000+ARCH_AG!K3/144*INPUTS!$B$12*INPUTS!$C$30/1000)</f>
        <v>45.1780084294039</v>
      </c>
      <c r="L3" s="9" t="n">
        <f aca="false">IF(TRIB!L3="",0,(TRIB!L3*IF($D3="A",(INPUTS!$G$31/12*INPUTS!$B$12+INPUTS!$H$31),(INPUTS!$L$31/12*INPUTS!$B$12+INPUTS!$M$31))+IF(FACADE!L3="",0,FACADE!L3)*INPUTS!$B$15)/1000+ARCH_AG!L3/144*INPUTS!$B$12*INPUTS!$C$31/1000)</f>
        <v>45.1780084294039</v>
      </c>
      <c r="M3" s="9" t="n">
        <f aca="false">IF(TRIB!M3="",0,(TRIB!M3*IF($D3="A",(INPUTS!$G$32/12*INPUTS!$B$12+INPUTS!$H$32),(INPUTS!$L$32/12*INPUTS!$B$12+INPUTS!$M$32))+IF(FACADE!M3="",0,FACADE!M3)*INPUTS!$B$15)/1000+ARCH_AG!M3/144*INPUTS!$B$12*INPUTS!$C$32/1000)</f>
        <v>45.1780084294039</v>
      </c>
      <c r="N3" s="9" t="n">
        <f aca="false">IF(TRIB!N3="",0,(TRIB!N3*IF($D3="A",(INPUTS!$G$33/12*INPUTS!$B$12+INPUTS!$H$33),(INPUTS!$L$33/12*INPUTS!$B$12+INPUTS!$M$33))+IF(FACADE!N3="",0,FACADE!N3)*INPUTS!$B$15)/1000+ARCH_AG!N3/144*INPUTS!$B$12*INPUTS!$C$33/1000)</f>
        <v>45.1780084294039</v>
      </c>
      <c r="O3" s="9" t="n">
        <f aca="false">IF(TRIB!O3="",0,(TRIB!O3*IF($D3="A",(INPUTS!$G$34/12*INPUTS!$B$12+INPUTS!$H$34),(INPUTS!$L$34/12*INPUTS!$B$12+INPUTS!$M$34))+IF(FACADE!O3="",0,FACADE!O3)*INPUTS!$B$15)/1000+ARCH_AG!O3/144*INPUTS!$B$12*INPUTS!$C$34/1000)</f>
        <v>45.1780084294039</v>
      </c>
      <c r="P3" s="9" t="n">
        <f aca="false">IF(TRIB!P3="",0,(TRIB!P3*IF($D3="A",(INPUTS!$G$35/12*INPUTS!$B$12+INPUTS!$H$35),(INPUTS!$L$35/12*INPUTS!$B$12+INPUTS!$M$35))+IF(FACADE!P3="",0,FACADE!P3)*INPUTS!$B$15)/1000+ARCH_AG!P3/144*INPUTS!$B$12*INPUTS!$C$35/1000)</f>
        <v>45.8848667764616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9" t="n">
        <f aca="false">IF(TRIB!E4="",0,(TRIB!E4*IF($D4="A",(INPUTS!$G$24/12*INPUTS!$B$12+INPUTS!$H$24),(INPUTS!$L$24/12*INPUTS!$B$12+INPUTS!$M$24))+IF(FACADE!E4="",0,FACADE!E4)*INPUTS!$B$15)/1000+ARCH_AG!E4/144*INPUTS!$B$12*INPUTS!$C$24/1000)</f>
        <v>0</v>
      </c>
      <c r="F4" s="9" t="n">
        <f aca="false">IF(TRIB!F4="",0,(TRIB!F4*IF($D4="A",(INPUTS!$G$25/12*INPUTS!$B$12+INPUTS!$H$25),(INPUTS!$L$25/12*INPUTS!$B$12+INPUTS!$M$25))+IF(FACADE!F4="",0,FACADE!F4)*INPUTS!$B$15)/1000+ARCH_AG!F4/144*INPUTS!$B$12*INPUTS!$C$25/1000)</f>
        <v>49.0575</v>
      </c>
      <c r="G4" s="9" t="n">
        <f aca="false">IF(TRIB!G4="",0,(TRIB!G4*IF($D4="A",(INPUTS!$G$26/12*INPUTS!$B$12+INPUTS!$H$26),(INPUTS!$L$26/12*INPUTS!$B$12+INPUTS!$M$26))+IF(FACADE!G4="",0,FACADE!G4)*INPUTS!$B$15)/1000+ARCH_AG!G4/144*INPUTS!$B$12*INPUTS!$C$26/1000)</f>
        <v>43.5525</v>
      </c>
      <c r="H4" s="9" t="n">
        <f aca="false">IF(TRIB!H4="",0,(TRIB!H4*IF($D4="A",(INPUTS!$G$27/12*INPUTS!$B$12+INPUTS!$H$27),(INPUTS!$L$27/12*INPUTS!$B$12+INPUTS!$M$27))+IF(FACADE!H4="",0,FACADE!H4)*INPUTS!$B$15)/1000+ARCH_AG!H4/144*INPUTS!$B$12*INPUTS!$C$27/1000)</f>
        <v>42.2625</v>
      </c>
      <c r="I4" s="9" t="n">
        <f aca="false">IF(TRIB!I4="",0,(TRIB!I4*IF($D4="A",(INPUTS!$G$28/12*INPUTS!$B$12+INPUTS!$H$28),(INPUTS!$L$28/12*INPUTS!$B$12+INPUTS!$M$28))+IF(FACADE!I4="",0,FACADE!I4)*INPUTS!$B$15)/1000+ARCH_AG!I4/144*INPUTS!$B$12*INPUTS!$C$28/1000)</f>
        <v>42.2625</v>
      </c>
      <c r="J4" s="9" t="n">
        <f aca="false">IF(TRIB!J4="",0,(TRIB!J4*IF($D4="A",(INPUTS!$G$29/12*INPUTS!$B$12+INPUTS!$H$29),(INPUTS!$L$29/12*INPUTS!$B$12+INPUTS!$M$29))+IF(FACADE!J4="",0,FACADE!J4)*INPUTS!$B$15)/1000+ARCH_AG!J4/144*INPUTS!$B$12*INPUTS!$C$29/1000)</f>
        <v>42.2625</v>
      </c>
      <c r="K4" s="9" t="n">
        <f aca="false">IF(TRIB!K4="",0,(TRIB!K4*IF($D4="A",(INPUTS!$G$30/12*INPUTS!$B$12+INPUTS!$H$30),(INPUTS!$L$30/12*INPUTS!$B$12+INPUTS!$M$30))+IF(FACADE!K4="",0,FACADE!K4)*INPUTS!$B$15)/1000+ARCH_AG!K4/144*INPUTS!$B$12*INPUTS!$C$30/1000)</f>
        <v>42.2625</v>
      </c>
      <c r="L4" s="9" t="n">
        <f aca="false">IF(TRIB!L4="",0,(TRIB!L4*IF($D4="A",(INPUTS!$G$31/12*INPUTS!$B$12+INPUTS!$H$31),(INPUTS!$L$31/12*INPUTS!$B$12+INPUTS!$M$31))+IF(FACADE!L4="",0,FACADE!L4)*INPUTS!$B$15)/1000+ARCH_AG!L4/144*INPUTS!$B$12*INPUTS!$C$31/1000)</f>
        <v>42.5025</v>
      </c>
      <c r="M4" s="9" t="n">
        <f aca="false">IF(TRIB!M4="",0,(TRIB!M4*IF($D4="A",(INPUTS!$G$32/12*INPUTS!$B$12+INPUTS!$H$32),(INPUTS!$L$32/12*INPUTS!$B$12+INPUTS!$M$32))+IF(FACADE!M4="",0,FACADE!M4)*INPUTS!$B$15)/1000+ARCH_AG!M4/144*INPUTS!$B$12*INPUTS!$C$32/1000)</f>
        <v>42.5025</v>
      </c>
      <c r="N4" s="9" t="n">
        <f aca="false">IF(TRIB!N4="",0,(TRIB!N4*IF($D4="A",(INPUTS!$G$33/12*INPUTS!$B$12+INPUTS!$H$33),(INPUTS!$L$33/12*INPUTS!$B$12+INPUTS!$M$33))+IF(FACADE!N4="",0,FACADE!N4)*INPUTS!$B$15)/1000+ARCH_AG!N4/144*INPUTS!$B$12*INPUTS!$C$33/1000)</f>
        <v>42.5025</v>
      </c>
      <c r="O4" s="9" t="n">
        <f aca="false">IF(TRIB!O4="",0,(TRIB!O4*IF($D4="A",(INPUTS!$G$34/12*INPUTS!$B$12+INPUTS!$H$34),(INPUTS!$L$34/12*INPUTS!$B$12+INPUTS!$M$34))+IF(FACADE!O4="",0,FACADE!O4)*INPUTS!$B$15)/1000+ARCH_AG!O4/144*INPUTS!$B$12*INPUTS!$C$34/1000)</f>
        <v>42.5025</v>
      </c>
      <c r="P4" s="9" t="n">
        <f aca="false">IF(TRIB!P4="",0,(TRIB!P4*IF($D4="A",(INPUTS!$G$35/12*INPUTS!$B$12+INPUTS!$H$35),(INPUTS!$L$35/12*INPUTS!$B$12+INPUTS!$M$35))+IF(FACADE!P4="",0,FACADE!P4)*INPUTS!$B$15)/1000+ARCH_AG!P4/144*INPUTS!$B$12*INPUTS!$C$35/1000)</f>
        <v>43.29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9" t="n">
        <f aca="false">IF(TRIB!E5="",0,(TRIB!E5*IF($D5="A",(INPUTS!$G$24/12*INPUTS!$B$12+INPUTS!$H$24),(INPUTS!$L$24/12*INPUTS!$B$12+INPUTS!$M$24))+IF(FACADE!E5="",0,FACADE!E5)*INPUTS!$B$15)/1000+ARCH_AG!E5/144*INPUTS!$B$12*INPUTS!$C$24/1000)</f>
        <v>0</v>
      </c>
      <c r="F5" s="9" t="n">
        <f aca="false">IF(TRIB!F5="",0,(TRIB!F5*IF($D5="A",(INPUTS!$G$25/12*INPUTS!$B$12+INPUTS!$H$25),(INPUTS!$L$25/12*INPUTS!$B$12+INPUTS!$M$25))+IF(FACADE!F5="",0,FACADE!F5)*INPUTS!$B$15)/1000+ARCH_AG!F5/144*INPUTS!$B$12*INPUTS!$C$25/1000)</f>
        <v>50.555</v>
      </c>
      <c r="G5" s="9" t="n">
        <f aca="false">IF(TRIB!G5="",0,(TRIB!G5*IF($D5="A",(INPUTS!$G$26/12*INPUTS!$B$12+INPUTS!$H$26),(INPUTS!$L$26/12*INPUTS!$B$12+INPUTS!$M$26))+IF(FACADE!G5="",0,FACADE!G5)*INPUTS!$B$15)/1000+ARCH_AG!G5/144*INPUTS!$B$12*INPUTS!$C$26/1000)</f>
        <v>38.415</v>
      </c>
      <c r="H5" s="9" t="n">
        <f aca="false">IF(TRIB!H5="",0,(TRIB!H5*IF($D5="A",(INPUTS!$G$27/12*INPUTS!$B$12+INPUTS!$H$27),(INPUTS!$L$27/12*INPUTS!$B$12+INPUTS!$M$27))+IF(FACADE!H5="",0,FACADE!H5)*INPUTS!$B$15)/1000+ARCH_AG!H5/144*INPUTS!$B$12*INPUTS!$C$27/1000)</f>
        <v>38.415</v>
      </c>
      <c r="I5" s="9" t="n">
        <f aca="false">IF(TRIB!I5="",0,(TRIB!I5*IF($D5="A",(INPUTS!$G$28/12*INPUTS!$B$12+INPUTS!$H$28),(INPUTS!$L$28/12*INPUTS!$B$12+INPUTS!$M$28))+IF(FACADE!I5="",0,FACADE!I5)*INPUTS!$B$15)/1000+ARCH_AG!I5/144*INPUTS!$B$12*INPUTS!$C$28/1000)</f>
        <v>38.415</v>
      </c>
      <c r="J5" s="9" t="n">
        <f aca="false">IF(TRIB!J5="",0,(TRIB!J5*IF($D5="A",(INPUTS!$G$29/12*INPUTS!$B$12+INPUTS!$H$29),(INPUTS!$L$29/12*INPUTS!$B$12+INPUTS!$M$29))+IF(FACADE!J5="",0,FACADE!J5)*INPUTS!$B$15)/1000+ARCH_AG!J5/144*INPUTS!$B$12*INPUTS!$C$29/1000)</f>
        <v>38.415</v>
      </c>
      <c r="K5" s="9" t="n">
        <f aca="false">IF(TRIB!K5="",0,(TRIB!K5*IF($D5="A",(INPUTS!$G$30/12*INPUTS!$B$12+INPUTS!$H$30),(INPUTS!$L$30/12*INPUTS!$B$12+INPUTS!$M$30))+IF(FACADE!K5="",0,FACADE!K5)*INPUTS!$B$15)/1000+ARCH_AG!K5/144*INPUTS!$B$12*INPUTS!$C$30/1000)</f>
        <v>38.415</v>
      </c>
      <c r="L5" s="9" t="n">
        <f aca="false">IF(TRIB!L5="",0,(TRIB!L5*IF($D5="A",(INPUTS!$G$31/12*INPUTS!$B$12+INPUTS!$H$31),(INPUTS!$L$31/12*INPUTS!$B$12+INPUTS!$M$31))+IF(FACADE!L5="",0,FACADE!L5)*INPUTS!$B$15)/1000+ARCH_AG!L5/144*INPUTS!$B$12*INPUTS!$C$31/1000)</f>
        <v>38.415</v>
      </c>
      <c r="M5" s="9" t="n">
        <f aca="false">IF(TRIB!M5="",0,(TRIB!M5*IF($D5="A",(INPUTS!$G$32/12*INPUTS!$B$12+INPUTS!$H$32),(INPUTS!$L$32/12*INPUTS!$B$12+INPUTS!$M$32))+IF(FACADE!M5="",0,FACADE!M5)*INPUTS!$B$15)/1000+ARCH_AG!M5/144*INPUTS!$B$12*INPUTS!$C$32/1000)</f>
        <v>38.415</v>
      </c>
      <c r="N5" s="9" t="n">
        <f aca="false">IF(TRIB!N5="",0,(TRIB!N5*IF($D5="A",(INPUTS!$G$33/12*INPUTS!$B$12+INPUTS!$H$33),(INPUTS!$L$33/12*INPUTS!$B$12+INPUTS!$M$33))+IF(FACADE!N5="",0,FACADE!N5)*INPUTS!$B$15)/1000+ARCH_AG!N5/144*INPUTS!$B$12*INPUTS!$C$33/1000)</f>
        <v>38.415</v>
      </c>
      <c r="O5" s="9" t="n">
        <f aca="false">IF(TRIB!O5="",0,(TRIB!O5*IF($D5="A",(INPUTS!$G$34/12*INPUTS!$B$12+INPUTS!$H$34),(INPUTS!$L$34/12*INPUTS!$B$12+INPUTS!$M$34))+IF(FACADE!O5="",0,FACADE!O5)*INPUTS!$B$15)/1000+ARCH_AG!O5/144*INPUTS!$B$12*INPUTS!$C$34/1000)</f>
        <v>38.415</v>
      </c>
      <c r="P5" s="9" t="n">
        <f aca="false">IF(TRIB!P5="",0,(TRIB!P5*IF($D5="A",(INPUTS!$G$35/12*INPUTS!$B$12+INPUTS!$H$35),(INPUTS!$L$35/12*INPUTS!$B$12+INPUTS!$M$35))+IF(FACADE!P5="",0,FACADE!P5)*INPUTS!$B$15)/1000+ARCH_AG!P5/144*INPUTS!$B$12*INPUTS!$C$35/1000)</f>
        <v>38.94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9" t="n">
        <f aca="false">IF(TRIB!E6="",0,(TRIB!E6*IF($D6="A",(INPUTS!$G$24/12*INPUTS!$B$12+INPUTS!$H$24),(INPUTS!$L$24/12*INPUTS!$B$12+INPUTS!$M$24))+IF(FACADE!E6="",0,FACADE!E6)*INPUTS!$B$15)/1000+ARCH_AG!E6/144*INPUTS!$B$12*INPUTS!$C$24/1000)</f>
        <v>0</v>
      </c>
      <c r="F6" s="9" t="n">
        <f aca="false">IF(TRIB!F6="",0,(TRIB!F6*IF($D6="A",(INPUTS!$G$25/12*INPUTS!$B$12+INPUTS!$H$25),(INPUTS!$L$25/12*INPUTS!$B$12+INPUTS!$M$25))+IF(FACADE!F6="",0,FACADE!F6)*INPUTS!$B$15)/1000+ARCH_AG!F6/144*INPUTS!$B$12*INPUTS!$C$25/1000)</f>
        <v>19.055</v>
      </c>
      <c r="G6" s="9" t="n">
        <f aca="false">IF(TRIB!G6="",0,(TRIB!G6*IF($D6="A",(INPUTS!$G$26/12*INPUTS!$B$12+INPUTS!$H$26),(INPUTS!$L$26/12*INPUTS!$B$12+INPUTS!$M$26))+IF(FACADE!G6="",0,FACADE!G6)*INPUTS!$B$15)/1000+ARCH_AG!G6/144*INPUTS!$B$12*INPUTS!$C$26/1000)</f>
        <v>18.705</v>
      </c>
      <c r="H6" s="9" t="n">
        <f aca="false">IF(TRIB!H6="",0,(TRIB!H6*IF($D6="A",(INPUTS!$G$27/12*INPUTS!$B$12+INPUTS!$H$27),(INPUTS!$L$27/12*INPUTS!$B$12+INPUTS!$M$27))+IF(FACADE!H6="",0,FACADE!H6)*INPUTS!$B$15)/1000+ARCH_AG!H6/144*INPUTS!$B$12*INPUTS!$C$27/1000)</f>
        <v>18.705</v>
      </c>
      <c r="I6" s="9" t="n">
        <f aca="false">IF(TRIB!I6="",0,(TRIB!I6*IF($D6="A",(INPUTS!$G$28/12*INPUTS!$B$12+INPUTS!$H$28),(INPUTS!$L$28/12*INPUTS!$B$12+INPUTS!$M$28))+IF(FACADE!I6="",0,FACADE!I6)*INPUTS!$B$15)/1000+ARCH_AG!I6/144*INPUTS!$B$12*INPUTS!$C$28/1000)</f>
        <v>18.705</v>
      </c>
      <c r="J6" s="9" t="n">
        <f aca="false">IF(TRIB!J6="",0,(TRIB!J6*IF($D6="A",(INPUTS!$G$29/12*INPUTS!$B$12+INPUTS!$H$29),(INPUTS!$L$29/12*INPUTS!$B$12+INPUTS!$M$29))+IF(FACADE!J6="",0,FACADE!J6)*INPUTS!$B$15)/1000+ARCH_AG!J6/144*INPUTS!$B$12*INPUTS!$C$29/1000)</f>
        <v>18.705</v>
      </c>
      <c r="K6" s="9" t="n">
        <f aca="false">IF(TRIB!K6="",0,(TRIB!K6*IF($D6="A",(INPUTS!$G$30/12*INPUTS!$B$12+INPUTS!$H$30),(INPUTS!$L$30/12*INPUTS!$B$12+INPUTS!$M$30))+IF(FACADE!K6="",0,FACADE!K6)*INPUTS!$B$15)/1000+ARCH_AG!K6/144*INPUTS!$B$12*INPUTS!$C$30/1000)</f>
        <v>18.105</v>
      </c>
      <c r="L6" s="9" t="n">
        <f aca="false">IF(TRIB!L6="",0,(TRIB!L6*IF($D6="A",(INPUTS!$G$31/12*INPUTS!$B$12+INPUTS!$H$31),(INPUTS!$L$31/12*INPUTS!$B$12+INPUTS!$M$31))+IF(FACADE!L6="",0,FACADE!L6)*INPUTS!$B$15)/1000+ARCH_AG!L6/144*INPUTS!$B$12*INPUTS!$C$31/1000)</f>
        <v>18.105</v>
      </c>
      <c r="M6" s="9" t="n">
        <f aca="false">IF(TRIB!M6="",0,(TRIB!M6*IF($D6="A",(INPUTS!$G$32/12*INPUTS!$B$12+INPUTS!$H$32),(INPUTS!$L$32/12*INPUTS!$B$12+INPUTS!$M$32))+IF(FACADE!M6="",0,FACADE!M6)*INPUTS!$B$15)/1000+ARCH_AG!M6/144*INPUTS!$B$12*INPUTS!$C$32/1000)</f>
        <v>18.105</v>
      </c>
      <c r="N6" s="9" t="n">
        <f aca="false">IF(TRIB!N6="",0,(TRIB!N6*IF($D6="A",(INPUTS!$G$33/12*INPUTS!$B$12+INPUTS!$H$33),(INPUTS!$L$33/12*INPUTS!$B$12+INPUTS!$M$33))+IF(FACADE!N6="",0,FACADE!N6)*INPUTS!$B$15)/1000+ARCH_AG!N6/144*INPUTS!$B$12*INPUTS!$C$33/1000)</f>
        <v>18.105</v>
      </c>
      <c r="O6" s="9" t="n">
        <f aca="false">IF(TRIB!O6="",0,(TRIB!O6*IF($D6="A",(INPUTS!$G$34/12*INPUTS!$B$12+INPUTS!$H$34),(INPUTS!$L$34/12*INPUTS!$B$12+INPUTS!$M$34))+IF(FACADE!O6="",0,FACADE!O6)*INPUTS!$B$15)/1000+ARCH_AG!O6/144*INPUTS!$B$12*INPUTS!$C$34/1000)</f>
        <v>18.105</v>
      </c>
      <c r="P6" s="9" t="n">
        <f aca="false">IF(TRIB!P6="",0,(TRIB!P6*IF($D6="A",(INPUTS!$G$35/12*INPUTS!$B$12+INPUTS!$H$35),(INPUTS!$L$35/12*INPUTS!$B$12+INPUTS!$M$35))+IF(FACADE!P6="",0,FACADE!P6)*INPUTS!$B$15)/1000+ARCH_AG!P6/144*INPUTS!$B$12*INPUTS!$C$35/1000)</f>
        <v>18.63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9" t="n">
        <f aca="false">IF(TRIB!E7="",0,(TRIB!E7*IF($D7="A",(INPUTS!$G$24/12*INPUTS!$B$12+INPUTS!$H$24),(INPUTS!$L$24/12*INPUTS!$B$12+INPUTS!$M$24))+IF(FACADE!E7="",0,FACADE!E7)*INPUTS!$B$15)/1000+ARCH_AG!E7/144*INPUTS!$B$12*INPUTS!$C$24/1000)</f>
        <v>0</v>
      </c>
      <c r="F7" s="9" t="n">
        <f aca="false">IF(TRIB!F7="",0,(TRIB!F7*IF($D7="A",(INPUTS!$G$25/12*INPUTS!$B$12+INPUTS!$H$25),(INPUTS!$L$25/12*INPUTS!$B$12+INPUTS!$M$25))+IF(FACADE!F7="",0,FACADE!F7)*INPUTS!$B$15)/1000+ARCH_AG!F7/144*INPUTS!$B$12*INPUTS!$C$25/1000)</f>
        <v>32.105</v>
      </c>
      <c r="G7" s="9" t="n">
        <f aca="false">IF(TRIB!G7="",0,(TRIB!G7*IF($D7="A",(INPUTS!$G$26/12*INPUTS!$B$12+INPUTS!$H$26),(INPUTS!$L$26/12*INPUTS!$B$12+INPUTS!$M$26))+IF(FACADE!G7="",0,FACADE!G7)*INPUTS!$B$15)/1000+ARCH_AG!G7/144*INPUTS!$B$12*INPUTS!$C$26/1000)</f>
        <v>29.595</v>
      </c>
      <c r="H7" s="9" t="n">
        <f aca="false">IF(TRIB!H7="",0,(TRIB!H7*IF($D7="A",(INPUTS!$G$27/12*INPUTS!$B$12+INPUTS!$H$27),(INPUTS!$L$27/12*INPUTS!$B$12+INPUTS!$M$27))+IF(FACADE!H7="",0,FACADE!H7)*INPUTS!$B$15)/1000+ARCH_AG!H7/144*INPUTS!$B$12*INPUTS!$C$27/1000)</f>
        <v>29.595</v>
      </c>
      <c r="I7" s="9" t="n">
        <f aca="false">IF(TRIB!I7="",0,(TRIB!I7*IF($D7="A",(INPUTS!$G$28/12*INPUTS!$B$12+INPUTS!$H$28),(INPUTS!$L$28/12*INPUTS!$B$12+INPUTS!$M$28))+IF(FACADE!I7="",0,FACADE!I7)*INPUTS!$B$15)/1000+ARCH_AG!I7/144*INPUTS!$B$12*INPUTS!$C$28/1000)</f>
        <v>29.595</v>
      </c>
      <c r="J7" s="9" t="n">
        <f aca="false">IF(TRIB!J7="",0,(TRIB!J7*IF($D7="A",(INPUTS!$G$29/12*INPUTS!$B$12+INPUTS!$H$29),(INPUTS!$L$29/12*INPUTS!$B$12+INPUTS!$M$29))+IF(FACADE!J7="",0,FACADE!J7)*INPUTS!$B$15)/1000+ARCH_AG!J7/144*INPUTS!$B$12*INPUTS!$C$29/1000)</f>
        <v>29.595</v>
      </c>
      <c r="K7" s="9" t="n">
        <f aca="false">IF(TRIB!K7="",0,(TRIB!K7*IF($D7="A",(INPUTS!$G$30/12*INPUTS!$B$12+INPUTS!$H$30),(INPUTS!$L$30/12*INPUTS!$B$12+INPUTS!$M$30))+IF(FACADE!K7="",0,FACADE!K7)*INPUTS!$B$15)/1000+ARCH_AG!K7/144*INPUTS!$B$12*INPUTS!$C$30/1000)</f>
        <v>29.475</v>
      </c>
      <c r="L7" s="9" t="n">
        <f aca="false">IF(TRIB!L7="",0,(TRIB!L7*IF($D7="A",(INPUTS!$G$31/12*INPUTS!$B$12+INPUTS!$H$31),(INPUTS!$L$31/12*INPUTS!$B$12+INPUTS!$M$31))+IF(FACADE!L7="",0,FACADE!L7)*INPUTS!$B$15)/1000+ARCH_AG!L7/144*INPUTS!$B$12*INPUTS!$C$31/1000)</f>
        <v>29.475</v>
      </c>
      <c r="M7" s="9" t="n">
        <f aca="false">IF(TRIB!M7="",0,(TRIB!M7*IF($D7="A",(INPUTS!$G$32/12*INPUTS!$B$12+INPUTS!$H$32),(INPUTS!$L$32/12*INPUTS!$B$12+INPUTS!$M$32))+IF(FACADE!M7="",0,FACADE!M7)*INPUTS!$B$15)/1000+ARCH_AG!M7/144*INPUTS!$B$12*INPUTS!$C$32/1000)</f>
        <v>29.475</v>
      </c>
      <c r="N7" s="9" t="n">
        <f aca="false">IF(TRIB!N7="",0,(TRIB!N7*IF($D7="A",(INPUTS!$G$33/12*INPUTS!$B$12+INPUTS!$H$33),(INPUTS!$L$33/12*INPUTS!$B$12+INPUTS!$M$33))+IF(FACADE!N7="",0,FACADE!N7)*INPUTS!$B$15)/1000+ARCH_AG!N7/144*INPUTS!$B$12*INPUTS!$C$33/1000)</f>
        <v>29.475</v>
      </c>
      <c r="O7" s="9" t="n">
        <f aca="false">IF(TRIB!O7="",0,(TRIB!O7*IF($D7="A",(INPUTS!$G$34/12*INPUTS!$B$12+INPUTS!$H$34),(INPUTS!$L$34/12*INPUTS!$B$12+INPUTS!$M$34))+IF(FACADE!O7="",0,FACADE!O7)*INPUTS!$B$15)/1000+ARCH_AG!O7/144*INPUTS!$B$12*INPUTS!$C$34/1000)</f>
        <v>29.475</v>
      </c>
      <c r="P7" s="9" t="n">
        <f aca="false">IF(TRIB!P7="",0,(TRIB!P7*IF($D7="A",(INPUTS!$G$35/12*INPUTS!$B$12+INPUTS!$H$35),(INPUTS!$L$35/12*INPUTS!$B$12+INPUTS!$M$35))+IF(FACADE!P7="",0,FACADE!P7)*INPUTS!$B$15)/1000+ARCH_AG!P7/144*INPUTS!$B$12*INPUTS!$C$35/1000)</f>
        <v>30</v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9" t="n">
        <f aca="false">IF(TRIB!E8="",0,(TRIB!E8*IF($D8="A",(INPUTS!$G$24/12*INPUTS!$B$12+INPUTS!$H$24),(INPUTS!$L$24/12*INPUTS!$B$12+INPUTS!$M$24))+IF(FACADE!E8="",0,FACADE!E8)*INPUTS!$B$15)/1000+ARCH_AG!E8/144*INPUTS!$B$12*INPUTS!$C$24/1000)</f>
        <v>0</v>
      </c>
      <c r="F8" s="9" t="n">
        <f aca="false">IF(TRIB!F8="",0,(TRIB!F8*IF($D8="A",(INPUTS!$G$25/12*INPUTS!$B$12+INPUTS!$H$25),(INPUTS!$L$25/12*INPUTS!$B$12+INPUTS!$M$25))+IF(FACADE!F8="",0,FACADE!F8)*INPUTS!$B$15)/1000+ARCH_AG!F8/144*INPUTS!$B$12*INPUTS!$C$25/1000)</f>
        <v>59.9175</v>
      </c>
      <c r="G8" s="9" t="n">
        <f aca="false">IF(TRIB!G8="",0,(TRIB!G8*IF($D8="A",(INPUTS!$G$26/12*INPUTS!$B$12+INPUTS!$H$26),(INPUTS!$L$26/12*INPUTS!$B$12+INPUTS!$M$26))+IF(FACADE!G8="",0,FACADE!G8)*INPUTS!$B$15)/1000+ARCH_AG!G8/144*INPUTS!$B$12*INPUTS!$C$26/1000)</f>
        <v>58.8525</v>
      </c>
      <c r="H8" s="9" t="n">
        <f aca="false">IF(TRIB!H8="",0,(TRIB!H8*IF($D8="A",(INPUTS!$G$27/12*INPUTS!$B$12+INPUTS!$H$27),(INPUTS!$L$27/12*INPUTS!$B$12+INPUTS!$M$27))+IF(FACADE!H8="",0,FACADE!H8)*INPUTS!$B$15)/1000+ARCH_AG!H8/144*INPUTS!$B$12*INPUTS!$C$27/1000)</f>
        <v>58.8525</v>
      </c>
      <c r="I8" s="9" t="n">
        <f aca="false">IF(TRIB!I8="",0,(TRIB!I8*IF($D8="A",(INPUTS!$G$28/12*INPUTS!$B$12+INPUTS!$H$28),(INPUTS!$L$28/12*INPUTS!$B$12+INPUTS!$M$28))+IF(FACADE!I8="",0,FACADE!I8)*INPUTS!$B$15)/1000+ARCH_AG!I8/144*INPUTS!$B$12*INPUTS!$C$28/1000)</f>
        <v>58.8525</v>
      </c>
      <c r="J8" s="9" t="n">
        <f aca="false">IF(TRIB!J8="",0,(TRIB!J8*IF($D8="A",(INPUTS!$G$29/12*INPUTS!$B$12+INPUTS!$H$29),(INPUTS!$L$29/12*INPUTS!$B$12+INPUTS!$M$29))+IF(FACADE!J8="",0,FACADE!J8)*INPUTS!$B$15)/1000+ARCH_AG!J8/144*INPUTS!$B$12*INPUTS!$C$29/1000)</f>
        <v>58.7025</v>
      </c>
      <c r="K8" s="9" t="n">
        <f aca="false">IF(TRIB!K8="",0,(TRIB!K8*IF($D8="A",(INPUTS!$G$30/12*INPUTS!$B$12+INPUTS!$H$30),(INPUTS!$L$30/12*INPUTS!$B$12+INPUTS!$M$30))+IF(FACADE!K8="",0,FACADE!K8)*INPUTS!$B$15)/1000+ARCH_AG!K8/144*INPUTS!$B$12*INPUTS!$C$30/1000)</f>
        <v>58.8525</v>
      </c>
      <c r="L8" s="9" t="n">
        <f aca="false">IF(TRIB!L8="",0,(TRIB!L8*IF($D8="A",(INPUTS!$G$31/12*INPUTS!$B$12+INPUTS!$H$31),(INPUTS!$L$31/12*INPUTS!$B$12+INPUTS!$M$31))+IF(FACADE!L8="",0,FACADE!L8)*INPUTS!$B$15)/1000+ARCH_AG!L8/144*INPUTS!$B$12*INPUTS!$C$31/1000)</f>
        <v>58.8525</v>
      </c>
      <c r="M8" s="9" t="n">
        <f aca="false">IF(TRIB!M8="",0,(TRIB!M8*IF($D8="A",(INPUTS!$G$32/12*INPUTS!$B$12+INPUTS!$H$32),(INPUTS!$L$32/12*INPUTS!$B$12+INPUTS!$M$32))+IF(FACADE!M8="",0,FACADE!M8)*INPUTS!$B$15)/1000+ARCH_AG!M8/144*INPUTS!$B$12*INPUTS!$C$32/1000)</f>
        <v>58.8525</v>
      </c>
      <c r="N8" s="9" t="n">
        <f aca="false">IF(TRIB!N8="",0,(TRIB!N8*IF($D8="A",(INPUTS!$G$33/12*INPUTS!$B$12+INPUTS!$H$33),(INPUTS!$L$33/12*INPUTS!$B$12+INPUTS!$M$33))+IF(FACADE!N8="",0,FACADE!N8)*INPUTS!$B$15)/1000+ARCH_AG!N8/144*INPUTS!$B$12*INPUTS!$C$33/1000)</f>
        <v>58.8525</v>
      </c>
      <c r="O8" s="9" t="n">
        <f aca="false">IF(TRIB!O8="",0,(TRIB!O8*IF($D8="A",(INPUTS!$G$34/12*INPUTS!$B$12+INPUTS!$H$34),(INPUTS!$L$34/12*INPUTS!$B$12+INPUTS!$M$34))+IF(FACADE!O8="",0,FACADE!O8)*INPUTS!$B$15)/1000+ARCH_AG!O8/144*INPUTS!$B$12*INPUTS!$C$34/1000)</f>
        <v>58.8525</v>
      </c>
      <c r="P8" s="9" t="n">
        <f aca="false">IF(TRIB!P8="",0,(TRIB!P8*IF($D8="A",(INPUTS!$G$35/12*INPUTS!$B$12+INPUTS!$H$35),(INPUTS!$L$35/12*INPUTS!$B$12+INPUTS!$M$35))+IF(FACADE!P8="",0,FACADE!P8)*INPUTS!$B$15)/1000+ARCH_AG!P8/144*INPUTS!$B$12*INPUTS!$C$35/1000)</f>
        <v>59.64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9" t="n">
        <f aca="false">IF(TRIB!E9="",0,(TRIB!E9*IF($D9="A",(INPUTS!$G$24/12*INPUTS!$B$12+INPUTS!$H$24),(INPUTS!$L$24/12*INPUTS!$B$12+INPUTS!$M$24))+IF(FACADE!E9="",0,FACADE!E9)*INPUTS!$B$15)/1000+ARCH_AG!E9/144*INPUTS!$B$12*INPUTS!$C$24/1000)</f>
        <v>0</v>
      </c>
      <c r="F9" s="9" t="n">
        <f aca="false">IF(TRIB!F9="",0,(TRIB!F9*IF($D9="A",(INPUTS!$G$25/12*INPUTS!$B$12+INPUTS!$H$25),(INPUTS!$L$25/12*INPUTS!$B$12+INPUTS!$M$25))+IF(FACADE!F9="",0,FACADE!F9)*INPUTS!$B$15)/1000+ARCH_AG!F9/144*INPUTS!$B$12*INPUTS!$C$25/1000)</f>
        <v>62.9775</v>
      </c>
      <c r="G9" s="9" t="n">
        <f aca="false">IF(TRIB!G9="",0,(TRIB!G9*IF($D9="A",(INPUTS!$G$26/12*INPUTS!$B$12+INPUTS!$H$26),(INPUTS!$L$26/12*INPUTS!$B$12+INPUTS!$M$26))+IF(FACADE!G9="",0,FACADE!G9)*INPUTS!$B$15)/1000+ARCH_AG!G9/144*INPUTS!$B$12*INPUTS!$C$26/1000)</f>
        <v>58.0725</v>
      </c>
      <c r="H9" s="9" t="n">
        <f aca="false">IF(TRIB!H9="",0,(TRIB!H9*IF($D9="A",(INPUTS!$G$27/12*INPUTS!$B$12+INPUTS!$H$27),(INPUTS!$L$27/12*INPUTS!$B$12+INPUTS!$M$27))+IF(FACADE!H9="",0,FACADE!H9)*INPUTS!$B$15)/1000+ARCH_AG!H9/144*INPUTS!$B$12*INPUTS!$C$27/1000)</f>
        <v>58.0725</v>
      </c>
      <c r="I9" s="9" t="n">
        <f aca="false">IF(TRIB!I9="",0,(TRIB!I9*IF($D9="A",(INPUTS!$G$28/12*INPUTS!$B$12+INPUTS!$H$28),(INPUTS!$L$28/12*INPUTS!$B$12+INPUTS!$M$28))+IF(FACADE!I9="",0,FACADE!I9)*INPUTS!$B$15)/1000+ARCH_AG!I9/144*INPUTS!$B$12*INPUTS!$C$28/1000)</f>
        <v>58.0725</v>
      </c>
      <c r="J9" s="9" t="n">
        <f aca="false">IF(TRIB!J9="",0,(TRIB!J9*IF($D9="A",(INPUTS!$G$29/12*INPUTS!$B$12+INPUTS!$H$29),(INPUTS!$L$29/12*INPUTS!$B$12+INPUTS!$M$29))+IF(FACADE!J9="",0,FACADE!J9)*INPUTS!$B$15)/1000+ARCH_AG!J9/144*INPUTS!$B$12*INPUTS!$C$29/1000)</f>
        <v>58.0725</v>
      </c>
      <c r="K9" s="9" t="n">
        <f aca="false">IF(TRIB!K9="",0,(TRIB!K9*IF($D9="A",(INPUTS!$G$30/12*INPUTS!$B$12+INPUTS!$H$30),(INPUTS!$L$30/12*INPUTS!$B$12+INPUTS!$M$30))+IF(FACADE!K9="",0,FACADE!K9)*INPUTS!$B$15)/1000+ARCH_AG!K9/144*INPUTS!$B$12*INPUTS!$C$30/1000)</f>
        <v>58.0725</v>
      </c>
      <c r="L9" s="9" t="n">
        <f aca="false">IF(TRIB!L9="",0,(TRIB!L9*IF($D9="A",(INPUTS!$G$31/12*INPUTS!$B$12+INPUTS!$H$31),(INPUTS!$L$31/12*INPUTS!$B$12+INPUTS!$M$31))+IF(FACADE!L9="",0,FACADE!L9)*INPUTS!$B$15)/1000+ARCH_AG!L9/144*INPUTS!$B$12*INPUTS!$C$31/1000)</f>
        <v>58.0725</v>
      </c>
      <c r="M9" s="9" t="n">
        <f aca="false">IF(TRIB!M9="",0,(TRIB!M9*IF($D9="A",(INPUTS!$G$32/12*INPUTS!$B$12+INPUTS!$H$32),(INPUTS!$L$32/12*INPUTS!$B$12+INPUTS!$M$32))+IF(FACADE!M9="",0,FACADE!M9)*INPUTS!$B$15)/1000+ARCH_AG!M9/144*INPUTS!$B$12*INPUTS!$C$32/1000)</f>
        <v>58.0725</v>
      </c>
      <c r="N9" s="9" t="n">
        <f aca="false">IF(TRIB!N9="",0,(TRIB!N9*IF($D9="A",(INPUTS!$G$33/12*INPUTS!$B$12+INPUTS!$H$33),(INPUTS!$L$33/12*INPUTS!$B$12+INPUTS!$M$33))+IF(FACADE!N9="",0,FACADE!N9)*INPUTS!$B$15)/1000+ARCH_AG!N9/144*INPUTS!$B$12*INPUTS!$C$33/1000)</f>
        <v>58.0725</v>
      </c>
      <c r="O9" s="9" t="n">
        <f aca="false">IF(TRIB!O9="",0,(TRIB!O9*IF($D9="A",(INPUTS!$G$34/12*INPUTS!$B$12+INPUTS!$H$34),(INPUTS!$L$34/12*INPUTS!$B$12+INPUTS!$M$34))+IF(FACADE!O9="",0,FACADE!O9)*INPUTS!$B$15)/1000+ARCH_AG!O9/144*INPUTS!$B$12*INPUTS!$C$34/1000)</f>
        <v>58.0725</v>
      </c>
      <c r="P9" s="9" t="n">
        <f aca="false">IF(TRIB!P9="",0,(TRIB!P9*IF($D9="A",(INPUTS!$G$35/12*INPUTS!$B$12+INPUTS!$H$35),(INPUTS!$L$35/12*INPUTS!$B$12+INPUTS!$M$35))+IF(FACADE!P9="",0,FACADE!P9)*INPUTS!$B$15)/1000+ARCH_AG!P9/144*INPUTS!$B$12*INPUTS!$C$35/1000)</f>
        <v>58.86</v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9" t="n">
        <f aca="false">IF(TRIB!E10="",0,(TRIB!E10*IF($D10="A",(INPUTS!$G$24/12*INPUTS!$B$12+INPUTS!$H$24),(INPUTS!$L$24/12*INPUTS!$B$12+INPUTS!$M$24))+IF(FACADE!E10="",0,FACADE!E10)*INPUTS!$B$15)/1000+ARCH_AG!E10/144*INPUTS!$B$12*INPUTS!$C$24/1000)</f>
        <v>0</v>
      </c>
      <c r="F10" s="9" t="n">
        <f aca="false">IF(TRIB!F10="",0,(TRIB!F10*IF($D10="A",(INPUTS!$G$25/12*INPUTS!$B$12+INPUTS!$H$25),(INPUTS!$L$25/12*INPUTS!$B$12+INPUTS!$M$25))+IF(FACADE!F10="",0,FACADE!F10)*INPUTS!$B$15)/1000+ARCH_AG!F10/144*INPUTS!$B$12*INPUTS!$C$25/1000)</f>
        <v>66.8775</v>
      </c>
      <c r="G10" s="9" t="n">
        <f aca="false">IF(TRIB!G10="",0,(TRIB!G10*IF($D10="A",(INPUTS!$G$26/12*INPUTS!$B$12+INPUTS!$H$26),(INPUTS!$L$26/12*INPUTS!$B$12+INPUTS!$M$26))+IF(FACADE!G10="",0,FACADE!G10)*INPUTS!$B$15)/1000+ARCH_AG!G10/144*INPUTS!$B$12*INPUTS!$C$26/1000)</f>
        <v>61.6725</v>
      </c>
      <c r="H10" s="9" t="n">
        <f aca="false">IF(TRIB!H10="",0,(TRIB!H10*IF($D10="A",(INPUTS!$G$27/12*INPUTS!$B$12+INPUTS!$H$27),(INPUTS!$L$27/12*INPUTS!$B$12+INPUTS!$M$27))+IF(FACADE!H10="",0,FACADE!H10)*INPUTS!$B$15)/1000+ARCH_AG!H10/144*INPUTS!$B$12*INPUTS!$C$27/1000)</f>
        <v>61.6725</v>
      </c>
      <c r="I10" s="9" t="n">
        <f aca="false">IF(TRIB!I10="",0,(TRIB!I10*IF($D10="A",(INPUTS!$G$28/12*INPUTS!$B$12+INPUTS!$H$28),(INPUTS!$L$28/12*INPUTS!$B$12+INPUTS!$M$28))+IF(FACADE!I10="",0,FACADE!I10)*INPUTS!$B$15)/1000+ARCH_AG!I10/144*INPUTS!$B$12*INPUTS!$C$28/1000)</f>
        <v>61.6725</v>
      </c>
      <c r="J10" s="9" t="n">
        <f aca="false">IF(TRIB!J10="",0,(TRIB!J10*IF($D10="A",(INPUTS!$G$29/12*INPUTS!$B$12+INPUTS!$H$29),(INPUTS!$L$29/12*INPUTS!$B$12+INPUTS!$M$29))+IF(FACADE!J10="",0,FACADE!J10)*INPUTS!$B$15)/1000+ARCH_AG!J10/144*INPUTS!$B$12*INPUTS!$C$29/1000)</f>
        <v>61.6725</v>
      </c>
      <c r="K10" s="9" t="n">
        <f aca="false">IF(TRIB!K10="",0,(TRIB!K10*IF($D10="A",(INPUTS!$G$30/12*INPUTS!$B$12+INPUTS!$H$30),(INPUTS!$L$30/12*INPUTS!$B$12+INPUTS!$M$30))+IF(FACADE!K10="",0,FACADE!K10)*INPUTS!$B$15)/1000+ARCH_AG!K10/144*INPUTS!$B$12*INPUTS!$C$30/1000)</f>
        <v>61.6725</v>
      </c>
      <c r="L10" s="9" t="n">
        <f aca="false">IF(TRIB!L10="",0,(TRIB!L10*IF($D10="A",(INPUTS!$G$31/12*INPUTS!$B$12+INPUTS!$H$31),(INPUTS!$L$31/12*INPUTS!$B$12+INPUTS!$M$31))+IF(FACADE!L10="",0,FACADE!L10)*INPUTS!$B$15)/1000+ARCH_AG!L10/144*INPUTS!$B$12*INPUTS!$C$31/1000)</f>
        <v>61.6725</v>
      </c>
      <c r="M10" s="9" t="n">
        <f aca="false">IF(TRIB!M10="",0,(TRIB!M10*IF($D10="A",(INPUTS!$G$32/12*INPUTS!$B$12+INPUTS!$H$32),(INPUTS!$L$32/12*INPUTS!$B$12+INPUTS!$M$32))+IF(FACADE!M10="",0,FACADE!M10)*INPUTS!$B$15)/1000+ARCH_AG!M10/144*INPUTS!$B$12*INPUTS!$C$32/1000)</f>
        <v>61.6725</v>
      </c>
      <c r="N10" s="9" t="n">
        <f aca="false">IF(TRIB!N10="",0,(TRIB!N10*IF($D10="A",(INPUTS!$G$33/12*INPUTS!$B$12+INPUTS!$H$33),(INPUTS!$L$33/12*INPUTS!$B$12+INPUTS!$M$33))+IF(FACADE!N10="",0,FACADE!N10)*INPUTS!$B$15)/1000+ARCH_AG!N10/144*INPUTS!$B$12*INPUTS!$C$33/1000)</f>
        <v>61.6725</v>
      </c>
      <c r="O10" s="9" t="n">
        <f aca="false">IF(TRIB!O10="",0,(TRIB!O10*IF($D10="A",(INPUTS!$G$34/12*INPUTS!$B$12+INPUTS!$H$34),(INPUTS!$L$34/12*INPUTS!$B$12+INPUTS!$M$34))+IF(FACADE!O10="",0,FACADE!O10)*INPUTS!$B$15)/1000+ARCH_AG!O10/144*INPUTS!$B$12*INPUTS!$C$34/1000)</f>
        <v>61.6725</v>
      </c>
      <c r="P10" s="9" t="n">
        <f aca="false">IF(TRIB!P10="",0,(TRIB!P10*IF($D10="A",(INPUTS!$G$35/12*INPUTS!$B$12+INPUTS!$H$35),(INPUTS!$L$35/12*INPUTS!$B$12+INPUTS!$M$35))+IF(FACADE!P10="",0,FACADE!P10)*INPUTS!$B$15)/1000+ARCH_AG!P10/144*INPUTS!$B$12*INPUTS!$C$35/1000)</f>
        <v>62.46</v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9" t="n">
        <f aca="false">IF(TRIB!E11="",0,(TRIB!E11*IF($D11="A",(INPUTS!$G$24/12*INPUTS!$B$12+INPUTS!$H$24),(INPUTS!$L$24/12*INPUTS!$B$12+INPUTS!$M$24))+IF(FACADE!E11="",0,FACADE!E11)*INPUTS!$B$15)/1000+ARCH_AG!E11/144*INPUTS!$B$12*INPUTS!$C$24/1000)</f>
        <v>0</v>
      </c>
      <c r="F11" s="9" t="n">
        <f aca="false">IF(TRIB!F11="",0,(TRIB!F11*IF($D11="A",(INPUTS!$G$25/12*INPUTS!$B$12+INPUTS!$H$25),(INPUTS!$L$25/12*INPUTS!$B$12+INPUTS!$M$25))+IF(FACADE!F11="",0,FACADE!F11)*INPUTS!$B$15)/1000+ARCH_AG!F11/144*INPUTS!$B$12*INPUTS!$C$25/1000)</f>
        <v>61.3875</v>
      </c>
      <c r="G11" s="9" t="n">
        <f aca="false">IF(TRIB!G11="",0,(TRIB!G11*IF($D11="A",(INPUTS!$G$26/12*INPUTS!$B$12+INPUTS!$H$26),(INPUTS!$L$26/12*INPUTS!$B$12+INPUTS!$M$26))+IF(FACADE!G11="",0,FACADE!G11)*INPUTS!$B$15)/1000+ARCH_AG!G11/144*INPUTS!$B$12*INPUTS!$C$26/1000)</f>
        <v>60.0225</v>
      </c>
      <c r="H11" s="9" t="n">
        <f aca="false">IF(TRIB!H11="",0,(TRIB!H11*IF($D11="A",(INPUTS!$G$27/12*INPUTS!$B$12+INPUTS!$H$27),(INPUTS!$L$27/12*INPUTS!$B$12+INPUTS!$M$27))+IF(FACADE!H11="",0,FACADE!H11)*INPUTS!$B$15)/1000+ARCH_AG!H11/144*INPUTS!$B$12*INPUTS!$C$27/1000)</f>
        <v>60.0225</v>
      </c>
      <c r="I11" s="9" t="n">
        <f aca="false">IF(TRIB!I11="",0,(TRIB!I11*IF($D11="A",(INPUTS!$G$28/12*INPUTS!$B$12+INPUTS!$H$28),(INPUTS!$L$28/12*INPUTS!$B$12+INPUTS!$M$28))+IF(FACADE!I11="",0,FACADE!I11)*INPUTS!$B$15)/1000+ARCH_AG!I11/144*INPUTS!$B$12*INPUTS!$C$28/1000)</f>
        <v>60.0225</v>
      </c>
      <c r="J11" s="9" t="n">
        <f aca="false">IF(TRIB!J11="",0,(TRIB!J11*IF($D11="A",(INPUTS!$G$29/12*INPUTS!$B$12+INPUTS!$H$29),(INPUTS!$L$29/12*INPUTS!$B$12+INPUTS!$M$29))+IF(FACADE!J11="",0,FACADE!J11)*INPUTS!$B$15)/1000+ARCH_AG!J11/144*INPUTS!$B$12*INPUTS!$C$29/1000)</f>
        <v>60.0225</v>
      </c>
      <c r="K11" s="9" t="n">
        <f aca="false">IF(TRIB!K11="",0,(TRIB!K11*IF($D11="A",(INPUTS!$G$30/12*INPUTS!$B$12+INPUTS!$H$30),(INPUTS!$L$30/12*INPUTS!$B$12+INPUTS!$M$30))+IF(FACADE!K11="",0,FACADE!K11)*INPUTS!$B$15)/1000+ARCH_AG!K11/144*INPUTS!$B$12*INPUTS!$C$30/1000)</f>
        <v>60.0225</v>
      </c>
      <c r="L11" s="9" t="n">
        <f aca="false">IF(TRIB!L11="",0,(TRIB!L11*IF($D11="A",(INPUTS!$G$31/12*INPUTS!$B$12+INPUTS!$H$31),(INPUTS!$L$31/12*INPUTS!$B$12+INPUTS!$M$31))+IF(FACADE!L11="",0,FACADE!L11)*INPUTS!$B$15)/1000+ARCH_AG!L11/144*INPUTS!$B$12*INPUTS!$C$31/1000)</f>
        <v>60.0225</v>
      </c>
      <c r="M11" s="9" t="n">
        <f aca="false">IF(TRIB!M11="",0,(TRIB!M11*IF($D11="A",(INPUTS!$G$32/12*INPUTS!$B$12+INPUTS!$H$32),(INPUTS!$L$32/12*INPUTS!$B$12+INPUTS!$M$32))+IF(FACADE!M11="",0,FACADE!M11)*INPUTS!$B$15)/1000+ARCH_AG!M11/144*INPUTS!$B$12*INPUTS!$C$32/1000)</f>
        <v>60.0225</v>
      </c>
      <c r="N11" s="9" t="n">
        <f aca="false">IF(TRIB!N11="",0,(TRIB!N11*IF($D11="A",(INPUTS!$G$33/12*INPUTS!$B$12+INPUTS!$H$33),(INPUTS!$L$33/12*INPUTS!$B$12+INPUTS!$M$33))+IF(FACADE!N11="",0,FACADE!N11)*INPUTS!$B$15)/1000+ARCH_AG!N11/144*INPUTS!$B$12*INPUTS!$C$33/1000)</f>
        <v>60.0225</v>
      </c>
      <c r="O11" s="9" t="n">
        <f aca="false">IF(TRIB!O11="",0,(TRIB!O11*IF($D11="A",(INPUTS!$G$34/12*INPUTS!$B$12+INPUTS!$H$34),(INPUTS!$L$34/12*INPUTS!$B$12+INPUTS!$M$34))+IF(FACADE!O11="",0,FACADE!O11)*INPUTS!$B$15)/1000+ARCH_AG!O11/144*INPUTS!$B$12*INPUTS!$C$34/1000)</f>
        <v>60.0225</v>
      </c>
      <c r="P11" s="9" t="n">
        <f aca="false">IF(TRIB!P11="",0,(TRIB!P11*IF($D11="A",(INPUTS!$G$35/12*INPUTS!$B$12+INPUTS!$H$35),(INPUTS!$L$35/12*INPUTS!$B$12+INPUTS!$M$35))+IF(FACADE!P11="",0,FACADE!P11)*INPUTS!$B$15)/1000+ARCH_AG!P11/144*INPUTS!$B$12*INPUTS!$C$35/1000)</f>
        <v>60.81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9" t="n">
        <f aca="false">IF(TRIB!E12="",0,(TRIB!E12*IF($D12="A",(INPUTS!$G$24/12*INPUTS!$B$12+INPUTS!$H$24),(INPUTS!$L$24/12*INPUTS!$B$12+INPUTS!$M$24))+IF(FACADE!E12="",0,FACADE!E12)*INPUTS!$B$15)/1000+ARCH_AG!E12/144*INPUTS!$B$12*INPUTS!$C$24/1000)</f>
        <v>0</v>
      </c>
      <c r="F12" s="9" t="n">
        <f aca="false">IF(TRIB!F12="",0,(TRIB!F12*IF($D12="A",(INPUTS!$G$25/12*INPUTS!$B$12+INPUTS!$H$25),(INPUTS!$L$25/12*INPUTS!$B$12+INPUTS!$M$25))+IF(FACADE!F12="",0,FACADE!F12)*INPUTS!$B$15)/1000+ARCH_AG!F12/144*INPUTS!$B$12*INPUTS!$C$25/1000)</f>
        <v>21.375</v>
      </c>
      <c r="G12" s="9" t="n">
        <f aca="false">IF(TRIB!G12="",0,(TRIB!G12*IF($D12="A",(INPUTS!$G$26/12*INPUTS!$B$12+INPUTS!$H$26),(INPUTS!$L$26/12*INPUTS!$B$12+INPUTS!$M$26))+IF(FACADE!G12="",0,FACADE!G12)*INPUTS!$B$15)/1000+ARCH_AG!G12/144*INPUTS!$B$12*INPUTS!$C$26/1000)</f>
        <v>19.875</v>
      </c>
      <c r="H12" s="9" t="n">
        <f aca="false">IF(TRIB!H12="",0,(TRIB!H12*IF($D12="A",(INPUTS!$G$27/12*INPUTS!$B$12+INPUTS!$H$27),(INPUTS!$L$27/12*INPUTS!$B$12+INPUTS!$M$27))+IF(FACADE!H12="",0,FACADE!H12)*INPUTS!$B$15)/1000+ARCH_AG!H12/144*INPUTS!$B$12*INPUTS!$C$27/1000)</f>
        <v>19.725</v>
      </c>
      <c r="I12" s="9" t="n">
        <f aca="false">IF(TRIB!I12="",0,(TRIB!I12*IF($D12="A",(INPUTS!$G$28/12*INPUTS!$B$12+INPUTS!$H$28),(INPUTS!$L$28/12*INPUTS!$B$12+INPUTS!$M$28))+IF(FACADE!I12="",0,FACADE!I12)*INPUTS!$B$15)/1000+ARCH_AG!I12/144*INPUTS!$B$12*INPUTS!$C$28/1000)</f>
        <v>19.725</v>
      </c>
      <c r="J12" s="9" t="n">
        <f aca="false">IF(TRIB!J12="",0,(TRIB!J12*IF($D12="A",(INPUTS!$G$29/12*INPUTS!$B$12+INPUTS!$H$29),(INPUTS!$L$29/12*INPUTS!$B$12+INPUTS!$M$29))+IF(FACADE!J12="",0,FACADE!J12)*INPUTS!$B$15)/1000+ARCH_AG!J12/144*INPUTS!$B$12*INPUTS!$C$29/1000)</f>
        <v>19.725</v>
      </c>
      <c r="K12" s="9" t="n">
        <f aca="false">IF(TRIB!K12="",0,(TRIB!K12*IF($D12="A",(INPUTS!$G$30/12*INPUTS!$B$12+INPUTS!$H$30),(INPUTS!$L$30/12*INPUTS!$B$12+INPUTS!$M$30))+IF(FACADE!K12="",0,FACADE!K12)*INPUTS!$B$15)/1000+ARCH_AG!K12/144*INPUTS!$B$12*INPUTS!$C$30/1000)</f>
        <v>18.405</v>
      </c>
      <c r="L12" s="9" t="n">
        <f aca="false">IF(TRIB!L12="",0,(TRIB!L12*IF($D12="A",(INPUTS!$G$31/12*INPUTS!$B$12+INPUTS!$H$31),(INPUTS!$L$31/12*INPUTS!$B$12+INPUTS!$M$31))+IF(FACADE!L12="",0,FACADE!L12)*INPUTS!$B$15)/1000+ARCH_AG!L12/144*INPUTS!$B$12*INPUTS!$C$31/1000)</f>
        <v>18.405</v>
      </c>
      <c r="M12" s="9" t="n">
        <f aca="false">IF(TRIB!M12="",0,(TRIB!M12*IF($D12="A",(INPUTS!$G$32/12*INPUTS!$B$12+INPUTS!$H$32),(INPUTS!$L$32/12*INPUTS!$B$12+INPUTS!$M$32))+IF(FACADE!M12="",0,FACADE!M12)*INPUTS!$B$15)/1000+ARCH_AG!M12/144*INPUTS!$B$12*INPUTS!$C$32/1000)</f>
        <v>18.405</v>
      </c>
      <c r="N12" s="9" t="n">
        <f aca="false">IF(TRIB!N12="",0,(TRIB!N12*IF($D12="A",(INPUTS!$G$33/12*INPUTS!$B$12+INPUTS!$H$33),(INPUTS!$L$33/12*INPUTS!$B$12+INPUTS!$M$33))+IF(FACADE!N12="",0,FACADE!N12)*INPUTS!$B$15)/1000+ARCH_AG!N12/144*INPUTS!$B$12*INPUTS!$C$33/1000)</f>
        <v>18.405</v>
      </c>
      <c r="O12" s="9" t="n">
        <f aca="false">IF(TRIB!O12="",0,(TRIB!O12*IF($D12="A",(INPUTS!$G$34/12*INPUTS!$B$12+INPUTS!$H$34),(INPUTS!$L$34/12*INPUTS!$B$12+INPUTS!$M$34))+IF(FACADE!O12="",0,FACADE!O12)*INPUTS!$B$15)/1000+ARCH_AG!O12/144*INPUTS!$B$12*INPUTS!$C$34/1000)</f>
        <v>18.405</v>
      </c>
      <c r="P12" s="9" t="n">
        <f aca="false">IF(TRIB!P12="",0,(TRIB!P12*IF($D12="A",(INPUTS!$G$35/12*INPUTS!$B$12+INPUTS!$H$35),(INPUTS!$L$35/12*INPUTS!$B$12+INPUTS!$M$35))+IF(FACADE!P12="",0,FACADE!P12)*INPUTS!$B$15)/1000+ARCH_AG!P12/144*INPUTS!$B$12*INPUTS!$C$35/1000)</f>
        <v>18.93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9" t="n">
        <f aca="false">IF(TRIB!E13="",0,(TRIB!E13*IF($D13="A",(INPUTS!$G$24/12*INPUTS!$B$12+INPUTS!$H$24),(INPUTS!$L$24/12*INPUTS!$B$12+INPUTS!$M$24))+IF(FACADE!E13="",0,FACADE!E13)*INPUTS!$B$15)/1000+ARCH_AG!E13/144*INPUTS!$B$12*INPUTS!$C$24/1000)</f>
        <v>0</v>
      </c>
      <c r="F13" s="9" t="n">
        <f aca="false">IF(TRIB!F13="",0,(TRIB!F13*IF($D13="A",(INPUTS!$G$25/12*INPUTS!$B$12+INPUTS!$H$25),(INPUTS!$L$25/12*INPUTS!$B$12+INPUTS!$M$25))+IF(FACADE!F13="",0,FACADE!F13)*INPUTS!$B$15)/1000+ARCH_AG!F13/144*INPUTS!$B$12*INPUTS!$C$25/1000)</f>
        <v>67.6575</v>
      </c>
      <c r="G13" s="9" t="n">
        <f aca="false">IF(TRIB!G13="",0,(TRIB!G13*IF($D13="A",(INPUTS!$G$26/12*INPUTS!$B$12+INPUTS!$H$26),(INPUTS!$L$26/12*INPUTS!$B$12+INPUTS!$M$26))+IF(FACADE!G13="",0,FACADE!G13)*INPUTS!$B$15)/1000+ARCH_AG!G13/144*INPUTS!$B$12*INPUTS!$C$26/1000)</f>
        <v>62.3925</v>
      </c>
      <c r="H13" s="9" t="n">
        <f aca="false">IF(TRIB!H13="",0,(TRIB!H13*IF($D13="A",(INPUTS!$G$27/12*INPUTS!$B$12+INPUTS!$H$27),(INPUTS!$L$27/12*INPUTS!$B$12+INPUTS!$M$27))+IF(FACADE!H13="",0,FACADE!H13)*INPUTS!$B$15)/1000+ARCH_AG!H13/144*INPUTS!$B$12*INPUTS!$C$27/1000)</f>
        <v>62.3925</v>
      </c>
      <c r="I13" s="9" t="n">
        <f aca="false">IF(TRIB!I13="",0,(TRIB!I13*IF($D13="A",(INPUTS!$G$28/12*INPUTS!$B$12+INPUTS!$H$28),(INPUTS!$L$28/12*INPUTS!$B$12+INPUTS!$M$28))+IF(FACADE!I13="",0,FACADE!I13)*INPUTS!$B$15)/1000+ARCH_AG!I13/144*INPUTS!$B$12*INPUTS!$C$28/1000)</f>
        <v>62.3925</v>
      </c>
      <c r="J13" s="9" t="n">
        <f aca="false">IF(TRIB!J13="",0,(TRIB!J13*IF($D13="A",(INPUTS!$G$29/12*INPUTS!$B$12+INPUTS!$H$29),(INPUTS!$L$29/12*INPUTS!$B$12+INPUTS!$M$29))+IF(FACADE!J13="",0,FACADE!J13)*INPUTS!$B$15)/1000+ARCH_AG!J13/144*INPUTS!$B$12*INPUTS!$C$29/1000)</f>
        <v>62.3925</v>
      </c>
      <c r="K13" s="9" t="n">
        <f aca="false">IF(TRIB!K13="",0,(TRIB!K13*IF($D13="A",(INPUTS!$G$30/12*INPUTS!$B$12+INPUTS!$H$30),(INPUTS!$L$30/12*INPUTS!$B$12+INPUTS!$M$30))+IF(FACADE!K13="",0,FACADE!K13)*INPUTS!$B$15)/1000+ARCH_AG!K13/144*INPUTS!$B$12*INPUTS!$C$30/1000)</f>
        <v>62.3925</v>
      </c>
      <c r="L13" s="9" t="n">
        <f aca="false">IF(TRIB!L13="",0,(TRIB!L13*IF($D13="A",(INPUTS!$G$31/12*INPUTS!$B$12+INPUTS!$H$31),(INPUTS!$L$31/12*INPUTS!$B$12+INPUTS!$M$31))+IF(FACADE!L13="",0,FACADE!L13)*INPUTS!$B$15)/1000+ARCH_AG!L13/144*INPUTS!$B$12*INPUTS!$C$31/1000)</f>
        <v>62.3925</v>
      </c>
      <c r="M13" s="9" t="n">
        <f aca="false">IF(TRIB!M13="",0,(TRIB!M13*IF($D13="A",(INPUTS!$G$32/12*INPUTS!$B$12+INPUTS!$H$32),(INPUTS!$L$32/12*INPUTS!$B$12+INPUTS!$M$32))+IF(FACADE!M13="",0,FACADE!M13)*INPUTS!$B$15)/1000+ARCH_AG!M13/144*INPUTS!$B$12*INPUTS!$C$32/1000)</f>
        <v>62.3925</v>
      </c>
      <c r="N13" s="9" t="n">
        <f aca="false">IF(TRIB!N13="",0,(TRIB!N13*IF($D13="A",(INPUTS!$G$33/12*INPUTS!$B$12+INPUTS!$H$33),(INPUTS!$L$33/12*INPUTS!$B$12+INPUTS!$M$33))+IF(FACADE!N13="",0,FACADE!N13)*INPUTS!$B$15)/1000+ARCH_AG!N13/144*INPUTS!$B$12*INPUTS!$C$33/1000)</f>
        <v>62.3925</v>
      </c>
      <c r="O13" s="9" t="n">
        <f aca="false">IF(TRIB!O13="",0,(TRIB!O13*IF($D13="A",(INPUTS!$G$34/12*INPUTS!$B$12+INPUTS!$H$34),(INPUTS!$L$34/12*INPUTS!$B$12+INPUTS!$M$34))+IF(FACADE!O13="",0,FACADE!O13)*INPUTS!$B$15)/1000+ARCH_AG!O13/144*INPUTS!$B$12*INPUTS!$C$34/1000)</f>
        <v>62.3925</v>
      </c>
      <c r="P13" s="9" t="n">
        <f aca="false">IF(TRIB!P13="",0,(TRIB!P13*IF($D13="A",(INPUTS!$G$35/12*INPUTS!$B$12+INPUTS!$H$35),(INPUTS!$L$35/12*INPUTS!$B$12+INPUTS!$M$35))+IF(FACADE!P13="",0,FACADE!P13)*INPUTS!$B$15)/1000+ARCH_AG!P13/144*INPUTS!$B$12*INPUTS!$C$35/1000)</f>
        <v>63.18</v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9" t="n">
        <f aca="false">IF(TRIB!E14="",0,(TRIB!E14*IF($D14="A",(INPUTS!$G$24/12*INPUTS!$B$12+INPUTS!$H$24),(INPUTS!$L$24/12*INPUTS!$B$12+INPUTS!$M$24))+IF(FACADE!E14="",0,FACADE!E14)*INPUTS!$B$15)/1000+ARCH_AG!E14/144*INPUTS!$B$12*INPUTS!$C$24/1000)</f>
        <v>0</v>
      </c>
      <c r="F14" s="9" t="n">
        <f aca="false">IF(TRIB!F14="",0,(TRIB!F14*IF($D14="A",(INPUTS!$G$25/12*INPUTS!$B$12+INPUTS!$H$25),(INPUTS!$L$25/12*INPUTS!$B$12+INPUTS!$M$25))+IF(FACADE!F14="",0,FACADE!F14)*INPUTS!$B$15)/1000+ARCH_AG!F14/144*INPUTS!$B$12*INPUTS!$C$25/1000)</f>
        <v>46.3975</v>
      </c>
      <c r="G14" s="9" t="n">
        <f aca="false">IF(TRIB!G14="",0,(TRIB!G14*IF($D14="A",(INPUTS!$G$26/12*INPUTS!$B$12+INPUTS!$H$26),(INPUTS!$L$26/12*INPUTS!$B$12+INPUTS!$M$26))+IF(FACADE!G14="",0,FACADE!G14)*INPUTS!$B$15)/1000+ARCH_AG!G14/144*INPUTS!$B$12*INPUTS!$C$26/1000)</f>
        <v>42.9525</v>
      </c>
      <c r="H14" s="9" t="n">
        <f aca="false">IF(TRIB!H14="",0,(TRIB!H14*IF($D14="A",(INPUTS!$G$27/12*INPUTS!$B$12+INPUTS!$H$27),(INPUTS!$L$27/12*INPUTS!$B$12+INPUTS!$M$27))+IF(FACADE!H14="",0,FACADE!H14)*INPUTS!$B$15)/1000+ARCH_AG!H14/144*INPUTS!$B$12*INPUTS!$C$27/1000)</f>
        <v>42.9525</v>
      </c>
      <c r="I14" s="9" t="n">
        <f aca="false">IF(TRIB!I14="",0,(TRIB!I14*IF($D14="A",(INPUTS!$G$28/12*INPUTS!$B$12+INPUTS!$H$28),(INPUTS!$L$28/12*INPUTS!$B$12+INPUTS!$M$28))+IF(FACADE!I14="",0,FACADE!I14)*INPUTS!$B$15)/1000+ARCH_AG!I14/144*INPUTS!$B$12*INPUTS!$C$28/1000)</f>
        <v>42.9525</v>
      </c>
      <c r="J14" s="9" t="n">
        <f aca="false">IF(TRIB!J14="",0,(TRIB!J14*IF($D14="A",(INPUTS!$G$29/12*INPUTS!$B$12+INPUTS!$H$29),(INPUTS!$L$29/12*INPUTS!$B$12+INPUTS!$M$29))+IF(FACADE!J14="",0,FACADE!J14)*INPUTS!$B$15)/1000+ARCH_AG!J14/144*INPUTS!$B$12*INPUTS!$C$29/1000)</f>
        <v>42.9525</v>
      </c>
      <c r="K14" s="9" t="n">
        <f aca="false">IF(TRIB!K14="",0,(TRIB!K14*IF($D14="A",(INPUTS!$G$30/12*INPUTS!$B$12+INPUTS!$H$30),(INPUTS!$L$30/12*INPUTS!$B$12+INPUTS!$M$30))+IF(FACADE!K14="",0,FACADE!K14)*INPUTS!$B$15)/1000+ARCH_AG!K14/144*INPUTS!$B$12*INPUTS!$C$30/1000)</f>
        <v>42.0525</v>
      </c>
      <c r="L14" s="9" t="n">
        <f aca="false">IF(TRIB!L14="",0,(TRIB!L14*IF($D14="A",(INPUTS!$G$31/12*INPUTS!$B$12+INPUTS!$H$31),(INPUTS!$L$31/12*INPUTS!$B$12+INPUTS!$M$31))+IF(FACADE!L14="",0,FACADE!L14)*INPUTS!$B$15)/1000+ARCH_AG!L14/144*INPUTS!$B$12*INPUTS!$C$31/1000)</f>
        <v>42.0525</v>
      </c>
      <c r="M14" s="9" t="n">
        <f aca="false">IF(TRIB!M14="",0,(TRIB!M14*IF($D14="A",(INPUTS!$G$32/12*INPUTS!$B$12+INPUTS!$H$32),(INPUTS!$L$32/12*INPUTS!$B$12+INPUTS!$M$32))+IF(FACADE!M14="",0,FACADE!M14)*INPUTS!$B$15)/1000+ARCH_AG!M14/144*INPUTS!$B$12*INPUTS!$C$32/1000)</f>
        <v>42.0525</v>
      </c>
      <c r="N14" s="9" t="n">
        <f aca="false">IF(TRIB!N14="",0,(TRIB!N14*IF($D14="A",(INPUTS!$G$33/12*INPUTS!$B$12+INPUTS!$H$33),(INPUTS!$L$33/12*INPUTS!$B$12+INPUTS!$M$33))+IF(FACADE!N14="",0,FACADE!N14)*INPUTS!$B$15)/1000+ARCH_AG!N14/144*INPUTS!$B$12*INPUTS!$C$33/1000)</f>
        <v>42.0525</v>
      </c>
      <c r="O14" s="9" t="n">
        <f aca="false">IF(TRIB!O14="",0,(TRIB!O14*IF($D14="A",(INPUTS!$G$34/12*INPUTS!$B$12+INPUTS!$H$34),(INPUTS!$L$34/12*INPUTS!$B$12+INPUTS!$M$34))+IF(FACADE!O14="",0,FACADE!O14)*INPUTS!$B$15)/1000+ARCH_AG!O14/144*INPUTS!$B$12*INPUTS!$C$34/1000)</f>
        <v>42.0525</v>
      </c>
      <c r="P14" s="9" t="n">
        <f aca="false">IF(TRIB!P14="",0,(TRIB!P14*IF($D14="A",(INPUTS!$G$35/12*INPUTS!$B$12+INPUTS!$H$35),(INPUTS!$L$35/12*INPUTS!$B$12+INPUTS!$M$35))+IF(FACADE!P14="",0,FACADE!P14)*INPUTS!$B$15)/1000+ARCH_AG!P14/144*INPUTS!$B$12*INPUTS!$C$35/1000)</f>
        <v>42.84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9" t="n">
        <f aca="false">IF(TRIB!E15="",0,(TRIB!E15*IF($D15="A",(INPUTS!$G$24/12*INPUTS!$B$12+INPUTS!$H$24),(INPUTS!$L$24/12*INPUTS!$B$12+INPUTS!$M$24))+IF(FACADE!E15="",0,FACADE!E15)*INPUTS!$B$15)/1000+ARCH_AG!E15/144*INPUTS!$B$12*INPUTS!$C$24/1000)</f>
        <v>0</v>
      </c>
      <c r="F15" s="9" t="n">
        <f aca="false">IF(TRIB!F15="",0,(TRIB!F15*IF($D15="A",(INPUTS!$G$25/12*INPUTS!$B$12+INPUTS!$H$25),(INPUTS!$L$25/12*INPUTS!$B$12+INPUTS!$M$25))+IF(FACADE!F15="",0,FACADE!F15)*INPUTS!$B$15)/1000+ARCH_AG!F15/144*INPUTS!$B$12*INPUTS!$C$25/1000)</f>
        <v>43.945</v>
      </c>
      <c r="G15" s="9" t="n">
        <f aca="false">IF(TRIB!G15="",0,(TRIB!G15*IF($D15="A",(INPUTS!$G$26/12*INPUTS!$B$12+INPUTS!$H$26),(INPUTS!$L$26/12*INPUTS!$B$12+INPUTS!$M$26))+IF(FACADE!G15="",0,FACADE!G15)*INPUTS!$B$15)/1000+ARCH_AG!G15/144*INPUTS!$B$12*INPUTS!$C$26/1000)</f>
        <v>38.235</v>
      </c>
      <c r="H15" s="9" t="n">
        <f aca="false">IF(TRIB!H15="",0,(TRIB!H15*IF($D15="A",(INPUTS!$G$27/12*INPUTS!$B$12+INPUTS!$H$27),(INPUTS!$L$27/12*INPUTS!$B$12+INPUTS!$M$27))+IF(FACADE!H15="",0,FACADE!H15)*INPUTS!$B$15)/1000+ARCH_AG!H15/144*INPUTS!$B$12*INPUTS!$C$27/1000)</f>
        <v>38.235</v>
      </c>
      <c r="I15" s="9" t="n">
        <f aca="false">IF(TRIB!I15="",0,(TRIB!I15*IF($D15="A",(INPUTS!$G$28/12*INPUTS!$B$12+INPUTS!$H$28),(INPUTS!$L$28/12*INPUTS!$B$12+INPUTS!$M$28))+IF(FACADE!I15="",0,FACADE!I15)*INPUTS!$B$15)/1000+ARCH_AG!I15/144*INPUTS!$B$12*INPUTS!$C$28/1000)</f>
        <v>38.235</v>
      </c>
      <c r="J15" s="9" t="n">
        <f aca="false">IF(TRIB!J15="",0,(TRIB!J15*IF($D15="A",(INPUTS!$G$29/12*INPUTS!$B$12+INPUTS!$H$29),(INPUTS!$L$29/12*INPUTS!$B$12+INPUTS!$M$29))+IF(FACADE!J15="",0,FACADE!J15)*INPUTS!$B$15)/1000+ARCH_AG!J15/144*INPUTS!$B$12*INPUTS!$C$29/1000)</f>
        <v>38.235</v>
      </c>
      <c r="K15" s="9" t="n">
        <f aca="false">IF(TRIB!K15="",0,(TRIB!K15*IF($D15="A",(INPUTS!$G$30/12*INPUTS!$B$12+INPUTS!$H$30),(INPUTS!$L$30/12*INPUTS!$B$12+INPUTS!$M$30))+IF(FACADE!K15="",0,FACADE!K15)*INPUTS!$B$15)/1000+ARCH_AG!K15/144*INPUTS!$B$12*INPUTS!$C$30/1000)</f>
        <v>38.235</v>
      </c>
      <c r="L15" s="9" t="n">
        <f aca="false">IF(TRIB!L15="",0,(TRIB!L15*IF($D15="A",(INPUTS!$G$31/12*INPUTS!$B$12+INPUTS!$H$31),(INPUTS!$L$31/12*INPUTS!$B$12+INPUTS!$M$31))+IF(FACADE!L15="",0,FACADE!L15)*INPUTS!$B$15)/1000+ARCH_AG!L15/144*INPUTS!$B$12*INPUTS!$C$31/1000)</f>
        <v>38.235</v>
      </c>
      <c r="M15" s="9" t="n">
        <f aca="false">IF(TRIB!M15="",0,(TRIB!M15*IF($D15="A",(INPUTS!$G$32/12*INPUTS!$B$12+INPUTS!$H$32),(INPUTS!$L$32/12*INPUTS!$B$12+INPUTS!$M$32))+IF(FACADE!M15="",0,FACADE!M15)*INPUTS!$B$15)/1000+ARCH_AG!M15/144*INPUTS!$B$12*INPUTS!$C$32/1000)</f>
        <v>38.235</v>
      </c>
      <c r="N15" s="9" t="n">
        <f aca="false">IF(TRIB!N15="",0,(TRIB!N15*IF($D15="A",(INPUTS!$G$33/12*INPUTS!$B$12+INPUTS!$H$33),(INPUTS!$L$33/12*INPUTS!$B$12+INPUTS!$M$33))+IF(FACADE!N15="",0,FACADE!N15)*INPUTS!$B$15)/1000+ARCH_AG!N15/144*INPUTS!$B$12*INPUTS!$C$33/1000)</f>
        <v>38.235</v>
      </c>
      <c r="O15" s="9" t="n">
        <f aca="false">IF(TRIB!O15="",0,(TRIB!O15*IF($D15="A",(INPUTS!$G$34/12*INPUTS!$B$12+INPUTS!$H$34),(INPUTS!$L$34/12*INPUTS!$B$12+INPUTS!$M$34))+IF(FACADE!O15="",0,FACADE!O15)*INPUTS!$B$15)/1000+ARCH_AG!O15/144*INPUTS!$B$12*INPUTS!$C$34/1000)</f>
        <v>38.235</v>
      </c>
      <c r="P15" s="9" t="n">
        <f aca="false">IF(TRIB!P15="",0,(TRIB!P15*IF($D15="A",(INPUTS!$G$35/12*INPUTS!$B$12+INPUTS!$H$35),(INPUTS!$L$35/12*INPUTS!$B$12+INPUTS!$M$35))+IF(FACADE!P15="",0,FACADE!P15)*INPUTS!$B$15)/1000+ARCH_AG!P15/144*INPUTS!$B$12*INPUTS!$C$35/1000)</f>
        <v>38.76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9" t="n">
        <f aca="false">IF(TRIB!E16="",0,(TRIB!E16*IF($D16="A",(INPUTS!$G$24/12*INPUTS!$B$12+INPUTS!$H$24),(INPUTS!$L$24/12*INPUTS!$B$12+INPUTS!$M$24))+IF(FACADE!E16="",0,FACADE!E16)*INPUTS!$B$15)/1000+ARCH_AG!E16/144*INPUTS!$B$12*INPUTS!$C$24/1000)</f>
        <v>0</v>
      </c>
      <c r="F16" s="9" t="n">
        <f aca="false">IF(TRIB!F16="",0,(TRIB!F16*IF($D16="A",(INPUTS!$G$25/12*INPUTS!$B$12+INPUTS!$H$25),(INPUTS!$L$25/12*INPUTS!$B$12+INPUTS!$M$25))+IF(FACADE!F16="",0,FACADE!F16)*INPUTS!$B$15)/1000+ARCH_AG!F16/144*INPUTS!$B$12*INPUTS!$C$25/1000)</f>
        <v>50.175</v>
      </c>
      <c r="G16" s="9" t="n">
        <f aca="false">IF(TRIB!G16="",0,(TRIB!G16*IF($D16="A",(INPUTS!$G$26/12*INPUTS!$B$12+INPUTS!$H$26),(INPUTS!$L$26/12*INPUTS!$B$12+INPUTS!$M$26))+IF(FACADE!G16="",0,FACADE!G16)*INPUTS!$B$15)/1000+ARCH_AG!G16/144*INPUTS!$B$12*INPUTS!$C$26/1000)</f>
        <v>46.275</v>
      </c>
      <c r="H16" s="9" t="n">
        <f aca="false">IF(TRIB!H16="",0,(TRIB!H16*IF($D16="A",(INPUTS!$G$27/12*INPUTS!$B$12+INPUTS!$H$27),(INPUTS!$L$27/12*INPUTS!$B$12+INPUTS!$M$27))+IF(FACADE!H16="",0,FACADE!H16)*INPUTS!$B$15)/1000+ARCH_AG!H16/144*INPUTS!$B$12*INPUTS!$C$27/1000)</f>
        <v>46.275</v>
      </c>
      <c r="I16" s="9" t="n">
        <f aca="false">IF(TRIB!I16="",0,(TRIB!I16*IF($D16="A",(INPUTS!$G$28/12*INPUTS!$B$12+INPUTS!$H$28),(INPUTS!$L$28/12*INPUTS!$B$12+INPUTS!$M$28))+IF(FACADE!I16="",0,FACADE!I16)*INPUTS!$B$15)/1000+ARCH_AG!I16/144*INPUTS!$B$12*INPUTS!$C$28/1000)</f>
        <v>46.275</v>
      </c>
      <c r="J16" s="9" t="n">
        <f aca="false">IF(TRIB!J16="",0,(TRIB!J16*IF($D16="A",(INPUTS!$G$29/12*INPUTS!$B$12+INPUTS!$H$29),(INPUTS!$L$29/12*INPUTS!$B$12+INPUTS!$M$29))+IF(FACADE!J16="",0,FACADE!J16)*INPUTS!$B$15)/1000+ARCH_AG!J16/144*INPUTS!$B$12*INPUTS!$C$29/1000)</f>
        <v>46.275</v>
      </c>
      <c r="K16" s="9" t="n">
        <f aca="false">IF(TRIB!K16="",0,(TRIB!K16*IF($D16="A",(INPUTS!$G$30/12*INPUTS!$B$12+INPUTS!$H$30),(INPUTS!$L$30/12*INPUTS!$B$12+INPUTS!$M$30))+IF(FACADE!K16="",0,FACADE!K16)*INPUTS!$B$15)/1000+ARCH_AG!K16/144*INPUTS!$B$12*INPUTS!$C$30/1000)</f>
        <v>46.275</v>
      </c>
      <c r="L16" s="9" t="n">
        <f aca="false">IF(TRIB!L16="",0,(TRIB!L16*IF($D16="A",(INPUTS!$G$31/12*INPUTS!$B$12+INPUTS!$H$31),(INPUTS!$L$31/12*INPUTS!$B$12+INPUTS!$M$31))+IF(FACADE!L16="",0,FACADE!L16)*INPUTS!$B$15)/1000+ARCH_AG!L16/144*INPUTS!$B$12*INPUTS!$C$31/1000)</f>
        <v>46.275</v>
      </c>
      <c r="M16" s="9" t="n">
        <f aca="false">IF(TRIB!M16="",0,(TRIB!M16*IF($D16="A",(INPUTS!$G$32/12*INPUTS!$B$12+INPUTS!$H$32),(INPUTS!$L$32/12*INPUTS!$B$12+INPUTS!$M$32))+IF(FACADE!M16="",0,FACADE!M16)*INPUTS!$B$15)/1000+ARCH_AG!M16/144*INPUTS!$B$12*INPUTS!$C$32/1000)</f>
        <v>46.275</v>
      </c>
      <c r="N16" s="9" t="n">
        <f aca="false">IF(TRIB!N16="",0,(TRIB!N16*IF($D16="A",(INPUTS!$G$33/12*INPUTS!$B$12+INPUTS!$H$33),(INPUTS!$L$33/12*INPUTS!$B$12+INPUTS!$M$33))+IF(FACADE!N16="",0,FACADE!N16)*INPUTS!$B$15)/1000+ARCH_AG!N16/144*INPUTS!$B$12*INPUTS!$C$33/1000)</f>
        <v>46.275</v>
      </c>
      <c r="O16" s="9" t="n">
        <f aca="false">IF(TRIB!O16="",0,(TRIB!O16*IF($D16="A",(INPUTS!$G$34/12*INPUTS!$B$12+INPUTS!$H$34),(INPUTS!$L$34/12*INPUTS!$B$12+INPUTS!$M$34))+IF(FACADE!O16="",0,FACADE!O16)*INPUTS!$B$15)/1000+ARCH_AG!O16/144*INPUTS!$B$12*INPUTS!$C$34/1000)</f>
        <v>46.275</v>
      </c>
      <c r="P16" s="9" t="n">
        <f aca="false">IF(TRIB!P16="",0,(TRIB!P16*IF($D16="A",(INPUTS!$G$35/12*INPUTS!$B$12+INPUTS!$H$35),(INPUTS!$L$35/12*INPUTS!$B$12+INPUTS!$M$35))+IF(FACADE!P16="",0,FACADE!P16)*INPUTS!$B$15)/1000+ARCH_AG!P16/144*INPUTS!$B$12*INPUTS!$C$35/1000)</f>
        <v>46.8</v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9" t="n">
        <f aca="false">IF(TRIB!E17="",0,(TRIB!E17*IF($D17="A",(INPUTS!$G$24/12*INPUTS!$B$12+INPUTS!$H$24),(INPUTS!$L$24/12*INPUTS!$B$12+INPUTS!$M$24))+IF(FACADE!E17="",0,FACADE!E17)*INPUTS!$B$15)/1000+ARCH_AG!E17/144*INPUTS!$B$12*INPUTS!$C$24/1000)</f>
        <v>0</v>
      </c>
      <c r="F17" s="9" t="n">
        <f aca="false">IF(TRIB!F17="",0,(TRIB!F17*IF($D17="A",(INPUTS!$G$25/12*INPUTS!$B$12+INPUTS!$H$25),(INPUTS!$L$25/12*INPUTS!$B$12+INPUTS!$M$25))+IF(FACADE!F17="",0,FACADE!F17)*INPUTS!$B$15)/1000+ARCH_AG!F17/144*INPUTS!$B$12*INPUTS!$C$25/1000)</f>
        <v>42.6775</v>
      </c>
      <c r="G17" s="9" t="n">
        <f aca="false">IF(TRIB!G17="",0,(TRIB!G17*IF($D17="A",(INPUTS!$G$26/12*INPUTS!$B$12+INPUTS!$H$26),(INPUTS!$L$26/12*INPUTS!$B$12+INPUTS!$M$26))+IF(FACADE!G17="",0,FACADE!G17)*INPUTS!$B$15)/1000+ARCH_AG!G17/144*INPUTS!$B$12*INPUTS!$C$26/1000)</f>
        <v>45.4725</v>
      </c>
      <c r="H17" s="9" t="n">
        <f aca="false">IF(TRIB!H17="",0,(TRIB!H17*IF($D17="A",(INPUTS!$G$27/12*INPUTS!$B$12+INPUTS!$H$27),(INPUTS!$L$27/12*INPUTS!$B$12+INPUTS!$M$27))+IF(FACADE!H17="",0,FACADE!H17)*INPUTS!$B$15)/1000+ARCH_AG!H17/144*INPUTS!$B$12*INPUTS!$C$27/1000)</f>
        <v>45.4725</v>
      </c>
      <c r="I17" s="9" t="n">
        <f aca="false">IF(TRIB!I17="",0,(TRIB!I17*IF($D17="A",(INPUTS!$G$28/12*INPUTS!$B$12+INPUTS!$H$28),(INPUTS!$L$28/12*INPUTS!$B$12+INPUTS!$M$28))+IF(FACADE!I17="",0,FACADE!I17)*INPUTS!$B$15)/1000+ARCH_AG!I17/144*INPUTS!$B$12*INPUTS!$C$28/1000)</f>
        <v>45.4725</v>
      </c>
      <c r="J17" s="9" t="n">
        <f aca="false">IF(TRIB!J17="",0,(TRIB!J17*IF($D17="A",(INPUTS!$G$29/12*INPUTS!$B$12+INPUTS!$H$29),(INPUTS!$L$29/12*INPUTS!$B$12+INPUTS!$M$29))+IF(FACADE!J17="",0,FACADE!J17)*INPUTS!$B$15)/1000+ARCH_AG!J17/144*INPUTS!$B$12*INPUTS!$C$29/1000)</f>
        <v>45.4725</v>
      </c>
      <c r="K17" s="9" t="n">
        <f aca="false">IF(TRIB!K17="",0,(TRIB!K17*IF($D17="A",(INPUTS!$G$30/12*INPUTS!$B$12+INPUTS!$H$30),(INPUTS!$L$30/12*INPUTS!$B$12+INPUTS!$M$30))+IF(FACADE!K17="",0,FACADE!K17)*INPUTS!$B$15)/1000+ARCH_AG!K17/144*INPUTS!$B$12*INPUTS!$C$30/1000)</f>
        <v>45.4725</v>
      </c>
      <c r="L17" s="9" t="n">
        <f aca="false">IF(TRIB!L17="",0,(TRIB!L17*IF($D17="A",(INPUTS!$G$31/12*INPUTS!$B$12+INPUTS!$H$31),(INPUTS!$L$31/12*INPUTS!$B$12+INPUTS!$M$31))+IF(FACADE!L17="",0,FACADE!L17)*INPUTS!$B$15)/1000+ARCH_AG!L17/144*INPUTS!$B$12*INPUTS!$C$31/1000)</f>
        <v>45.4725</v>
      </c>
      <c r="M17" s="9" t="n">
        <f aca="false">IF(TRIB!M17="",0,(TRIB!M17*IF($D17="A",(INPUTS!$G$32/12*INPUTS!$B$12+INPUTS!$H$32),(INPUTS!$L$32/12*INPUTS!$B$12+INPUTS!$M$32))+IF(FACADE!M17="",0,FACADE!M17)*INPUTS!$B$15)/1000+ARCH_AG!M17/144*INPUTS!$B$12*INPUTS!$C$32/1000)</f>
        <v>45.4725</v>
      </c>
      <c r="N17" s="9" t="n">
        <f aca="false">IF(TRIB!N17="",0,(TRIB!N17*IF($D17="A",(INPUTS!$G$33/12*INPUTS!$B$12+INPUTS!$H$33),(INPUTS!$L$33/12*INPUTS!$B$12+INPUTS!$M$33))+IF(FACADE!N17="",0,FACADE!N17)*INPUTS!$B$15)/1000+ARCH_AG!N17/144*INPUTS!$B$12*INPUTS!$C$33/1000)</f>
        <v>45.4725</v>
      </c>
      <c r="O17" s="9" t="n">
        <f aca="false">IF(TRIB!O17="",0,(TRIB!O17*IF($D17="A",(INPUTS!$G$34/12*INPUTS!$B$12+INPUTS!$H$34),(INPUTS!$L$34/12*INPUTS!$B$12+INPUTS!$M$34))+IF(FACADE!O17="",0,FACADE!O17)*INPUTS!$B$15)/1000+ARCH_AG!O17/144*INPUTS!$B$12*INPUTS!$C$34/1000)</f>
        <v>45.4725</v>
      </c>
      <c r="P17" s="9" t="n">
        <f aca="false">IF(TRIB!P17="",0,(TRIB!P17*IF($D17="A",(INPUTS!$G$35/12*INPUTS!$B$12+INPUTS!$H$35),(INPUTS!$L$35/12*INPUTS!$B$12+INPUTS!$M$35))+IF(FACADE!P17="",0,FACADE!P17)*INPUTS!$B$15)/1000+ARCH_AG!P17/144*INPUTS!$B$12*INPUTS!$C$35/1000)</f>
        <v>46.26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9" t="n">
        <f aca="false">IF(TRIB!E18="",0,(TRIB!E18*IF($D18="A",(INPUTS!$G$24/12*INPUTS!$B$12+INPUTS!$H$24),(INPUTS!$L$24/12*INPUTS!$B$12+INPUTS!$M$24))+IF(FACADE!E18="",0,FACADE!E18)*INPUTS!$B$15)/1000+ARCH_AG!E18/144*INPUTS!$B$12*INPUTS!$C$24/1000)</f>
        <v>0</v>
      </c>
      <c r="F18" s="9" t="n">
        <f aca="false">IF(TRIB!F18="",0,(TRIB!F18*IF($D18="A",(INPUTS!$G$25/12*INPUTS!$B$12+INPUTS!$H$25),(INPUTS!$L$25/12*INPUTS!$B$12+INPUTS!$M$25))+IF(FACADE!F18="",0,FACADE!F18)*INPUTS!$B$15)/1000+ARCH_AG!F18/144*INPUTS!$B$12*INPUTS!$C$25/1000)</f>
        <v>53.8775</v>
      </c>
      <c r="G18" s="9" t="n">
        <f aca="false">IF(TRIB!G18="",0,(TRIB!G18*IF($D18="A",(INPUTS!$G$26/12*INPUTS!$B$12+INPUTS!$H$26),(INPUTS!$L$26/12*INPUTS!$B$12+INPUTS!$M$26))+IF(FACADE!G18="",0,FACADE!G18)*INPUTS!$B$15)/1000+ARCH_AG!G18/144*INPUTS!$B$12*INPUTS!$C$26/1000)</f>
        <v>49.6725</v>
      </c>
      <c r="H18" s="9" t="n">
        <f aca="false">IF(TRIB!H18="",0,(TRIB!H18*IF($D18="A",(INPUTS!$G$27/12*INPUTS!$B$12+INPUTS!$H$27),(INPUTS!$L$27/12*INPUTS!$B$12+INPUTS!$M$27))+IF(FACADE!H18="",0,FACADE!H18)*INPUTS!$B$15)/1000+ARCH_AG!H18/144*INPUTS!$B$12*INPUTS!$C$27/1000)</f>
        <v>49.6725</v>
      </c>
      <c r="I18" s="9" t="n">
        <f aca="false">IF(TRIB!I18="",0,(TRIB!I18*IF($D18="A",(INPUTS!$G$28/12*INPUTS!$B$12+INPUTS!$H$28),(INPUTS!$L$28/12*INPUTS!$B$12+INPUTS!$M$28))+IF(FACADE!I18="",0,FACADE!I18)*INPUTS!$B$15)/1000+ARCH_AG!I18/144*INPUTS!$B$12*INPUTS!$C$28/1000)</f>
        <v>49.6725</v>
      </c>
      <c r="J18" s="9" t="n">
        <f aca="false">IF(TRIB!J18="",0,(TRIB!J18*IF($D18="A",(INPUTS!$G$29/12*INPUTS!$B$12+INPUTS!$H$29),(INPUTS!$L$29/12*INPUTS!$B$12+INPUTS!$M$29))+IF(FACADE!J18="",0,FACADE!J18)*INPUTS!$B$15)/1000+ARCH_AG!J18/144*INPUTS!$B$12*INPUTS!$C$29/1000)</f>
        <v>49.6725</v>
      </c>
      <c r="K18" s="9" t="n">
        <f aca="false">IF(TRIB!K18="",0,(TRIB!K18*IF($D18="A",(INPUTS!$G$30/12*INPUTS!$B$12+INPUTS!$H$30),(INPUTS!$L$30/12*INPUTS!$B$12+INPUTS!$M$30))+IF(FACADE!K18="",0,FACADE!K18)*INPUTS!$B$15)/1000+ARCH_AG!K18/144*INPUTS!$B$12*INPUTS!$C$30/1000)</f>
        <v>49.6725</v>
      </c>
      <c r="L18" s="9" t="n">
        <f aca="false">IF(TRIB!L18="",0,(TRIB!L18*IF($D18="A",(INPUTS!$G$31/12*INPUTS!$B$12+INPUTS!$H$31),(INPUTS!$L$31/12*INPUTS!$B$12+INPUTS!$M$31))+IF(FACADE!L18="",0,FACADE!L18)*INPUTS!$B$15)/1000+ARCH_AG!L18/144*INPUTS!$B$12*INPUTS!$C$31/1000)</f>
        <v>49.6725</v>
      </c>
      <c r="M18" s="9" t="n">
        <f aca="false">IF(TRIB!M18="",0,(TRIB!M18*IF($D18="A",(INPUTS!$G$32/12*INPUTS!$B$12+INPUTS!$H$32),(INPUTS!$L$32/12*INPUTS!$B$12+INPUTS!$M$32))+IF(FACADE!M18="",0,FACADE!M18)*INPUTS!$B$15)/1000+ARCH_AG!M18/144*INPUTS!$B$12*INPUTS!$C$32/1000)</f>
        <v>49.6725</v>
      </c>
      <c r="N18" s="9" t="n">
        <f aca="false">IF(TRIB!N18="",0,(TRIB!N18*IF($D18="A",(INPUTS!$G$33/12*INPUTS!$B$12+INPUTS!$H$33),(INPUTS!$L$33/12*INPUTS!$B$12+INPUTS!$M$33))+IF(FACADE!N18="",0,FACADE!N18)*INPUTS!$B$15)/1000+ARCH_AG!N18/144*INPUTS!$B$12*INPUTS!$C$33/1000)</f>
        <v>49.6725</v>
      </c>
      <c r="O18" s="9" t="n">
        <f aca="false">IF(TRIB!O18="",0,(TRIB!O18*IF($D18="A",(INPUTS!$G$34/12*INPUTS!$B$12+INPUTS!$H$34),(INPUTS!$L$34/12*INPUTS!$B$12+INPUTS!$M$34))+IF(FACADE!O18="",0,FACADE!O18)*INPUTS!$B$15)/1000+ARCH_AG!O18/144*INPUTS!$B$12*INPUTS!$C$34/1000)</f>
        <v>49.6725</v>
      </c>
      <c r="P18" s="9" t="n">
        <f aca="false">IF(TRIB!P18="",0,(TRIB!P18*IF($D18="A",(INPUTS!$G$35/12*INPUTS!$B$12+INPUTS!$H$35),(INPUTS!$L$35/12*INPUTS!$B$12+INPUTS!$M$35))+IF(FACADE!P18="",0,FACADE!P18)*INPUTS!$B$15)/1000+ARCH_AG!P18/144*INPUTS!$B$12*INPUTS!$C$35/1000)</f>
        <v>50.46</v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9" t="n">
        <f aca="false">IF(TRIB!E19="",0,(TRIB!E19*IF($D19="A",(INPUTS!$G$24/12*INPUTS!$B$12+INPUTS!$H$24),(INPUTS!$L$24/12*INPUTS!$B$12+INPUTS!$M$24))+IF(FACADE!E19="",0,FACADE!E19)*INPUTS!$B$15)/1000+ARCH_AG!E19/144*INPUTS!$B$12*INPUTS!$C$24/1000)</f>
        <v>0</v>
      </c>
      <c r="F19" s="9" t="n">
        <f aca="false">IF(TRIB!F19="",0,(TRIB!F19*IF($D19="A",(INPUTS!$G$25/12*INPUTS!$B$12+INPUTS!$H$25),(INPUTS!$L$25/12*INPUTS!$B$12+INPUTS!$M$25))+IF(FACADE!F19="",0,FACADE!F19)*INPUTS!$B$15)/1000+ARCH_AG!F19/144*INPUTS!$B$12*INPUTS!$C$25/1000)</f>
        <v>79.0975</v>
      </c>
      <c r="G19" s="9" t="n">
        <f aca="false">IF(TRIB!G19="",0,(TRIB!G19*IF($D19="A",(INPUTS!$G$26/12*INPUTS!$B$12+INPUTS!$H$26),(INPUTS!$L$26/12*INPUTS!$B$12+INPUTS!$M$26))+IF(FACADE!G19="",0,FACADE!G19)*INPUTS!$B$15)/1000+ARCH_AG!G19/144*INPUTS!$B$12*INPUTS!$C$26/1000)</f>
        <v>72.9525</v>
      </c>
      <c r="H19" s="9" t="n">
        <f aca="false">IF(TRIB!H19="",0,(TRIB!H19*IF($D19="A",(INPUTS!$G$27/12*INPUTS!$B$12+INPUTS!$H$27),(INPUTS!$L$27/12*INPUTS!$B$12+INPUTS!$M$27))+IF(FACADE!H19="",0,FACADE!H19)*INPUTS!$B$15)/1000+ARCH_AG!H19/144*INPUTS!$B$12*INPUTS!$C$27/1000)</f>
        <v>72.9525</v>
      </c>
      <c r="I19" s="9" t="n">
        <f aca="false">IF(TRIB!I19="",0,(TRIB!I19*IF($D19="A",(INPUTS!$G$28/12*INPUTS!$B$12+INPUTS!$H$28),(INPUTS!$L$28/12*INPUTS!$B$12+INPUTS!$M$28))+IF(FACADE!I19="",0,FACADE!I19)*INPUTS!$B$15)/1000+ARCH_AG!I19/144*INPUTS!$B$12*INPUTS!$C$28/1000)</f>
        <v>72.9525</v>
      </c>
      <c r="J19" s="9" t="n">
        <f aca="false">IF(TRIB!J19="",0,(TRIB!J19*IF($D19="A",(INPUTS!$G$29/12*INPUTS!$B$12+INPUTS!$H$29),(INPUTS!$L$29/12*INPUTS!$B$12+INPUTS!$M$29))+IF(FACADE!J19="",0,FACADE!J19)*INPUTS!$B$15)/1000+ARCH_AG!J19/144*INPUTS!$B$12*INPUTS!$C$29/1000)</f>
        <v>72.9525</v>
      </c>
      <c r="K19" s="9" t="n">
        <f aca="false">IF(TRIB!K19="",0,(TRIB!K19*IF($D19="A",(INPUTS!$G$30/12*INPUTS!$B$12+INPUTS!$H$30),(INPUTS!$L$30/12*INPUTS!$B$12+INPUTS!$M$30))+IF(FACADE!K19="",0,FACADE!K19)*INPUTS!$B$15)/1000+ARCH_AG!K19/144*INPUTS!$B$12*INPUTS!$C$30/1000)</f>
        <v>72.9525</v>
      </c>
      <c r="L19" s="9" t="n">
        <f aca="false">IF(TRIB!L19="",0,(TRIB!L19*IF($D19="A",(INPUTS!$G$31/12*INPUTS!$B$12+INPUTS!$H$31),(INPUTS!$L$31/12*INPUTS!$B$12+INPUTS!$M$31))+IF(FACADE!L19="",0,FACADE!L19)*INPUTS!$B$15)/1000+ARCH_AG!L19/144*INPUTS!$B$12*INPUTS!$C$31/1000)</f>
        <v>72.9525</v>
      </c>
      <c r="M19" s="9" t="n">
        <f aca="false">IF(TRIB!M19="",0,(TRIB!M19*IF($D19="A",(INPUTS!$G$32/12*INPUTS!$B$12+INPUTS!$H$32),(INPUTS!$L$32/12*INPUTS!$B$12+INPUTS!$M$32))+IF(FACADE!M19="",0,FACADE!M19)*INPUTS!$B$15)/1000+ARCH_AG!M19/144*INPUTS!$B$12*INPUTS!$C$32/1000)</f>
        <v>72.9525</v>
      </c>
      <c r="N19" s="9" t="n">
        <f aca="false">IF(TRIB!N19="",0,(TRIB!N19*IF($D19="A",(INPUTS!$G$33/12*INPUTS!$B$12+INPUTS!$H$33),(INPUTS!$L$33/12*INPUTS!$B$12+INPUTS!$M$33))+IF(FACADE!N19="",0,FACADE!N19)*INPUTS!$B$15)/1000+ARCH_AG!N19/144*INPUTS!$B$12*INPUTS!$C$33/1000)</f>
        <v>72.9525</v>
      </c>
      <c r="O19" s="9" t="n">
        <f aca="false">IF(TRIB!O19="",0,(TRIB!O19*IF($D19="A",(INPUTS!$G$34/12*INPUTS!$B$12+INPUTS!$H$34),(INPUTS!$L$34/12*INPUTS!$B$12+INPUTS!$M$34))+IF(FACADE!O19="",0,FACADE!O19)*INPUTS!$B$15)/1000+ARCH_AG!O19/144*INPUTS!$B$12*INPUTS!$C$34/1000)</f>
        <v>72.9525</v>
      </c>
      <c r="P19" s="9" t="n">
        <f aca="false">IF(TRIB!P19="",0,(TRIB!P19*IF($D19="A",(INPUTS!$G$35/12*INPUTS!$B$12+INPUTS!$H$35),(INPUTS!$L$35/12*INPUTS!$B$12+INPUTS!$M$35))+IF(FACADE!P19="",0,FACADE!P19)*INPUTS!$B$15)/1000+ARCH_AG!P19/144*INPUTS!$B$12*INPUTS!$C$35/1000)</f>
        <v>73.74</v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9" t="n">
        <f aca="false">IF(TRIB!E20="",0,(TRIB!E20*IF($D20="A",(INPUTS!$G$24/12*INPUTS!$B$12+INPUTS!$H$24),(INPUTS!$L$24/12*INPUTS!$B$12+INPUTS!$M$24))+IF(FACADE!E20="",0,FACADE!E20)*INPUTS!$B$15)/1000+ARCH_AG!E20/144*INPUTS!$B$12*INPUTS!$C$24/1000)</f>
        <v>0</v>
      </c>
      <c r="F20" s="9" t="n">
        <f aca="false">IF(TRIB!F20="",0,(TRIB!F20*IF($D20="A",(INPUTS!$G$25/12*INPUTS!$B$12+INPUTS!$H$25),(INPUTS!$L$25/12*INPUTS!$B$12+INPUTS!$M$25))+IF(FACADE!F20="",0,FACADE!F20)*INPUTS!$B$15)/1000+ARCH_AG!F20/144*INPUTS!$B$12*INPUTS!$C$25/1000)</f>
        <v>22.2775</v>
      </c>
      <c r="G20" s="9" t="n">
        <f aca="false">IF(TRIB!G20="",0,(TRIB!G20*IF($D20="A",(INPUTS!$G$26/12*INPUTS!$B$12+INPUTS!$H$26),(INPUTS!$L$26/12*INPUTS!$B$12+INPUTS!$M$26))+IF(FACADE!G20="",0,FACADE!G20)*INPUTS!$B$15)/1000+ARCH_AG!G20/144*INPUTS!$B$12*INPUTS!$C$26/1000)</f>
        <v>21.6825</v>
      </c>
      <c r="H20" s="9" t="n">
        <f aca="false">IF(TRIB!H20="",0,(TRIB!H20*IF($D20="A",(INPUTS!$G$27/12*INPUTS!$B$12+INPUTS!$H$27),(INPUTS!$L$27/12*INPUTS!$B$12+INPUTS!$M$27))+IF(FACADE!H20="",0,FACADE!H20)*INPUTS!$B$15)/1000+ARCH_AG!H20/144*INPUTS!$B$12*INPUTS!$C$27/1000)</f>
        <v>21.6825</v>
      </c>
      <c r="I20" s="9" t="n">
        <f aca="false">IF(TRIB!I20="",0,(TRIB!I20*IF($D20="A",(INPUTS!$G$28/12*INPUTS!$B$12+INPUTS!$H$28),(INPUTS!$L$28/12*INPUTS!$B$12+INPUTS!$M$28))+IF(FACADE!I20="",0,FACADE!I20)*INPUTS!$B$15)/1000+ARCH_AG!I20/144*INPUTS!$B$12*INPUTS!$C$28/1000)</f>
        <v>21.6825</v>
      </c>
      <c r="J20" s="9" t="n">
        <f aca="false">IF(TRIB!J20="",0,(TRIB!J20*IF($D20="A",(INPUTS!$G$29/12*INPUTS!$B$12+INPUTS!$H$29),(INPUTS!$L$29/12*INPUTS!$B$12+INPUTS!$M$29))+IF(FACADE!J20="",0,FACADE!J20)*INPUTS!$B$15)/1000+ARCH_AG!J20/144*INPUTS!$B$12*INPUTS!$C$29/1000)</f>
        <v>21.6825</v>
      </c>
      <c r="K20" s="9" t="n">
        <f aca="false">IF(TRIB!K20="",0,(TRIB!K20*IF($D20="A",(INPUTS!$G$30/12*INPUTS!$B$12+INPUTS!$H$30),(INPUTS!$L$30/12*INPUTS!$B$12+INPUTS!$M$30))+IF(FACADE!K20="",0,FACADE!K20)*INPUTS!$B$15)/1000+ARCH_AG!K20/144*INPUTS!$B$12*INPUTS!$C$30/1000)</f>
        <v>20.9625</v>
      </c>
      <c r="L20" s="9" t="n">
        <f aca="false">IF(TRIB!L20="",0,(TRIB!L20*IF($D20="A",(INPUTS!$G$31/12*INPUTS!$B$12+INPUTS!$H$31),(INPUTS!$L$31/12*INPUTS!$B$12+INPUTS!$M$31))+IF(FACADE!L20="",0,FACADE!L20)*INPUTS!$B$15)/1000+ARCH_AG!L20/144*INPUTS!$B$12*INPUTS!$C$31/1000)</f>
        <v>20.9625</v>
      </c>
      <c r="M20" s="9" t="n">
        <f aca="false">IF(TRIB!M20="",0,(TRIB!M20*IF($D20="A",(INPUTS!$G$32/12*INPUTS!$B$12+INPUTS!$H$32),(INPUTS!$L$32/12*INPUTS!$B$12+INPUTS!$M$32))+IF(FACADE!M20="",0,FACADE!M20)*INPUTS!$B$15)/1000+ARCH_AG!M20/144*INPUTS!$B$12*INPUTS!$C$32/1000)</f>
        <v>20.9625</v>
      </c>
      <c r="N20" s="9" t="n">
        <f aca="false">IF(TRIB!N20="",0,(TRIB!N20*IF($D20="A",(INPUTS!$G$33/12*INPUTS!$B$12+INPUTS!$H$33),(INPUTS!$L$33/12*INPUTS!$B$12+INPUTS!$M$33))+IF(FACADE!N20="",0,FACADE!N20)*INPUTS!$B$15)/1000+ARCH_AG!N20/144*INPUTS!$B$12*INPUTS!$C$33/1000)</f>
        <v>20.9625</v>
      </c>
      <c r="O20" s="9" t="n">
        <f aca="false">IF(TRIB!O20="",0,(TRIB!O20*IF($D20="A",(INPUTS!$G$34/12*INPUTS!$B$12+INPUTS!$H$34),(INPUTS!$L$34/12*INPUTS!$B$12+INPUTS!$M$34))+IF(FACADE!O20="",0,FACADE!O20)*INPUTS!$B$15)/1000+ARCH_AG!O20/144*INPUTS!$B$12*INPUTS!$C$34/1000)</f>
        <v>20.9625</v>
      </c>
      <c r="P20" s="9" t="n">
        <f aca="false">IF(TRIB!P20="",0,(TRIB!P20*IF($D20="A",(INPUTS!$G$35/12*INPUTS!$B$12+INPUTS!$H$35),(INPUTS!$L$35/12*INPUTS!$B$12+INPUTS!$M$35))+IF(FACADE!P20="",0,FACADE!P20)*INPUTS!$B$15)/1000+ARCH_AG!P20/144*INPUTS!$B$12*INPUTS!$C$35/1000)</f>
        <v>21.3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9" t="n">
        <f aca="false">IF(TRIB!E21="",0,(TRIB!E21*IF($D21="A",(INPUTS!$G$24/12*INPUTS!$B$12+INPUTS!$H$24),(INPUTS!$L$24/12*INPUTS!$B$12+INPUTS!$M$24))+IF(FACADE!E21="",0,FACADE!E21)*INPUTS!$B$15)/1000+ARCH_AG!E21/144*INPUTS!$B$12*INPUTS!$C$24/1000)</f>
        <v>0</v>
      </c>
      <c r="F21" s="9" t="n">
        <f aca="false">IF(TRIB!F21="",0,(TRIB!F21*IF($D21="A",(INPUTS!$G$25/12*INPUTS!$B$12+INPUTS!$H$25),(INPUTS!$L$25/12*INPUTS!$B$12+INPUTS!$M$25))+IF(FACADE!F21="",0,FACADE!F21)*INPUTS!$B$15)/1000+ARCH_AG!F21/144*INPUTS!$B$12*INPUTS!$C$25/1000)</f>
        <v>62.7975</v>
      </c>
      <c r="G21" s="9" t="n">
        <f aca="false">IF(TRIB!G21="",0,(TRIB!G21*IF($D21="A",(INPUTS!$G$26/12*INPUTS!$B$12+INPUTS!$H$26),(INPUTS!$L$26/12*INPUTS!$B$12+INPUTS!$M$26))+IF(FACADE!G21="",0,FACADE!G21)*INPUTS!$B$15)/1000+ARCH_AG!G21/144*INPUTS!$B$12*INPUTS!$C$26/1000)</f>
        <v>58.4625</v>
      </c>
      <c r="H21" s="9" t="n">
        <f aca="false">IF(TRIB!H21="",0,(TRIB!H21*IF($D21="A",(INPUTS!$G$27/12*INPUTS!$B$12+INPUTS!$H$27),(INPUTS!$L$27/12*INPUTS!$B$12+INPUTS!$M$27))+IF(FACADE!H21="",0,FACADE!H21)*INPUTS!$B$15)/1000+ARCH_AG!H21/144*INPUTS!$B$12*INPUTS!$C$27/1000)</f>
        <v>58.4625</v>
      </c>
      <c r="I21" s="9" t="n">
        <f aca="false">IF(TRIB!I21="",0,(TRIB!I21*IF($D21="A",(INPUTS!$G$28/12*INPUTS!$B$12+INPUTS!$H$28),(INPUTS!$L$28/12*INPUTS!$B$12+INPUTS!$M$28))+IF(FACADE!I21="",0,FACADE!I21)*INPUTS!$B$15)/1000+ARCH_AG!I21/144*INPUTS!$B$12*INPUTS!$C$28/1000)</f>
        <v>58.4625</v>
      </c>
      <c r="J21" s="9" t="n">
        <f aca="false">IF(TRIB!J21="",0,(TRIB!J21*IF($D21="A",(INPUTS!$G$29/12*INPUTS!$B$12+INPUTS!$H$29),(INPUTS!$L$29/12*INPUTS!$B$12+INPUTS!$M$29))+IF(FACADE!J21="",0,FACADE!J21)*INPUTS!$B$15)/1000+ARCH_AG!J21/144*INPUTS!$B$12*INPUTS!$C$29/1000)</f>
        <v>58.3125</v>
      </c>
      <c r="K21" s="9" t="n">
        <f aca="false">IF(TRIB!K21="",0,(TRIB!K21*IF($D21="A",(INPUTS!$G$30/12*INPUTS!$B$12+INPUTS!$H$30),(INPUTS!$L$30/12*INPUTS!$B$12+INPUTS!$M$30))+IF(FACADE!K21="",0,FACADE!K21)*INPUTS!$B$15)/1000+ARCH_AG!K21/144*INPUTS!$B$12*INPUTS!$C$30/1000)</f>
        <v>58.1325</v>
      </c>
      <c r="L21" s="9" t="n">
        <f aca="false">IF(TRIB!L21="",0,(TRIB!L21*IF($D21="A",(INPUTS!$G$31/12*INPUTS!$B$12+INPUTS!$H$31),(INPUTS!$L$31/12*INPUTS!$B$12+INPUTS!$M$31))+IF(FACADE!L21="",0,FACADE!L21)*INPUTS!$B$15)/1000+ARCH_AG!L21/144*INPUTS!$B$12*INPUTS!$C$31/1000)</f>
        <v>58.1325</v>
      </c>
      <c r="M21" s="9" t="n">
        <f aca="false">IF(TRIB!M21="",0,(TRIB!M21*IF($D21="A",(INPUTS!$G$32/12*INPUTS!$B$12+INPUTS!$H$32),(INPUTS!$L$32/12*INPUTS!$B$12+INPUTS!$M$32))+IF(FACADE!M21="",0,FACADE!M21)*INPUTS!$B$15)/1000+ARCH_AG!M21/144*INPUTS!$B$12*INPUTS!$C$32/1000)</f>
        <v>58.1325</v>
      </c>
      <c r="N21" s="9" t="n">
        <f aca="false">IF(TRIB!N21="",0,(TRIB!N21*IF($D21="A",(INPUTS!$G$33/12*INPUTS!$B$12+INPUTS!$H$33),(INPUTS!$L$33/12*INPUTS!$B$12+INPUTS!$M$33))+IF(FACADE!N21="",0,FACADE!N21)*INPUTS!$B$15)/1000+ARCH_AG!N21/144*INPUTS!$B$12*INPUTS!$C$33/1000)</f>
        <v>58.1325</v>
      </c>
      <c r="O21" s="9" t="n">
        <f aca="false">IF(TRIB!O21="",0,(TRIB!O21*IF($D21="A",(INPUTS!$G$34/12*INPUTS!$B$12+INPUTS!$H$34),(INPUTS!$L$34/12*INPUTS!$B$12+INPUTS!$M$34))+IF(FACADE!O21="",0,FACADE!O21)*INPUTS!$B$15)/1000+ARCH_AG!O21/144*INPUTS!$B$12*INPUTS!$C$34/1000)</f>
        <v>58.1325</v>
      </c>
      <c r="P21" s="9" t="n">
        <f aca="false">IF(TRIB!P21="",0,(TRIB!P21*IF($D21="A",(INPUTS!$G$35/12*INPUTS!$B$12+INPUTS!$H$35),(INPUTS!$L$35/12*INPUTS!$B$12+INPUTS!$M$35))+IF(FACADE!P21="",0,FACADE!P21)*INPUTS!$B$15)/1000+ARCH_AG!P21/144*INPUTS!$B$12*INPUTS!$C$35/1000)</f>
        <v>58.92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9" t="n">
        <f aca="false">IF(TRIB!E22="",0,(TRIB!E22*IF($D22="A",(INPUTS!$G$24/12*INPUTS!$B$12+INPUTS!$H$24),(INPUTS!$L$24/12*INPUTS!$B$12+INPUTS!$M$24))+IF(FACADE!E22="",0,FACADE!E22)*INPUTS!$B$15)/1000+ARCH_AG!E22/144*INPUTS!$B$12*INPUTS!$C$24/1000)</f>
        <v>0</v>
      </c>
      <c r="F22" s="9" t="n">
        <f aca="false">IF(TRIB!F22="",0,(TRIB!F22*IF($D22="A",(INPUTS!$G$25/12*INPUTS!$B$12+INPUTS!$H$25),(INPUTS!$L$25/12*INPUTS!$B$12+INPUTS!$M$25))+IF(FACADE!F22="",0,FACADE!F22)*INPUTS!$B$15)/1000+ARCH_AG!F22/144*INPUTS!$B$12*INPUTS!$C$25/1000)</f>
        <v>59.5475</v>
      </c>
      <c r="G22" s="9" t="n">
        <f aca="false">IF(TRIB!G22="",0,(TRIB!G22*IF($D22="A",(INPUTS!$G$26/12*INPUTS!$B$12+INPUTS!$H$26),(INPUTS!$L$26/12*INPUTS!$B$12+INPUTS!$M$26))+IF(FACADE!G22="",0,FACADE!G22)*INPUTS!$B$15)/1000+ARCH_AG!G22/144*INPUTS!$B$12*INPUTS!$C$26/1000)</f>
        <v>60.1125</v>
      </c>
      <c r="H22" s="9" t="n">
        <f aca="false">IF(TRIB!H22="",0,(TRIB!H22*IF($D22="A",(INPUTS!$G$27/12*INPUTS!$B$12+INPUTS!$H$27),(INPUTS!$L$27/12*INPUTS!$B$12+INPUTS!$M$27))+IF(FACADE!H22="",0,FACADE!H22)*INPUTS!$B$15)/1000+ARCH_AG!H22/144*INPUTS!$B$12*INPUTS!$C$27/1000)</f>
        <v>60.1125</v>
      </c>
      <c r="I22" s="9" t="n">
        <f aca="false">IF(TRIB!I22="",0,(TRIB!I22*IF($D22="A",(INPUTS!$G$28/12*INPUTS!$B$12+INPUTS!$H$28),(INPUTS!$L$28/12*INPUTS!$B$12+INPUTS!$M$28))+IF(FACADE!I22="",0,FACADE!I22)*INPUTS!$B$15)/1000+ARCH_AG!I22/144*INPUTS!$B$12*INPUTS!$C$28/1000)</f>
        <v>60.1125</v>
      </c>
      <c r="J22" s="9" t="n">
        <f aca="false">IF(TRIB!J22="",0,(TRIB!J22*IF($D22="A",(INPUTS!$G$29/12*INPUTS!$B$12+INPUTS!$H$29),(INPUTS!$L$29/12*INPUTS!$B$12+INPUTS!$M$29))+IF(FACADE!J22="",0,FACADE!J22)*INPUTS!$B$15)/1000+ARCH_AG!J22/144*INPUTS!$B$12*INPUTS!$C$29/1000)</f>
        <v>60.1125</v>
      </c>
      <c r="K22" s="9" t="n">
        <f aca="false">IF(TRIB!K22="",0,(TRIB!K22*IF($D22="A",(INPUTS!$G$30/12*INPUTS!$B$12+INPUTS!$H$30),(INPUTS!$L$30/12*INPUTS!$B$12+INPUTS!$M$30))+IF(FACADE!K22="",0,FACADE!K22)*INPUTS!$B$15)/1000+ARCH_AG!K22/144*INPUTS!$B$12*INPUTS!$C$30/1000)</f>
        <v>60.1125</v>
      </c>
      <c r="L22" s="9" t="n">
        <f aca="false">IF(TRIB!L22="",0,(TRIB!L22*IF($D22="A",(INPUTS!$G$31/12*INPUTS!$B$12+INPUTS!$H$31),(INPUTS!$L$31/12*INPUTS!$B$12+INPUTS!$M$31))+IF(FACADE!L22="",0,FACADE!L22)*INPUTS!$B$15)/1000+ARCH_AG!L22/144*INPUTS!$B$12*INPUTS!$C$31/1000)</f>
        <v>60.1125</v>
      </c>
      <c r="M22" s="9" t="n">
        <f aca="false">IF(TRIB!M22="",0,(TRIB!M22*IF($D22="A",(INPUTS!$G$32/12*INPUTS!$B$12+INPUTS!$H$32),(INPUTS!$L$32/12*INPUTS!$B$12+INPUTS!$M$32))+IF(FACADE!M22="",0,FACADE!M22)*INPUTS!$B$15)/1000+ARCH_AG!M22/144*INPUTS!$B$12*INPUTS!$C$32/1000)</f>
        <v>60.1125</v>
      </c>
      <c r="N22" s="9" t="n">
        <f aca="false">IF(TRIB!N22="",0,(TRIB!N22*IF($D22="A",(INPUTS!$G$33/12*INPUTS!$B$12+INPUTS!$H$33),(INPUTS!$L$33/12*INPUTS!$B$12+INPUTS!$M$33))+IF(FACADE!N22="",0,FACADE!N22)*INPUTS!$B$15)/1000+ARCH_AG!N22/144*INPUTS!$B$12*INPUTS!$C$33/1000)</f>
        <v>60.1125</v>
      </c>
      <c r="O22" s="9" t="n">
        <f aca="false">IF(TRIB!O22="",0,(TRIB!O22*IF($D22="A",(INPUTS!$G$34/12*INPUTS!$B$12+INPUTS!$H$34),(INPUTS!$L$34/12*INPUTS!$B$12+INPUTS!$M$34))+IF(FACADE!O22="",0,FACADE!O22)*INPUTS!$B$15)/1000+ARCH_AG!O22/144*INPUTS!$B$12*INPUTS!$C$34/1000)</f>
        <v>60.1125</v>
      </c>
      <c r="P22" s="9" t="n">
        <f aca="false">IF(TRIB!P22="",0,(TRIB!P22*IF($D22="A",(INPUTS!$G$35/12*INPUTS!$B$12+INPUTS!$H$35),(INPUTS!$L$35/12*INPUTS!$B$12+INPUTS!$M$35))+IF(FACADE!P22="",0,FACADE!P22)*INPUTS!$B$15)/1000+ARCH_AG!P22/144*INPUTS!$B$12*INPUTS!$C$35/1000)</f>
        <v>60.9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9" t="n">
        <f aca="false">IF(TRIB!E23="",0,(TRIB!E23*IF($D23="A",(INPUTS!$G$24/12*INPUTS!$B$12+INPUTS!$H$24),(INPUTS!$L$24/12*INPUTS!$B$12+INPUTS!$M$24))+IF(FACADE!E23="",0,FACADE!E23)*INPUTS!$B$15)/1000+ARCH_AG!E23/144*INPUTS!$B$12*INPUTS!$C$24/1000)</f>
        <v>0</v>
      </c>
      <c r="F23" s="9" t="n">
        <f aca="false">IF(TRIB!F23="",0,(TRIB!F23*IF($D23="A",(INPUTS!$G$25/12*INPUTS!$B$12+INPUTS!$H$25),(INPUTS!$L$25/12*INPUTS!$B$12+INPUTS!$M$25))+IF(FACADE!F23="",0,FACADE!F23)*INPUTS!$B$15)/1000+ARCH_AG!F23/144*INPUTS!$B$12*INPUTS!$C$25/1000)</f>
        <v>64.4075</v>
      </c>
      <c r="G23" s="9" t="n">
        <f aca="false">IF(TRIB!G23="",0,(TRIB!G23*IF($D23="A",(INPUTS!$G$26/12*INPUTS!$B$12+INPUTS!$H$26),(INPUTS!$L$26/12*INPUTS!$B$12+INPUTS!$M$26))+IF(FACADE!G23="",0,FACADE!G23)*INPUTS!$B$15)/1000+ARCH_AG!G23/144*INPUTS!$B$12*INPUTS!$C$26/1000)</f>
        <v>59.3925</v>
      </c>
      <c r="H23" s="9" t="n">
        <f aca="false">IF(TRIB!H23="",0,(TRIB!H23*IF($D23="A",(INPUTS!$G$27/12*INPUTS!$B$12+INPUTS!$H$27),(INPUTS!$L$27/12*INPUTS!$B$12+INPUTS!$M$27))+IF(FACADE!H23="",0,FACADE!H23)*INPUTS!$B$15)/1000+ARCH_AG!H23/144*INPUTS!$B$12*INPUTS!$C$27/1000)</f>
        <v>59.3925</v>
      </c>
      <c r="I23" s="9" t="n">
        <f aca="false">IF(TRIB!I23="",0,(TRIB!I23*IF($D23="A",(INPUTS!$G$28/12*INPUTS!$B$12+INPUTS!$H$28),(INPUTS!$L$28/12*INPUTS!$B$12+INPUTS!$M$28))+IF(FACADE!I23="",0,FACADE!I23)*INPUTS!$B$15)/1000+ARCH_AG!I23/144*INPUTS!$B$12*INPUTS!$C$28/1000)</f>
        <v>59.3925</v>
      </c>
      <c r="J23" s="9" t="n">
        <f aca="false">IF(TRIB!J23="",0,(TRIB!J23*IF($D23="A",(INPUTS!$G$29/12*INPUTS!$B$12+INPUTS!$H$29),(INPUTS!$L$29/12*INPUTS!$B$12+INPUTS!$M$29))+IF(FACADE!J23="",0,FACADE!J23)*INPUTS!$B$15)/1000+ARCH_AG!J23/144*INPUTS!$B$12*INPUTS!$C$29/1000)</f>
        <v>59.3925</v>
      </c>
      <c r="K23" s="9" t="n">
        <f aca="false">IF(TRIB!K23="",0,(TRIB!K23*IF($D23="A",(INPUTS!$G$30/12*INPUTS!$B$12+INPUTS!$H$30),(INPUTS!$L$30/12*INPUTS!$B$12+INPUTS!$M$30))+IF(FACADE!K23="",0,FACADE!K23)*INPUTS!$B$15)/1000+ARCH_AG!K23/144*INPUTS!$B$12*INPUTS!$C$30/1000)</f>
        <v>59.3925</v>
      </c>
      <c r="L23" s="9" t="n">
        <f aca="false">IF(TRIB!L23="",0,(TRIB!L23*IF($D23="A",(INPUTS!$G$31/12*INPUTS!$B$12+INPUTS!$H$31),(INPUTS!$L$31/12*INPUTS!$B$12+INPUTS!$M$31))+IF(FACADE!L23="",0,FACADE!L23)*INPUTS!$B$15)/1000+ARCH_AG!L23/144*INPUTS!$B$12*INPUTS!$C$31/1000)</f>
        <v>59.3925</v>
      </c>
      <c r="M23" s="9" t="n">
        <f aca="false">IF(TRIB!M23="",0,(TRIB!M23*IF($D23="A",(INPUTS!$G$32/12*INPUTS!$B$12+INPUTS!$H$32),(INPUTS!$L$32/12*INPUTS!$B$12+INPUTS!$M$32))+IF(FACADE!M23="",0,FACADE!M23)*INPUTS!$B$15)/1000+ARCH_AG!M23/144*INPUTS!$B$12*INPUTS!$C$32/1000)</f>
        <v>59.3925</v>
      </c>
      <c r="N23" s="9" t="n">
        <f aca="false">IF(TRIB!N23="",0,(TRIB!N23*IF($D23="A",(INPUTS!$G$33/12*INPUTS!$B$12+INPUTS!$H$33),(INPUTS!$L$33/12*INPUTS!$B$12+INPUTS!$M$33))+IF(FACADE!N23="",0,FACADE!N23)*INPUTS!$B$15)/1000+ARCH_AG!N23/144*INPUTS!$B$12*INPUTS!$C$33/1000)</f>
        <v>59.3925</v>
      </c>
      <c r="O23" s="9" t="n">
        <f aca="false">IF(TRIB!O23="",0,(TRIB!O23*IF($D23="A",(INPUTS!$G$34/12*INPUTS!$B$12+INPUTS!$H$34),(INPUTS!$L$34/12*INPUTS!$B$12+INPUTS!$M$34))+IF(FACADE!O23="",0,FACADE!O23)*INPUTS!$B$15)/1000+ARCH_AG!O23/144*INPUTS!$B$12*INPUTS!$C$34/1000)</f>
        <v>59.3925</v>
      </c>
      <c r="P23" s="9" t="n">
        <f aca="false">IF(TRIB!P23="",0,(TRIB!P23*IF($D23="A",(INPUTS!$G$35/12*INPUTS!$B$12+INPUTS!$H$35),(INPUTS!$L$35/12*INPUTS!$B$12+INPUTS!$M$35))+IF(FACADE!P23="",0,FACADE!P23)*INPUTS!$B$15)/1000+ARCH_AG!P23/144*INPUTS!$B$12*INPUTS!$C$35/1000)</f>
        <v>60.18</v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9" t="n">
        <f aca="false">IF(TRIB!E24="",0,(TRIB!E24*IF($D24="A",(INPUTS!$G$24/12*INPUTS!$B$12+INPUTS!$H$24),(INPUTS!$L$24/12*INPUTS!$B$12+INPUTS!$M$24))+IF(FACADE!E24="",0,FACADE!E24)*INPUTS!$B$15)/1000+ARCH_AG!E24/144*INPUTS!$B$12*INPUTS!$C$24/1000)</f>
        <v>0</v>
      </c>
      <c r="F24" s="9" t="n">
        <f aca="false">IF(TRIB!F24="",0,(TRIB!F24*IF($D24="A",(INPUTS!$G$25/12*INPUTS!$B$12+INPUTS!$H$25),(INPUTS!$L$25/12*INPUTS!$B$12+INPUTS!$M$25))+IF(FACADE!F24="",0,FACADE!F24)*INPUTS!$B$15)/1000+ARCH_AG!F24/144*INPUTS!$B$12*INPUTS!$C$25/1000)</f>
        <v>47.315</v>
      </c>
      <c r="G24" s="9" t="n">
        <f aca="false">IF(TRIB!G24="",0,(TRIB!G24*IF($D24="A",(INPUTS!$G$26/12*INPUTS!$B$12+INPUTS!$H$26),(INPUTS!$L$26/12*INPUTS!$B$12+INPUTS!$M$26))+IF(FACADE!G24="",0,FACADE!G24)*INPUTS!$B$15)/1000+ARCH_AG!G24/144*INPUTS!$B$12*INPUTS!$C$26/1000)</f>
        <v>43.635</v>
      </c>
      <c r="H24" s="9" t="n">
        <f aca="false">IF(TRIB!H24="",0,(TRIB!H24*IF($D24="A",(INPUTS!$G$27/12*INPUTS!$B$12+INPUTS!$H$27),(INPUTS!$L$27/12*INPUTS!$B$12+INPUTS!$M$27))+IF(FACADE!H24="",0,FACADE!H24)*INPUTS!$B$15)/1000+ARCH_AG!H24/144*INPUTS!$B$12*INPUTS!$C$27/1000)</f>
        <v>43.635</v>
      </c>
      <c r="I24" s="9" t="n">
        <f aca="false">IF(TRIB!I24="",0,(TRIB!I24*IF($D24="A",(INPUTS!$G$28/12*INPUTS!$B$12+INPUTS!$H$28),(INPUTS!$L$28/12*INPUTS!$B$12+INPUTS!$M$28))+IF(FACADE!I24="",0,FACADE!I24)*INPUTS!$B$15)/1000+ARCH_AG!I24/144*INPUTS!$B$12*INPUTS!$C$28/1000)</f>
        <v>43.635</v>
      </c>
      <c r="J24" s="9" t="n">
        <f aca="false">IF(TRIB!J24="",0,(TRIB!J24*IF($D24="A",(INPUTS!$G$29/12*INPUTS!$B$12+INPUTS!$H$29),(INPUTS!$L$29/12*INPUTS!$B$12+INPUTS!$M$29))+IF(FACADE!J24="",0,FACADE!J24)*INPUTS!$B$15)/1000+ARCH_AG!J24/144*INPUTS!$B$12*INPUTS!$C$29/1000)</f>
        <v>43.635</v>
      </c>
      <c r="K24" s="9" t="n">
        <f aca="false">IF(TRIB!K24="",0,(TRIB!K24*IF($D24="A",(INPUTS!$G$30/12*INPUTS!$B$12+INPUTS!$H$30),(INPUTS!$L$30/12*INPUTS!$B$12+INPUTS!$M$30))+IF(FACADE!K24="",0,FACADE!K24)*INPUTS!$B$15)/1000+ARCH_AG!K24/144*INPUTS!$B$12*INPUTS!$C$30/1000)</f>
        <v>43.635</v>
      </c>
      <c r="L24" s="9" t="n">
        <f aca="false">IF(TRIB!L24="",0,(TRIB!L24*IF($D24="A",(INPUTS!$G$31/12*INPUTS!$B$12+INPUTS!$H$31),(INPUTS!$L$31/12*INPUTS!$B$12+INPUTS!$M$31))+IF(FACADE!L24="",0,FACADE!L24)*INPUTS!$B$15)/1000+ARCH_AG!L24/144*INPUTS!$B$12*INPUTS!$C$31/1000)</f>
        <v>43.635</v>
      </c>
      <c r="M24" s="9" t="n">
        <f aca="false">IF(TRIB!M24="",0,(TRIB!M24*IF($D24="A",(INPUTS!$G$32/12*INPUTS!$B$12+INPUTS!$H$32),(INPUTS!$L$32/12*INPUTS!$B$12+INPUTS!$M$32))+IF(FACADE!M24="",0,FACADE!M24)*INPUTS!$B$15)/1000+ARCH_AG!M24/144*INPUTS!$B$12*INPUTS!$C$32/1000)</f>
        <v>43.635</v>
      </c>
      <c r="N24" s="9" t="n">
        <f aca="false">IF(TRIB!N24="",0,(TRIB!N24*IF($D24="A",(INPUTS!$G$33/12*INPUTS!$B$12+INPUTS!$H$33),(INPUTS!$L$33/12*INPUTS!$B$12+INPUTS!$M$33))+IF(FACADE!N24="",0,FACADE!N24)*INPUTS!$B$15)/1000+ARCH_AG!N24/144*INPUTS!$B$12*INPUTS!$C$33/1000)</f>
        <v>43.635</v>
      </c>
      <c r="O24" s="9" t="n">
        <f aca="false">IF(TRIB!O24="",0,(TRIB!O24*IF($D24="A",(INPUTS!$G$34/12*INPUTS!$B$12+INPUTS!$H$34),(INPUTS!$L$34/12*INPUTS!$B$12+INPUTS!$M$34))+IF(FACADE!O24="",0,FACADE!O24)*INPUTS!$B$15)/1000+ARCH_AG!O24/144*INPUTS!$B$12*INPUTS!$C$34/1000)</f>
        <v>43.635</v>
      </c>
      <c r="P24" s="9" t="n">
        <f aca="false">IF(TRIB!P24="",0,(TRIB!P24*IF($D24="A",(INPUTS!$G$35/12*INPUTS!$B$12+INPUTS!$H$35),(INPUTS!$L$35/12*INPUTS!$B$12+INPUTS!$M$35))+IF(FACADE!P24="",0,FACADE!P24)*INPUTS!$B$15)/1000+ARCH_AG!P24/144*INPUTS!$B$12*INPUTS!$C$35/1000)</f>
        <v>44.16</v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9" t="n">
        <f aca="false">IF(TRIB!E25="",0,(TRIB!E25*IF($D25="A",(INPUTS!$G$24/12*INPUTS!$B$12+INPUTS!$H$24),(INPUTS!$L$24/12*INPUTS!$B$12+INPUTS!$M$24))+IF(FACADE!E25="",0,FACADE!E25)*INPUTS!$B$15)/1000+ARCH_AG!E25/144*INPUTS!$B$12*INPUTS!$C$24/1000)</f>
        <v>0</v>
      </c>
      <c r="F25" s="9" t="n">
        <f aca="false">IF(TRIB!F25="",0,(TRIB!F25*IF($D25="A",(INPUTS!$G$25/12*INPUTS!$B$12+INPUTS!$H$25),(INPUTS!$L$25/12*INPUTS!$B$12+INPUTS!$M$25))+IF(FACADE!F25="",0,FACADE!F25)*INPUTS!$B$15)/1000+ARCH_AG!F25/144*INPUTS!$B$12*INPUTS!$C$25/1000)</f>
        <v>44.195</v>
      </c>
      <c r="G25" s="9" t="n">
        <f aca="false">IF(TRIB!G25="",0,(TRIB!G25*IF($D25="A",(INPUTS!$G$26/12*INPUTS!$B$12+INPUTS!$H$26),(INPUTS!$L$26/12*INPUTS!$B$12+INPUTS!$M$26))+IF(FACADE!G25="",0,FACADE!G25)*INPUTS!$B$15)/1000+ARCH_AG!G25/144*INPUTS!$B$12*INPUTS!$C$26/1000)</f>
        <v>40.755</v>
      </c>
      <c r="H25" s="9" t="n">
        <f aca="false">IF(TRIB!H25="",0,(TRIB!H25*IF($D25="A",(INPUTS!$G$27/12*INPUTS!$B$12+INPUTS!$H$27),(INPUTS!$L$27/12*INPUTS!$B$12+INPUTS!$M$27))+IF(FACADE!H25="",0,FACADE!H25)*INPUTS!$B$15)/1000+ARCH_AG!H25/144*INPUTS!$B$12*INPUTS!$C$27/1000)</f>
        <v>40.755</v>
      </c>
      <c r="I25" s="9" t="n">
        <f aca="false">IF(TRIB!I25="",0,(TRIB!I25*IF($D25="A",(INPUTS!$G$28/12*INPUTS!$B$12+INPUTS!$H$28),(INPUTS!$L$28/12*INPUTS!$B$12+INPUTS!$M$28))+IF(FACADE!I25="",0,FACADE!I25)*INPUTS!$B$15)/1000+ARCH_AG!I25/144*INPUTS!$B$12*INPUTS!$C$28/1000)</f>
        <v>40.755</v>
      </c>
      <c r="J25" s="9" t="n">
        <f aca="false">IF(TRIB!J25="",0,(TRIB!J25*IF($D25="A",(INPUTS!$G$29/12*INPUTS!$B$12+INPUTS!$H$29),(INPUTS!$L$29/12*INPUTS!$B$12+INPUTS!$M$29))+IF(FACADE!J25="",0,FACADE!J25)*INPUTS!$B$15)/1000+ARCH_AG!J25/144*INPUTS!$B$12*INPUTS!$C$29/1000)</f>
        <v>40.755</v>
      </c>
      <c r="K25" s="9" t="n">
        <f aca="false">IF(TRIB!K25="",0,(TRIB!K25*IF($D25="A",(INPUTS!$G$30/12*INPUTS!$B$12+INPUTS!$H$30),(INPUTS!$L$30/12*INPUTS!$B$12+INPUTS!$M$30))+IF(FACADE!K25="",0,FACADE!K25)*INPUTS!$B$15)/1000+ARCH_AG!K25/144*INPUTS!$B$12*INPUTS!$C$30/1000)</f>
        <v>40.755</v>
      </c>
      <c r="L25" s="9" t="n">
        <f aca="false">IF(TRIB!L25="",0,(TRIB!L25*IF($D25="A",(INPUTS!$G$31/12*INPUTS!$B$12+INPUTS!$H$31),(INPUTS!$L$31/12*INPUTS!$B$12+INPUTS!$M$31))+IF(FACADE!L25="",0,FACADE!L25)*INPUTS!$B$15)/1000+ARCH_AG!L25/144*INPUTS!$B$12*INPUTS!$C$31/1000)</f>
        <v>40.755</v>
      </c>
      <c r="M25" s="9" t="n">
        <f aca="false">IF(TRIB!M25="",0,(TRIB!M25*IF($D25="A",(INPUTS!$G$32/12*INPUTS!$B$12+INPUTS!$H$32),(INPUTS!$L$32/12*INPUTS!$B$12+INPUTS!$M$32))+IF(FACADE!M25="",0,FACADE!M25)*INPUTS!$B$15)/1000+ARCH_AG!M25/144*INPUTS!$B$12*INPUTS!$C$32/1000)</f>
        <v>40.755</v>
      </c>
      <c r="N25" s="9" t="n">
        <f aca="false">IF(TRIB!N25="",0,(TRIB!N25*IF($D25="A",(INPUTS!$G$33/12*INPUTS!$B$12+INPUTS!$H$33),(INPUTS!$L$33/12*INPUTS!$B$12+INPUTS!$M$33))+IF(FACADE!N25="",0,FACADE!N25)*INPUTS!$B$15)/1000+ARCH_AG!N25/144*INPUTS!$B$12*INPUTS!$C$33/1000)</f>
        <v>40.755</v>
      </c>
      <c r="O25" s="9" t="n">
        <f aca="false">IF(TRIB!O25="",0,(TRIB!O25*IF($D25="A",(INPUTS!$G$34/12*INPUTS!$B$12+INPUTS!$H$34),(INPUTS!$L$34/12*INPUTS!$B$12+INPUTS!$M$34))+IF(FACADE!O25="",0,FACADE!O25)*INPUTS!$B$15)/1000+ARCH_AG!O25/144*INPUTS!$B$12*INPUTS!$C$34/1000)</f>
        <v>40.755</v>
      </c>
      <c r="P25" s="9" t="n">
        <f aca="false">IF(TRIB!P25="",0,(TRIB!P25*IF($D25="A",(INPUTS!$G$35/12*INPUTS!$B$12+INPUTS!$H$35),(INPUTS!$L$35/12*INPUTS!$B$12+INPUTS!$M$35))+IF(FACADE!P25="",0,FACADE!P25)*INPUTS!$B$15)/1000+ARCH_AG!P25/144*INPUTS!$B$12*INPUTS!$C$35/1000)</f>
        <v>41.28</v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9" t="n">
        <f aca="false">IF(TRIB!E26="",0,(TRIB!E26*IF($D26="A",(INPUTS!$G$24/12*INPUTS!$B$12+INPUTS!$H$24),(INPUTS!$L$24/12*INPUTS!$B$12+INPUTS!$M$24))+IF(FACADE!E26="",0,FACADE!E26)*INPUTS!$B$15)/1000+ARCH_AG!E26/144*INPUTS!$B$12*INPUTS!$C$24/1000)</f>
        <v>0</v>
      </c>
      <c r="F26" s="9" t="n">
        <f aca="false">IF(TRIB!F26="",0,(TRIB!F26*IF($D26="A",(INPUTS!$G$25/12*INPUTS!$B$12+INPUTS!$H$25),(INPUTS!$L$25/12*INPUTS!$B$12+INPUTS!$M$25))+IF(FACADE!F26="",0,FACADE!F26)*INPUTS!$B$15)/1000+ARCH_AG!F26/144*INPUTS!$B$12*INPUTS!$C$25/1000)</f>
        <v>57.6775</v>
      </c>
      <c r="G26" s="9" t="n">
        <f aca="false">IF(TRIB!G26="",0,(TRIB!G26*IF($D26="A",(INPUTS!$G$26/12*INPUTS!$B$12+INPUTS!$H$26),(INPUTS!$L$26/12*INPUTS!$B$12+INPUTS!$M$26))+IF(FACADE!G26="",0,FACADE!G26)*INPUTS!$B$15)/1000+ARCH_AG!G26/144*INPUTS!$B$12*INPUTS!$C$26/1000)</f>
        <v>59.9625</v>
      </c>
      <c r="H26" s="9" t="n">
        <f aca="false">IF(TRIB!H26="",0,(TRIB!H26*IF($D26="A",(INPUTS!$G$27/12*INPUTS!$B$12+INPUTS!$H$27),(INPUTS!$L$27/12*INPUTS!$B$12+INPUTS!$M$27))+IF(FACADE!H26="",0,FACADE!H26)*INPUTS!$B$15)/1000+ARCH_AG!H26/144*INPUTS!$B$12*INPUTS!$C$27/1000)</f>
        <v>59.9625</v>
      </c>
      <c r="I26" s="9" t="n">
        <f aca="false">IF(TRIB!I26="",0,(TRIB!I26*IF($D26="A",(INPUTS!$G$28/12*INPUTS!$B$12+INPUTS!$H$28),(INPUTS!$L$28/12*INPUTS!$B$12+INPUTS!$M$28))+IF(FACADE!I26="",0,FACADE!I26)*INPUTS!$B$15)/1000+ARCH_AG!I26/144*INPUTS!$B$12*INPUTS!$C$28/1000)</f>
        <v>59.9625</v>
      </c>
      <c r="J26" s="9" t="n">
        <f aca="false">IF(TRIB!J26="",0,(TRIB!J26*IF($D26="A",(INPUTS!$G$29/12*INPUTS!$B$12+INPUTS!$H$29),(INPUTS!$L$29/12*INPUTS!$B$12+INPUTS!$M$29))+IF(FACADE!J26="",0,FACADE!J26)*INPUTS!$B$15)/1000+ARCH_AG!J26/144*INPUTS!$B$12*INPUTS!$C$29/1000)</f>
        <v>59.9625</v>
      </c>
      <c r="K26" s="9" t="n">
        <f aca="false">IF(TRIB!K26="",0,(TRIB!K26*IF($D26="A",(INPUTS!$G$30/12*INPUTS!$B$12+INPUTS!$H$30),(INPUTS!$L$30/12*INPUTS!$B$12+INPUTS!$M$30))+IF(FACADE!K26="",0,FACADE!K26)*INPUTS!$B$15)/1000+ARCH_AG!K26/144*INPUTS!$B$12*INPUTS!$C$30/1000)</f>
        <v>59.9625</v>
      </c>
      <c r="L26" s="9" t="n">
        <f aca="false">IF(TRIB!L26="",0,(TRIB!L26*IF($D26="A",(INPUTS!$G$31/12*INPUTS!$B$12+INPUTS!$H$31),(INPUTS!$L$31/12*INPUTS!$B$12+INPUTS!$M$31))+IF(FACADE!L26="",0,FACADE!L26)*INPUTS!$B$15)/1000+ARCH_AG!L26/144*INPUTS!$B$12*INPUTS!$C$31/1000)</f>
        <v>59.9625</v>
      </c>
      <c r="M26" s="9" t="n">
        <f aca="false">IF(TRIB!M26="",0,(TRIB!M26*IF($D26="A",(INPUTS!$G$32/12*INPUTS!$B$12+INPUTS!$H$32),(INPUTS!$L$32/12*INPUTS!$B$12+INPUTS!$M$32))+IF(FACADE!M26="",0,FACADE!M26)*INPUTS!$B$15)/1000+ARCH_AG!M26/144*INPUTS!$B$12*INPUTS!$C$32/1000)</f>
        <v>59.9625</v>
      </c>
      <c r="N26" s="9" t="n">
        <f aca="false">IF(TRIB!N26="",0,(TRIB!N26*IF($D26="A",(INPUTS!$G$33/12*INPUTS!$B$12+INPUTS!$H$33),(INPUTS!$L$33/12*INPUTS!$B$12+INPUTS!$M$33))+IF(FACADE!N26="",0,FACADE!N26)*INPUTS!$B$15)/1000+ARCH_AG!N26/144*INPUTS!$B$12*INPUTS!$C$33/1000)</f>
        <v>59.9625</v>
      </c>
      <c r="O26" s="9" t="n">
        <f aca="false">IF(TRIB!O26="",0,(TRIB!O26*IF($D26="A",(INPUTS!$G$34/12*INPUTS!$B$12+INPUTS!$H$34),(INPUTS!$L$34/12*INPUTS!$B$12+INPUTS!$M$34))+IF(FACADE!O26="",0,FACADE!O26)*INPUTS!$B$15)/1000+ARCH_AG!O26/144*INPUTS!$B$12*INPUTS!$C$34/1000)</f>
        <v>59.9625</v>
      </c>
      <c r="P26" s="9" t="n">
        <f aca="false">IF(TRIB!P26="",0,(TRIB!P26*IF($D26="A",(INPUTS!$G$35/12*INPUTS!$B$12+INPUTS!$H$35),(INPUTS!$L$35/12*INPUTS!$B$12+INPUTS!$M$35))+IF(FACADE!P26="",0,FACADE!P26)*INPUTS!$B$15)/1000+ARCH_AG!P26/144*INPUTS!$B$12*INPUTS!$C$35/1000)</f>
        <v>60.75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9" t="n">
        <f aca="false">IF(TRIB!E27="",0,(TRIB!E27*IF($D27="A",(INPUTS!$G$24/12*INPUTS!$B$12+INPUTS!$H$24),(INPUTS!$L$24/12*INPUTS!$B$12+INPUTS!$M$24))+IF(FACADE!E27="",0,FACADE!E27)*INPUTS!$B$15)/1000+ARCH_AG!E27/144*INPUTS!$B$12*INPUTS!$C$24/1000)</f>
        <v>0</v>
      </c>
      <c r="F27" s="9" t="n">
        <f aca="false">IF(TRIB!F27="",0,(TRIB!F27*IF($D27="A",(INPUTS!$G$25/12*INPUTS!$B$12+INPUTS!$H$25),(INPUTS!$L$25/12*INPUTS!$B$12+INPUTS!$M$25))+IF(FACADE!F27="",0,FACADE!F27)*INPUTS!$B$15)/1000+ARCH_AG!F27/144*INPUTS!$B$12*INPUTS!$C$25/1000)</f>
        <v>31.465</v>
      </c>
      <c r="G27" s="9" t="n">
        <f aca="false">IF(TRIB!G27="",0,(TRIB!G27*IF($D27="A",(INPUTS!$G$26/12*INPUTS!$B$12+INPUTS!$H$26),(INPUTS!$L$26/12*INPUTS!$B$12+INPUTS!$M$26))+IF(FACADE!G27="",0,FACADE!G27)*INPUTS!$B$15)/1000+ARCH_AG!G27/144*INPUTS!$B$12*INPUTS!$C$26/1000)</f>
        <v>29.235</v>
      </c>
      <c r="H27" s="9" t="n">
        <f aca="false">IF(TRIB!H27="",0,(TRIB!H27*IF($D27="A",(INPUTS!$G$27/12*INPUTS!$B$12+INPUTS!$H$27),(INPUTS!$L$27/12*INPUTS!$B$12+INPUTS!$M$27))+IF(FACADE!H27="",0,FACADE!H27)*INPUTS!$B$15)/1000+ARCH_AG!H27/144*INPUTS!$B$12*INPUTS!$C$27/1000)</f>
        <v>29.235</v>
      </c>
      <c r="I27" s="9" t="n">
        <f aca="false">IF(TRIB!I27="",0,(TRIB!I27*IF($D27="A",(INPUTS!$G$28/12*INPUTS!$B$12+INPUTS!$H$28),(INPUTS!$L$28/12*INPUTS!$B$12+INPUTS!$M$28))+IF(FACADE!I27="",0,FACADE!I27)*INPUTS!$B$15)/1000+ARCH_AG!I27/144*INPUTS!$B$12*INPUTS!$C$28/1000)</f>
        <v>29.235</v>
      </c>
      <c r="J27" s="9" t="n">
        <f aca="false">IF(TRIB!J27="",0,(TRIB!J27*IF($D27="A",(INPUTS!$G$29/12*INPUTS!$B$12+INPUTS!$H$29),(INPUTS!$L$29/12*INPUTS!$B$12+INPUTS!$M$29))+IF(FACADE!J27="",0,FACADE!J27)*INPUTS!$B$15)/1000+ARCH_AG!J27/144*INPUTS!$B$12*INPUTS!$C$29/1000)</f>
        <v>29.235</v>
      </c>
      <c r="K27" s="9" t="n">
        <f aca="false">IF(TRIB!K27="",0,(TRIB!K27*IF($D27="A",(INPUTS!$G$30/12*INPUTS!$B$12+INPUTS!$H$30),(INPUTS!$L$30/12*INPUTS!$B$12+INPUTS!$M$30))+IF(FACADE!K27="",0,FACADE!K27)*INPUTS!$B$15)/1000+ARCH_AG!K27/144*INPUTS!$B$12*INPUTS!$C$30/1000)</f>
        <v>27.435</v>
      </c>
      <c r="L27" s="9" t="n">
        <f aca="false">IF(TRIB!L27="",0,(TRIB!L27*IF($D27="A",(INPUTS!$G$31/12*INPUTS!$B$12+INPUTS!$H$31),(INPUTS!$L$31/12*INPUTS!$B$12+INPUTS!$M$31))+IF(FACADE!L27="",0,FACADE!L27)*INPUTS!$B$15)/1000+ARCH_AG!L27/144*INPUTS!$B$12*INPUTS!$C$31/1000)</f>
        <v>27.435</v>
      </c>
      <c r="M27" s="9" t="n">
        <f aca="false">IF(TRIB!M27="",0,(TRIB!M27*IF($D27="A",(INPUTS!$G$32/12*INPUTS!$B$12+INPUTS!$H$32),(INPUTS!$L$32/12*INPUTS!$B$12+INPUTS!$M$32))+IF(FACADE!M27="",0,FACADE!M27)*INPUTS!$B$15)/1000+ARCH_AG!M27/144*INPUTS!$B$12*INPUTS!$C$32/1000)</f>
        <v>27.435</v>
      </c>
      <c r="N27" s="9" t="n">
        <f aca="false">IF(TRIB!N27="",0,(TRIB!N27*IF($D27="A",(INPUTS!$G$33/12*INPUTS!$B$12+INPUTS!$H$33),(INPUTS!$L$33/12*INPUTS!$B$12+INPUTS!$M$33))+IF(FACADE!N27="",0,FACADE!N27)*INPUTS!$B$15)/1000+ARCH_AG!N27/144*INPUTS!$B$12*INPUTS!$C$33/1000)</f>
        <v>27.435</v>
      </c>
      <c r="O27" s="9" t="n">
        <f aca="false">IF(TRIB!O27="",0,(TRIB!O27*IF($D27="A",(INPUTS!$G$34/12*INPUTS!$B$12+INPUTS!$H$34),(INPUTS!$L$34/12*INPUTS!$B$12+INPUTS!$M$34))+IF(FACADE!O27="",0,FACADE!O27)*INPUTS!$B$15)/1000+ARCH_AG!O27/144*INPUTS!$B$12*INPUTS!$C$34/1000)</f>
        <v>27.435</v>
      </c>
      <c r="P27" s="9" t="n">
        <f aca="false">IF(TRIB!P27="",0,(TRIB!P27*IF($D27="A",(INPUTS!$G$35/12*INPUTS!$B$12+INPUTS!$H$35),(INPUTS!$L$35/12*INPUTS!$B$12+INPUTS!$M$35))+IF(FACADE!P27="",0,FACADE!P27)*INPUTS!$B$15)/1000+ARCH_AG!P27/144*INPUTS!$B$12*INPUTS!$C$35/1000)</f>
        <v>27.96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9" t="n">
        <f aca="false">IF(TRIB!E28="",0,(TRIB!E28*IF($D28="A",(INPUTS!$G$24/12*INPUTS!$B$12+INPUTS!$H$24),(INPUTS!$L$24/12*INPUTS!$B$12+INPUTS!$M$24))+IF(FACADE!E28="",0,FACADE!E28)*INPUTS!$B$15)/1000+ARCH_AG!E28/144*INPUTS!$B$12*INPUTS!$C$24/1000)</f>
        <v>0</v>
      </c>
      <c r="F28" s="9" t="n">
        <f aca="false">IF(TRIB!F28="",0,(TRIB!F28*IF($D28="A",(INPUTS!$G$25/12*INPUTS!$B$12+INPUTS!$H$25),(INPUTS!$L$25/12*INPUTS!$B$12+INPUTS!$M$25))+IF(FACADE!F28="",0,FACADE!F28)*INPUTS!$B$15)/1000+ARCH_AG!F28/144*INPUTS!$B$12*INPUTS!$C$25/1000)</f>
        <v>47.8975</v>
      </c>
      <c r="G28" s="9" t="n">
        <f aca="false">IF(TRIB!G28="",0,(TRIB!G28*IF($D28="A",(INPUTS!$G$26/12*INPUTS!$B$12+INPUTS!$H$26),(INPUTS!$L$26/12*INPUTS!$B$12+INPUTS!$M$26))+IF(FACADE!G28="",0,FACADE!G28)*INPUTS!$B$15)/1000+ARCH_AG!G28/144*INPUTS!$B$12*INPUTS!$C$26/1000)</f>
        <v>44.1525</v>
      </c>
      <c r="H28" s="9" t="n">
        <f aca="false">IF(TRIB!H28="",0,(TRIB!H28*IF($D28="A",(INPUTS!$G$27/12*INPUTS!$B$12+INPUTS!$H$27),(INPUTS!$L$27/12*INPUTS!$B$12+INPUTS!$M$27))+IF(FACADE!H28="",0,FACADE!H28)*INPUTS!$B$15)/1000+ARCH_AG!H28/144*INPUTS!$B$12*INPUTS!$C$27/1000)</f>
        <v>44.1525</v>
      </c>
      <c r="I28" s="9" t="n">
        <f aca="false">IF(TRIB!I28="",0,(TRIB!I28*IF($D28="A",(INPUTS!$G$28/12*INPUTS!$B$12+INPUTS!$H$28),(INPUTS!$L$28/12*INPUTS!$B$12+INPUTS!$M$28))+IF(FACADE!I28="",0,FACADE!I28)*INPUTS!$B$15)/1000+ARCH_AG!I28/144*INPUTS!$B$12*INPUTS!$C$28/1000)</f>
        <v>44.1525</v>
      </c>
      <c r="J28" s="9" t="n">
        <f aca="false">IF(TRIB!J28="",0,(TRIB!J28*IF($D28="A",(INPUTS!$G$29/12*INPUTS!$B$12+INPUTS!$H$29),(INPUTS!$L$29/12*INPUTS!$B$12+INPUTS!$M$29))+IF(FACADE!J28="",0,FACADE!J28)*INPUTS!$B$15)/1000+ARCH_AG!J28/144*INPUTS!$B$12*INPUTS!$C$29/1000)</f>
        <v>44.1525</v>
      </c>
      <c r="K28" s="9" t="n">
        <f aca="false">IF(TRIB!K28="",0,(TRIB!K28*IF($D28="A",(INPUTS!$G$30/12*INPUTS!$B$12+INPUTS!$H$30),(INPUTS!$L$30/12*INPUTS!$B$12+INPUTS!$M$30))+IF(FACADE!K28="",0,FACADE!K28)*INPUTS!$B$15)/1000+ARCH_AG!K28/144*INPUTS!$B$12*INPUTS!$C$30/1000)</f>
        <v>44.1525</v>
      </c>
      <c r="L28" s="9" t="n">
        <f aca="false">IF(TRIB!L28="",0,(TRIB!L28*IF($D28="A",(INPUTS!$G$31/12*INPUTS!$B$12+INPUTS!$H$31),(INPUTS!$L$31/12*INPUTS!$B$12+INPUTS!$M$31))+IF(FACADE!L28="",0,FACADE!L28)*INPUTS!$B$15)/1000+ARCH_AG!L28/144*INPUTS!$B$12*INPUTS!$C$31/1000)</f>
        <v>44.1525</v>
      </c>
      <c r="M28" s="9" t="n">
        <f aca="false">IF(TRIB!M28="",0,(TRIB!M28*IF($D28="A",(INPUTS!$G$32/12*INPUTS!$B$12+INPUTS!$H$32),(INPUTS!$L$32/12*INPUTS!$B$12+INPUTS!$M$32))+IF(FACADE!M28="",0,FACADE!M28)*INPUTS!$B$15)/1000+ARCH_AG!M28/144*INPUTS!$B$12*INPUTS!$C$32/1000)</f>
        <v>44.1525</v>
      </c>
      <c r="N28" s="9" t="n">
        <f aca="false">IF(TRIB!N28="",0,(TRIB!N28*IF($D28="A",(INPUTS!$G$33/12*INPUTS!$B$12+INPUTS!$H$33),(INPUTS!$L$33/12*INPUTS!$B$12+INPUTS!$M$33))+IF(FACADE!N28="",0,FACADE!N28)*INPUTS!$B$15)/1000+ARCH_AG!N28/144*INPUTS!$B$12*INPUTS!$C$33/1000)</f>
        <v>44.1525</v>
      </c>
      <c r="O28" s="9" t="n">
        <f aca="false">IF(TRIB!O28="",0,(TRIB!O28*IF($D28="A",(INPUTS!$G$34/12*INPUTS!$B$12+INPUTS!$H$34),(INPUTS!$L$34/12*INPUTS!$B$12+INPUTS!$M$34))+IF(FACADE!O28="",0,FACADE!O28)*INPUTS!$B$15)/1000+ARCH_AG!O28/144*INPUTS!$B$12*INPUTS!$C$34/1000)</f>
        <v>44.1525</v>
      </c>
      <c r="P28" s="9" t="n">
        <f aca="false">IF(TRIB!P28="",0,(TRIB!P28*IF($D28="A",(INPUTS!$G$35/12*INPUTS!$B$12+INPUTS!$H$35),(INPUTS!$L$35/12*INPUTS!$B$12+INPUTS!$M$35))+IF(FACADE!P28="",0,FACADE!P28)*INPUTS!$B$15)/1000+ARCH_AG!P28/144*INPUTS!$B$12*INPUTS!$C$35/1000)</f>
        <v>44.94</v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9" t="n">
        <f aca="false">IF(TRIB!E29="",0,(TRIB!E29*IF($D29="A",(INPUTS!$G$24/12*INPUTS!$B$12+INPUTS!$H$24),(INPUTS!$L$24/12*INPUTS!$B$12+INPUTS!$M$24))+IF(FACADE!E29="",0,FACADE!E29)*INPUTS!$B$15)/1000+ARCH_AG!E29/144*INPUTS!$B$12*INPUTS!$C$24/1000)</f>
        <v>0</v>
      </c>
      <c r="F29" s="9" t="n">
        <f aca="false">IF(TRIB!F29="",0,(TRIB!F29*IF($D29="A",(INPUTS!$G$25/12*INPUTS!$B$12+INPUTS!$H$25),(INPUTS!$L$25/12*INPUTS!$B$12+INPUTS!$M$25))+IF(FACADE!F29="",0,FACADE!F29)*INPUTS!$B$15)/1000+ARCH_AG!F29/144*INPUTS!$B$12*INPUTS!$C$25/1000)</f>
        <v>66.6175</v>
      </c>
      <c r="G29" s="9" t="n">
        <f aca="false">IF(TRIB!G29="",0,(TRIB!G29*IF($D29="A",(INPUTS!$G$26/12*INPUTS!$B$12+INPUTS!$H$26),(INPUTS!$L$26/12*INPUTS!$B$12+INPUTS!$M$26))+IF(FACADE!G29="",0,FACADE!G29)*INPUTS!$B$15)/1000+ARCH_AG!G29/144*INPUTS!$B$12*INPUTS!$C$26/1000)</f>
        <v>61.9125</v>
      </c>
      <c r="H29" s="9" t="n">
        <f aca="false">IF(TRIB!H29="",0,(TRIB!H29*IF($D29="A",(INPUTS!$G$27/12*INPUTS!$B$12+INPUTS!$H$27),(INPUTS!$L$27/12*INPUTS!$B$12+INPUTS!$M$27))+IF(FACADE!H29="",0,FACADE!H29)*INPUTS!$B$15)/1000+ARCH_AG!H29/144*INPUTS!$B$12*INPUTS!$C$27/1000)</f>
        <v>61.9125</v>
      </c>
      <c r="I29" s="9" t="n">
        <f aca="false">IF(TRIB!I29="",0,(TRIB!I29*IF($D29="A",(INPUTS!$G$28/12*INPUTS!$B$12+INPUTS!$H$28),(INPUTS!$L$28/12*INPUTS!$B$12+INPUTS!$M$28))+IF(FACADE!I29="",0,FACADE!I29)*INPUTS!$B$15)/1000+ARCH_AG!I29/144*INPUTS!$B$12*INPUTS!$C$28/1000)</f>
        <v>61.9125</v>
      </c>
      <c r="J29" s="9" t="n">
        <f aca="false">IF(TRIB!J29="",0,(TRIB!J29*IF($D29="A",(INPUTS!$G$29/12*INPUTS!$B$12+INPUTS!$H$29),(INPUTS!$L$29/12*INPUTS!$B$12+INPUTS!$M$29))+IF(FACADE!J29="",0,FACADE!J29)*INPUTS!$B$15)/1000+ARCH_AG!J29/144*INPUTS!$B$12*INPUTS!$C$29/1000)</f>
        <v>61.9125</v>
      </c>
      <c r="K29" s="9" t="n">
        <f aca="false">IF(TRIB!K29="",0,(TRIB!K29*IF($D29="A",(INPUTS!$G$30/12*INPUTS!$B$12+INPUTS!$H$30),(INPUTS!$L$30/12*INPUTS!$B$12+INPUTS!$M$30))+IF(FACADE!K29="",0,FACADE!K29)*INPUTS!$B$15)/1000+ARCH_AG!K29/144*INPUTS!$B$12*INPUTS!$C$30/1000)</f>
        <v>61.9125</v>
      </c>
      <c r="L29" s="9" t="n">
        <f aca="false">IF(TRIB!L29="",0,(TRIB!L29*IF($D29="A",(INPUTS!$G$31/12*INPUTS!$B$12+INPUTS!$H$31),(INPUTS!$L$31/12*INPUTS!$B$12+INPUTS!$M$31))+IF(FACADE!L29="",0,FACADE!L29)*INPUTS!$B$15)/1000+ARCH_AG!L29/144*INPUTS!$B$12*INPUTS!$C$31/1000)</f>
        <v>61.9125</v>
      </c>
      <c r="M29" s="9" t="n">
        <f aca="false">IF(TRIB!M29="",0,(TRIB!M29*IF($D29="A",(INPUTS!$G$32/12*INPUTS!$B$12+INPUTS!$H$32),(INPUTS!$L$32/12*INPUTS!$B$12+INPUTS!$M$32))+IF(FACADE!M29="",0,FACADE!M29)*INPUTS!$B$15)/1000+ARCH_AG!M29/144*INPUTS!$B$12*INPUTS!$C$32/1000)</f>
        <v>61.9125</v>
      </c>
      <c r="N29" s="9" t="n">
        <f aca="false">IF(TRIB!N29="",0,(TRIB!N29*IF($D29="A",(INPUTS!$G$33/12*INPUTS!$B$12+INPUTS!$H$33),(INPUTS!$L$33/12*INPUTS!$B$12+INPUTS!$M$33))+IF(FACADE!N29="",0,FACADE!N29)*INPUTS!$B$15)/1000+ARCH_AG!N29/144*INPUTS!$B$12*INPUTS!$C$33/1000)</f>
        <v>61.9125</v>
      </c>
      <c r="O29" s="9" t="n">
        <f aca="false">IF(TRIB!O29="",0,(TRIB!O29*IF($D29="A",(INPUTS!$G$34/12*INPUTS!$B$12+INPUTS!$H$34),(INPUTS!$L$34/12*INPUTS!$B$12+INPUTS!$M$34))+IF(FACADE!O29="",0,FACADE!O29)*INPUTS!$B$15)/1000+ARCH_AG!O29/144*INPUTS!$B$12*INPUTS!$C$34/1000)</f>
        <v>61.9125</v>
      </c>
      <c r="P29" s="9" t="n">
        <f aca="false">IF(TRIB!P29="",0,(TRIB!P29*IF($D29="A",(INPUTS!$G$35/12*INPUTS!$B$12+INPUTS!$H$35),(INPUTS!$L$35/12*INPUTS!$B$12+INPUTS!$M$35))+IF(FACADE!P29="",0,FACADE!P29)*INPUTS!$B$15)/1000+ARCH_AG!P29/144*INPUTS!$B$12*INPUTS!$C$35/1000)</f>
        <v>62.7</v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9" t="n">
        <f aca="false">IF(TRIB!E30="",0,(TRIB!E30*IF($D30="A",(INPUTS!$G$24/12*INPUTS!$B$12+INPUTS!$H$24),(INPUTS!$L$24/12*INPUTS!$B$12+INPUTS!$M$24))+IF(FACADE!E30="",0,FACADE!E30)*INPUTS!$B$15)/1000+ARCH_AG!E30/144*INPUTS!$B$12*INPUTS!$C$24/1000)</f>
        <v>0</v>
      </c>
      <c r="F30" s="9" t="n">
        <f aca="false">IF(TRIB!F30="",0,(TRIB!F30*IF($D30="A",(INPUTS!$G$25/12*INPUTS!$B$12+INPUTS!$H$25),(INPUTS!$L$25/12*INPUTS!$B$12+INPUTS!$M$25))+IF(FACADE!F30="",0,FACADE!F30)*INPUTS!$B$15)/1000+ARCH_AG!F30/144*INPUTS!$B$12*INPUTS!$C$25/1000)</f>
        <v>39.645</v>
      </c>
      <c r="G30" s="9" t="n">
        <f aca="false">IF(TRIB!G30="",0,(TRIB!G30*IF($D30="A",(INPUTS!$G$26/12*INPUTS!$B$12+INPUTS!$H$26),(INPUTS!$L$26/12*INPUTS!$B$12+INPUTS!$M$26))+IF(FACADE!G30="",0,FACADE!G30)*INPUTS!$B$15)/1000+ARCH_AG!G30/144*INPUTS!$B$12*INPUTS!$C$26/1000)</f>
        <v>36.555</v>
      </c>
      <c r="H30" s="9" t="n">
        <f aca="false">IF(TRIB!H30="",0,(TRIB!H30*IF($D30="A",(INPUTS!$G$27/12*INPUTS!$B$12+INPUTS!$H$27),(INPUTS!$L$27/12*INPUTS!$B$12+INPUTS!$M$27))+IF(FACADE!H30="",0,FACADE!H30)*INPUTS!$B$15)/1000+ARCH_AG!H30/144*INPUTS!$B$12*INPUTS!$C$27/1000)</f>
        <v>36.555</v>
      </c>
      <c r="I30" s="9" t="n">
        <f aca="false">IF(TRIB!I30="",0,(TRIB!I30*IF($D30="A",(INPUTS!$G$28/12*INPUTS!$B$12+INPUTS!$H$28),(INPUTS!$L$28/12*INPUTS!$B$12+INPUTS!$M$28))+IF(FACADE!I30="",0,FACADE!I30)*INPUTS!$B$15)/1000+ARCH_AG!I30/144*INPUTS!$B$12*INPUTS!$C$28/1000)</f>
        <v>36.555</v>
      </c>
      <c r="J30" s="9" t="n">
        <f aca="false">IF(TRIB!J30="",0,(TRIB!J30*IF($D30="A",(INPUTS!$G$29/12*INPUTS!$B$12+INPUTS!$H$29),(INPUTS!$L$29/12*INPUTS!$B$12+INPUTS!$M$29))+IF(FACADE!J30="",0,FACADE!J30)*INPUTS!$B$15)/1000+ARCH_AG!J30/144*INPUTS!$B$12*INPUTS!$C$29/1000)</f>
        <v>36.555</v>
      </c>
      <c r="K30" s="9" t="n">
        <f aca="false">IF(TRIB!K30="",0,(TRIB!K30*IF($D30="A",(INPUTS!$G$30/12*INPUTS!$B$12+INPUTS!$H$30),(INPUTS!$L$30/12*INPUTS!$B$12+INPUTS!$M$30))+IF(FACADE!K30="",0,FACADE!K30)*INPUTS!$B$15)/1000+ARCH_AG!K30/144*INPUTS!$B$12*INPUTS!$C$30/1000)</f>
        <v>36.555</v>
      </c>
      <c r="L30" s="9" t="n">
        <f aca="false">IF(TRIB!L30="",0,(TRIB!L30*IF($D30="A",(INPUTS!$G$31/12*INPUTS!$B$12+INPUTS!$H$31),(INPUTS!$L$31/12*INPUTS!$B$12+INPUTS!$M$31))+IF(FACADE!L30="",0,FACADE!L30)*INPUTS!$B$15)/1000+ARCH_AG!L30/144*INPUTS!$B$12*INPUTS!$C$31/1000)</f>
        <v>36.555</v>
      </c>
      <c r="M30" s="9" t="n">
        <f aca="false">IF(TRIB!M30="",0,(TRIB!M30*IF($D30="A",(INPUTS!$G$32/12*INPUTS!$B$12+INPUTS!$H$32),(INPUTS!$L$32/12*INPUTS!$B$12+INPUTS!$M$32))+IF(FACADE!M30="",0,FACADE!M30)*INPUTS!$B$15)/1000+ARCH_AG!M30/144*INPUTS!$B$12*INPUTS!$C$32/1000)</f>
        <v>36.555</v>
      </c>
      <c r="N30" s="9" t="n">
        <f aca="false">IF(TRIB!N30="",0,(TRIB!N30*IF($D30="A",(INPUTS!$G$33/12*INPUTS!$B$12+INPUTS!$H$33),(INPUTS!$L$33/12*INPUTS!$B$12+INPUTS!$M$33))+IF(FACADE!N30="",0,FACADE!N30)*INPUTS!$B$15)/1000+ARCH_AG!N30/144*INPUTS!$B$12*INPUTS!$C$33/1000)</f>
        <v>36.555</v>
      </c>
      <c r="O30" s="9" t="n">
        <f aca="false">IF(TRIB!O30="",0,(TRIB!O30*IF($D30="A",(INPUTS!$G$34/12*INPUTS!$B$12+INPUTS!$H$34),(INPUTS!$L$34/12*INPUTS!$B$12+INPUTS!$M$34))+IF(FACADE!O30="",0,FACADE!O30)*INPUTS!$B$15)/1000+ARCH_AG!O30/144*INPUTS!$B$12*INPUTS!$C$34/1000)</f>
        <v>36.555</v>
      </c>
      <c r="P30" s="9" t="n">
        <f aca="false">IF(TRIB!P30="",0,(TRIB!P30*IF($D30="A",(INPUTS!$G$35/12*INPUTS!$B$12+INPUTS!$H$35),(INPUTS!$L$35/12*INPUTS!$B$12+INPUTS!$M$35))+IF(FACADE!P30="",0,FACADE!P30)*INPUTS!$B$15)/1000+ARCH_AG!P30/144*INPUTS!$B$12*INPUTS!$C$35/1000)</f>
        <v>37.08</v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9" t="n">
        <f aca="false">IF(TRIB!E31="",0,(TRIB!E31*IF($D31="A",(INPUTS!$G$24/12*INPUTS!$B$12+INPUTS!$H$24),(INPUTS!$L$24/12*INPUTS!$B$12+INPUTS!$M$24))+IF(FACADE!E31="",0,FACADE!E31)*INPUTS!$B$15)/1000+ARCH_AG!E31/144*INPUTS!$B$12*INPUTS!$C$24/1000)</f>
        <v>0</v>
      </c>
      <c r="F31" s="9" t="n">
        <f aca="false">IF(TRIB!F31="",0,(TRIB!F31*IF($D31="A",(INPUTS!$G$25/12*INPUTS!$B$12+INPUTS!$H$25),(INPUTS!$L$25/12*INPUTS!$B$12+INPUTS!$M$25))+IF(FACADE!F31="",0,FACADE!F31)*INPUTS!$B$15)/1000+ARCH_AG!F31/144*INPUTS!$B$12*INPUTS!$C$25/1000)</f>
        <v>31.3775</v>
      </c>
      <c r="G31" s="9" t="n">
        <f aca="false">IF(TRIB!G31="",0,(TRIB!G31*IF($D31="A",(INPUTS!$G$26/12*INPUTS!$B$12+INPUTS!$H$26),(INPUTS!$L$26/12*INPUTS!$B$12+INPUTS!$M$26))+IF(FACADE!G31="",0,FACADE!G31)*INPUTS!$B$15)/1000+ARCH_AG!G31/144*INPUTS!$B$12*INPUTS!$C$26/1000)</f>
        <v>29.1225</v>
      </c>
      <c r="H31" s="9" t="n">
        <f aca="false">IF(TRIB!H31="",0,(TRIB!H31*IF($D31="A",(INPUTS!$G$27/12*INPUTS!$B$12+INPUTS!$H$27),(INPUTS!$L$27/12*INPUTS!$B$12+INPUTS!$M$27))+IF(FACADE!H31="",0,FACADE!H31)*INPUTS!$B$15)/1000+ARCH_AG!H31/144*INPUTS!$B$12*INPUTS!$C$27/1000)</f>
        <v>29.1225</v>
      </c>
      <c r="I31" s="9" t="n">
        <f aca="false">IF(TRIB!I31="",0,(TRIB!I31*IF($D31="A",(INPUTS!$G$28/12*INPUTS!$B$12+INPUTS!$H$28),(INPUTS!$L$28/12*INPUTS!$B$12+INPUTS!$M$28))+IF(FACADE!I31="",0,FACADE!I31)*INPUTS!$B$15)/1000+ARCH_AG!I31/144*INPUTS!$B$12*INPUTS!$C$28/1000)</f>
        <v>29.1225</v>
      </c>
      <c r="J31" s="9" t="n">
        <f aca="false">IF(TRIB!J31="",0,(TRIB!J31*IF($D31="A",(INPUTS!$G$29/12*INPUTS!$B$12+INPUTS!$H$29),(INPUTS!$L$29/12*INPUTS!$B$12+INPUTS!$M$29))+IF(FACADE!J31="",0,FACADE!J31)*INPUTS!$B$15)/1000+ARCH_AG!J31/144*INPUTS!$B$12*INPUTS!$C$29/1000)</f>
        <v>29.1225</v>
      </c>
      <c r="K31" s="9" t="n">
        <f aca="false">IF(TRIB!K31="",0,(TRIB!K31*IF($D31="A",(INPUTS!$G$30/12*INPUTS!$B$12+INPUTS!$H$30),(INPUTS!$L$30/12*INPUTS!$B$12+INPUTS!$M$30))+IF(FACADE!K31="",0,FACADE!K31)*INPUTS!$B$15)/1000+ARCH_AG!K31/144*INPUTS!$B$12*INPUTS!$C$30/1000)</f>
        <v>27.4425</v>
      </c>
      <c r="L31" s="9" t="n">
        <f aca="false">IF(TRIB!L31="",0,(TRIB!L31*IF($D31="A",(INPUTS!$G$31/12*INPUTS!$B$12+INPUTS!$H$31),(INPUTS!$L$31/12*INPUTS!$B$12+INPUTS!$M$31))+IF(FACADE!L31="",0,FACADE!L31)*INPUTS!$B$15)/1000+ARCH_AG!L31/144*INPUTS!$B$12*INPUTS!$C$31/1000)</f>
        <v>27.4425</v>
      </c>
      <c r="M31" s="9" t="n">
        <f aca="false">IF(TRIB!M31="",0,(TRIB!M31*IF($D31="A",(INPUTS!$G$32/12*INPUTS!$B$12+INPUTS!$H$32),(INPUTS!$L$32/12*INPUTS!$B$12+INPUTS!$M$32))+IF(FACADE!M31="",0,FACADE!M31)*INPUTS!$B$15)/1000+ARCH_AG!M31/144*INPUTS!$B$12*INPUTS!$C$32/1000)</f>
        <v>27.4425</v>
      </c>
      <c r="N31" s="9" t="n">
        <f aca="false">IF(TRIB!N31="",0,(TRIB!N31*IF($D31="A",(INPUTS!$G$33/12*INPUTS!$B$12+INPUTS!$H$33),(INPUTS!$L$33/12*INPUTS!$B$12+INPUTS!$M$33))+IF(FACADE!N31="",0,FACADE!N31)*INPUTS!$B$15)/1000+ARCH_AG!N31/144*INPUTS!$B$12*INPUTS!$C$33/1000)</f>
        <v>27.4425</v>
      </c>
      <c r="O31" s="9" t="n">
        <f aca="false">IF(TRIB!O31="",0,(TRIB!O31*IF($D31="A",(INPUTS!$G$34/12*INPUTS!$B$12+INPUTS!$H$34),(INPUTS!$L$34/12*INPUTS!$B$12+INPUTS!$M$34))+IF(FACADE!O31="",0,FACADE!O31)*INPUTS!$B$15)/1000+ARCH_AG!O31/144*INPUTS!$B$12*INPUTS!$C$34/1000)</f>
        <v>27.4425</v>
      </c>
      <c r="P31" s="9" t="n">
        <f aca="false">IF(TRIB!P31="",0,(TRIB!P31*IF($D31="A",(INPUTS!$G$35/12*INPUTS!$B$12+INPUTS!$H$35),(INPUTS!$L$35/12*INPUTS!$B$12+INPUTS!$M$35))+IF(FACADE!P31="",0,FACADE!P31)*INPUTS!$B$15)/1000+ARCH_AG!P31/144*INPUTS!$B$12*INPUTS!$C$35/1000)</f>
        <v>28.23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9" t="n">
        <f aca="false">IF(TRIB!E32="",0,(TRIB!E32*IF($D32="A",(INPUTS!$G$24/12*INPUTS!$B$12+INPUTS!$H$24),(INPUTS!$L$24/12*INPUTS!$B$12+INPUTS!$M$24))+IF(FACADE!E32="",0,FACADE!E32)*INPUTS!$B$15)/1000+ARCH_AG!E32/144*INPUTS!$B$12*INPUTS!$C$24/1000)</f>
        <v>0</v>
      </c>
      <c r="F32" s="9" t="n">
        <f aca="false">IF(TRIB!F32="",0,(TRIB!F32*IF($D32="A",(INPUTS!$G$25/12*INPUTS!$B$12+INPUTS!$H$25),(INPUTS!$L$25/12*INPUTS!$B$12+INPUTS!$M$25))+IF(FACADE!F32="",0,FACADE!F32)*INPUTS!$B$15)/1000+ARCH_AG!F32/144*INPUTS!$B$12*INPUTS!$C$25/1000)</f>
        <v>42.6475</v>
      </c>
      <c r="G32" s="9" t="n">
        <f aca="false">IF(TRIB!G32="",0,(TRIB!G32*IF($D32="A",(INPUTS!$G$26/12*INPUTS!$B$12+INPUTS!$H$26),(INPUTS!$L$26/12*INPUTS!$B$12+INPUTS!$M$26))+IF(FACADE!G32="",0,FACADE!G32)*INPUTS!$B$15)/1000+ARCH_AG!G32/144*INPUTS!$B$12*INPUTS!$C$26/1000)</f>
        <v>61.9125</v>
      </c>
      <c r="H32" s="9" t="n">
        <f aca="false">IF(TRIB!H32="",0,(TRIB!H32*IF($D32="A",(INPUTS!$G$27/12*INPUTS!$B$12+INPUTS!$H$27),(INPUTS!$L$27/12*INPUTS!$B$12+INPUTS!$M$27))+IF(FACADE!H32="",0,FACADE!H32)*INPUTS!$B$15)/1000+ARCH_AG!H32/144*INPUTS!$B$12*INPUTS!$C$27/1000)</f>
        <v>61.9125</v>
      </c>
      <c r="I32" s="9" t="n">
        <f aca="false">IF(TRIB!I32="",0,(TRIB!I32*IF($D32="A",(INPUTS!$G$28/12*INPUTS!$B$12+INPUTS!$H$28),(INPUTS!$L$28/12*INPUTS!$B$12+INPUTS!$M$28))+IF(FACADE!I32="",0,FACADE!I32)*INPUTS!$B$15)/1000+ARCH_AG!I32/144*INPUTS!$B$12*INPUTS!$C$28/1000)</f>
        <v>61.9125</v>
      </c>
      <c r="J32" s="9" t="n">
        <f aca="false">IF(TRIB!J32="",0,(TRIB!J32*IF($D32="A",(INPUTS!$G$29/12*INPUTS!$B$12+INPUTS!$H$29),(INPUTS!$L$29/12*INPUTS!$B$12+INPUTS!$M$29))+IF(FACADE!J32="",0,FACADE!J32)*INPUTS!$B$15)/1000+ARCH_AG!J32/144*INPUTS!$B$12*INPUTS!$C$29/1000)</f>
        <v>61.9125</v>
      </c>
      <c r="K32" s="9" t="n">
        <f aca="false">IF(TRIB!K32="",0,(TRIB!K32*IF($D32="A",(INPUTS!$G$30/12*INPUTS!$B$12+INPUTS!$H$30),(INPUTS!$L$30/12*INPUTS!$B$12+INPUTS!$M$30))+IF(FACADE!K32="",0,FACADE!K32)*INPUTS!$B$15)/1000+ARCH_AG!K32/144*INPUTS!$B$12*INPUTS!$C$30/1000)</f>
        <v>61.9125</v>
      </c>
      <c r="L32" s="9" t="n">
        <f aca="false">IF(TRIB!L32="",0,(TRIB!L32*IF($D32="A",(INPUTS!$G$31/12*INPUTS!$B$12+INPUTS!$H$31),(INPUTS!$L$31/12*INPUTS!$B$12+INPUTS!$M$31))+IF(FACADE!L32="",0,FACADE!L32)*INPUTS!$B$15)/1000+ARCH_AG!L32/144*INPUTS!$B$12*INPUTS!$C$31/1000)</f>
        <v>61.9125</v>
      </c>
      <c r="M32" s="9" t="n">
        <f aca="false">IF(TRIB!M32="",0,(TRIB!M32*IF($D32="A",(INPUTS!$G$32/12*INPUTS!$B$12+INPUTS!$H$32),(INPUTS!$L$32/12*INPUTS!$B$12+INPUTS!$M$32))+IF(FACADE!M32="",0,FACADE!M32)*INPUTS!$B$15)/1000+ARCH_AG!M32/144*INPUTS!$B$12*INPUTS!$C$32/1000)</f>
        <v>61.9125</v>
      </c>
      <c r="N32" s="9" t="n">
        <f aca="false">IF(TRIB!N32="",0,(TRIB!N32*IF($D32="A",(INPUTS!$G$33/12*INPUTS!$B$12+INPUTS!$H$33),(INPUTS!$L$33/12*INPUTS!$B$12+INPUTS!$M$33))+IF(FACADE!N32="",0,FACADE!N32)*INPUTS!$B$15)/1000+ARCH_AG!N32/144*INPUTS!$B$12*INPUTS!$C$33/1000)</f>
        <v>61.9125</v>
      </c>
      <c r="O32" s="9" t="n">
        <f aca="false">IF(TRIB!O32="",0,(TRIB!O32*IF($D32="A",(INPUTS!$G$34/12*INPUTS!$B$12+INPUTS!$H$34),(INPUTS!$L$34/12*INPUTS!$B$12+INPUTS!$M$34))+IF(FACADE!O32="",0,FACADE!O32)*INPUTS!$B$15)/1000+ARCH_AG!O32/144*INPUTS!$B$12*INPUTS!$C$34/1000)</f>
        <v>61.9125</v>
      </c>
      <c r="P32" s="9" t="n">
        <f aca="false">IF(TRIB!P32="",0,(TRIB!P32*IF($D32="A",(INPUTS!$G$35/12*INPUTS!$B$12+INPUTS!$H$35),(INPUTS!$L$35/12*INPUTS!$B$12+INPUTS!$M$35))+IF(FACADE!P32="",0,FACADE!P32)*INPUTS!$B$15)/1000+ARCH_AG!P32/144*INPUTS!$B$12*INPUTS!$C$35/1000)</f>
        <v>62.7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9" t="n">
        <f aca="false">IF(TRIB!E33="",0,(TRIB!E33*IF($D33="A",(INPUTS!$G$24/12*INPUTS!$B$12+INPUTS!$H$24),(INPUTS!$L$24/12*INPUTS!$B$12+INPUTS!$M$24))+IF(FACADE!E33="",0,FACADE!E33)*INPUTS!$B$15)/1000+ARCH_AG!E33/144*INPUTS!$B$12*INPUTS!$C$24/1000)</f>
        <v>0</v>
      </c>
      <c r="F33" s="9" t="n">
        <f aca="false">IF(TRIB!F33="",0,(TRIB!F33*IF($D33="A",(INPUTS!$G$25/12*INPUTS!$B$12+INPUTS!$H$25),(INPUTS!$L$25/12*INPUTS!$B$12+INPUTS!$M$25))+IF(FACADE!F33="",0,FACADE!F33)*INPUTS!$B$15)/1000+ARCH_AG!F33/144*INPUTS!$B$12*INPUTS!$C$25/1000)</f>
        <v>34.055</v>
      </c>
      <c r="G33" s="9" t="n">
        <f aca="false">IF(TRIB!G33="",0,(TRIB!G33*IF($D33="A",(INPUTS!$G$26/12*INPUTS!$B$12+INPUTS!$H$26),(INPUTS!$L$26/12*INPUTS!$B$12+INPUTS!$M$26))+IF(FACADE!G33="",0,FACADE!G33)*INPUTS!$B$15)/1000+ARCH_AG!G33/144*INPUTS!$B$12*INPUTS!$C$26/1000)</f>
        <v>58.7925</v>
      </c>
      <c r="H33" s="9" t="n">
        <f aca="false">IF(TRIB!H33="",0,(TRIB!H33*IF($D33="A",(INPUTS!$G$27/12*INPUTS!$B$12+INPUTS!$H$27),(INPUTS!$L$27/12*INPUTS!$B$12+INPUTS!$M$27))+IF(FACADE!H33="",0,FACADE!H33)*INPUTS!$B$15)/1000+ARCH_AG!H33/144*INPUTS!$B$12*INPUTS!$C$27/1000)</f>
        <v>58.7925</v>
      </c>
      <c r="I33" s="9" t="n">
        <f aca="false">IF(TRIB!I33="",0,(TRIB!I33*IF($D33="A",(INPUTS!$G$28/12*INPUTS!$B$12+INPUTS!$H$28),(INPUTS!$L$28/12*INPUTS!$B$12+INPUTS!$M$28))+IF(FACADE!I33="",0,FACADE!I33)*INPUTS!$B$15)/1000+ARCH_AG!I33/144*INPUTS!$B$12*INPUTS!$C$28/1000)</f>
        <v>58.7925</v>
      </c>
      <c r="J33" s="9" t="n">
        <f aca="false">IF(TRIB!J33="",0,(TRIB!J33*IF($D33="A",(INPUTS!$G$29/12*INPUTS!$B$12+INPUTS!$H$29),(INPUTS!$L$29/12*INPUTS!$B$12+INPUTS!$M$29))+IF(FACADE!J33="",0,FACADE!J33)*INPUTS!$B$15)/1000+ARCH_AG!J33/144*INPUTS!$B$12*INPUTS!$C$29/1000)</f>
        <v>58.7925</v>
      </c>
      <c r="K33" s="9" t="n">
        <f aca="false">IF(TRIB!K33="",0,(TRIB!K33*IF($D33="A",(INPUTS!$G$30/12*INPUTS!$B$12+INPUTS!$H$30),(INPUTS!$L$30/12*INPUTS!$B$12+INPUTS!$M$30))+IF(FACADE!K33="",0,FACADE!K33)*INPUTS!$B$15)/1000+ARCH_AG!K33/144*INPUTS!$B$12*INPUTS!$C$30/1000)</f>
        <v>58.7925</v>
      </c>
      <c r="L33" s="9" t="n">
        <f aca="false">IF(TRIB!L33="",0,(TRIB!L33*IF($D33="A",(INPUTS!$G$31/12*INPUTS!$B$12+INPUTS!$H$31),(INPUTS!$L$31/12*INPUTS!$B$12+INPUTS!$M$31))+IF(FACADE!L33="",0,FACADE!L33)*INPUTS!$B$15)/1000+ARCH_AG!L33/144*INPUTS!$B$12*INPUTS!$C$31/1000)</f>
        <v>58.7925</v>
      </c>
      <c r="M33" s="9" t="n">
        <f aca="false">IF(TRIB!M33="",0,(TRIB!M33*IF($D33="A",(INPUTS!$G$32/12*INPUTS!$B$12+INPUTS!$H$32),(INPUTS!$L$32/12*INPUTS!$B$12+INPUTS!$M$32))+IF(FACADE!M33="",0,FACADE!M33)*INPUTS!$B$15)/1000+ARCH_AG!M33/144*INPUTS!$B$12*INPUTS!$C$32/1000)</f>
        <v>58.7925</v>
      </c>
      <c r="N33" s="9" t="n">
        <f aca="false">IF(TRIB!N33="",0,(TRIB!N33*IF($D33="A",(INPUTS!$G$33/12*INPUTS!$B$12+INPUTS!$H$33),(INPUTS!$L$33/12*INPUTS!$B$12+INPUTS!$M$33))+IF(FACADE!N33="",0,FACADE!N33)*INPUTS!$B$15)/1000+ARCH_AG!N33/144*INPUTS!$B$12*INPUTS!$C$33/1000)</f>
        <v>58.7925</v>
      </c>
      <c r="O33" s="9" t="n">
        <f aca="false">IF(TRIB!O33="",0,(TRIB!O33*IF($D33="A",(INPUTS!$G$34/12*INPUTS!$B$12+INPUTS!$H$34),(INPUTS!$L$34/12*INPUTS!$B$12+INPUTS!$M$34))+IF(FACADE!O33="",0,FACADE!O33)*INPUTS!$B$15)/1000+ARCH_AG!O33/144*INPUTS!$B$12*INPUTS!$C$34/1000)</f>
        <v>58.7925</v>
      </c>
      <c r="P33" s="9" t="n">
        <f aca="false">IF(TRIB!P33="",0,(TRIB!P33*IF($D33="A",(INPUTS!$G$35/12*INPUTS!$B$12+INPUTS!$H$35),(INPUTS!$L$35/12*INPUTS!$B$12+INPUTS!$M$35))+IF(FACADE!P33="",0,FACADE!P33)*INPUTS!$B$15)/1000+ARCH_AG!P33/144*INPUTS!$B$12*INPUTS!$C$35/1000)</f>
        <v>59.58</v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9" t="n">
        <f aca="false">IF(TRIB!E34="",0,(TRIB!E34*IF($D34="A",(INPUTS!$G$24/12*INPUTS!$B$12+INPUTS!$H$24),(INPUTS!$L$24/12*INPUTS!$B$12+INPUTS!$M$24))+IF(FACADE!E34="",0,FACADE!E34)*INPUTS!$B$15)/1000+ARCH_AG!E34/144*INPUTS!$B$12*INPUTS!$C$24/1000)</f>
        <v>0</v>
      </c>
      <c r="F34" s="9" t="n">
        <f aca="false">IF(TRIB!F34="",0,(TRIB!F34*IF($D34="A",(INPUTS!$G$25/12*INPUTS!$B$12+INPUTS!$H$25),(INPUTS!$L$25/12*INPUTS!$B$12+INPUTS!$M$25))+IF(FACADE!F34="",0,FACADE!F34)*INPUTS!$B$15)/1000+ARCH_AG!F34/144*INPUTS!$B$12*INPUTS!$C$25/1000)</f>
        <v>34.7575</v>
      </c>
      <c r="G34" s="9" t="n">
        <f aca="false">IF(TRIB!G34="",0,(TRIB!G34*IF($D34="A",(INPUTS!$G$26/12*INPUTS!$B$12+INPUTS!$H$26),(INPUTS!$L$26/12*INPUTS!$B$12+INPUTS!$M$26))+IF(FACADE!G34="",0,FACADE!G34)*INPUTS!$B$15)/1000+ARCH_AG!G34/144*INPUTS!$B$12*INPUTS!$C$26/1000)</f>
        <v>45.4725</v>
      </c>
      <c r="H34" s="9" t="n">
        <f aca="false">IF(TRIB!H34="",0,(TRIB!H34*IF($D34="A",(INPUTS!$G$27/12*INPUTS!$B$12+INPUTS!$H$27),(INPUTS!$L$27/12*INPUTS!$B$12+INPUTS!$M$27))+IF(FACADE!H34="",0,FACADE!H34)*INPUTS!$B$15)/1000+ARCH_AG!H34/144*INPUTS!$B$12*INPUTS!$C$27/1000)</f>
        <v>41.7825</v>
      </c>
      <c r="I34" s="9" t="n">
        <f aca="false">IF(TRIB!I34="",0,(TRIB!I34*IF($D34="A",(INPUTS!$G$28/12*INPUTS!$B$12+INPUTS!$H$28),(INPUTS!$L$28/12*INPUTS!$B$12+INPUTS!$M$28))+IF(FACADE!I34="",0,FACADE!I34)*INPUTS!$B$15)/1000+ARCH_AG!I34/144*INPUTS!$B$12*INPUTS!$C$28/1000)</f>
        <v>41.7825</v>
      </c>
      <c r="J34" s="9" t="n">
        <f aca="false">IF(TRIB!J34="",0,(TRIB!J34*IF($D34="A",(INPUTS!$G$29/12*INPUTS!$B$12+INPUTS!$H$29),(INPUTS!$L$29/12*INPUTS!$B$12+INPUTS!$M$29))+IF(FACADE!J34="",0,FACADE!J34)*INPUTS!$B$15)/1000+ARCH_AG!J34/144*INPUTS!$B$12*INPUTS!$C$29/1000)</f>
        <v>41.7825</v>
      </c>
      <c r="K34" s="9" t="n">
        <f aca="false">IF(TRIB!K34="",0,(TRIB!K34*IF($D34="A",(INPUTS!$G$30/12*INPUTS!$B$12+INPUTS!$H$30),(INPUTS!$L$30/12*INPUTS!$B$12+INPUTS!$M$30))+IF(FACADE!K34="",0,FACADE!K34)*INPUTS!$B$15)/1000+ARCH_AG!K34/144*INPUTS!$B$12*INPUTS!$C$30/1000)</f>
        <v>41.7825</v>
      </c>
      <c r="L34" s="9" t="n">
        <f aca="false">IF(TRIB!L34="",0,(TRIB!L34*IF($D34="A",(INPUTS!$G$31/12*INPUTS!$B$12+INPUTS!$H$31),(INPUTS!$L$31/12*INPUTS!$B$12+INPUTS!$M$31))+IF(FACADE!L34="",0,FACADE!L34)*INPUTS!$B$15)/1000+ARCH_AG!L34/144*INPUTS!$B$12*INPUTS!$C$31/1000)</f>
        <v>41.7825</v>
      </c>
      <c r="M34" s="9" t="n">
        <f aca="false">IF(TRIB!M34="",0,(TRIB!M34*IF($D34="A",(INPUTS!$G$32/12*INPUTS!$B$12+INPUTS!$H$32),(INPUTS!$L$32/12*INPUTS!$B$12+INPUTS!$M$32))+IF(FACADE!M34="",0,FACADE!M34)*INPUTS!$B$15)/1000+ARCH_AG!M34/144*INPUTS!$B$12*INPUTS!$C$32/1000)</f>
        <v>41.7825</v>
      </c>
      <c r="N34" s="9" t="n">
        <f aca="false">IF(TRIB!N34="",0,(TRIB!N34*IF($D34="A",(INPUTS!$G$33/12*INPUTS!$B$12+INPUTS!$H$33),(INPUTS!$L$33/12*INPUTS!$B$12+INPUTS!$M$33))+IF(FACADE!N34="",0,FACADE!N34)*INPUTS!$B$15)/1000+ARCH_AG!N34/144*INPUTS!$B$12*INPUTS!$C$33/1000)</f>
        <v>41.7825</v>
      </c>
      <c r="O34" s="9" t="n">
        <f aca="false">IF(TRIB!O34="",0,(TRIB!O34*IF($D34="A",(INPUTS!$G$34/12*INPUTS!$B$12+INPUTS!$H$34),(INPUTS!$L$34/12*INPUTS!$B$12+INPUTS!$M$34))+IF(FACADE!O34="",0,FACADE!O34)*INPUTS!$B$15)/1000+ARCH_AG!O34/144*INPUTS!$B$12*INPUTS!$C$34/1000)</f>
        <v>41.7825</v>
      </c>
      <c r="P34" s="9" t="n">
        <f aca="false">IF(TRIB!P34="",0,(TRIB!P34*IF($D34="A",(INPUTS!$G$35/12*INPUTS!$B$12+INPUTS!$H$35),(INPUTS!$L$35/12*INPUTS!$B$12+INPUTS!$M$35))+IF(FACADE!P34="",0,FACADE!P34)*INPUTS!$B$15)/1000+ARCH_AG!P34/144*INPUTS!$B$12*INPUTS!$C$35/1000)</f>
        <v>42.57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9" t="n">
        <f aca="false">IF(TRIB!E35="",0,(TRIB!E35*IF($D35="A",(INPUTS!$G$24/12*INPUTS!$B$12+INPUTS!$H$24),(INPUTS!$L$24/12*INPUTS!$B$12+INPUTS!$M$24))+IF(FACADE!E35="",0,FACADE!E35)*INPUTS!$B$15)/1000+ARCH_AG!E35/144*INPUTS!$B$12*INPUTS!$C$24/1000)</f>
        <v>0</v>
      </c>
      <c r="F35" s="9" t="n">
        <f aca="false">IF(TRIB!F35="",0,(TRIB!F35*IF($D35="A",(INPUTS!$G$25/12*INPUTS!$B$12+INPUTS!$H$25),(INPUTS!$L$25/12*INPUTS!$B$12+INPUTS!$M$25))+IF(FACADE!F35="",0,FACADE!F35)*INPUTS!$B$15)/1000+ARCH_AG!F35/144*INPUTS!$B$12*INPUTS!$C$25/1000)</f>
        <v>0</v>
      </c>
      <c r="G35" s="9" t="n">
        <f aca="false">IF(TRIB!G35="",0,(TRIB!G35*IF($D35="A",(INPUTS!$G$26/12*INPUTS!$B$12+INPUTS!$H$26),(INPUTS!$L$26/12*INPUTS!$B$12+INPUTS!$M$26))+IF(FACADE!G35="",0,FACADE!G35)*INPUTS!$B$15)/1000+ARCH_AG!G35/144*INPUTS!$B$12*INPUTS!$C$26/1000)</f>
        <v>55.3125</v>
      </c>
      <c r="H35" s="9" t="n">
        <f aca="false">IF(TRIB!H35="",0,(TRIB!H35*IF($D35="A",(INPUTS!$G$27/12*INPUTS!$B$12+INPUTS!$H$27),(INPUTS!$L$27/12*INPUTS!$B$12+INPUTS!$M$27))+IF(FACADE!H35="",0,FACADE!H35)*INPUTS!$B$15)/1000+ARCH_AG!H35/144*INPUTS!$B$12*INPUTS!$C$27/1000)</f>
        <v>55.3125</v>
      </c>
      <c r="I35" s="9" t="n">
        <f aca="false">IF(TRIB!I35="",0,(TRIB!I35*IF($D35="A",(INPUTS!$G$28/12*INPUTS!$B$12+INPUTS!$H$28),(INPUTS!$L$28/12*INPUTS!$B$12+INPUTS!$M$28))+IF(FACADE!I35="",0,FACADE!I35)*INPUTS!$B$15)/1000+ARCH_AG!I35/144*INPUTS!$B$12*INPUTS!$C$28/1000)</f>
        <v>55.3125</v>
      </c>
      <c r="J35" s="9" t="n">
        <f aca="false">IF(TRIB!J35="",0,(TRIB!J35*IF($D35="A",(INPUTS!$G$29/12*INPUTS!$B$12+INPUTS!$H$29),(INPUTS!$L$29/12*INPUTS!$B$12+INPUTS!$M$29))+IF(FACADE!J35="",0,FACADE!J35)*INPUTS!$B$15)/1000+ARCH_AG!J35/144*INPUTS!$B$12*INPUTS!$C$29/1000)</f>
        <v>55.3125</v>
      </c>
      <c r="K35" s="9" t="n">
        <f aca="false">IF(TRIB!K35="",0,(TRIB!K35*IF($D35="A",(INPUTS!$G$30/12*INPUTS!$B$12+INPUTS!$H$30),(INPUTS!$L$30/12*INPUTS!$B$12+INPUTS!$M$30))+IF(FACADE!K35="",0,FACADE!K35)*INPUTS!$B$15)/1000+ARCH_AG!K35/144*INPUTS!$B$12*INPUTS!$C$30/1000)</f>
        <v>55.3125</v>
      </c>
      <c r="L35" s="9" t="n">
        <f aca="false">IF(TRIB!L35="",0,(TRIB!L35*IF($D35="A",(INPUTS!$G$31/12*INPUTS!$B$12+INPUTS!$H$31),(INPUTS!$L$31/12*INPUTS!$B$12+INPUTS!$M$31))+IF(FACADE!L35="",0,FACADE!L35)*INPUTS!$B$15)/1000+ARCH_AG!L35/144*INPUTS!$B$12*INPUTS!$C$31/1000)</f>
        <v>55.3125</v>
      </c>
      <c r="M35" s="9" t="n">
        <f aca="false">IF(TRIB!M35="",0,(TRIB!M35*IF($D35="A",(INPUTS!$G$32/12*INPUTS!$B$12+INPUTS!$H$32),(INPUTS!$L$32/12*INPUTS!$B$12+INPUTS!$M$32))+IF(FACADE!M35="",0,FACADE!M35)*INPUTS!$B$15)/1000+ARCH_AG!M35/144*INPUTS!$B$12*INPUTS!$C$32/1000)</f>
        <v>55.3125</v>
      </c>
      <c r="N35" s="9" t="n">
        <f aca="false">IF(TRIB!N35="",0,(TRIB!N35*IF($D35="A",(INPUTS!$G$33/12*INPUTS!$B$12+INPUTS!$H$33),(INPUTS!$L$33/12*INPUTS!$B$12+INPUTS!$M$33))+IF(FACADE!N35="",0,FACADE!N35)*INPUTS!$B$15)/1000+ARCH_AG!N35/144*INPUTS!$B$12*INPUTS!$C$33/1000)</f>
        <v>55.3125</v>
      </c>
      <c r="O35" s="9" t="n">
        <f aca="false">IF(TRIB!O35="",0,(TRIB!O35*IF($D35="A",(INPUTS!$G$34/12*INPUTS!$B$12+INPUTS!$H$34),(INPUTS!$L$34/12*INPUTS!$B$12+INPUTS!$M$34))+IF(FACADE!O35="",0,FACADE!O35)*INPUTS!$B$15)/1000+ARCH_AG!O35/144*INPUTS!$B$12*INPUTS!$C$34/1000)</f>
        <v>55.3125</v>
      </c>
      <c r="P35" s="9" t="n">
        <f aca="false">IF(TRIB!P35="",0,(TRIB!P35*IF($D35="A",(INPUTS!$G$35/12*INPUTS!$B$12+INPUTS!$H$35),(INPUTS!$L$35/12*INPUTS!$B$12+INPUTS!$M$35))+IF(FACADE!P35="",0,FACADE!P35)*INPUTS!$B$15)/1000+ARCH_AG!P35/144*INPUTS!$B$12*INPUTS!$C$35/1000)</f>
        <v>56.1</v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9" t="n">
        <f aca="false">IF(TRIB!E36="",0,(TRIB!E36*IF($D36="A",(INPUTS!$G$24/12*INPUTS!$B$12+INPUTS!$H$24),(INPUTS!$L$24/12*INPUTS!$B$12+INPUTS!$M$24))+IF(FACADE!E36="",0,FACADE!E36)*INPUTS!$B$15)/1000+ARCH_AG!E36/144*INPUTS!$B$12*INPUTS!$C$24/1000)</f>
        <v>0</v>
      </c>
      <c r="F36" s="9" t="n">
        <f aca="false">IF(TRIB!F36="",0,(TRIB!F36*IF($D36="A",(INPUTS!$G$25/12*INPUTS!$B$12+INPUTS!$H$25),(INPUTS!$L$25/12*INPUTS!$B$12+INPUTS!$M$25))+IF(FACADE!F36="",0,FACADE!F36)*INPUTS!$B$15)/1000+ARCH_AG!F36/144*INPUTS!$B$12*INPUTS!$C$25/1000)</f>
        <v>85.5975</v>
      </c>
      <c r="G36" s="9" t="n">
        <f aca="false">IF(TRIB!G36="",0,(TRIB!G36*IF($D36="A",(INPUTS!$G$26/12*INPUTS!$B$12+INPUTS!$H$26),(INPUTS!$L$26/12*INPUTS!$B$12+INPUTS!$M$26))+IF(FACADE!G36="",0,FACADE!G36)*INPUTS!$B$15)/1000+ARCH_AG!G36/144*INPUTS!$B$12*INPUTS!$C$26/1000)</f>
        <v>78.7125</v>
      </c>
      <c r="H36" s="9" t="n">
        <f aca="false">IF(TRIB!H36="",0,(TRIB!H36*IF($D36="A",(INPUTS!$G$27/12*INPUTS!$B$12+INPUTS!$H$27),(INPUTS!$L$27/12*INPUTS!$B$12+INPUTS!$M$27))+IF(FACADE!H36="",0,FACADE!H36)*INPUTS!$B$15)/1000+ARCH_AG!H36/144*INPUTS!$B$12*INPUTS!$C$27/1000)</f>
        <v>78.7125</v>
      </c>
      <c r="I36" s="9" t="n">
        <f aca="false">IF(TRIB!I36="",0,(TRIB!I36*IF($D36="A",(INPUTS!$G$28/12*INPUTS!$B$12+INPUTS!$H$28),(INPUTS!$L$28/12*INPUTS!$B$12+INPUTS!$M$28))+IF(FACADE!I36="",0,FACADE!I36)*INPUTS!$B$15)/1000+ARCH_AG!I36/144*INPUTS!$B$12*INPUTS!$C$28/1000)</f>
        <v>78.7125</v>
      </c>
      <c r="J36" s="9" t="n">
        <f aca="false">IF(TRIB!J36="",0,(TRIB!J36*IF($D36="A",(INPUTS!$G$29/12*INPUTS!$B$12+INPUTS!$H$29),(INPUTS!$L$29/12*INPUTS!$B$12+INPUTS!$M$29))+IF(FACADE!J36="",0,FACADE!J36)*INPUTS!$B$15)/1000+ARCH_AG!J36/144*INPUTS!$B$12*INPUTS!$C$29/1000)</f>
        <v>78.7125</v>
      </c>
      <c r="K36" s="9" t="n">
        <f aca="false">IF(TRIB!K36="",0,(TRIB!K36*IF($D36="A",(INPUTS!$G$30/12*INPUTS!$B$12+INPUTS!$H$30),(INPUTS!$L$30/12*INPUTS!$B$12+INPUTS!$M$30))+IF(FACADE!K36="",0,FACADE!K36)*INPUTS!$B$15)/1000+ARCH_AG!K36/144*INPUTS!$B$12*INPUTS!$C$30/1000)</f>
        <v>78.7125</v>
      </c>
      <c r="L36" s="9" t="n">
        <f aca="false">IF(TRIB!L36="",0,(TRIB!L36*IF($D36="A",(INPUTS!$G$31/12*INPUTS!$B$12+INPUTS!$H$31),(INPUTS!$L$31/12*INPUTS!$B$12+INPUTS!$M$31))+IF(FACADE!L36="",0,FACADE!L36)*INPUTS!$B$15)/1000+ARCH_AG!L36/144*INPUTS!$B$12*INPUTS!$C$31/1000)</f>
        <v>78.7125</v>
      </c>
      <c r="M36" s="9" t="n">
        <f aca="false">IF(TRIB!M36="",0,(TRIB!M36*IF($D36="A",(INPUTS!$G$32/12*INPUTS!$B$12+INPUTS!$H$32),(INPUTS!$L$32/12*INPUTS!$B$12+INPUTS!$M$32))+IF(FACADE!M36="",0,FACADE!M36)*INPUTS!$B$15)/1000+ARCH_AG!M36/144*INPUTS!$B$12*INPUTS!$C$32/1000)</f>
        <v>78.7125</v>
      </c>
      <c r="N36" s="9" t="n">
        <f aca="false">IF(TRIB!N36="",0,(TRIB!N36*IF($D36="A",(INPUTS!$G$33/12*INPUTS!$B$12+INPUTS!$H$33),(INPUTS!$L$33/12*INPUTS!$B$12+INPUTS!$M$33))+IF(FACADE!N36="",0,FACADE!N36)*INPUTS!$B$15)/1000+ARCH_AG!N36/144*INPUTS!$B$12*INPUTS!$C$33/1000)</f>
        <v>78.7125</v>
      </c>
      <c r="O36" s="9" t="n">
        <f aca="false">IF(TRIB!O36="",0,(TRIB!O36*IF($D36="A",(INPUTS!$G$34/12*INPUTS!$B$12+INPUTS!$H$34),(INPUTS!$L$34/12*INPUTS!$B$12+INPUTS!$M$34))+IF(FACADE!O36="",0,FACADE!O36)*INPUTS!$B$15)/1000+ARCH_AG!O36/144*INPUTS!$B$12*INPUTS!$C$34/1000)</f>
        <v>78.7125</v>
      </c>
      <c r="P36" s="9" t="n">
        <f aca="false">IF(TRIB!P36="",0,(TRIB!P36*IF($D36="A",(INPUTS!$G$35/12*INPUTS!$B$12+INPUTS!$H$35),(INPUTS!$L$35/12*INPUTS!$B$12+INPUTS!$M$35))+IF(FACADE!P36="",0,FACADE!P36)*INPUTS!$B$15)/1000+ARCH_AG!P36/144*INPUTS!$B$12*INPUTS!$C$35/1000)</f>
        <v>79.5</v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9" t="n">
        <f aca="false">IF(TRIB!E37="",0,(TRIB!E37*IF($D37="A",(INPUTS!$G$24/12*INPUTS!$B$12+INPUTS!$H$24),(INPUTS!$L$24/12*INPUTS!$B$12+INPUTS!$M$24))+IF(FACADE!E37="",0,FACADE!E37)*INPUTS!$B$15)/1000+ARCH_AG!E37/144*INPUTS!$B$12*INPUTS!$C$24/1000)</f>
        <v>0</v>
      </c>
      <c r="F37" s="9" t="n">
        <f aca="false">IF(TRIB!F37="",0,(TRIB!F37*IF($D37="A",(INPUTS!$G$25/12*INPUTS!$B$12+INPUTS!$H$25),(INPUTS!$L$25/12*INPUTS!$B$12+INPUTS!$M$25))+IF(FACADE!F37="",0,FACADE!F37)*INPUTS!$B$15)/1000+ARCH_AG!F37/144*INPUTS!$B$12*INPUTS!$C$25/1000)</f>
        <v>45.2175</v>
      </c>
      <c r="G37" s="9" t="n">
        <f aca="false">IF(TRIB!G37="",0,(TRIB!G37*IF($D37="A",(INPUTS!$G$26/12*INPUTS!$B$12+INPUTS!$H$26),(INPUTS!$L$26/12*INPUTS!$B$12+INPUTS!$M$26))+IF(FACADE!G37="",0,FACADE!G37)*INPUTS!$B$15)/1000+ARCH_AG!G37/144*INPUTS!$B$12*INPUTS!$C$26/1000)</f>
        <v>43.0125</v>
      </c>
      <c r="H37" s="9" t="n">
        <f aca="false">IF(TRIB!H37="",0,(TRIB!H37*IF($D37="A",(INPUTS!$G$27/12*INPUTS!$B$12+INPUTS!$H$27),(INPUTS!$L$27/12*INPUTS!$B$12+INPUTS!$M$27))+IF(FACADE!H37="",0,FACADE!H37)*INPUTS!$B$15)/1000+ARCH_AG!H37/144*INPUTS!$B$12*INPUTS!$C$27/1000)</f>
        <v>43.0125</v>
      </c>
      <c r="I37" s="9" t="n">
        <f aca="false">IF(TRIB!I37="",0,(TRIB!I37*IF($D37="A",(INPUTS!$G$28/12*INPUTS!$B$12+INPUTS!$H$28),(INPUTS!$L$28/12*INPUTS!$B$12+INPUTS!$M$28))+IF(FACADE!I37="",0,FACADE!I37)*INPUTS!$B$15)/1000+ARCH_AG!I37/144*INPUTS!$B$12*INPUTS!$C$28/1000)</f>
        <v>43.0125</v>
      </c>
      <c r="J37" s="9" t="n">
        <f aca="false">IF(TRIB!J37="",0,(TRIB!J37*IF($D37="A",(INPUTS!$G$29/12*INPUTS!$B$12+INPUTS!$H$29),(INPUTS!$L$29/12*INPUTS!$B$12+INPUTS!$M$29))+IF(FACADE!J37="",0,FACADE!J37)*INPUTS!$B$15)/1000+ARCH_AG!J37/144*INPUTS!$B$12*INPUTS!$C$29/1000)</f>
        <v>43.0125</v>
      </c>
      <c r="K37" s="9" t="n">
        <f aca="false">IF(TRIB!K37="",0,(TRIB!K37*IF($D37="A",(INPUTS!$G$30/12*INPUTS!$B$12+INPUTS!$H$30),(INPUTS!$L$30/12*INPUTS!$B$12+INPUTS!$M$30))+IF(FACADE!K37="",0,FACADE!K37)*INPUTS!$B$15)/1000+ARCH_AG!K37/144*INPUTS!$B$12*INPUTS!$C$30/1000)</f>
        <v>41.9325</v>
      </c>
      <c r="L37" s="9" t="n">
        <f aca="false">IF(TRIB!L37="",0,(TRIB!L37*IF($D37="A",(INPUTS!$G$31/12*INPUTS!$B$12+INPUTS!$H$31),(INPUTS!$L$31/12*INPUTS!$B$12+INPUTS!$M$31))+IF(FACADE!L37="",0,FACADE!L37)*INPUTS!$B$15)/1000+ARCH_AG!L37/144*INPUTS!$B$12*INPUTS!$C$31/1000)</f>
        <v>41.9325</v>
      </c>
      <c r="M37" s="9" t="n">
        <f aca="false">IF(TRIB!M37="",0,(TRIB!M37*IF($D37="A",(INPUTS!$G$32/12*INPUTS!$B$12+INPUTS!$H$32),(INPUTS!$L$32/12*INPUTS!$B$12+INPUTS!$M$32))+IF(FACADE!M37="",0,FACADE!M37)*INPUTS!$B$15)/1000+ARCH_AG!M37/144*INPUTS!$B$12*INPUTS!$C$32/1000)</f>
        <v>41.9325</v>
      </c>
      <c r="N37" s="9" t="n">
        <f aca="false">IF(TRIB!N37="",0,(TRIB!N37*IF($D37="A",(INPUTS!$G$33/12*INPUTS!$B$12+INPUTS!$H$33),(INPUTS!$L$33/12*INPUTS!$B$12+INPUTS!$M$33))+IF(FACADE!N37="",0,FACADE!N37)*INPUTS!$B$15)/1000+ARCH_AG!N37/144*INPUTS!$B$12*INPUTS!$C$33/1000)</f>
        <v>41.9325</v>
      </c>
      <c r="O37" s="9" t="n">
        <f aca="false">IF(TRIB!O37="",0,(TRIB!O37*IF($D37="A",(INPUTS!$G$34/12*INPUTS!$B$12+INPUTS!$H$34),(INPUTS!$L$34/12*INPUTS!$B$12+INPUTS!$M$34))+IF(FACADE!O37="",0,FACADE!O37)*INPUTS!$B$15)/1000+ARCH_AG!O37/144*INPUTS!$B$12*INPUTS!$C$34/1000)</f>
        <v>41.9325</v>
      </c>
      <c r="P37" s="9" t="n">
        <f aca="false">IF(TRIB!P37="",0,(TRIB!P37*IF($D37="A",(INPUTS!$G$35/12*INPUTS!$B$12+INPUTS!$H$35),(INPUTS!$L$35/12*INPUTS!$B$12+INPUTS!$M$35))+IF(FACADE!P37="",0,FACADE!P37)*INPUTS!$B$15)/1000+ARCH_AG!P37/144*INPUTS!$B$12*INPUTS!$C$35/1000)</f>
        <v>42.72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9" t="n">
        <f aca="false">IF(TRIB!E38="",0,(TRIB!E38*IF($D38="A",(INPUTS!$G$24/12*INPUTS!$B$12+INPUTS!$H$24),(INPUTS!$L$24/12*INPUTS!$B$12+INPUTS!$M$24))+IF(FACADE!E38="",0,FACADE!E38)*INPUTS!$B$15)/1000+ARCH_AG!E38/144*INPUTS!$B$12*INPUTS!$C$24/1000)</f>
        <v>0</v>
      </c>
      <c r="F38" s="9" t="n">
        <f aca="false">IF(TRIB!F38="",0,(TRIB!F38*IF($D38="A",(INPUTS!$G$25/12*INPUTS!$B$12+INPUTS!$H$25),(INPUTS!$L$25/12*INPUTS!$B$12+INPUTS!$M$25))+IF(FACADE!F38="",0,FACADE!F38)*INPUTS!$B$15)/1000+ARCH_AG!F38/144*INPUTS!$B$12*INPUTS!$C$25/1000)</f>
        <v>27.415</v>
      </c>
      <c r="G38" s="9" t="n">
        <f aca="false">IF(TRIB!G38="",0,(TRIB!G38*IF($D38="A",(INPUTS!$G$26/12*INPUTS!$B$12+INPUTS!$H$26),(INPUTS!$L$26/12*INPUTS!$B$12+INPUTS!$M$26))+IF(FACADE!G38="",0,FACADE!G38)*INPUTS!$B$15)/1000+ARCH_AG!G38/144*INPUTS!$B$12*INPUTS!$C$26/1000)</f>
        <v>38.205</v>
      </c>
      <c r="H38" s="9" t="n">
        <f aca="false">IF(TRIB!H38="",0,(TRIB!H38*IF($D38="A",(INPUTS!$G$27/12*INPUTS!$B$12+INPUTS!$H$27),(INPUTS!$L$27/12*INPUTS!$B$12+INPUTS!$M$27))+IF(FACADE!H38="",0,FACADE!H38)*INPUTS!$B$15)/1000+ARCH_AG!H38/144*INPUTS!$B$12*INPUTS!$C$27/1000)</f>
        <v>35.595</v>
      </c>
      <c r="I38" s="9" t="n">
        <f aca="false">IF(TRIB!I38="",0,(TRIB!I38*IF($D38="A",(INPUTS!$G$28/12*INPUTS!$B$12+INPUTS!$H$28),(INPUTS!$L$28/12*INPUTS!$B$12+INPUTS!$M$28))+IF(FACADE!I38="",0,FACADE!I38)*INPUTS!$B$15)/1000+ARCH_AG!I38/144*INPUTS!$B$12*INPUTS!$C$28/1000)</f>
        <v>35.595</v>
      </c>
      <c r="J38" s="9" t="n">
        <f aca="false">IF(TRIB!J38="",0,(TRIB!J38*IF($D38="A",(INPUTS!$G$29/12*INPUTS!$B$12+INPUTS!$H$29),(INPUTS!$L$29/12*INPUTS!$B$12+INPUTS!$M$29))+IF(FACADE!J38="",0,FACADE!J38)*INPUTS!$B$15)/1000+ARCH_AG!J38/144*INPUTS!$B$12*INPUTS!$C$29/1000)</f>
        <v>35.595</v>
      </c>
      <c r="K38" s="9" t="n">
        <f aca="false">IF(TRIB!K38="",0,(TRIB!K38*IF($D38="A",(INPUTS!$G$30/12*INPUTS!$B$12+INPUTS!$H$30),(INPUTS!$L$30/12*INPUTS!$B$12+INPUTS!$M$30))+IF(FACADE!K38="",0,FACADE!K38)*INPUTS!$B$15)/1000+ARCH_AG!K38/144*INPUTS!$B$12*INPUTS!$C$30/1000)</f>
        <v>35.595</v>
      </c>
      <c r="L38" s="9" t="n">
        <f aca="false">IF(TRIB!L38="",0,(TRIB!L38*IF($D38="A",(INPUTS!$G$31/12*INPUTS!$B$12+INPUTS!$H$31),(INPUTS!$L$31/12*INPUTS!$B$12+INPUTS!$M$31))+IF(FACADE!L38="",0,FACADE!L38)*INPUTS!$B$15)/1000+ARCH_AG!L38/144*INPUTS!$B$12*INPUTS!$C$31/1000)</f>
        <v>35.595</v>
      </c>
      <c r="M38" s="9" t="n">
        <f aca="false">IF(TRIB!M38="",0,(TRIB!M38*IF($D38="A",(INPUTS!$G$32/12*INPUTS!$B$12+INPUTS!$H$32),(INPUTS!$L$32/12*INPUTS!$B$12+INPUTS!$M$32))+IF(FACADE!M38="",0,FACADE!M38)*INPUTS!$B$15)/1000+ARCH_AG!M38/144*INPUTS!$B$12*INPUTS!$C$32/1000)</f>
        <v>35.595</v>
      </c>
      <c r="N38" s="9" t="n">
        <f aca="false">IF(TRIB!N38="",0,(TRIB!N38*IF($D38="A",(INPUTS!$G$33/12*INPUTS!$B$12+INPUTS!$H$33),(INPUTS!$L$33/12*INPUTS!$B$12+INPUTS!$M$33))+IF(FACADE!N38="",0,FACADE!N38)*INPUTS!$B$15)/1000+ARCH_AG!N38/144*INPUTS!$B$12*INPUTS!$C$33/1000)</f>
        <v>35.595</v>
      </c>
      <c r="O38" s="9" t="n">
        <f aca="false">IF(TRIB!O38="",0,(TRIB!O38*IF($D38="A",(INPUTS!$G$34/12*INPUTS!$B$12+INPUTS!$H$34),(INPUTS!$L$34/12*INPUTS!$B$12+INPUTS!$M$34))+IF(FACADE!O38="",0,FACADE!O38)*INPUTS!$B$15)/1000+ARCH_AG!O38/144*INPUTS!$B$12*INPUTS!$C$34/1000)</f>
        <v>35.595</v>
      </c>
      <c r="P38" s="9" t="n">
        <f aca="false">IF(TRIB!P38="",0,(TRIB!P38*IF($D38="A",(INPUTS!$G$35/12*INPUTS!$B$12+INPUTS!$H$35),(INPUTS!$L$35/12*INPUTS!$B$12+INPUTS!$M$35))+IF(FACADE!P38="",0,FACADE!P38)*INPUTS!$B$15)/1000+ARCH_AG!P38/144*INPUTS!$B$12*INPUTS!$C$35/1000)</f>
        <v>36.12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9" t="n">
        <f aca="false">IF(TRIB!E39="",0,(TRIB!E39*IF($D39="A",(INPUTS!$G$24/12*INPUTS!$B$12+INPUTS!$H$24),(INPUTS!$L$24/12*INPUTS!$B$12+INPUTS!$M$24))+IF(FACADE!E39="",0,FACADE!E39)*INPUTS!$B$15)/1000+ARCH_AG!E39/144*INPUTS!$B$12*INPUTS!$C$24/1000)</f>
        <v>0</v>
      </c>
      <c r="F39" s="9" t="n">
        <f aca="false">IF(TRIB!F39="",0,(TRIB!F39*IF($D39="A",(INPUTS!$G$25/12*INPUTS!$B$12+INPUTS!$H$25),(INPUTS!$L$25/12*INPUTS!$B$12+INPUTS!$M$25))+IF(FACADE!F39="",0,FACADE!F39)*INPUTS!$B$15)/1000+ARCH_AG!F39/144*INPUTS!$B$12*INPUTS!$C$25/1000)</f>
        <v>50.435</v>
      </c>
      <c r="G39" s="9" t="n">
        <f aca="false">IF(TRIB!G39="",0,(TRIB!G39*IF($D39="A",(INPUTS!$G$26/12*INPUTS!$B$12+INPUTS!$H$26),(INPUTS!$L$26/12*INPUTS!$B$12+INPUTS!$M$26))+IF(FACADE!G39="",0,FACADE!G39)*INPUTS!$B$15)/1000+ARCH_AG!G39/144*INPUTS!$B$12*INPUTS!$C$26/1000)</f>
        <v>46.875</v>
      </c>
      <c r="H39" s="9" t="n">
        <f aca="false">IF(TRIB!H39="",0,(TRIB!H39*IF($D39="A",(INPUTS!$G$27/12*INPUTS!$B$12+INPUTS!$H$27),(INPUTS!$L$27/12*INPUTS!$B$12+INPUTS!$M$27))+IF(FACADE!H39="",0,FACADE!H39)*INPUTS!$B$15)/1000+ARCH_AG!H39/144*INPUTS!$B$12*INPUTS!$C$27/1000)</f>
        <v>46.875</v>
      </c>
      <c r="I39" s="9" t="n">
        <f aca="false">IF(TRIB!I39="",0,(TRIB!I39*IF($D39="A",(INPUTS!$G$28/12*INPUTS!$B$12+INPUTS!$H$28),(INPUTS!$L$28/12*INPUTS!$B$12+INPUTS!$M$28))+IF(FACADE!I39="",0,FACADE!I39)*INPUTS!$B$15)/1000+ARCH_AG!I39/144*INPUTS!$B$12*INPUTS!$C$28/1000)</f>
        <v>46.875</v>
      </c>
      <c r="J39" s="9" t="n">
        <f aca="false">IF(TRIB!J39="",0,(TRIB!J39*IF($D39="A",(INPUTS!$G$29/12*INPUTS!$B$12+INPUTS!$H$29),(INPUTS!$L$29/12*INPUTS!$B$12+INPUTS!$M$29))+IF(FACADE!J39="",0,FACADE!J39)*INPUTS!$B$15)/1000+ARCH_AG!J39/144*INPUTS!$B$12*INPUTS!$C$29/1000)</f>
        <v>46.875</v>
      </c>
      <c r="K39" s="9" t="n">
        <f aca="false">IF(TRIB!K39="",0,(TRIB!K39*IF($D39="A",(INPUTS!$G$30/12*INPUTS!$B$12+INPUTS!$H$30),(INPUTS!$L$30/12*INPUTS!$B$12+INPUTS!$M$30))+IF(FACADE!K39="",0,FACADE!K39)*INPUTS!$B$15)/1000+ARCH_AG!K39/144*INPUTS!$B$12*INPUTS!$C$30/1000)</f>
        <v>46.875</v>
      </c>
      <c r="L39" s="9" t="n">
        <f aca="false">IF(TRIB!L39="",0,(TRIB!L39*IF($D39="A",(INPUTS!$G$31/12*INPUTS!$B$12+INPUTS!$H$31),(INPUTS!$L$31/12*INPUTS!$B$12+INPUTS!$M$31))+IF(FACADE!L39="",0,FACADE!L39)*INPUTS!$B$15)/1000+ARCH_AG!L39/144*INPUTS!$B$12*INPUTS!$C$31/1000)</f>
        <v>46.875</v>
      </c>
      <c r="M39" s="9" t="n">
        <f aca="false">IF(TRIB!M39="",0,(TRIB!M39*IF($D39="A",(INPUTS!$G$32/12*INPUTS!$B$12+INPUTS!$H$32),(INPUTS!$L$32/12*INPUTS!$B$12+INPUTS!$M$32))+IF(FACADE!M39="",0,FACADE!M39)*INPUTS!$B$15)/1000+ARCH_AG!M39/144*INPUTS!$B$12*INPUTS!$C$32/1000)</f>
        <v>46.875</v>
      </c>
      <c r="N39" s="9" t="n">
        <f aca="false">IF(TRIB!N39="",0,(TRIB!N39*IF($D39="A",(INPUTS!$G$33/12*INPUTS!$B$12+INPUTS!$H$33),(INPUTS!$L$33/12*INPUTS!$B$12+INPUTS!$M$33))+IF(FACADE!N39="",0,FACADE!N39)*INPUTS!$B$15)/1000+ARCH_AG!N39/144*INPUTS!$B$12*INPUTS!$C$33/1000)</f>
        <v>46.875</v>
      </c>
      <c r="O39" s="9" t="n">
        <f aca="false">IF(TRIB!O39="",0,(TRIB!O39*IF($D39="A",(INPUTS!$G$34/12*INPUTS!$B$12+INPUTS!$H$34),(INPUTS!$L$34/12*INPUTS!$B$12+INPUTS!$M$34))+IF(FACADE!O39="",0,FACADE!O39)*INPUTS!$B$15)/1000+ARCH_AG!O39/144*INPUTS!$B$12*INPUTS!$C$34/1000)</f>
        <v>46.875</v>
      </c>
      <c r="P39" s="9" t="n">
        <f aca="false">IF(TRIB!P39="",0,(TRIB!P39*IF($D39="A",(INPUTS!$G$35/12*INPUTS!$B$12+INPUTS!$H$35),(INPUTS!$L$35/12*INPUTS!$B$12+INPUTS!$M$35))+IF(FACADE!P39="",0,FACADE!P39)*INPUTS!$B$15)/1000+ARCH_AG!P39/144*INPUTS!$B$12*INPUTS!$C$35/1000)</f>
        <v>47.4</v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9" t="n">
        <f aca="false">IF(TRIB!E40="",0,(TRIB!E40*IF($D40="A",(INPUTS!$G$24/12*INPUTS!$B$12+INPUTS!$H$24),(INPUTS!$L$24/12*INPUTS!$B$12+INPUTS!$M$24))+IF(FACADE!E40="",0,FACADE!E40)*INPUTS!$B$15)/1000+ARCH_AG!E40/144*INPUTS!$B$12*INPUTS!$C$24/1000)</f>
        <v>0</v>
      </c>
      <c r="F40" s="9" t="n">
        <f aca="false">IF(TRIB!F40="",0,(TRIB!F40*IF($D40="A",(INPUTS!$G$25/12*INPUTS!$B$12+INPUTS!$H$25),(INPUTS!$L$25/12*INPUTS!$B$12+INPUTS!$M$25))+IF(FACADE!F40="",0,FACADE!F40)*INPUTS!$B$15)/1000+ARCH_AG!F40/144*INPUTS!$B$12*INPUTS!$C$25/1000)</f>
        <v>23.8975</v>
      </c>
      <c r="G40" s="9" t="n">
        <f aca="false">IF(TRIB!G40="",0,(TRIB!G40*IF($D40="A",(INPUTS!$G$26/12*INPUTS!$B$12+INPUTS!$H$26),(INPUTS!$L$26/12*INPUTS!$B$12+INPUTS!$M$26))+IF(FACADE!G40="",0,FACADE!G40)*INPUTS!$B$15)/1000+ARCH_AG!G40/144*INPUTS!$B$12*INPUTS!$C$26/1000)</f>
        <v>24.0825</v>
      </c>
      <c r="H40" s="9" t="n">
        <f aca="false">IF(TRIB!H40="",0,(TRIB!H40*IF($D40="A",(INPUTS!$G$27/12*INPUTS!$B$12+INPUTS!$H$27),(INPUTS!$L$27/12*INPUTS!$B$12+INPUTS!$M$27))+IF(FACADE!H40="",0,FACADE!H40)*INPUTS!$B$15)/1000+ARCH_AG!H40/144*INPUTS!$B$12*INPUTS!$C$27/1000)</f>
        <v>24.0825</v>
      </c>
      <c r="I40" s="9" t="n">
        <f aca="false">IF(TRIB!I40="",0,(TRIB!I40*IF($D40="A",(INPUTS!$G$28/12*INPUTS!$B$12+INPUTS!$H$28),(INPUTS!$L$28/12*INPUTS!$B$12+INPUTS!$M$28))+IF(FACADE!I40="",0,FACADE!I40)*INPUTS!$B$15)/1000+ARCH_AG!I40/144*INPUTS!$B$12*INPUTS!$C$28/1000)</f>
        <v>24.0825</v>
      </c>
      <c r="J40" s="9" t="n">
        <f aca="false">IF(TRIB!J40="",0,(TRIB!J40*IF($D40="A",(INPUTS!$G$29/12*INPUTS!$B$12+INPUTS!$H$29),(INPUTS!$L$29/12*INPUTS!$B$12+INPUTS!$M$29))+IF(FACADE!J40="",0,FACADE!J40)*INPUTS!$B$15)/1000+ARCH_AG!J40/144*INPUTS!$B$12*INPUTS!$C$29/1000)</f>
        <v>24.0825</v>
      </c>
      <c r="K40" s="9" t="n">
        <f aca="false">IF(TRIB!K40="",0,(TRIB!K40*IF($D40="A",(INPUTS!$G$30/12*INPUTS!$B$12+INPUTS!$H$30),(INPUTS!$L$30/12*INPUTS!$B$12+INPUTS!$M$30))+IF(FACADE!K40="",0,FACADE!K40)*INPUTS!$B$15)/1000+ARCH_AG!K40/144*INPUTS!$B$12*INPUTS!$C$30/1000)</f>
        <v>22.2525</v>
      </c>
      <c r="L40" s="9" t="n">
        <f aca="false">IF(TRIB!L40="",0,(TRIB!L40*IF($D40="A",(INPUTS!$G$31/12*INPUTS!$B$12+INPUTS!$H$31),(INPUTS!$L$31/12*INPUTS!$B$12+INPUTS!$M$31))+IF(FACADE!L40="",0,FACADE!L40)*INPUTS!$B$15)/1000+ARCH_AG!L40/144*INPUTS!$B$12*INPUTS!$C$31/1000)</f>
        <v>22.1325</v>
      </c>
      <c r="M40" s="9" t="n">
        <f aca="false">IF(TRIB!M40="",0,(TRIB!M40*IF($D40="A",(INPUTS!$G$32/12*INPUTS!$B$12+INPUTS!$H$32),(INPUTS!$L$32/12*INPUTS!$B$12+INPUTS!$M$32))+IF(FACADE!M40="",0,FACADE!M40)*INPUTS!$B$15)/1000+ARCH_AG!M40/144*INPUTS!$B$12*INPUTS!$C$32/1000)</f>
        <v>22.1325</v>
      </c>
      <c r="N40" s="9" t="n">
        <f aca="false">IF(TRIB!N40="",0,(TRIB!N40*IF($D40="A",(INPUTS!$G$33/12*INPUTS!$B$12+INPUTS!$H$33),(INPUTS!$L$33/12*INPUTS!$B$12+INPUTS!$M$33))+IF(FACADE!N40="",0,FACADE!N40)*INPUTS!$B$15)/1000+ARCH_AG!N40/144*INPUTS!$B$12*INPUTS!$C$33/1000)</f>
        <v>22.1325</v>
      </c>
      <c r="O40" s="9" t="n">
        <f aca="false">IF(TRIB!O40="",0,(TRIB!O40*IF($D40="A",(INPUTS!$G$34/12*INPUTS!$B$12+INPUTS!$H$34),(INPUTS!$L$34/12*INPUTS!$B$12+INPUTS!$M$34))+IF(FACADE!O40="",0,FACADE!O40)*INPUTS!$B$15)/1000+ARCH_AG!O40/144*INPUTS!$B$12*INPUTS!$C$34/1000)</f>
        <v>22.1325</v>
      </c>
      <c r="P40" s="9" t="n">
        <f aca="false">IF(TRIB!P40="",0,(TRIB!P40*IF($D40="A",(INPUTS!$G$35/12*INPUTS!$B$12+INPUTS!$H$35),(INPUTS!$L$35/12*INPUTS!$B$12+INPUTS!$M$35))+IF(FACADE!P40="",0,FACADE!P40)*INPUTS!$B$15)/1000+ARCH_AG!P40/144*INPUTS!$B$12*INPUTS!$C$35/1000)</f>
        <v>22.92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9" t="n">
        <f aca="false">IF(TRIB!E41="",0,(TRIB!E41*IF($D41="A",(INPUTS!$G$24/12*INPUTS!$B$12+INPUTS!$H$24),(INPUTS!$L$24/12*INPUTS!$B$12+INPUTS!$M$24))+IF(FACADE!E41="",0,FACADE!E41)*INPUTS!$B$15)/1000+ARCH_AG!E41/144*INPUTS!$B$12*INPUTS!$C$24/1000)</f>
        <v>0</v>
      </c>
      <c r="F41" s="9" t="n">
        <f aca="false">IF(TRIB!F41="",0,(TRIB!F41*IF($D41="A",(INPUTS!$G$25/12*INPUTS!$B$12+INPUTS!$H$25),(INPUTS!$L$25/12*INPUTS!$B$12+INPUTS!$M$25))+IF(FACADE!F41="",0,FACADE!F41)*INPUTS!$B$15)/1000+ARCH_AG!F41/144*INPUTS!$B$12*INPUTS!$C$25/1000)</f>
        <v>24.4175</v>
      </c>
      <c r="G41" s="9" t="n">
        <f aca="false">IF(TRIB!G41="",0,(TRIB!G41*IF($D41="A",(INPUTS!$G$26/12*INPUTS!$B$12+INPUTS!$H$26),(INPUTS!$L$26/12*INPUTS!$B$12+INPUTS!$M$26))+IF(FACADE!G41="",0,FACADE!G41)*INPUTS!$B$15)/1000+ARCH_AG!G41/144*INPUTS!$B$12*INPUTS!$C$26/1000)</f>
        <v>24.5925</v>
      </c>
      <c r="H41" s="9" t="n">
        <f aca="false">IF(TRIB!H41="",0,(TRIB!H41*IF($D41="A",(INPUTS!$G$27/12*INPUTS!$B$12+INPUTS!$H$27),(INPUTS!$L$27/12*INPUTS!$B$12+INPUTS!$M$27))+IF(FACADE!H41="",0,FACADE!H41)*INPUTS!$B$15)/1000+ARCH_AG!H41/144*INPUTS!$B$12*INPUTS!$C$27/1000)</f>
        <v>63.1725</v>
      </c>
      <c r="I41" s="9" t="n">
        <f aca="false">IF(TRIB!I41="",0,(TRIB!I41*IF($D41="A",(INPUTS!$G$28/12*INPUTS!$B$12+INPUTS!$H$28),(INPUTS!$L$28/12*INPUTS!$B$12+INPUTS!$M$28))+IF(FACADE!I41="",0,FACADE!I41)*INPUTS!$B$15)/1000+ARCH_AG!I41/144*INPUTS!$B$12*INPUTS!$C$28/1000)</f>
        <v>24.8325</v>
      </c>
      <c r="J41" s="9" t="n">
        <f aca="false">IF(TRIB!J41="",0,(TRIB!J41*IF($D41="A",(INPUTS!$G$29/12*INPUTS!$B$12+INPUTS!$H$29),(INPUTS!$L$29/12*INPUTS!$B$12+INPUTS!$M$29))+IF(FACADE!J41="",0,FACADE!J41)*INPUTS!$B$15)/1000+ARCH_AG!J41/144*INPUTS!$B$12*INPUTS!$C$29/1000)</f>
        <v>24.5625</v>
      </c>
      <c r="K41" s="9" t="n">
        <f aca="false">IF(TRIB!K41="",0,(TRIB!K41*IF($D41="A",(INPUTS!$G$30/12*INPUTS!$B$12+INPUTS!$H$30),(INPUTS!$L$30/12*INPUTS!$B$12+INPUTS!$M$30))+IF(FACADE!K41="",0,FACADE!K41)*INPUTS!$B$15)/1000+ARCH_AG!K41/144*INPUTS!$B$12*INPUTS!$C$30/1000)</f>
        <v>22.4925</v>
      </c>
      <c r="L41" s="9" t="n">
        <f aca="false">IF(TRIB!L41="",0,(TRIB!L41*IF($D41="A",(INPUTS!$G$31/12*INPUTS!$B$12+INPUTS!$H$31),(INPUTS!$L$31/12*INPUTS!$B$12+INPUTS!$M$31))+IF(FACADE!L41="",0,FACADE!L41)*INPUTS!$B$15)/1000+ARCH_AG!L41/144*INPUTS!$B$12*INPUTS!$C$31/1000)</f>
        <v>22.7625</v>
      </c>
      <c r="M41" s="9" t="n">
        <f aca="false">IF(TRIB!M41="",0,(TRIB!M41*IF($D41="A",(INPUTS!$G$32/12*INPUTS!$B$12+INPUTS!$H$32),(INPUTS!$L$32/12*INPUTS!$B$12+INPUTS!$M$32))+IF(FACADE!M41="",0,FACADE!M41)*INPUTS!$B$15)/1000+ARCH_AG!M41/144*INPUTS!$B$12*INPUTS!$C$32/1000)</f>
        <v>22.7625</v>
      </c>
      <c r="N41" s="9" t="n">
        <f aca="false">IF(TRIB!N41="",0,(TRIB!N41*IF($D41="A",(INPUTS!$G$33/12*INPUTS!$B$12+INPUTS!$H$33),(INPUTS!$L$33/12*INPUTS!$B$12+INPUTS!$M$33))+IF(FACADE!N41="",0,FACADE!N41)*INPUTS!$B$15)/1000+ARCH_AG!N41/144*INPUTS!$B$12*INPUTS!$C$33/1000)</f>
        <v>22.7625</v>
      </c>
      <c r="O41" s="9" t="n">
        <f aca="false">IF(TRIB!O41="",0,(TRIB!O41*IF($D41="A",(INPUTS!$G$34/12*INPUTS!$B$12+INPUTS!$H$34),(INPUTS!$L$34/12*INPUTS!$B$12+INPUTS!$M$34))+IF(FACADE!O41="",0,FACADE!O41)*INPUTS!$B$15)/1000+ARCH_AG!O41/144*INPUTS!$B$12*INPUTS!$C$34/1000)</f>
        <v>22.7625</v>
      </c>
      <c r="P41" s="9" t="n">
        <f aca="false">IF(TRIB!P41="",0,(TRIB!P41*IF($D41="A",(INPUTS!$G$35/12*INPUTS!$B$12+INPUTS!$H$35),(INPUTS!$L$35/12*INPUTS!$B$12+INPUTS!$M$35))+IF(FACADE!P41="",0,FACADE!P41)*INPUTS!$B$15)/1000+ARCH_AG!P41/144*INPUTS!$B$12*INPUTS!$C$35/1000)</f>
        <v>23.55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9" t="n">
        <f aca="false">IF(TRIB!E42="",0,(TRIB!E42*IF($D42="A",(INPUTS!$G$24/12*INPUTS!$B$12+INPUTS!$H$24),(INPUTS!$L$24/12*INPUTS!$B$12+INPUTS!$M$24))+IF(FACADE!E42="",0,FACADE!E42)*INPUTS!$B$15)/1000+ARCH_AG!E42/144*INPUTS!$B$12*INPUTS!$C$24/1000)</f>
        <v>0</v>
      </c>
      <c r="F42" s="9" t="n">
        <f aca="false">IF(TRIB!F42="",0,(TRIB!F42*IF($D42="A",(INPUTS!$G$25/12*INPUTS!$B$12+INPUTS!$H$25),(INPUTS!$L$25/12*INPUTS!$B$12+INPUTS!$M$25))+IF(FACADE!F42="",0,FACADE!F42)*INPUTS!$B$15)/1000+ARCH_AG!F42/144*INPUTS!$B$12*INPUTS!$C$25/1000)</f>
        <v>31.235</v>
      </c>
      <c r="G42" s="9" t="n">
        <f aca="false">IF(TRIB!G42="",0,(TRIB!G42*IF($D42="A",(INPUTS!$G$26/12*INPUTS!$B$12+INPUTS!$H$26),(INPUTS!$L$26/12*INPUTS!$B$12+INPUTS!$M$26))+IF(FACADE!G42="",0,FACADE!G42)*INPUTS!$B$15)/1000+ARCH_AG!G42/144*INPUTS!$B$12*INPUTS!$C$26/1000)</f>
        <v>28.965</v>
      </c>
      <c r="H42" s="9" t="n">
        <f aca="false">IF(TRIB!H42="",0,(TRIB!H42*IF($D42="A",(INPUTS!$G$27/12*INPUTS!$B$12+INPUTS!$H$27),(INPUTS!$L$27/12*INPUTS!$B$12+INPUTS!$M$27))+IF(FACADE!H42="",0,FACADE!H42)*INPUTS!$B$15)/1000+ARCH_AG!H42/144*INPUTS!$B$12*INPUTS!$C$27/1000)</f>
        <v>28.965</v>
      </c>
      <c r="I42" s="9" t="n">
        <f aca="false">IF(TRIB!I42="",0,(TRIB!I42*IF($D42="A",(INPUTS!$G$28/12*INPUTS!$B$12+INPUTS!$H$28),(INPUTS!$L$28/12*INPUTS!$B$12+INPUTS!$M$28))+IF(FACADE!I42="",0,FACADE!I42)*INPUTS!$B$15)/1000+ARCH_AG!I42/144*INPUTS!$B$12*INPUTS!$C$28/1000)</f>
        <v>28.965</v>
      </c>
      <c r="J42" s="9" t="n">
        <f aca="false">IF(TRIB!J42="",0,(TRIB!J42*IF($D42="A",(INPUTS!$G$29/12*INPUTS!$B$12+INPUTS!$H$29),(INPUTS!$L$29/12*INPUTS!$B$12+INPUTS!$M$29))+IF(FACADE!J42="",0,FACADE!J42)*INPUTS!$B$15)/1000+ARCH_AG!J42/144*INPUTS!$B$12*INPUTS!$C$29/1000)</f>
        <v>28.965</v>
      </c>
      <c r="K42" s="9" t="n">
        <f aca="false">IF(TRIB!K42="",0,(TRIB!K42*IF($D42="A",(INPUTS!$G$30/12*INPUTS!$B$12+INPUTS!$H$30),(INPUTS!$L$30/12*INPUTS!$B$12+INPUTS!$M$30))+IF(FACADE!K42="",0,FACADE!K42)*INPUTS!$B$15)/1000+ARCH_AG!K42/144*INPUTS!$B$12*INPUTS!$C$30/1000)</f>
        <v>29.085</v>
      </c>
      <c r="L42" s="9" t="n">
        <f aca="false">IF(TRIB!L42="",0,(TRIB!L42*IF($D42="A",(INPUTS!$G$31/12*INPUTS!$B$12+INPUTS!$H$31),(INPUTS!$L$31/12*INPUTS!$B$12+INPUTS!$M$31))+IF(FACADE!L42="",0,FACADE!L42)*INPUTS!$B$15)/1000+ARCH_AG!L42/144*INPUTS!$B$12*INPUTS!$C$31/1000)</f>
        <v>29.085</v>
      </c>
      <c r="M42" s="9" t="n">
        <f aca="false">IF(TRIB!M42="",0,(TRIB!M42*IF($D42="A",(INPUTS!$G$32/12*INPUTS!$B$12+INPUTS!$H$32),(INPUTS!$L$32/12*INPUTS!$B$12+INPUTS!$M$32))+IF(FACADE!M42="",0,FACADE!M42)*INPUTS!$B$15)/1000+ARCH_AG!M42/144*INPUTS!$B$12*INPUTS!$C$32/1000)</f>
        <v>29.085</v>
      </c>
      <c r="N42" s="9" t="n">
        <f aca="false">IF(TRIB!N42="",0,(TRIB!N42*IF($D42="A",(INPUTS!$G$33/12*INPUTS!$B$12+INPUTS!$H$33),(INPUTS!$L$33/12*INPUTS!$B$12+INPUTS!$M$33))+IF(FACADE!N42="",0,FACADE!N42)*INPUTS!$B$15)/1000+ARCH_AG!N42/144*INPUTS!$B$12*INPUTS!$C$33/1000)</f>
        <v>29.085</v>
      </c>
      <c r="O42" s="9" t="n">
        <f aca="false">IF(TRIB!O42="",0,(TRIB!O42*IF($D42="A",(INPUTS!$G$34/12*INPUTS!$B$12+INPUTS!$H$34),(INPUTS!$L$34/12*INPUTS!$B$12+INPUTS!$M$34))+IF(FACADE!O42="",0,FACADE!O42)*INPUTS!$B$15)/1000+ARCH_AG!O42/144*INPUTS!$B$12*INPUTS!$C$34/1000)</f>
        <v>29.085</v>
      </c>
      <c r="P42" s="9" t="n">
        <f aca="false">IF(TRIB!P42="",0,(TRIB!P42*IF($D42="A",(INPUTS!$G$35/12*INPUTS!$B$12+INPUTS!$H$35),(INPUTS!$L$35/12*INPUTS!$B$12+INPUTS!$M$35))+IF(FACADE!P42="",0,FACADE!P42)*INPUTS!$B$15)/1000+ARCH_AG!P42/144*INPUTS!$B$12*INPUTS!$C$35/1000)</f>
        <v>29.61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9" t="n">
        <f aca="false">IF(TRIB!E43="",0,(TRIB!E43*IF($D43="A",(INPUTS!$G$24/12*INPUTS!$B$12+INPUTS!$H$24),(INPUTS!$L$24/12*INPUTS!$B$12+INPUTS!$M$24))+IF(FACADE!E43="",0,FACADE!E43)*INPUTS!$B$15)/1000+ARCH_AG!E43/144*INPUTS!$B$12*INPUTS!$C$24/1000)</f>
        <v>0</v>
      </c>
      <c r="F43" s="9" t="n">
        <f aca="false">IF(TRIB!F43="",0,(TRIB!F43*IF($D43="A",(INPUTS!$G$25/12*INPUTS!$B$12+INPUTS!$H$25),(INPUTS!$L$25/12*INPUTS!$B$12+INPUTS!$M$25))+IF(FACADE!F43="",0,FACADE!F43)*INPUTS!$B$15)/1000+ARCH_AG!F43/144*INPUTS!$B$12*INPUTS!$C$25/1000)</f>
        <v>30.5575</v>
      </c>
      <c r="G43" s="9" t="n">
        <f aca="false">IF(TRIB!G43="",0,(TRIB!G43*IF($D43="A",(INPUTS!$G$26/12*INPUTS!$B$12+INPUTS!$H$26),(INPUTS!$L$26/12*INPUTS!$B$12+INPUTS!$M$26))+IF(FACADE!G43="",0,FACADE!G43)*INPUTS!$B$15)/1000+ARCH_AG!G43/144*INPUTS!$B$12*INPUTS!$C$26/1000)</f>
        <v>28.9125</v>
      </c>
      <c r="H43" s="9" t="n">
        <f aca="false">IF(TRIB!H43="",0,(TRIB!H43*IF($D43="A",(INPUTS!$G$27/12*INPUTS!$B$12+INPUTS!$H$27),(INPUTS!$L$27/12*INPUTS!$B$12+INPUTS!$M$27))+IF(FACADE!H43="",0,FACADE!H43)*INPUTS!$B$15)/1000+ARCH_AG!H43/144*INPUTS!$B$12*INPUTS!$C$27/1000)</f>
        <v>28.9125</v>
      </c>
      <c r="I43" s="9" t="n">
        <f aca="false">IF(TRIB!I43="",0,(TRIB!I43*IF($D43="A",(INPUTS!$G$28/12*INPUTS!$B$12+INPUTS!$H$28),(INPUTS!$L$28/12*INPUTS!$B$12+INPUTS!$M$28))+IF(FACADE!I43="",0,FACADE!I43)*INPUTS!$B$15)/1000+ARCH_AG!I43/144*INPUTS!$B$12*INPUTS!$C$28/1000)</f>
        <v>28.9125</v>
      </c>
      <c r="J43" s="9" t="n">
        <f aca="false">IF(TRIB!J43="",0,(TRIB!J43*IF($D43="A",(INPUTS!$G$29/12*INPUTS!$B$12+INPUTS!$H$29),(INPUTS!$L$29/12*INPUTS!$B$12+INPUTS!$M$29))+IF(FACADE!J43="",0,FACADE!J43)*INPUTS!$B$15)/1000+ARCH_AG!J43/144*INPUTS!$B$12*INPUTS!$C$29/1000)</f>
        <v>28.9125</v>
      </c>
      <c r="K43" s="9" t="n">
        <f aca="false">IF(TRIB!K43="",0,(TRIB!K43*IF($D43="A",(INPUTS!$G$30/12*INPUTS!$B$12+INPUTS!$H$30),(INPUTS!$L$30/12*INPUTS!$B$12+INPUTS!$M$30))+IF(FACADE!K43="",0,FACADE!K43)*INPUTS!$B$15)/1000+ARCH_AG!K43/144*INPUTS!$B$12*INPUTS!$C$30/1000)</f>
        <v>28.2225</v>
      </c>
      <c r="L43" s="9" t="n">
        <f aca="false">IF(TRIB!L43="",0,(TRIB!L43*IF($D43="A",(INPUTS!$G$31/12*INPUTS!$B$12+INPUTS!$H$31),(INPUTS!$L$31/12*INPUTS!$B$12+INPUTS!$M$31))+IF(FACADE!L43="",0,FACADE!L43)*INPUTS!$B$15)/1000+ARCH_AG!L43/144*INPUTS!$B$12*INPUTS!$C$31/1000)</f>
        <v>28.0725</v>
      </c>
      <c r="M43" s="9" t="n">
        <f aca="false">IF(TRIB!M43="",0,(TRIB!M43*IF($D43="A",(INPUTS!$G$32/12*INPUTS!$B$12+INPUTS!$H$32),(INPUTS!$L$32/12*INPUTS!$B$12+INPUTS!$M$32))+IF(FACADE!M43="",0,FACADE!M43)*INPUTS!$B$15)/1000+ARCH_AG!M43/144*INPUTS!$B$12*INPUTS!$C$32/1000)</f>
        <v>28.0725</v>
      </c>
      <c r="N43" s="9" t="n">
        <f aca="false">IF(TRIB!N43="",0,(TRIB!N43*IF($D43="A",(INPUTS!$G$33/12*INPUTS!$B$12+INPUTS!$H$33),(INPUTS!$L$33/12*INPUTS!$B$12+INPUTS!$M$33))+IF(FACADE!N43="",0,FACADE!N43)*INPUTS!$B$15)/1000+ARCH_AG!N43/144*INPUTS!$B$12*INPUTS!$C$33/1000)</f>
        <v>28.0725</v>
      </c>
      <c r="O43" s="9" t="n">
        <f aca="false">IF(TRIB!O43="",0,(TRIB!O43*IF($D43="A",(INPUTS!$G$34/12*INPUTS!$B$12+INPUTS!$H$34),(INPUTS!$L$34/12*INPUTS!$B$12+INPUTS!$M$34))+IF(FACADE!O43="",0,FACADE!O43)*INPUTS!$B$15)/1000+ARCH_AG!O43/144*INPUTS!$B$12*INPUTS!$C$34/1000)</f>
        <v>28.0725</v>
      </c>
      <c r="P43" s="9" t="n">
        <f aca="false">IF(TRIB!P43="",0,(TRIB!P43*IF($D43="A",(INPUTS!$G$35/12*INPUTS!$B$12+INPUTS!$H$35),(INPUTS!$L$35/12*INPUTS!$B$12+INPUTS!$M$35))+IF(FACADE!P43="",0,FACADE!P43)*INPUTS!$B$15)/1000+ARCH_AG!P43/144*INPUTS!$B$12*INPUTS!$C$35/1000)</f>
        <v>28.86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9" t="n">
        <f aca="false">IF(TRIB!E44="",0,(TRIB!E44*IF($D44="A",(INPUTS!$G$24/12*INPUTS!$B$12+INPUTS!$H$24),(INPUTS!$L$24/12*INPUTS!$B$12+INPUTS!$M$24))+IF(FACADE!E44="",0,FACADE!E44)*INPUTS!$B$15)/1000+ARCH_AG!E44/144*INPUTS!$B$12*INPUTS!$C$24/1000)</f>
        <v>0</v>
      </c>
      <c r="F44" s="9" t="n">
        <f aca="false">IF(TRIB!F44="",0,(TRIB!F44*IF($D44="A",(INPUTS!$G$25/12*INPUTS!$B$12+INPUTS!$H$25),(INPUTS!$L$25/12*INPUTS!$B$12+INPUTS!$M$25))+IF(FACADE!F44="",0,FACADE!F44)*INPUTS!$B$15)/1000+ARCH_AG!F44/144*INPUTS!$B$12*INPUTS!$C$25/1000)</f>
        <v>67.075</v>
      </c>
      <c r="G44" s="9" t="n">
        <f aca="false">IF(TRIB!G44="",0,(TRIB!G44*IF($D44="A",(INPUTS!$G$26/12*INPUTS!$B$12+INPUTS!$H$26),(INPUTS!$L$26/12*INPUTS!$B$12+INPUTS!$M$26))+IF(FACADE!G44="",0,FACADE!G44)*INPUTS!$B$15)/1000+ARCH_AG!G44/144*INPUTS!$B$12*INPUTS!$C$26/1000)</f>
        <v>61.875</v>
      </c>
      <c r="H44" s="9" t="n">
        <f aca="false">IF(TRIB!H44="",0,(TRIB!H44*IF($D44="A",(INPUTS!$G$27/12*INPUTS!$B$12+INPUTS!$H$27),(INPUTS!$L$27/12*INPUTS!$B$12+INPUTS!$M$27))+IF(FACADE!H44="",0,FACADE!H44)*INPUTS!$B$15)/1000+ARCH_AG!H44/144*INPUTS!$B$12*INPUTS!$C$27/1000)</f>
        <v>61.875</v>
      </c>
      <c r="I44" s="9" t="n">
        <f aca="false">IF(TRIB!I44="",0,(TRIB!I44*IF($D44="A",(INPUTS!$G$28/12*INPUTS!$B$12+INPUTS!$H$28),(INPUTS!$L$28/12*INPUTS!$B$12+INPUTS!$M$28))+IF(FACADE!I44="",0,FACADE!I44)*INPUTS!$B$15)/1000+ARCH_AG!I44/144*INPUTS!$B$12*INPUTS!$C$28/1000)</f>
        <v>61.875</v>
      </c>
      <c r="J44" s="9" t="n">
        <f aca="false">IF(TRIB!J44="",0,(TRIB!J44*IF($D44="A",(INPUTS!$G$29/12*INPUTS!$B$12+INPUTS!$H$29),(INPUTS!$L$29/12*INPUTS!$B$12+INPUTS!$M$29))+IF(FACADE!J44="",0,FACADE!J44)*INPUTS!$B$15)/1000+ARCH_AG!J44/144*INPUTS!$B$12*INPUTS!$C$29/1000)</f>
        <v>61.995</v>
      </c>
      <c r="K44" s="9" t="n">
        <f aca="false">IF(TRIB!K44="",0,(TRIB!K44*IF($D44="A",(INPUTS!$G$30/12*INPUTS!$B$12+INPUTS!$H$30),(INPUTS!$L$30/12*INPUTS!$B$12+INPUTS!$M$30))+IF(FACADE!K44="",0,FACADE!K44)*INPUTS!$B$15)/1000+ARCH_AG!K44/144*INPUTS!$B$12*INPUTS!$C$30/1000)</f>
        <v>61.995</v>
      </c>
      <c r="L44" s="9" t="n">
        <f aca="false">IF(TRIB!L44="",0,(TRIB!L44*IF($D44="A",(INPUTS!$G$31/12*INPUTS!$B$12+INPUTS!$H$31),(INPUTS!$L$31/12*INPUTS!$B$12+INPUTS!$M$31))+IF(FACADE!L44="",0,FACADE!L44)*INPUTS!$B$15)/1000+ARCH_AG!L44/144*INPUTS!$B$12*INPUTS!$C$31/1000)</f>
        <v>61.995</v>
      </c>
      <c r="M44" s="9" t="n">
        <f aca="false">IF(TRIB!M44="",0,(TRIB!M44*IF($D44="A",(INPUTS!$G$32/12*INPUTS!$B$12+INPUTS!$H$32),(INPUTS!$L$32/12*INPUTS!$B$12+INPUTS!$M$32))+IF(FACADE!M44="",0,FACADE!M44)*INPUTS!$B$15)/1000+ARCH_AG!M44/144*INPUTS!$B$12*INPUTS!$C$32/1000)</f>
        <v>61.995</v>
      </c>
      <c r="N44" s="9" t="n">
        <f aca="false">IF(TRIB!N44="",0,(TRIB!N44*IF($D44="A",(INPUTS!$G$33/12*INPUTS!$B$12+INPUTS!$H$33),(INPUTS!$L$33/12*INPUTS!$B$12+INPUTS!$M$33))+IF(FACADE!N44="",0,FACADE!N44)*INPUTS!$B$15)/1000+ARCH_AG!N44/144*INPUTS!$B$12*INPUTS!$C$33/1000)</f>
        <v>61.995</v>
      </c>
      <c r="O44" s="9" t="n">
        <f aca="false">IF(TRIB!O44="",0,(TRIB!O44*IF($D44="A",(INPUTS!$G$34/12*INPUTS!$B$12+INPUTS!$H$34),(INPUTS!$L$34/12*INPUTS!$B$12+INPUTS!$M$34))+IF(FACADE!O44="",0,FACADE!O44)*INPUTS!$B$15)/1000+ARCH_AG!O44/144*INPUTS!$B$12*INPUTS!$C$34/1000)</f>
        <v>61.995</v>
      </c>
      <c r="P44" s="9" t="n">
        <f aca="false">IF(TRIB!P44="",0,(TRIB!P44*IF($D44="A",(INPUTS!$G$35/12*INPUTS!$B$12+INPUTS!$H$35),(INPUTS!$L$35/12*INPUTS!$B$12+INPUTS!$M$35))+IF(FACADE!P44="",0,FACADE!P44)*INPUTS!$B$15)/1000+ARCH_AG!P44/144*INPUTS!$B$12*INPUTS!$C$35/1000)</f>
        <v>62.52</v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9" t="n">
        <f aca="false">IF(TRIB!E45="",0,(TRIB!E45*IF($D45="A",(INPUTS!$G$24/12*INPUTS!$B$12+INPUTS!$H$24),(INPUTS!$L$24/12*INPUTS!$B$12+INPUTS!$M$24))+IF(FACADE!E45="",0,FACADE!E45)*INPUTS!$B$15)/1000+ARCH_AG!E45/144*INPUTS!$B$12*INPUTS!$C$24/1000)</f>
        <v>0</v>
      </c>
      <c r="F45" s="9" t="n">
        <f aca="false">IF(TRIB!F45="",0,(TRIB!F45*IF($D45="A",(INPUTS!$G$25/12*INPUTS!$B$12+INPUTS!$H$25),(INPUTS!$L$25/12*INPUTS!$B$12+INPUTS!$M$25))+IF(FACADE!F45="",0,FACADE!F45)*INPUTS!$B$15)/1000+ARCH_AG!F45/144*INPUTS!$B$12*INPUTS!$C$25/1000)</f>
        <v>33.145</v>
      </c>
      <c r="G45" s="9" t="n">
        <f aca="false">IF(TRIB!G45="",0,(TRIB!G45*IF($D45="A",(INPUTS!$G$26/12*INPUTS!$B$12+INPUTS!$H$26),(INPUTS!$L$26/12*INPUTS!$B$12+INPUTS!$M$26))+IF(FACADE!G45="",0,FACADE!G45)*INPUTS!$B$15)/1000+ARCH_AG!G45/144*INPUTS!$B$12*INPUTS!$C$26/1000)</f>
        <v>30.555</v>
      </c>
      <c r="H45" s="9" t="n">
        <f aca="false">IF(TRIB!H45="",0,(TRIB!H45*IF($D45="A",(INPUTS!$G$27/12*INPUTS!$B$12+INPUTS!$H$27),(INPUTS!$L$27/12*INPUTS!$B$12+INPUTS!$M$27))+IF(FACADE!H45="",0,FACADE!H45)*INPUTS!$B$15)/1000+ARCH_AG!H45/144*INPUTS!$B$12*INPUTS!$C$27/1000)</f>
        <v>30.555</v>
      </c>
      <c r="I45" s="9" t="n">
        <f aca="false">IF(TRIB!I45="",0,(TRIB!I45*IF($D45="A",(INPUTS!$G$28/12*INPUTS!$B$12+INPUTS!$H$28),(INPUTS!$L$28/12*INPUTS!$B$12+INPUTS!$M$28))+IF(FACADE!I45="",0,FACADE!I45)*INPUTS!$B$15)/1000+ARCH_AG!I45/144*INPUTS!$B$12*INPUTS!$C$28/1000)</f>
        <v>30.555</v>
      </c>
      <c r="J45" s="9" t="n">
        <f aca="false">IF(TRIB!J45="",0,(TRIB!J45*IF($D45="A",(INPUTS!$G$29/12*INPUTS!$B$12+INPUTS!$H$29),(INPUTS!$L$29/12*INPUTS!$B$12+INPUTS!$M$29))+IF(FACADE!J45="",0,FACADE!J45)*INPUTS!$B$15)/1000+ARCH_AG!J45/144*INPUTS!$B$12*INPUTS!$C$29/1000)</f>
        <v>30.555</v>
      </c>
      <c r="K45" s="9" t="n">
        <f aca="false">IF(TRIB!K45="",0,(TRIB!K45*IF($D45="A",(INPUTS!$G$30/12*INPUTS!$B$12+INPUTS!$H$30),(INPUTS!$L$30/12*INPUTS!$B$12+INPUTS!$M$30))+IF(FACADE!K45="",0,FACADE!K45)*INPUTS!$B$15)/1000+ARCH_AG!K45/144*INPUTS!$B$12*INPUTS!$C$30/1000)</f>
        <v>30.555</v>
      </c>
      <c r="L45" s="9" t="n">
        <f aca="false">IF(TRIB!L45="",0,(TRIB!L45*IF($D45="A",(INPUTS!$G$31/12*INPUTS!$B$12+INPUTS!$H$31),(INPUTS!$L$31/12*INPUTS!$B$12+INPUTS!$M$31))+IF(FACADE!L45="",0,FACADE!L45)*INPUTS!$B$15)/1000+ARCH_AG!L45/144*INPUTS!$B$12*INPUTS!$C$31/1000)</f>
        <v>30.555</v>
      </c>
      <c r="M45" s="9" t="n">
        <f aca="false">IF(TRIB!M45="",0,(TRIB!M45*IF($D45="A",(INPUTS!$G$32/12*INPUTS!$B$12+INPUTS!$H$32),(INPUTS!$L$32/12*INPUTS!$B$12+INPUTS!$M$32))+IF(FACADE!M45="",0,FACADE!M45)*INPUTS!$B$15)/1000+ARCH_AG!M45/144*INPUTS!$B$12*INPUTS!$C$32/1000)</f>
        <v>30.555</v>
      </c>
      <c r="N45" s="9" t="n">
        <f aca="false">IF(TRIB!N45="",0,(TRIB!N45*IF($D45="A",(INPUTS!$G$33/12*INPUTS!$B$12+INPUTS!$H$33),(INPUTS!$L$33/12*INPUTS!$B$12+INPUTS!$M$33))+IF(FACADE!N45="",0,FACADE!N45)*INPUTS!$B$15)/1000+ARCH_AG!N45/144*INPUTS!$B$12*INPUTS!$C$33/1000)</f>
        <v>30.555</v>
      </c>
      <c r="O45" s="9" t="n">
        <f aca="false">IF(TRIB!O45="",0,(TRIB!O45*IF($D45="A",(INPUTS!$G$34/12*INPUTS!$B$12+INPUTS!$H$34),(INPUTS!$L$34/12*INPUTS!$B$12+INPUTS!$M$34))+IF(FACADE!O45="",0,FACADE!O45)*INPUTS!$B$15)/1000+ARCH_AG!O45/144*INPUTS!$B$12*INPUTS!$C$34/1000)</f>
        <v>30.555</v>
      </c>
      <c r="P45" s="9" t="n">
        <f aca="false">IF(TRIB!P45="",0,(TRIB!P45*IF($D45="A",(INPUTS!$G$35/12*INPUTS!$B$12+INPUTS!$H$35),(INPUTS!$L$35/12*INPUTS!$B$12+INPUTS!$M$35))+IF(FACADE!P45="",0,FACADE!P45)*INPUTS!$B$15)/1000+ARCH_AG!P45/144*INPUTS!$B$12*INPUTS!$C$35/1000)</f>
        <v>31.08</v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9" t="n">
        <f aca="false">IF(TRIB!E46="",0,(TRIB!E46*IF($D46="A",(INPUTS!$G$24/12*INPUTS!$B$12+INPUTS!$H$24),(INPUTS!$L$24/12*INPUTS!$B$12+INPUTS!$M$24))+IF(FACADE!E46="",0,FACADE!E46)*INPUTS!$B$15)/1000+ARCH_AG!E46/144*INPUTS!$B$12*INPUTS!$C$24/1000)</f>
        <v>0</v>
      </c>
      <c r="F46" s="9" t="n">
        <f aca="false">IF(TRIB!F46="",0,(TRIB!F46*IF($D46="A",(INPUTS!$G$25/12*INPUTS!$B$12+INPUTS!$H$25),(INPUTS!$L$25/12*INPUTS!$B$12+INPUTS!$M$25))+IF(FACADE!F46="",0,FACADE!F46)*INPUTS!$B$15)/1000+ARCH_AG!F46/144*INPUTS!$B$12*INPUTS!$C$25/1000)</f>
        <v>27.2575</v>
      </c>
      <c r="G46" s="9" t="n">
        <f aca="false">IF(TRIB!G46="",0,(TRIB!G46*IF($D46="A",(INPUTS!$G$26/12*INPUTS!$B$12+INPUTS!$H$26),(INPUTS!$L$26/12*INPUTS!$B$12+INPUTS!$M$26))+IF(FACADE!G46="",0,FACADE!G46)*INPUTS!$B$15)/1000+ARCH_AG!G46/144*INPUTS!$B$12*INPUTS!$C$26/1000)</f>
        <v>38.2125</v>
      </c>
      <c r="H46" s="9" t="n">
        <f aca="false">IF(TRIB!H46="",0,(TRIB!H46*IF($D46="A",(INPUTS!$G$27/12*INPUTS!$B$12+INPUTS!$H$27),(INPUTS!$L$27/12*INPUTS!$B$12+INPUTS!$M$27))+IF(FACADE!H46="",0,FACADE!H46)*INPUTS!$B$15)/1000+ARCH_AG!H46/144*INPUTS!$B$12*INPUTS!$C$27/1000)</f>
        <v>38.0925</v>
      </c>
      <c r="I46" s="9" t="n">
        <f aca="false">IF(TRIB!I46="",0,(TRIB!I46*IF($D46="A",(INPUTS!$G$28/12*INPUTS!$B$12+INPUTS!$H$28),(INPUTS!$L$28/12*INPUTS!$B$12+INPUTS!$M$28))+IF(FACADE!I46="",0,FACADE!I46)*INPUTS!$B$15)/1000+ARCH_AG!I46/144*INPUTS!$B$12*INPUTS!$C$28/1000)</f>
        <v>38.0925</v>
      </c>
      <c r="J46" s="9" t="n">
        <f aca="false">IF(TRIB!J46="",0,(TRIB!J46*IF($D46="A",(INPUTS!$G$29/12*INPUTS!$B$12+INPUTS!$H$29),(INPUTS!$L$29/12*INPUTS!$B$12+INPUTS!$M$29))+IF(FACADE!J46="",0,FACADE!J46)*INPUTS!$B$15)/1000+ARCH_AG!J46/144*INPUTS!$B$12*INPUTS!$C$29/1000)</f>
        <v>38.0925</v>
      </c>
      <c r="K46" s="9" t="n">
        <f aca="false">IF(TRIB!K46="",0,(TRIB!K46*IF($D46="A",(INPUTS!$G$30/12*INPUTS!$B$12+INPUTS!$H$30),(INPUTS!$L$30/12*INPUTS!$B$12+INPUTS!$M$30))+IF(FACADE!K46="",0,FACADE!K46)*INPUTS!$B$15)/1000+ARCH_AG!K46/144*INPUTS!$B$12*INPUTS!$C$30/1000)</f>
        <v>38.0925</v>
      </c>
      <c r="L46" s="9" t="n">
        <f aca="false">IF(TRIB!L46="",0,(TRIB!L46*IF($D46="A",(INPUTS!$G$31/12*INPUTS!$B$12+INPUTS!$H$31),(INPUTS!$L$31/12*INPUTS!$B$12+INPUTS!$M$31))+IF(FACADE!L46="",0,FACADE!L46)*INPUTS!$B$15)/1000+ARCH_AG!L46/144*INPUTS!$B$12*INPUTS!$C$31/1000)</f>
        <v>38.0925</v>
      </c>
      <c r="M46" s="9" t="n">
        <f aca="false">IF(TRIB!M46="",0,(TRIB!M46*IF($D46="A",(INPUTS!$G$32/12*INPUTS!$B$12+INPUTS!$H$32),(INPUTS!$L$32/12*INPUTS!$B$12+INPUTS!$M$32))+IF(FACADE!M46="",0,FACADE!M46)*INPUTS!$B$15)/1000+ARCH_AG!M46/144*INPUTS!$B$12*INPUTS!$C$32/1000)</f>
        <v>38.0925</v>
      </c>
      <c r="N46" s="9" t="n">
        <f aca="false">IF(TRIB!N46="",0,(TRIB!N46*IF($D46="A",(INPUTS!$G$33/12*INPUTS!$B$12+INPUTS!$H$33),(INPUTS!$L$33/12*INPUTS!$B$12+INPUTS!$M$33))+IF(FACADE!N46="",0,FACADE!N46)*INPUTS!$B$15)/1000+ARCH_AG!N46/144*INPUTS!$B$12*INPUTS!$C$33/1000)</f>
        <v>38.0925</v>
      </c>
      <c r="O46" s="9" t="n">
        <f aca="false">IF(TRIB!O46="",0,(TRIB!O46*IF($D46="A",(INPUTS!$G$34/12*INPUTS!$B$12+INPUTS!$H$34),(INPUTS!$L$34/12*INPUTS!$B$12+INPUTS!$M$34))+IF(FACADE!O46="",0,FACADE!O46)*INPUTS!$B$15)/1000+ARCH_AG!O46/144*INPUTS!$B$12*INPUTS!$C$34/1000)</f>
        <v>38.0925</v>
      </c>
      <c r="P46" s="9" t="n">
        <f aca="false">IF(TRIB!P46="",0,(TRIB!P46*IF($D46="A",(INPUTS!$G$35/12*INPUTS!$B$12+INPUTS!$H$35),(INPUTS!$L$35/12*INPUTS!$B$12+INPUTS!$M$35))+IF(FACADE!P46="",0,FACADE!P46)*INPUTS!$B$15)/1000+ARCH_AG!P46/144*INPUTS!$B$12*INPUTS!$C$35/1000)</f>
        <v>38.88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9" t="n">
        <f aca="false">IF(TRIB!E47="",0,(TRIB!E47*IF($D47="A",(INPUTS!$G$24/12*INPUTS!$B$12+INPUTS!$H$24),(INPUTS!$L$24/12*INPUTS!$B$12+INPUTS!$M$24))+IF(FACADE!E47="",0,FACADE!E47)*INPUTS!$B$15)/1000+ARCH_AG!E47/144*INPUTS!$B$12*INPUTS!$C$24/1000)</f>
        <v>0</v>
      </c>
      <c r="F47" s="9" t="n">
        <f aca="false">IF(TRIB!F47="",0,(TRIB!F47*IF($D47="A",(INPUTS!$G$25/12*INPUTS!$B$12+INPUTS!$H$25),(INPUTS!$L$25/12*INPUTS!$B$12+INPUTS!$M$25))+IF(FACADE!F47="",0,FACADE!F47)*INPUTS!$B$15)/1000+ARCH_AG!F47/144*INPUTS!$B$12*INPUTS!$C$25/1000)</f>
        <v>67.6575</v>
      </c>
      <c r="G47" s="9" t="n">
        <f aca="false">IF(TRIB!G47="",0,(TRIB!G47*IF($D47="A",(INPUTS!$G$26/12*INPUTS!$B$12+INPUTS!$H$26),(INPUTS!$L$26/12*INPUTS!$B$12+INPUTS!$M$26))+IF(FACADE!G47="",0,FACADE!G47)*INPUTS!$B$15)/1000+ARCH_AG!G47/144*INPUTS!$B$12*INPUTS!$C$26/1000)</f>
        <v>62.3925</v>
      </c>
      <c r="H47" s="9" t="n">
        <f aca="false">IF(TRIB!H47="",0,(TRIB!H47*IF($D47="A",(INPUTS!$G$27/12*INPUTS!$B$12+INPUTS!$H$27),(INPUTS!$L$27/12*INPUTS!$B$12+INPUTS!$M$27))+IF(FACADE!H47="",0,FACADE!H47)*INPUTS!$B$15)/1000+ARCH_AG!H47/144*INPUTS!$B$12*INPUTS!$C$27/1000)</f>
        <v>62.3925</v>
      </c>
      <c r="I47" s="9" t="n">
        <f aca="false">IF(TRIB!I47="",0,(TRIB!I47*IF($D47="A",(INPUTS!$G$28/12*INPUTS!$B$12+INPUTS!$H$28),(INPUTS!$L$28/12*INPUTS!$B$12+INPUTS!$M$28))+IF(FACADE!I47="",0,FACADE!I47)*INPUTS!$B$15)/1000+ARCH_AG!I47/144*INPUTS!$B$12*INPUTS!$C$28/1000)</f>
        <v>62.3925</v>
      </c>
      <c r="J47" s="9" t="n">
        <f aca="false">IF(TRIB!J47="",0,(TRIB!J47*IF($D47="A",(INPUTS!$G$29/12*INPUTS!$B$12+INPUTS!$H$29),(INPUTS!$L$29/12*INPUTS!$B$12+INPUTS!$M$29))+IF(FACADE!J47="",0,FACADE!J47)*INPUTS!$B$15)/1000+ARCH_AG!J47/144*INPUTS!$B$12*INPUTS!$C$29/1000)</f>
        <v>62.5125</v>
      </c>
      <c r="K47" s="9" t="n">
        <f aca="false">IF(TRIB!K47="",0,(TRIB!K47*IF($D47="A",(INPUTS!$G$30/12*INPUTS!$B$12+INPUTS!$H$30),(INPUTS!$L$30/12*INPUTS!$B$12+INPUTS!$M$30))+IF(FACADE!K47="",0,FACADE!K47)*INPUTS!$B$15)/1000+ARCH_AG!K47/144*INPUTS!$B$12*INPUTS!$C$30/1000)</f>
        <v>62.5125</v>
      </c>
      <c r="L47" s="9" t="n">
        <f aca="false">IF(TRIB!L47="",0,(TRIB!L47*IF($D47="A",(INPUTS!$G$31/12*INPUTS!$B$12+INPUTS!$H$31),(INPUTS!$L$31/12*INPUTS!$B$12+INPUTS!$M$31))+IF(FACADE!L47="",0,FACADE!L47)*INPUTS!$B$15)/1000+ARCH_AG!L47/144*INPUTS!$B$12*INPUTS!$C$31/1000)</f>
        <v>62.5125</v>
      </c>
      <c r="M47" s="9" t="n">
        <f aca="false">IF(TRIB!M47="",0,(TRIB!M47*IF($D47="A",(INPUTS!$G$32/12*INPUTS!$B$12+INPUTS!$H$32),(INPUTS!$L$32/12*INPUTS!$B$12+INPUTS!$M$32))+IF(FACADE!M47="",0,FACADE!M47)*INPUTS!$B$15)/1000+ARCH_AG!M47/144*INPUTS!$B$12*INPUTS!$C$32/1000)</f>
        <v>62.5125</v>
      </c>
      <c r="N47" s="9" t="n">
        <f aca="false">IF(TRIB!N47="",0,(TRIB!N47*IF($D47="A",(INPUTS!$G$33/12*INPUTS!$B$12+INPUTS!$H$33),(INPUTS!$L$33/12*INPUTS!$B$12+INPUTS!$M$33))+IF(FACADE!N47="",0,FACADE!N47)*INPUTS!$B$15)/1000+ARCH_AG!N47/144*INPUTS!$B$12*INPUTS!$C$33/1000)</f>
        <v>62.5125</v>
      </c>
      <c r="O47" s="9" t="n">
        <f aca="false">IF(TRIB!O47="",0,(TRIB!O47*IF($D47="A",(INPUTS!$G$34/12*INPUTS!$B$12+INPUTS!$H$34),(INPUTS!$L$34/12*INPUTS!$B$12+INPUTS!$M$34))+IF(FACADE!O47="",0,FACADE!O47)*INPUTS!$B$15)/1000+ARCH_AG!O47/144*INPUTS!$B$12*INPUTS!$C$34/1000)</f>
        <v>62.5125</v>
      </c>
      <c r="P47" s="9" t="n">
        <f aca="false">IF(TRIB!P47="",0,(TRIB!P47*IF($D47="A",(INPUTS!$G$35/12*INPUTS!$B$12+INPUTS!$H$35),(INPUTS!$L$35/12*INPUTS!$B$12+INPUTS!$M$35))+IF(FACADE!P47="",0,FACADE!P47)*INPUTS!$B$15)/1000+ARCH_AG!P47/144*INPUTS!$B$12*INPUTS!$C$35/1000)</f>
        <v>63.3</v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9" t="n">
        <f aca="false">IF(TRIB!E48="",0,(TRIB!E48*IF($D48="A",(INPUTS!$G$24/12*INPUTS!$B$12+INPUTS!$H$24),(INPUTS!$L$24/12*INPUTS!$B$12+INPUTS!$M$24))+IF(FACADE!E48="",0,FACADE!E48)*INPUTS!$B$15)/1000+ARCH_AG!E48/144*INPUTS!$B$12*INPUTS!$C$24/1000)</f>
        <v>0</v>
      </c>
      <c r="F48" s="9" t="n">
        <f aca="false">IF(TRIB!F48="",0,(TRIB!F48*IF($D48="A",(INPUTS!$G$25/12*INPUTS!$B$12+INPUTS!$H$25),(INPUTS!$L$25/12*INPUTS!$B$12+INPUTS!$M$25))+IF(FACADE!F48="",0,FACADE!F48)*INPUTS!$B$15)/1000+ARCH_AG!F48/144*INPUTS!$B$12*INPUTS!$C$25/1000)</f>
        <v>31.065</v>
      </c>
      <c r="G48" s="9" t="n">
        <f aca="false">IF(TRIB!G48="",0,(TRIB!G48*IF($D48="A",(INPUTS!$G$26/12*INPUTS!$B$12+INPUTS!$H$26),(INPUTS!$L$26/12*INPUTS!$B$12+INPUTS!$M$26))+IF(FACADE!G48="",0,FACADE!G48)*INPUTS!$B$15)/1000+ARCH_AG!G48/144*INPUTS!$B$12*INPUTS!$C$26/1000)</f>
        <v>28.635</v>
      </c>
      <c r="H48" s="9" t="n">
        <f aca="false">IF(TRIB!H48="",0,(TRIB!H48*IF($D48="A",(INPUTS!$G$27/12*INPUTS!$B$12+INPUTS!$H$27),(INPUTS!$L$27/12*INPUTS!$B$12+INPUTS!$M$27))+IF(FACADE!H48="",0,FACADE!H48)*INPUTS!$B$15)/1000+ARCH_AG!H48/144*INPUTS!$B$12*INPUTS!$C$27/1000)</f>
        <v>28.635</v>
      </c>
      <c r="I48" s="9" t="n">
        <f aca="false">IF(TRIB!I48="",0,(TRIB!I48*IF($D48="A",(INPUTS!$G$28/12*INPUTS!$B$12+INPUTS!$H$28),(INPUTS!$L$28/12*INPUTS!$B$12+INPUTS!$M$28))+IF(FACADE!I48="",0,FACADE!I48)*INPUTS!$B$15)/1000+ARCH_AG!I48/144*INPUTS!$B$12*INPUTS!$C$28/1000)</f>
        <v>28.635</v>
      </c>
      <c r="J48" s="9" t="n">
        <f aca="false">IF(TRIB!J48="",0,(TRIB!J48*IF($D48="A",(INPUTS!$G$29/12*INPUTS!$B$12+INPUTS!$H$29),(INPUTS!$L$29/12*INPUTS!$B$12+INPUTS!$M$29))+IF(FACADE!J48="",0,FACADE!J48)*INPUTS!$B$15)/1000+ARCH_AG!J48/144*INPUTS!$B$12*INPUTS!$C$29/1000)</f>
        <v>28.635</v>
      </c>
      <c r="K48" s="9" t="n">
        <f aca="false">IF(TRIB!K48="",0,(TRIB!K48*IF($D48="A",(INPUTS!$G$30/12*INPUTS!$B$12+INPUTS!$H$30),(INPUTS!$L$30/12*INPUTS!$B$12+INPUTS!$M$30))+IF(FACADE!K48="",0,FACADE!K48)*INPUTS!$B$15)/1000+ARCH_AG!K48/144*INPUTS!$B$12*INPUTS!$C$30/1000)</f>
        <v>28.635</v>
      </c>
      <c r="L48" s="9" t="n">
        <f aca="false">IF(TRIB!L48="",0,(TRIB!L48*IF($D48="A",(INPUTS!$G$31/12*INPUTS!$B$12+INPUTS!$H$31),(INPUTS!$L$31/12*INPUTS!$B$12+INPUTS!$M$31))+IF(FACADE!L48="",0,FACADE!L48)*INPUTS!$B$15)/1000+ARCH_AG!L48/144*INPUTS!$B$12*INPUTS!$C$31/1000)</f>
        <v>28.635</v>
      </c>
      <c r="M48" s="9" t="n">
        <f aca="false">IF(TRIB!M48="",0,(TRIB!M48*IF($D48="A",(INPUTS!$G$32/12*INPUTS!$B$12+INPUTS!$H$32),(INPUTS!$L$32/12*INPUTS!$B$12+INPUTS!$M$32))+IF(FACADE!M48="",0,FACADE!M48)*INPUTS!$B$15)/1000+ARCH_AG!M48/144*INPUTS!$B$12*INPUTS!$C$32/1000)</f>
        <v>28.635</v>
      </c>
      <c r="N48" s="9" t="n">
        <f aca="false">IF(TRIB!N48="",0,(TRIB!N48*IF($D48="A",(INPUTS!$G$33/12*INPUTS!$B$12+INPUTS!$H$33),(INPUTS!$L$33/12*INPUTS!$B$12+INPUTS!$M$33))+IF(FACADE!N48="",0,FACADE!N48)*INPUTS!$B$15)/1000+ARCH_AG!N48/144*INPUTS!$B$12*INPUTS!$C$33/1000)</f>
        <v>28.635</v>
      </c>
      <c r="O48" s="9" t="n">
        <f aca="false">IF(TRIB!O48="",0,(TRIB!O48*IF($D48="A",(INPUTS!$G$34/12*INPUTS!$B$12+INPUTS!$H$34),(INPUTS!$L$34/12*INPUTS!$B$12+INPUTS!$M$34))+IF(FACADE!O48="",0,FACADE!O48)*INPUTS!$B$15)/1000+ARCH_AG!O48/144*INPUTS!$B$12*INPUTS!$C$34/1000)</f>
        <v>28.635</v>
      </c>
      <c r="P48" s="9" t="n">
        <f aca="false">IF(TRIB!P48="",0,(TRIB!P48*IF($D48="A",(INPUTS!$G$35/12*INPUTS!$B$12+INPUTS!$H$35),(INPUTS!$L$35/12*INPUTS!$B$12+INPUTS!$M$35))+IF(FACADE!P48="",0,FACADE!P48)*INPUTS!$B$15)/1000+ARCH_AG!P48/144*INPUTS!$B$12*INPUTS!$C$35/1000)</f>
        <v>29.16</v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9" t="n">
        <f aca="false">IF(TRIB!E49="",0,(TRIB!E49*IF($D49="A",(INPUTS!$G$24/12*INPUTS!$B$12+INPUTS!$H$24),(INPUTS!$L$24/12*INPUTS!$B$12+INPUTS!$M$24))+IF(FACADE!E49="",0,FACADE!E49)*INPUTS!$B$15)/1000+ARCH_AG!E49/144*INPUTS!$B$12*INPUTS!$C$24/1000)</f>
        <v>0</v>
      </c>
      <c r="F49" s="9" t="n">
        <f aca="false">IF(TRIB!F49="",0,(TRIB!F49*IF($D49="A",(INPUTS!$G$25/12*INPUTS!$B$12+INPUTS!$H$25),(INPUTS!$L$25/12*INPUTS!$B$12+INPUTS!$M$25))+IF(FACADE!F49="",0,FACADE!F49)*INPUTS!$B$15)/1000+ARCH_AG!F49/144*INPUTS!$B$12*INPUTS!$C$25/1000)</f>
        <v>39.515</v>
      </c>
      <c r="G49" s="9" t="n">
        <f aca="false">IF(TRIB!G49="",0,(TRIB!G49*IF($D49="A",(INPUTS!$G$26/12*INPUTS!$B$12+INPUTS!$H$26),(INPUTS!$L$26/12*INPUTS!$B$12+INPUTS!$M$26))+IF(FACADE!G49="",0,FACADE!G49)*INPUTS!$B$15)/1000+ARCH_AG!G49/144*INPUTS!$B$12*INPUTS!$C$26/1000)</f>
        <v>36.435</v>
      </c>
      <c r="H49" s="9" t="n">
        <f aca="false">IF(TRIB!H49="",0,(TRIB!H49*IF($D49="A",(INPUTS!$G$27/12*INPUTS!$B$12+INPUTS!$H$27),(INPUTS!$L$27/12*INPUTS!$B$12+INPUTS!$M$27))+IF(FACADE!H49="",0,FACADE!H49)*INPUTS!$B$15)/1000+ARCH_AG!H49/144*INPUTS!$B$12*INPUTS!$C$27/1000)</f>
        <v>36.435</v>
      </c>
      <c r="I49" s="9" t="n">
        <f aca="false">IF(TRIB!I49="",0,(TRIB!I49*IF($D49="A",(INPUTS!$G$28/12*INPUTS!$B$12+INPUTS!$H$28),(INPUTS!$L$28/12*INPUTS!$B$12+INPUTS!$M$28))+IF(FACADE!I49="",0,FACADE!I49)*INPUTS!$B$15)/1000+ARCH_AG!I49/144*INPUTS!$B$12*INPUTS!$C$28/1000)</f>
        <v>36.435</v>
      </c>
      <c r="J49" s="9" t="n">
        <f aca="false">IF(TRIB!J49="",0,(TRIB!J49*IF($D49="A",(INPUTS!$G$29/12*INPUTS!$B$12+INPUTS!$H$29),(INPUTS!$L$29/12*INPUTS!$B$12+INPUTS!$M$29))+IF(FACADE!J49="",0,FACADE!J49)*INPUTS!$B$15)/1000+ARCH_AG!J49/144*INPUTS!$B$12*INPUTS!$C$29/1000)</f>
        <v>36.555</v>
      </c>
      <c r="K49" s="9" t="n">
        <f aca="false">IF(TRIB!K49="",0,(TRIB!K49*IF($D49="A",(INPUTS!$G$30/12*INPUTS!$B$12+INPUTS!$H$30),(INPUTS!$L$30/12*INPUTS!$B$12+INPUTS!$M$30))+IF(FACADE!K49="",0,FACADE!K49)*INPUTS!$B$15)/1000+ARCH_AG!K49/144*INPUTS!$B$12*INPUTS!$C$30/1000)</f>
        <v>36.555</v>
      </c>
      <c r="L49" s="9" t="n">
        <f aca="false">IF(TRIB!L49="",0,(TRIB!L49*IF($D49="A",(INPUTS!$G$31/12*INPUTS!$B$12+INPUTS!$H$31),(INPUTS!$L$31/12*INPUTS!$B$12+INPUTS!$M$31))+IF(FACADE!L49="",0,FACADE!L49)*INPUTS!$B$15)/1000+ARCH_AG!L49/144*INPUTS!$B$12*INPUTS!$C$31/1000)</f>
        <v>36.555</v>
      </c>
      <c r="M49" s="9" t="n">
        <f aca="false">IF(TRIB!M49="",0,(TRIB!M49*IF($D49="A",(INPUTS!$G$32/12*INPUTS!$B$12+INPUTS!$H$32),(INPUTS!$L$32/12*INPUTS!$B$12+INPUTS!$M$32))+IF(FACADE!M49="",0,FACADE!M49)*INPUTS!$B$15)/1000+ARCH_AG!M49/144*INPUTS!$B$12*INPUTS!$C$32/1000)</f>
        <v>36.555</v>
      </c>
      <c r="N49" s="9" t="n">
        <f aca="false">IF(TRIB!N49="",0,(TRIB!N49*IF($D49="A",(INPUTS!$G$33/12*INPUTS!$B$12+INPUTS!$H$33),(INPUTS!$L$33/12*INPUTS!$B$12+INPUTS!$M$33))+IF(FACADE!N49="",0,FACADE!N49)*INPUTS!$B$15)/1000+ARCH_AG!N49/144*INPUTS!$B$12*INPUTS!$C$33/1000)</f>
        <v>36.555</v>
      </c>
      <c r="O49" s="9" t="n">
        <f aca="false">IF(TRIB!O49="",0,(TRIB!O49*IF($D49="A",(INPUTS!$G$34/12*INPUTS!$B$12+INPUTS!$H$34),(INPUTS!$L$34/12*INPUTS!$B$12+INPUTS!$M$34))+IF(FACADE!O49="",0,FACADE!O49)*INPUTS!$B$15)/1000+ARCH_AG!O49/144*INPUTS!$B$12*INPUTS!$C$34/1000)</f>
        <v>36.555</v>
      </c>
      <c r="P49" s="9" t="n">
        <f aca="false">IF(TRIB!P49="",0,(TRIB!P49*IF($D49="A",(INPUTS!$G$35/12*INPUTS!$B$12+INPUTS!$H$35),(INPUTS!$L$35/12*INPUTS!$B$12+INPUTS!$M$35))+IF(FACADE!P49="",0,FACADE!P49)*INPUTS!$B$15)/1000+ARCH_AG!P49/144*INPUTS!$B$12*INPUTS!$C$35/1000)</f>
        <v>37.08</v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9" t="n">
        <f aca="false">IF(TRIB!E50="",0,(TRIB!E50*IF($D50="A",(INPUTS!$G$24/12*INPUTS!$B$12+INPUTS!$H$24),(INPUTS!$L$24/12*INPUTS!$B$12+INPUTS!$M$24))+IF(FACADE!E50="",0,FACADE!E50)*INPUTS!$B$15)/1000+ARCH_AG!E50/144*INPUTS!$B$12*INPUTS!$C$24/1000)</f>
        <v>0</v>
      </c>
      <c r="F50" s="9" t="n">
        <f aca="false">IF(TRIB!F50="",0,(TRIB!F50*IF($D50="A",(INPUTS!$G$25/12*INPUTS!$B$12+INPUTS!$H$25),(INPUTS!$L$25/12*INPUTS!$B$12+INPUTS!$M$25))+IF(FACADE!F50="",0,FACADE!F50)*INPUTS!$B$15)/1000+ARCH_AG!F50/144*INPUTS!$B$12*INPUTS!$C$25/1000)</f>
        <v>31.095</v>
      </c>
      <c r="G50" s="9" t="n">
        <f aca="false">IF(TRIB!G50="",0,(TRIB!G50*IF($D50="A",(INPUTS!$G$26/12*INPUTS!$B$12+INPUTS!$H$26),(INPUTS!$L$26/12*INPUTS!$B$12+INPUTS!$M$26))+IF(FACADE!G50="",0,FACADE!G50)*INPUTS!$B$15)/1000+ARCH_AG!G50/144*INPUTS!$B$12*INPUTS!$C$26/1000)</f>
        <v>28.665</v>
      </c>
      <c r="H50" s="9" t="n">
        <f aca="false">IF(TRIB!H50="",0,(TRIB!H50*IF($D50="A",(INPUTS!$G$27/12*INPUTS!$B$12+INPUTS!$H$27),(INPUTS!$L$27/12*INPUTS!$B$12+INPUTS!$M$27))+IF(FACADE!H50="",0,FACADE!H50)*INPUTS!$B$15)/1000+ARCH_AG!H50/144*INPUTS!$B$12*INPUTS!$C$27/1000)</f>
        <v>101.955</v>
      </c>
      <c r="I50" s="9" t="n">
        <f aca="false">IF(TRIB!I50="",0,(TRIB!I50*IF($D50="A",(INPUTS!$G$28/12*INPUTS!$B$12+INPUTS!$H$28),(INPUTS!$L$28/12*INPUTS!$B$12+INPUTS!$M$28))+IF(FACADE!I50="",0,FACADE!I50)*INPUTS!$B$15)/1000+ARCH_AG!I50/144*INPUTS!$B$12*INPUTS!$C$28/1000)</f>
        <v>28.545</v>
      </c>
      <c r="J50" s="9" t="n">
        <f aca="false">IF(TRIB!J50="",0,(TRIB!J50*IF($D50="A",(INPUTS!$G$29/12*INPUTS!$B$12+INPUTS!$H$29),(INPUTS!$L$29/12*INPUTS!$B$12+INPUTS!$M$29))+IF(FACADE!J50="",0,FACADE!J50)*INPUTS!$B$15)/1000+ARCH_AG!J50/144*INPUTS!$B$12*INPUTS!$C$29/1000)</f>
        <v>28.425</v>
      </c>
      <c r="K50" s="9" t="n">
        <f aca="false">IF(TRIB!K50="",0,(TRIB!K50*IF($D50="A",(INPUTS!$G$30/12*INPUTS!$B$12+INPUTS!$H$30),(INPUTS!$L$30/12*INPUTS!$B$12+INPUTS!$M$30))+IF(FACADE!K50="",0,FACADE!K50)*INPUTS!$B$15)/1000+ARCH_AG!K50/144*INPUTS!$B$12*INPUTS!$C$30/1000)</f>
        <v>28.065</v>
      </c>
      <c r="L50" s="9" t="n">
        <f aca="false">IF(TRIB!L50="",0,(TRIB!L50*IF($D50="A",(INPUTS!$G$31/12*INPUTS!$B$12+INPUTS!$H$31),(INPUTS!$L$31/12*INPUTS!$B$12+INPUTS!$M$31))+IF(FACADE!L50="",0,FACADE!L50)*INPUTS!$B$15)/1000+ARCH_AG!L50/144*INPUTS!$B$12*INPUTS!$C$31/1000)</f>
        <v>28.305</v>
      </c>
      <c r="M50" s="9" t="n">
        <f aca="false">IF(TRIB!M50="",0,(TRIB!M50*IF($D50="A",(INPUTS!$G$32/12*INPUTS!$B$12+INPUTS!$H$32),(INPUTS!$L$32/12*INPUTS!$B$12+INPUTS!$M$32))+IF(FACADE!M50="",0,FACADE!M50)*INPUTS!$B$15)/1000+ARCH_AG!M50/144*INPUTS!$B$12*INPUTS!$C$32/1000)</f>
        <v>28.305</v>
      </c>
      <c r="N50" s="9" t="n">
        <f aca="false">IF(TRIB!N50="",0,(TRIB!N50*IF($D50="A",(INPUTS!$G$33/12*INPUTS!$B$12+INPUTS!$H$33),(INPUTS!$L$33/12*INPUTS!$B$12+INPUTS!$M$33))+IF(FACADE!N50="",0,FACADE!N50)*INPUTS!$B$15)/1000+ARCH_AG!N50/144*INPUTS!$B$12*INPUTS!$C$33/1000)</f>
        <v>28.305</v>
      </c>
      <c r="O50" s="9" t="n">
        <f aca="false">IF(TRIB!O50="",0,(TRIB!O50*IF($D50="A",(INPUTS!$G$34/12*INPUTS!$B$12+INPUTS!$H$34),(INPUTS!$L$34/12*INPUTS!$B$12+INPUTS!$M$34))+IF(FACADE!O50="",0,FACADE!O50)*INPUTS!$B$15)/1000+ARCH_AG!O50/144*INPUTS!$B$12*INPUTS!$C$34/1000)</f>
        <v>28.305</v>
      </c>
      <c r="P50" s="9" t="n">
        <f aca="false">IF(TRIB!P50="",0,(TRIB!P50*IF($D50="A",(INPUTS!$G$35/12*INPUTS!$B$12+INPUTS!$H$35),(INPUTS!$L$35/12*INPUTS!$B$12+INPUTS!$M$35))+IF(FACADE!P50="",0,FACADE!P50)*INPUTS!$B$15)/1000+ARCH_AG!P50/144*INPUTS!$B$12*INPUTS!$C$35/1000)</f>
        <v>28.83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9" t="n">
        <f aca="false">IF(TRIB!E51="",0,(TRIB!E51*IF($D51="A",(INPUTS!$G$24/12*INPUTS!$B$12+INPUTS!$H$24),(INPUTS!$L$24/12*INPUTS!$B$12+INPUTS!$M$24))+IF(FACADE!E51="",0,FACADE!E51)*INPUTS!$B$15)/1000+ARCH_AG!E51/144*INPUTS!$B$12*INPUTS!$C$24/1000)</f>
        <v>0</v>
      </c>
      <c r="F51" s="9" t="n">
        <f aca="false">IF(TRIB!F51="",0,(TRIB!F51*IF($D51="A",(INPUTS!$G$25/12*INPUTS!$B$12+INPUTS!$H$25),(INPUTS!$L$25/12*INPUTS!$B$12+INPUTS!$M$25))+IF(FACADE!F51="",0,FACADE!F51)*INPUTS!$B$15)/1000+ARCH_AG!F51/144*INPUTS!$B$12*INPUTS!$C$25/1000)</f>
        <v>15.465</v>
      </c>
      <c r="G51" s="9" t="n">
        <f aca="false">IF(TRIB!G51="",0,(TRIB!G51*IF($D51="A",(INPUTS!$G$26/12*INPUTS!$B$12+INPUTS!$H$26),(INPUTS!$L$26/12*INPUTS!$B$12+INPUTS!$M$26))+IF(FACADE!G51="",0,FACADE!G51)*INPUTS!$B$15)/1000+ARCH_AG!G51/144*INPUTS!$B$12*INPUTS!$C$26/1000)</f>
        <v>14.235</v>
      </c>
      <c r="H51" s="9" t="n">
        <f aca="false">IF(TRIB!H51="",0,(TRIB!H51*IF($D51="A",(INPUTS!$G$27/12*INPUTS!$B$12+INPUTS!$H$27),(INPUTS!$L$27/12*INPUTS!$B$12+INPUTS!$M$27))+IF(FACADE!H51="",0,FACADE!H51)*INPUTS!$B$15)/1000+ARCH_AG!H51/144*INPUTS!$B$12*INPUTS!$C$27/1000)</f>
        <v>14.235</v>
      </c>
      <c r="I51" s="9" t="n">
        <f aca="false">IF(TRIB!I51="",0,(TRIB!I51*IF($D51="A",(INPUTS!$G$28/12*INPUTS!$B$12+INPUTS!$H$28),(INPUTS!$L$28/12*INPUTS!$B$12+INPUTS!$M$28))+IF(FACADE!I51="",0,FACADE!I51)*INPUTS!$B$15)/1000+ARCH_AG!I51/144*INPUTS!$B$12*INPUTS!$C$28/1000)</f>
        <v>14.235</v>
      </c>
      <c r="J51" s="9" t="n">
        <f aca="false">IF(TRIB!J51="",0,(TRIB!J51*IF($D51="A",(INPUTS!$G$29/12*INPUTS!$B$12+INPUTS!$H$29),(INPUTS!$L$29/12*INPUTS!$B$12+INPUTS!$M$29))+IF(FACADE!J51="",0,FACADE!J51)*INPUTS!$B$15)/1000+ARCH_AG!J51/144*INPUTS!$B$12*INPUTS!$C$29/1000)</f>
        <v>13.875</v>
      </c>
      <c r="K51" s="9" t="n">
        <f aca="false">IF(TRIB!K51="",0,(TRIB!K51*IF($D51="A",(INPUTS!$G$30/12*INPUTS!$B$12+INPUTS!$H$30),(INPUTS!$L$30/12*INPUTS!$B$12+INPUTS!$M$30))+IF(FACADE!K51="",0,FACADE!K51)*INPUTS!$B$15)/1000+ARCH_AG!K51/144*INPUTS!$B$12*INPUTS!$C$30/1000)</f>
        <v>13.875</v>
      </c>
      <c r="L51" s="9" t="n">
        <f aca="false">IF(TRIB!L51="",0,(TRIB!L51*IF($D51="A",(INPUTS!$G$31/12*INPUTS!$B$12+INPUTS!$H$31),(INPUTS!$L$31/12*INPUTS!$B$12+INPUTS!$M$31))+IF(FACADE!L51="",0,FACADE!L51)*INPUTS!$B$15)/1000+ARCH_AG!L51/144*INPUTS!$B$12*INPUTS!$C$31/1000)</f>
        <v>13.875</v>
      </c>
      <c r="M51" s="9" t="n">
        <f aca="false">IF(TRIB!M51="",0,(TRIB!M51*IF($D51="A",(INPUTS!$G$32/12*INPUTS!$B$12+INPUTS!$H$32),(INPUTS!$L$32/12*INPUTS!$B$12+INPUTS!$M$32))+IF(FACADE!M51="",0,FACADE!M51)*INPUTS!$B$15)/1000+ARCH_AG!M51/144*INPUTS!$B$12*INPUTS!$C$32/1000)</f>
        <v>13.875</v>
      </c>
      <c r="N51" s="9" t="n">
        <f aca="false">IF(TRIB!N51="",0,(TRIB!N51*IF($D51="A",(INPUTS!$G$33/12*INPUTS!$B$12+INPUTS!$H$33),(INPUTS!$L$33/12*INPUTS!$B$12+INPUTS!$M$33))+IF(FACADE!N51="",0,FACADE!N51)*INPUTS!$B$15)/1000+ARCH_AG!N51/144*INPUTS!$B$12*INPUTS!$C$33/1000)</f>
        <v>13.875</v>
      </c>
      <c r="O51" s="9" t="n">
        <f aca="false">IF(TRIB!O51="",0,(TRIB!O51*IF($D51="A",(INPUTS!$G$34/12*INPUTS!$B$12+INPUTS!$H$34),(INPUTS!$L$34/12*INPUTS!$B$12+INPUTS!$M$34))+IF(FACADE!O51="",0,FACADE!O51)*INPUTS!$B$15)/1000+ARCH_AG!O51/144*INPUTS!$B$12*INPUTS!$C$34/1000)</f>
        <v>13.875</v>
      </c>
      <c r="P51" s="9" t="n">
        <f aca="false">IF(TRIB!P51="",0,(TRIB!P51*IF($D51="A",(INPUTS!$G$35/12*INPUTS!$B$12+INPUTS!$H$35),(INPUTS!$L$35/12*INPUTS!$B$12+INPUTS!$M$35))+IF(FACADE!P51="",0,FACADE!P51)*INPUTS!$B$15)/1000+ARCH_AG!P51/144*INPUTS!$B$12*INPUTS!$C$35/1000)</f>
        <v>14.4</v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9" t="n">
        <f aca="false">IF(TRIB!E52="",0,(TRIB!E52*IF($D52="A",(INPUTS!$G$24/12*INPUTS!$B$12+INPUTS!$H$24),(INPUTS!$L$24/12*INPUTS!$B$12+INPUTS!$M$24))+IF(FACADE!E52="",0,FACADE!E52)*INPUTS!$B$15)/1000+ARCH_AG!E52/144*INPUTS!$B$12*INPUTS!$C$24/1000)</f>
        <v>0</v>
      </c>
      <c r="F52" s="9" t="n">
        <f aca="false">IF(TRIB!F52="",0,(TRIB!F52*IF($D52="A",(INPUTS!$G$25/12*INPUTS!$B$12+INPUTS!$H$25),(INPUTS!$L$25/12*INPUTS!$B$12+INPUTS!$M$25))+IF(FACADE!F52="",0,FACADE!F52)*INPUTS!$B$15)/1000+ARCH_AG!F52/144*INPUTS!$B$12*INPUTS!$C$25/1000)</f>
        <v>26.405</v>
      </c>
      <c r="G52" s="9" t="n">
        <f aca="false">IF(TRIB!G52="",0,(TRIB!G52*IF($D52="A",(INPUTS!$G$26/12*INPUTS!$B$12+INPUTS!$H$26),(INPUTS!$L$26/12*INPUTS!$B$12+INPUTS!$M$26))+IF(FACADE!G52="",0,FACADE!G52)*INPUTS!$B$15)/1000+ARCH_AG!G52/144*INPUTS!$B$12*INPUTS!$C$26/1000)</f>
        <v>34.125</v>
      </c>
      <c r="H52" s="9" t="n">
        <f aca="false">IF(TRIB!H52="",0,(TRIB!H52*IF($D52="A",(INPUTS!$G$27/12*INPUTS!$B$12+INPUTS!$H$27),(INPUTS!$L$27/12*INPUTS!$B$12+INPUTS!$M$27))+IF(FACADE!H52="",0,FACADE!H52)*INPUTS!$B$15)/1000+ARCH_AG!H52/144*INPUTS!$B$12*INPUTS!$C$27/1000)</f>
        <v>33.975</v>
      </c>
      <c r="I52" s="9" t="n">
        <f aca="false">IF(TRIB!I52="",0,(TRIB!I52*IF($D52="A",(INPUTS!$G$28/12*INPUTS!$B$12+INPUTS!$H$28),(INPUTS!$L$28/12*INPUTS!$B$12+INPUTS!$M$28))+IF(FACADE!I52="",0,FACADE!I52)*INPUTS!$B$15)/1000+ARCH_AG!I52/144*INPUTS!$B$12*INPUTS!$C$28/1000)</f>
        <v>34.125</v>
      </c>
      <c r="J52" s="9" t="n">
        <f aca="false">IF(TRIB!J52="",0,(TRIB!J52*IF($D52="A",(INPUTS!$G$29/12*INPUTS!$B$12+INPUTS!$H$29),(INPUTS!$L$29/12*INPUTS!$B$12+INPUTS!$M$29))+IF(FACADE!J52="",0,FACADE!J52)*INPUTS!$B$15)/1000+ARCH_AG!J52/144*INPUTS!$B$12*INPUTS!$C$29/1000)</f>
        <v>33.975</v>
      </c>
      <c r="K52" s="9" t="n">
        <f aca="false">IF(TRIB!K52="",0,(TRIB!K52*IF($D52="A",(INPUTS!$G$30/12*INPUTS!$B$12+INPUTS!$H$30),(INPUTS!$L$30/12*INPUTS!$B$12+INPUTS!$M$30))+IF(FACADE!K52="",0,FACADE!K52)*INPUTS!$B$15)/1000+ARCH_AG!K52/144*INPUTS!$B$12*INPUTS!$C$30/1000)</f>
        <v>33.975</v>
      </c>
      <c r="L52" s="9" t="n">
        <f aca="false">IF(TRIB!L52="",0,(TRIB!L52*IF($D52="A",(INPUTS!$G$31/12*INPUTS!$B$12+INPUTS!$H$31),(INPUTS!$L$31/12*INPUTS!$B$12+INPUTS!$M$31))+IF(FACADE!L52="",0,FACADE!L52)*INPUTS!$B$15)/1000+ARCH_AG!L52/144*INPUTS!$B$12*INPUTS!$C$31/1000)</f>
        <v>34.125</v>
      </c>
      <c r="M52" s="9" t="n">
        <f aca="false">IF(TRIB!M52="",0,(TRIB!M52*IF($D52="A",(INPUTS!$G$32/12*INPUTS!$B$12+INPUTS!$H$32),(INPUTS!$L$32/12*INPUTS!$B$12+INPUTS!$M$32))+IF(FACADE!M52="",0,FACADE!M52)*INPUTS!$B$15)/1000+ARCH_AG!M52/144*INPUTS!$B$12*INPUTS!$C$32/1000)</f>
        <v>34.125</v>
      </c>
      <c r="N52" s="9" t="n">
        <f aca="false">IF(TRIB!N52="",0,(TRIB!N52*IF($D52="A",(INPUTS!$G$33/12*INPUTS!$B$12+INPUTS!$H$33),(INPUTS!$L$33/12*INPUTS!$B$12+INPUTS!$M$33))+IF(FACADE!N52="",0,FACADE!N52)*INPUTS!$B$15)/1000+ARCH_AG!N52/144*INPUTS!$B$12*INPUTS!$C$33/1000)</f>
        <v>34.125</v>
      </c>
      <c r="O52" s="9" t="n">
        <f aca="false">IF(TRIB!O52="",0,(TRIB!O52*IF($D52="A",(INPUTS!$G$34/12*INPUTS!$B$12+INPUTS!$H$34),(INPUTS!$L$34/12*INPUTS!$B$12+INPUTS!$M$34))+IF(FACADE!O52="",0,FACADE!O52)*INPUTS!$B$15)/1000+ARCH_AG!O52/144*INPUTS!$B$12*INPUTS!$C$34/1000)</f>
        <v>34.125</v>
      </c>
      <c r="P52" s="9" t="n">
        <f aca="false">IF(TRIB!P52="",0,(TRIB!P52*IF($D52="A",(INPUTS!$G$35/12*INPUTS!$B$12+INPUTS!$H$35),(INPUTS!$L$35/12*INPUTS!$B$12+INPUTS!$M$35))+IF(FACADE!P52="",0,FACADE!P52)*INPUTS!$B$15)/1000+ARCH_AG!P52/144*INPUTS!$B$12*INPUTS!$C$35/1000)</f>
        <v>34.65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9" t="n">
        <f aca="false">IF(TRIB!E53="",0,(TRIB!E53*IF($D53="A",(INPUTS!$G$24/12*INPUTS!$B$12+INPUTS!$H$24),(INPUTS!$L$24/12*INPUTS!$B$12+INPUTS!$M$24))+IF(FACADE!E53="",0,FACADE!E53)*INPUTS!$B$15)/1000+ARCH_AG!E53/144*INPUTS!$B$12*INPUTS!$C$24/1000)</f>
        <v>73.425</v>
      </c>
      <c r="F53" s="9" t="n">
        <f aca="false">IF(TRIB!F53="",0,(TRIB!F53*IF($D53="A",(INPUTS!$G$25/12*INPUTS!$B$12+INPUTS!$H$25),(INPUTS!$L$25/12*INPUTS!$B$12+INPUTS!$M$25))+IF(FACADE!F53="",0,FACADE!F53)*INPUTS!$B$15)/1000+ARCH_AG!F53/144*INPUTS!$B$12*INPUTS!$C$25/1000)</f>
        <v>73.775</v>
      </c>
      <c r="G53" s="9" t="n">
        <f aca="false">IF(TRIB!G53="",0,(TRIB!G53*IF($D53="A",(INPUTS!$G$26/12*INPUTS!$B$12+INPUTS!$H$26),(INPUTS!$L$26/12*INPUTS!$B$12+INPUTS!$M$26))+IF(FACADE!G53="",0,FACADE!G53)*INPUTS!$B$15)/1000+ARCH_AG!G53/144*INPUTS!$B$12*INPUTS!$C$26/1000)</f>
        <v>56.02</v>
      </c>
      <c r="H53" s="9" t="n">
        <f aca="false">IF(TRIB!H53="",0,(TRIB!H53*IF($D53="A",(INPUTS!$G$27/12*INPUTS!$B$12+INPUTS!$H$27),(INPUTS!$L$27/12*INPUTS!$B$12+INPUTS!$M$27))+IF(FACADE!H53="",0,FACADE!H53)*INPUTS!$B$15)/1000+ARCH_AG!H53/144*INPUTS!$B$12*INPUTS!$C$27/1000)</f>
        <v>50.605</v>
      </c>
      <c r="I53" s="9" t="n">
        <f aca="false">IF(TRIB!I53="",0,(TRIB!I53*IF($D53="A",(INPUTS!$G$28/12*INPUTS!$B$12+INPUTS!$H$28),(INPUTS!$L$28/12*INPUTS!$B$12+INPUTS!$M$28))+IF(FACADE!I53="",0,FACADE!I53)*INPUTS!$B$15)/1000+ARCH_AG!I53/144*INPUTS!$B$12*INPUTS!$C$28/1000)</f>
        <v>50.605</v>
      </c>
      <c r="J53" s="9" t="n">
        <f aca="false">IF(TRIB!J53="",0,(TRIB!J53*IF($D53="A",(INPUTS!$G$29/12*INPUTS!$B$12+INPUTS!$H$29),(INPUTS!$L$29/12*INPUTS!$B$12+INPUTS!$M$29))+IF(FACADE!J53="",0,FACADE!J53)*INPUTS!$B$15)/1000+ARCH_AG!J53/144*INPUTS!$B$12*INPUTS!$C$29/1000)</f>
        <v>49.825</v>
      </c>
      <c r="K53" s="9" t="n">
        <f aca="false">IF(TRIB!K53="",0,(TRIB!K53*IF($D53="A",(INPUTS!$G$30/12*INPUTS!$B$12+INPUTS!$H$30),(INPUTS!$L$30/12*INPUTS!$B$12+INPUTS!$M$30))+IF(FACADE!K53="",0,FACADE!K53)*INPUTS!$B$15)/1000+ARCH_AG!K53/144*INPUTS!$B$12*INPUTS!$C$30/1000)</f>
        <v>46.275</v>
      </c>
      <c r="L53" s="9" t="n">
        <f aca="false">IF(TRIB!L53="",0,(TRIB!L53*IF($D53="A",(INPUTS!$G$31/12*INPUTS!$B$12+INPUTS!$H$31),(INPUTS!$L$31/12*INPUTS!$B$12+INPUTS!$M$31))+IF(FACADE!L53="",0,FACADE!L53)*INPUTS!$B$15)/1000+ARCH_AG!L53/144*INPUTS!$B$12*INPUTS!$C$31/1000)</f>
        <v>46.275</v>
      </c>
      <c r="M53" s="9" t="n">
        <f aca="false">IF(TRIB!M53="",0,(TRIB!M53*IF($D53="A",(INPUTS!$G$32/12*INPUTS!$B$12+INPUTS!$H$32),(INPUTS!$L$32/12*INPUTS!$B$12+INPUTS!$M$32))+IF(FACADE!M53="",0,FACADE!M53)*INPUTS!$B$15)/1000+ARCH_AG!M53/144*INPUTS!$B$12*INPUTS!$C$32/1000)</f>
        <v>46.275</v>
      </c>
      <c r="N53" s="9" t="n">
        <f aca="false">IF(TRIB!N53="",0,(TRIB!N53*IF($D53="A",(INPUTS!$G$33/12*INPUTS!$B$12+INPUTS!$H$33),(INPUTS!$L$33/12*INPUTS!$B$12+INPUTS!$M$33))+IF(FACADE!N53="",0,FACADE!N53)*INPUTS!$B$15)/1000+ARCH_AG!N53/144*INPUTS!$B$12*INPUTS!$C$33/1000)</f>
        <v>46.275</v>
      </c>
      <c r="O53" s="9" t="n">
        <f aca="false">IF(TRIB!O53="",0,(TRIB!O53*IF($D53="A",(INPUTS!$G$34/12*INPUTS!$B$12+INPUTS!$H$34),(INPUTS!$L$34/12*INPUTS!$B$12+INPUTS!$M$34))+IF(FACADE!O53="",0,FACADE!O53)*INPUTS!$B$15)/1000+ARCH_AG!O53/144*INPUTS!$B$12*INPUTS!$C$34/1000)</f>
        <v>46.275</v>
      </c>
      <c r="P53" s="9" t="n">
        <f aca="false">IF(TRIB!P53="",0,(TRIB!P53*IF($D53="A",(INPUTS!$G$35/12*INPUTS!$B$12+INPUTS!$H$35),(INPUTS!$L$35/12*INPUTS!$B$12+INPUTS!$M$35))+IF(FACADE!P53="",0,FACADE!P53)*INPUTS!$B$15)/1000+ARCH_AG!P53/144*INPUTS!$B$12*INPUTS!$C$35/1000)</f>
        <v>46.8</v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9" t="n">
        <f aca="false">IF(TRIB!E54="",0,(TRIB!E54*IF($D54="A",(INPUTS!$G$24/12*INPUTS!$B$12+INPUTS!$H$24),(INPUTS!$L$24/12*INPUTS!$B$12+INPUTS!$M$24))+IF(FACADE!E54="",0,FACADE!E54)*INPUTS!$B$15)/1000+ARCH_AG!E54/144*INPUTS!$B$12*INPUTS!$C$24/1000)</f>
        <v>22.43</v>
      </c>
      <c r="F54" s="9" t="n">
        <f aca="false">IF(TRIB!F54="",0,(TRIB!F54*IF($D54="A",(INPUTS!$G$25/12*INPUTS!$B$12+INPUTS!$H$25),(INPUTS!$L$25/12*INPUTS!$B$12+INPUTS!$M$25))+IF(FACADE!F54="",0,FACADE!F54)*INPUTS!$B$15)/1000+ARCH_AG!F54/144*INPUTS!$B$12*INPUTS!$C$25/1000)</f>
        <v>24.88</v>
      </c>
      <c r="G54" s="9" t="n">
        <f aca="false">IF(TRIB!G54="",0,(TRIB!G54*IF($D54="A",(INPUTS!$G$26/12*INPUTS!$B$12+INPUTS!$H$26),(INPUTS!$L$26/12*INPUTS!$B$12+INPUTS!$M$26))+IF(FACADE!G54="",0,FACADE!G54)*INPUTS!$B$15)/1000+ARCH_AG!G54/144*INPUTS!$B$12*INPUTS!$C$26/1000)</f>
        <v>34.63</v>
      </c>
      <c r="H54" s="9" t="n">
        <f aca="false">IF(TRIB!H54="",0,(TRIB!H54*IF($D54="A",(INPUTS!$G$27/12*INPUTS!$B$12+INPUTS!$H$27),(INPUTS!$L$27/12*INPUTS!$B$12+INPUTS!$M$27))+IF(FACADE!H54="",0,FACADE!H54)*INPUTS!$B$15)/1000+ARCH_AG!H54/144*INPUTS!$B$12*INPUTS!$C$27/1000)</f>
        <v>31.795</v>
      </c>
      <c r="I54" s="9" t="n">
        <f aca="false">IF(TRIB!I54="",0,(TRIB!I54*IF($D54="A",(INPUTS!$G$28/12*INPUTS!$B$12+INPUTS!$H$28),(INPUTS!$L$28/12*INPUTS!$B$12+INPUTS!$M$28))+IF(FACADE!I54="",0,FACADE!I54)*INPUTS!$B$15)/1000+ARCH_AG!I54/144*INPUTS!$B$12*INPUTS!$C$28/1000)</f>
        <v>31.645</v>
      </c>
      <c r="J54" s="9" t="n">
        <f aca="false">IF(TRIB!J54="",0,(TRIB!J54*IF($D54="A",(INPUTS!$G$29/12*INPUTS!$B$12+INPUTS!$H$29),(INPUTS!$L$29/12*INPUTS!$B$12+INPUTS!$M$29))+IF(FACADE!J54="",0,FACADE!J54)*INPUTS!$B$15)/1000+ARCH_AG!J54/144*INPUTS!$B$12*INPUTS!$C$29/1000)</f>
        <v>31.645</v>
      </c>
      <c r="K54" s="9" t="n">
        <f aca="false">IF(TRIB!K54="",0,(TRIB!K54*IF($D54="A",(INPUTS!$G$30/12*INPUTS!$B$12+INPUTS!$H$30),(INPUTS!$L$30/12*INPUTS!$B$12+INPUTS!$M$30))+IF(FACADE!K54="",0,FACADE!K54)*INPUTS!$B$15)/1000+ARCH_AG!K54/144*INPUTS!$B$12*INPUTS!$C$30/1000)</f>
        <v>29.805</v>
      </c>
      <c r="L54" s="9" t="n">
        <f aca="false">IF(TRIB!L54="",0,(TRIB!L54*IF($D54="A",(INPUTS!$G$31/12*INPUTS!$B$12+INPUTS!$H$31),(INPUTS!$L$31/12*INPUTS!$B$12+INPUTS!$M$31))+IF(FACADE!L54="",0,FACADE!L54)*INPUTS!$B$15)/1000+ARCH_AG!L54/144*INPUTS!$B$12*INPUTS!$C$31/1000)</f>
        <v>29.655</v>
      </c>
      <c r="M54" s="9" t="n">
        <f aca="false">IF(TRIB!M54="",0,(TRIB!M54*IF($D54="A",(INPUTS!$G$32/12*INPUTS!$B$12+INPUTS!$H$32),(INPUTS!$L$32/12*INPUTS!$B$12+INPUTS!$M$32))+IF(FACADE!M54="",0,FACADE!M54)*INPUTS!$B$15)/1000+ARCH_AG!M54/144*INPUTS!$B$12*INPUTS!$C$32/1000)</f>
        <v>29.655</v>
      </c>
      <c r="N54" s="9" t="n">
        <f aca="false">IF(TRIB!N54="",0,(TRIB!N54*IF($D54="A",(INPUTS!$G$33/12*INPUTS!$B$12+INPUTS!$H$33),(INPUTS!$L$33/12*INPUTS!$B$12+INPUTS!$M$33))+IF(FACADE!N54="",0,FACADE!N54)*INPUTS!$B$15)/1000+ARCH_AG!N54/144*INPUTS!$B$12*INPUTS!$C$33/1000)</f>
        <v>29.655</v>
      </c>
      <c r="O54" s="9" t="n">
        <f aca="false">IF(TRIB!O54="",0,(TRIB!O54*IF($D54="A",(INPUTS!$G$34/12*INPUTS!$B$12+INPUTS!$H$34),(INPUTS!$L$34/12*INPUTS!$B$12+INPUTS!$M$34))+IF(FACADE!O54="",0,FACADE!O54)*INPUTS!$B$15)/1000+ARCH_AG!O54/144*INPUTS!$B$12*INPUTS!$C$34/1000)</f>
        <v>29.655</v>
      </c>
      <c r="P54" s="9" t="n">
        <f aca="false">IF(TRIB!P54="",0,(TRIB!P54*IF($D54="A",(INPUTS!$G$35/12*INPUTS!$B$12+INPUTS!$H$35),(INPUTS!$L$35/12*INPUTS!$B$12+INPUTS!$M$35))+IF(FACADE!P54="",0,FACADE!P54)*INPUTS!$B$15)/1000+ARCH_AG!P54/144*INPUTS!$B$12*INPUTS!$C$35/1000)</f>
        <v>30.18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9" t="n">
        <f aca="false">IF(TRIB!E55="",0,(TRIB!E55*IF($D55="A",(INPUTS!$G$24/12*INPUTS!$B$12+INPUTS!$H$24),(INPUTS!$L$24/12*INPUTS!$B$12+INPUTS!$M$24))+IF(FACADE!E55="",0,FACADE!E55)*INPUTS!$B$15)/1000+ARCH_AG!E55/144*INPUTS!$B$12*INPUTS!$C$24/1000)</f>
        <v>68.155</v>
      </c>
      <c r="F55" s="9" t="n">
        <f aca="false">IF(TRIB!F55="",0,(TRIB!F55*IF($D55="A",(INPUTS!$G$25/12*INPUTS!$B$12+INPUTS!$H$25),(INPUTS!$L$25/12*INPUTS!$B$12+INPUTS!$M$25))+IF(FACADE!F55="",0,FACADE!F55)*INPUTS!$B$15)/1000+ARCH_AG!F55/144*INPUTS!$B$12*INPUTS!$C$25/1000)</f>
        <v>68.505</v>
      </c>
      <c r="G55" s="9" t="n">
        <f aca="false">IF(TRIB!G55="",0,(TRIB!G55*IF($D55="A",(INPUTS!$G$26/12*INPUTS!$B$12+INPUTS!$H$26),(INPUTS!$L$26/12*INPUTS!$B$12+INPUTS!$M$26))+IF(FACADE!G55="",0,FACADE!G55)*INPUTS!$B$15)/1000+ARCH_AG!G55/144*INPUTS!$B$12*INPUTS!$C$26/1000)</f>
        <v>63.705</v>
      </c>
      <c r="H55" s="9" t="n">
        <f aca="false">IF(TRIB!H55="",0,(TRIB!H55*IF($D55="A",(INPUTS!$G$27/12*INPUTS!$B$12+INPUTS!$H$27),(INPUTS!$L$27/12*INPUTS!$B$12+INPUTS!$M$27))+IF(FACADE!H55="",0,FACADE!H55)*INPUTS!$B$15)/1000+ARCH_AG!H55/144*INPUTS!$B$12*INPUTS!$C$27/1000)</f>
        <v>57.495</v>
      </c>
      <c r="I55" s="9" t="n">
        <f aca="false">IF(TRIB!I55="",0,(TRIB!I55*IF($D55="A",(INPUTS!$G$28/12*INPUTS!$B$12+INPUTS!$H$28),(INPUTS!$L$28/12*INPUTS!$B$12+INPUTS!$M$28))+IF(FACADE!I55="",0,FACADE!I55)*INPUTS!$B$15)/1000+ARCH_AG!I55/144*INPUTS!$B$12*INPUTS!$C$28/1000)</f>
        <v>57.495</v>
      </c>
      <c r="J55" s="9" t="n">
        <f aca="false">IF(TRIB!J55="",0,(TRIB!J55*IF($D55="A",(INPUTS!$G$29/12*INPUTS!$B$12+INPUTS!$H$29),(INPUTS!$L$29/12*INPUTS!$B$12+INPUTS!$M$29))+IF(FACADE!J55="",0,FACADE!J55)*INPUTS!$B$15)/1000+ARCH_AG!J55/144*INPUTS!$B$12*INPUTS!$C$29/1000)</f>
        <v>57.495</v>
      </c>
      <c r="K55" s="9" t="n">
        <f aca="false">IF(TRIB!K55="",0,(TRIB!K55*IF($D55="A",(INPUTS!$G$30/12*INPUTS!$B$12+INPUTS!$H$30),(INPUTS!$L$30/12*INPUTS!$B$12+INPUTS!$M$30))+IF(FACADE!K55="",0,FACADE!K55)*INPUTS!$B$15)/1000+ARCH_AG!K55/144*INPUTS!$B$12*INPUTS!$C$30/1000)</f>
        <v>53.355</v>
      </c>
      <c r="L55" s="9" t="n">
        <f aca="false">IF(TRIB!L55="",0,(TRIB!L55*IF($D55="A",(INPUTS!$G$31/12*INPUTS!$B$12+INPUTS!$H$31),(INPUTS!$L$31/12*INPUTS!$B$12+INPUTS!$M$31))+IF(FACADE!L55="",0,FACADE!L55)*INPUTS!$B$15)/1000+ARCH_AG!L55/144*INPUTS!$B$12*INPUTS!$C$31/1000)</f>
        <v>53.355</v>
      </c>
      <c r="M55" s="9" t="n">
        <f aca="false">IF(TRIB!M55="",0,(TRIB!M55*IF($D55="A",(INPUTS!$G$32/12*INPUTS!$B$12+INPUTS!$H$32),(INPUTS!$L$32/12*INPUTS!$B$12+INPUTS!$M$32))+IF(FACADE!M55="",0,FACADE!M55)*INPUTS!$B$15)/1000+ARCH_AG!M55/144*INPUTS!$B$12*INPUTS!$C$32/1000)</f>
        <v>53.355</v>
      </c>
      <c r="N55" s="9" t="n">
        <f aca="false">IF(TRIB!N55="",0,(TRIB!N55*IF($D55="A",(INPUTS!$G$33/12*INPUTS!$B$12+INPUTS!$H$33),(INPUTS!$L$33/12*INPUTS!$B$12+INPUTS!$M$33))+IF(FACADE!N55="",0,FACADE!N55)*INPUTS!$B$15)/1000+ARCH_AG!N55/144*INPUTS!$B$12*INPUTS!$C$33/1000)</f>
        <v>53.355</v>
      </c>
      <c r="O55" s="9" t="n">
        <f aca="false">IF(TRIB!O55="",0,(TRIB!O55*IF($D55="A",(INPUTS!$G$34/12*INPUTS!$B$12+INPUTS!$H$34),(INPUTS!$L$34/12*INPUTS!$B$12+INPUTS!$M$34))+IF(FACADE!O55="",0,FACADE!O55)*INPUTS!$B$15)/1000+ARCH_AG!O55/144*INPUTS!$B$12*INPUTS!$C$34/1000)</f>
        <v>53.355</v>
      </c>
      <c r="P55" s="9" t="n">
        <f aca="false">IF(TRIB!P55="",0,(TRIB!P55*IF($D55="A",(INPUTS!$G$35/12*INPUTS!$B$12+INPUTS!$H$35),(INPUTS!$L$35/12*INPUTS!$B$12+INPUTS!$M$35))+IF(FACADE!P55="",0,FACADE!P55)*INPUTS!$B$15)/1000+ARCH_AG!P55/144*INPUTS!$B$12*INPUTS!$C$35/1000)</f>
        <v>53.88</v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9" t="n">
        <f aca="false">IF(TRIB!E56="",0,(TRIB!E56*IF($D56="A",(INPUTS!$G$24/12*INPUTS!$B$12+INPUTS!$H$24),(INPUTS!$L$24/12*INPUTS!$B$12+INPUTS!$M$24))+IF(FACADE!E56="",0,FACADE!E56)*INPUTS!$B$15)/1000+ARCH_AG!E56/144*INPUTS!$B$12*INPUTS!$C$24/1000)</f>
        <v>40.5425</v>
      </c>
      <c r="F56" s="9" t="n">
        <f aca="false">IF(TRIB!F56="",0,(TRIB!F56*IF($D56="A",(INPUTS!$G$25/12*INPUTS!$B$12+INPUTS!$H$25),(INPUTS!$L$25/12*INPUTS!$B$12+INPUTS!$M$25))+IF(FACADE!F56="",0,FACADE!F56)*INPUTS!$B$15)/1000+ARCH_AG!F56/144*INPUTS!$B$12*INPUTS!$C$25/1000)</f>
        <v>43.3175</v>
      </c>
      <c r="G56" s="9" t="n">
        <f aca="false">IF(TRIB!G56="",0,(TRIB!G56*IF($D56="A",(INPUTS!$G$26/12*INPUTS!$B$12+INPUTS!$H$26),(INPUTS!$L$26/12*INPUTS!$B$12+INPUTS!$M$26))+IF(FACADE!G56="",0,FACADE!G56)*INPUTS!$B$15)/1000+ARCH_AG!G56/144*INPUTS!$B$12*INPUTS!$C$26/1000)</f>
        <v>33.2825</v>
      </c>
      <c r="H56" s="9" t="n">
        <f aca="false">IF(TRIB!H56="",0,(TRIB!H56*IF($D56="A",(INPUTS!$G$27/12*INPUTS!$B$12+INPUTS!$H$27),(INPUTS!$L$27/12*INPUTS!$B$12+INPUTS!$M$27))+IF(FACADE!H56="",0,FACADE!H56)*INPUTS!$B$15)/1000+ARCH_AG!H56/144*INPUTS!$B$12*INPUTS!$C$27/1000)</f>
        <v>34.6325</v>
      </c>
      <c r="I56" s="9" t="n">
        <f aca="false">IF(TRIB!I56="",0,(TRIB!I56*IF($D56="A",(INPUTS!$G$28/12*INPUTS!$B$12+INPUTS!$H$28),(INPUTS!$L$28/12*INPUTS!$B$12+INPUTS!$M$28))+IF(FACADE!I56="",0,FACADE!I56)*INPUTS!$B$15)/1000+ARCH_AG!I56/144*INPUTS!$B$12*INPUTS!$C$28/1000)</f>
        <v>17.9025</v>
      </c>
      <c r="J56" s="9" t="n">
        <f aca="false">IF(TRIB!J56="",0,(TRIB!J56*IF($D56="A",(INPUTS!$G$29/12*INPUTS!$B$12+INPUTS!$H$29),(INPUTS!$L$29/12*INPUTS!$B$12+INPUTS!$M$29))+IF(FACADE!J56="",0,FACADE!J56)*INPUTS!$B$15)/1000+ARCH_AG!J56/144*INPUTS!$B$12*INPUTS!$C$29/1000)</f>
        <v>17.7725</v>
      </c>
      <c r="K56" s="9" t="n">
        <f aca="false">IF(TRIB!K56="",0,(TRIB!K56*IF($D56="A",(INPUTS!$G$30/12*INPUTS!$B$12+INPUTS!$H$30),(INPUTS!$L$30/12*INPUTS!$B$12+INPUTS!$M$30))+IF(FACADE!K56="",0,FACADE!K56)*INPUTS!$B$15)/1000+ARCH_AG!K56/144*INPUTS!$B$12*INPUTS!$C$30/1000)</f>
        <v>16.2825</v>
      </c>
      <c r="L56" s="9" t="n">
        <f aca="false">IF(TRIB!L56="",0,(TRIB!L56*IF($D56="A",(INPUTS!$G$31/12*INPUTS!$B$12+INPUTS!$H$31),(INPUTS!$L$31/12*INPUTS!$B$12+INPUTS!$M$31))+IF(FACADE!L56="",0,FACADE!L56)*INPUTS!$B$15)/1000+ARCH_AG!L56/144*INPUTS!$B$12*INPUTS!$C$31/1000)</f>
        <v>16.5225</v>
      </c>
      <c r="M56" s="9" t="n">
        <f aca="false">IF(TRIB!M56="",0,(TRIB!M56*IF($D56="A",(INPUTS!$G$32/12*INPUTS!$B$12+INPUTS!$H$32),(INPUTS!$L$32/12*INPUTS!$B$12+INPUTS!$M$32))+IF(FACADE!M56="",0,FACADE!M56)*INPUTS!$B$15)/1000+ARCH_AG!M56/144*INPUTS!$B$12*INPUTS!$C$32/1000)</f>
        <v>16.5225</v>
      </c>
      <c r="N56" s="9" t="n">
        <f aca="false">IF(TRIB!N56="",0,(TRIB!N56*IF($D56="A",(INPUTS!$G$33/12*INPUTS!$B$12+INPUTS!$H$33),(INPUTS!$L$33/12*INPUTS!$B$12+INPUTS!$M$33))+IF(FACADE!N56="",0,FACADE!N56)*INPUTS!$B$15)/1000+ARCH_AG!N56/144*INPUTS!$B$12*INPUTS!$C$33/1000)</f>
        <v>16.5225</v>
      </c>
      <c r="O56" s="9" t="n">
        <f aca="false">IF(TRIB!O56="",0,(TRIB!O56*IF($D56="A",(INPUTS!$G$34/12*INPUTS!$B$12+INPUTS!$H$34),(INPUTS!$L$34/12*INPUTS!$B$12+INPUTS!$M$34))+IF(FACADE!O56="",0,FACADE!O56)*INPUTS!$B$15)/1000+ARCH_AG!O56/144*INPUTS!$B$12*INPUTS!$C$34/1000)</f>
        <v>16.5225</v>
      </c>
      <c r="P56" s="9" t="n">
        <f aca="false">IF(TRIB!P56="",0,(TRIB!P56*IF($D56="A",(INPUTS!$G$35/12*INPUTS!$B$12+INPUTS!$H$35),(INPUTS!$L$35/12*INPUTS!$B$12+INPUTS!$M$35))+IF(FACADE!P56="",0,FACADE!P56)*INPUTS!$B$15)/1000+ARCH_AG!P56/144*INPUTS!$B$12*INPUTS!$C$35/1000)</f>
        <v>17.31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9" t="n">
        <f aca="false">IF(TRIB!E57="",0,(TRIB!E57*IF($D57="A",(INPUTS!$G$24/12*INPUTS!$B$12+INPUTS!$H$24),(INPUTS!$L$24/12*INPUTS!$B$12+INPUTS!$M$24))+IF(FACADE!E57="",0,FACADE!E57)*INPUTS!$B$15)/1000+ARCH_AG!E57/144*INPUTS!$B$12*INPUTS!$C$24/1000)</f>
        <v>53.585</v>
      </c>
      <c r="F57" s="9" t="n">
        <f aca="false">IF(TRIB!F57="",0,(TRIB!F57*IF($D57="A",(INPUTS!$G$25/12*INPUTS!$B$12+INPUTS!$H$25),(INPUTS!$L$25/12*INPUTS!$B$12+INPUTS!$M$25))+IF(FACADE!F57="",0,FACADE!F57)*INPUTS!$B$15)/1000+ARCH_AG!F57/144*INPUTS!$B$12*INPUTS!$C$25/1000)</f>
        <v>53.935</v>
      </c>
      <c r="G57" s="9" t="n">
        <f aca="false">IF(TRIB!G57="",0,(TRIB!G57*IF($D57="A",(INPUTS!$G$26/12*INPUTS!$B$12+INPUTS!$H$26),(INPUTS!$L$26/12*INPUTS!$B$12+INPUTS!$M$26))+IF(FACADE!G57="",0,FACADE!G57)*INPUTS!$B$15)/1000+ARCH_AG!G57/144*INPUTS!$B$12*INPUTS!$C$26/1000)</f>
        <v>7.3</v>
      </c>
      <c r="H57" s="9" t="n">
        <f aca="false">IF(TRIB!H57="",0,(TRIB!H57*IF($D57="A",(INPUTS!$G$27/12*INPUTS!$B$12+INPUTS!$H$27),(INPUTS!$L$27/12*INPUTS!$B$12+INPUTS!$M$27))+IF(FACADE!H57="",0,FACADE!H57)*INPUTS!$B$15)/1000+ARCH_AG!H57/144*INPUTS!$B$12*INPUTS!$C$27/1000)</f>
        <v>6.795</v>
      </c>
      <c r="I57" s="9" t="n">
        <f aca="false">IF(TRIB!I57="",0,(TRIB!I57*IF($D57="A",(INPUTS!$G$28/12*INPUTS!$B$12+INPUTS!$H$28),(INPUTS!$L$28/12*INPUTS!$B$12+INPUTS!$M$28))+IF(FACADE!I57="",0,FACADE!I57)*INPUTS!$B$15)/1000+ARCH_AG!I57/144*INPUTS!$B$12*INPUTS!$C$28/1000)</f>
        <v>6.795</v>
      </c>
      <c r="J57" s="9" t="n">
        <f aca="false">IF(TRIB!J57="",0,(TRIB!J57*IF($D57="A",(INPUTS!$G$29/12*INPUTS!$B$12+INPUTS!$H$29),(INPUTS!$L$29/12*INPUTS!$B$12+INPUTS!$M$29))+IF(FACADE!J57="",0,FACADE!J57)*INPUTS!$B$15)/1000+ARCH_AG!J57/144*INPUTS!$B$12*INPUTS!$C$29/1000)</f>
        <v>22.795</v>
      </c>
      <c r="K57" s="9" t="n">
        <f aca="false">IF(TRIB!K57="",0,(TRIB!K57*IF($D57="A",(INPUTS!$G$30/12*INPUTS!$B$12+INPUTS!$H$30),(INPUTS!$L$30/12*INPUTS!$B$12+INPUTS!$M$30))+IF(FACADE!K57="",0,FACADE!K57)*INPUTS!$B$15)/1000+ARCH_AG!K57/144*INPUTS!$B$12*INPUTS!$C$30/1000)</f>
        <v>7.905</v>
      </c>
      <c r="L57" s="9" t="n">
        <f aca="false">IF(TRIB!L57="",0,(TRIB!L57*IF($D57="A",(INPUTS!$G$31/12*INPUTS!$B$12+INPUTS!$H$31),(INPUTS!$L$31/12*INPUTS!$B$12+INPUTS!$M$31))+IF(FACADE!L57="",0,FACADE!L57)*INPUTS!$B$15)/1000+ARCH_AG!L57/144*INPUTS!$B$12*INPUTS!$C$31/1000)</f>
        <v>7.905</v>
      </c>
      <c r="M57" s="9" t="n">
        <f aca="false">IF(TRIB!M57="",0,(TRIB!M57*IF($D57="A",(INPUTS!$G$32/12*INPUTS!$B$12+INPUTS!$H$32),(INPUTS!$L$32/12*INPUTS!$B$12+INPUTS!$M$32))+IF(FACADE!M57="",0,FACADE!M57)*INPUTS!$B$15)/1000+ARCH_AG!M57/144*INPUTS!$B$12*INPUTS!$C$32/1000)</f>
        <v>7.905</v>
      </c>
      <c r="N57" s="9" t="n">
        <f aca="false">IF(TRIB!N57="",0,(TRIB!N57*IF($D57="A",(INPUTS!$G$33/12*INPUTS!$B$12+INPUTS!$H$33),(INPUTS!$L$33/12*INPUTS!$B$12+INPUTS!$M$33))+IF(FACADE!N57="",0,FACADE!N57)*INPUTS!$B$15)/1000+ARCH_AG!N57/144*INPUTS!$B$12*INPUTS!$C$33/1000)</f>
        <v>7.905</v>
      </c>
      <c r="O57" s="9" t="n">
        <f aca="false">IF(TRIB!O57="",0,(TRIB!O57*IF($D57="A",(INPUTS!$G$34/12*INPUTS!$B$12+INPUTS!$H$34),(INPUTS!$L$34/12*INPUTS!$B$12+INPUTS!$M$34))+IF(FACADE!O57="",0,FACADE!O57)*INPUTS!$B$15)/1000+ARCH_AG!O57/144*INPUTS!$B$12*INPUTS!$C$34/1000)</f>
        <v>7.905</v>
      </c>
      <c r="P57" s="9" t="n">
        <f aca="false">IF(TRIB!P57="",0,(TRIB!P57*IF($D57="A",(INPUTS!$G$35/12*INPUTS!$B$12+INPUTS!$H$35),(INPUTS!$L$35/12*INPUTS!$B$12+INPUTS!$M$35))+IF(FACADE!P57="",0,FACADE!P57)*INPUTS!$B$15)/1000+ARCH_AG!P57/144*INPUTS!$B$12*INPUTS!$C$35/1000)</f>
        <v>8.43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9" t="n">
        <f aca="false">IF(TRIB!E58="",0,(TRIB!E58*IF($D58="A",(INPUTS!$G$24/12*INPUTS!$B$12+INPUTS!$H$24),(INPUTS!$L$24/12*INPUTS!$B$12+INPUTS!$M$24))+IF(FACADE!E58="",0,FACADE!E58)*INPUTS!$B$15)/1000+ARCH_AG!E58/144*INPUTS!$B$12*INPUTS!$C$24/1000)</f>
        <v>42.0925</v>
      </c>
      <c r="F58" s="9" t="n">
        <f aca="false">IF(TRIB!F58="",0,(TRIB!F58*IF($D58="A",(INPUTS!$G$25/12*INPUTS!$B$12+INPUTS!$H$25),(INPUTS!$L$25/12*INPUTS!$B$12+INPUTS!$M$25))+IF(FACADE!F58="",0,FACADE!F58)*INPUTS!$B$15)/1000+ARCH_AG!F58/144*INPUTS!$B$12*INPUTS!$C$25/1000)</f>
        <v>45.0175</v>
      </c>
      <c r="G58" s="9" t="n">
        <f aca="false">IF(TRIB!G58="",0,(TRIB!G58*IF($D58="A",(INPUTS!$G$26/12*INPUTS!$B$12+INPUTS!$H$26),(INPUTS!$L$26/12*INPUTS!$B$12+INPUTS!$M$26))+IF(FACADE!G58="",0,FACADE!G58)*INPUTS!$B$15)/1000+ARCH_AG!G58/144*INPUTS!$B$12*INPUTS!$C$26/1000)</f>
        <v>45.4925</v>
      </c>
      <c r="H58" s="9" t="n">
        <f aca="false">IF(TRIB!H58="",0,(TRIB!H58*IF($D58="A",(INPUTS!$G$27/12*INPUTS!$B$12+INPUTS!$H$27),(INPUTS!$L$27/12*INPUTS!$B$12+INPUTS!$M$27))+IF(FACADE!H58="",0,FACADE!H58)*INPUTS!$B$15)/1000+ARCH_AG!H58/144*INPUTS!$B$12*INPUTS!$C$27/1000)</f>
        <v>48.4725</v>
      </c>
      <c r="I58" s="9" t="n">
        <f aca="false">IF(TRIB!I58="",0,(TRIB!I58*IF($D58="A",(INPUTS!$G$28/12*INPUTS!$B$12+INPUTS!$H$28),(INPUTS!$L$28/12*INPUTS!$B$12+INPUTS!$M$28))+IF(FACADE!I58="",0,FACADE!I58)*INPUTS!$B$15)/1000+ARCH_AG!I58/144*INPUTS!$B$12*INPUTS!$C$28/1000)</f>
        <v>48.4725</v>
      </c>
      <c r="J58" s="9" t="n">
        <f aca="false">IF(TRIB!J58="",0,(TRIB!J58*IF($D58="A",(INPUTS!$G$29/12*INPUTS!$B$12+INPUTS!$H$29),(INPUTS!$L$29/12*INPUTS!$B$12+INPUTS!$M$29))+IF(FACADE!J58="",0,FACADE!J58)*INPUTS!$B$15)/1000+ARCH_AG!J58/144*INPUTS!$B$12*INPUTS!$C$29/1000)</f>
        <v>48.3425</v>
      </c>
      <c r="K58" s="9" t="n">
        <f aca="false">IF(TRIB!K58="",0,(TRIB!K58*IF($D58="A",(INPUTS!$G$30/12*INPUTS!$B$12+INPUTS!$H$30),(INPUTS!$L$30/12*INPUTS!$B$12+INPUTS!$M$30))+IF(FACADE!K58="",0,FACADE!K58)*INPUTS!$B$15)/1000+ARCH_AG!K58/144*INPUTS!$B$12*INPUTS!$C$30/1000)</f>
        <v>45.2325</v>
      </c>
      <c r="L58" s="9" t="n">
        <f aca="false">IF(TRIB!L58="",0,(TRIB!L58*IF($D58="A",(INPUTS!$G$31/12*INPUTS!$B$12+INPUTS!$H$31),(INPUTS!$L$31/12*INPUTS!$B$12+INPUTS!$M$31))+IF(FACADE!L58="",0,FACADE!L58)*INPUTS!$B$15)/1000+ARCH_AG!L58/144*INPUTS!$B$12*INPUTS!$C$31/1000)</f>
        <v>45.2325</v>
      </c>
      <c r="M58" s="9" t="n">
        <f aca="false">IF(TRIB!M58="",0,(TRIB!M58*IF($D58="A",(INPUTS!$G$32/12*INPUTS!$B$12+INPUTS!$H$32),(INPUTS!$L$32/12*INPUTS!$B$12+INPUTS!$M$32))+IF(FACADE!M58="",0,FACADE!M58)*INPUTS!$B$15)/1000+ARCH_AG!M58/144*INPUTS!$B$12*INPUTS!$C$32/1000)</f>
        <v>45.2325</v>
      </c>
      <c r="N58" s="9" t="n">
        <f aca="false">IF(TRIB!N58="",0,(TRIB!N58*IF($D58="A",(INPUTS!$G$33/12*INPUTS!$B$12+INPUTS!$H$33),(INPUTS!$L$33/12*INPUTS!$B$12+INPUTS!$M$33))+IF(FACADE!N58="",0,FACADE!N58)*INPUTS!$B$15)/1000+ARCH_AG!N58/144*INPUTS!$B$12*INPUTS!$C$33/1000)</f>
        <v>45.2325</v>
      </c>
      <c r="O58" s="9" t="n">
        <f aca="false">IF(TRIB!O58="",0,(TRIB!O58*IF($D58="A",(INPUTS!$G$34/12*INPUTS!$B$12+INPUTS!$H$34),(INPUTS!$L$34/12*INPUTS!$B$12+INPUTS!$M$34))+IF(FACADE!O58="",0,FACADE!O58)*INPUTS!$B$15)/1000+ARCH_AG!O58/144*INPUTS!$B$12*INPUTS!$C$34/1000)</f>
        <v>45.2325</v>
      </c>
      <c r="P58" s="9" t="n">
        <f aca="false">IF(TRIB!P58="",0,(TRIB!P58*IF($D58="A",(INPUTS!$G$35/12*INPUTS!$B$12+INPUTS!$H$35),(INPUTS!$L$35/12*INPUTS!$B$12+INPUTS!$M$35))+IF(FACADE!P58="",0,FACADE!P58)*INPUTS!$B$15)/1000+ARCH_AG!P58/144*INPUTS!$B$12*INPUTS!$C$35/1000)</f>
        <v>46.02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9" t="n">
        <f aca="false">IF(TRIB!E59="",0,(TRIB!E59*IF($D59="A",(INPUTS!$G$24/12*INPUTS!$B$12+INPUTS!$H$24),(INPUTS!$L$24/12*INPUTS!$B$12+INPUTS!$M$24))+IF(FACADE!E59="",0,FACADE!E59)*INPUTS!$B$15)/1000+ARCH_AG!E59/144*INPUTS!$B$12*INPUTS!$C$24/1000)</f>
        <v>60.2275</v>
      </c>
      <c r="F59" s="9" t="n">
        <f aca="false">IF(TRIB!F59="",0,(TRIB!F59*IF($D59="A",(INPUTS!$G$25/12*INPUTS!$B$12+INPUTS!$H$25),(INPUTS!$L$25/12*INPUTS!$B$12+INPUTS!$M$25))+IF(FACADE!F59="",0,FACADE!F59)*INPUTS!$B$15)/1000+ARCH_AG!F59/144*INPUTS!$B$12*INPUTS!$C$25/1000)</f>
        <v>60.7525</v>
      </c>
      <c r="G59" s="9" t="n">
        <f aca="false">IF(TRIB!G59="",0,(TRIB!G59*IF($D59="A",(INPUTS!$G$26/12*INPUTS!$B$12+INPUTS!$H$26),(INPUTS!$L$26/12*INPUTS!$B$12+INPUTS!$M$26))+IF(FACADE!G59="",0,FACADE!G59)*INPUTS!$B$15)/1000+ARCH_AG!G59/144*INPUTS!$B$12*INPUTS!$C$26/1000)</f>
        <v>32.7725</v>
      </c>
      <c r="H59" s="9" t="n">
        <f aca="false">IF(TRIB!H59="",0,(TRIB!H59*IF($D59="A",(INPUTS!$G$27/12*INPUTS!$B$12+INPUTS!$H$27),(INPUTS!$L$27/12*INPUTS!$B$12+INPUTS!$M$27))+IF(FACADE!H59="",0,FACADE!H59)*INPUTS!$B$15)/1000+ARCH_AG!H59/144*INPUTS!$B$12*INPUTS!$C$27/1000)</f>
        <v>29.9525</v>
      </c>
      <c r="I59" s="9" t="n">
        <f aca="false">IF(TRIB!I59="",0,(TRIB!I59*IF($D59="A",(INPUTS!$G$28/12*INPUTS!$B$12+INPUTS!$H$28),(INPUTS!$L$28/12*INPUTS!$B$12+INPUTS!$M$28))+IF(FACADE!I59="",0,FACADE!I59)*INPUTS!$B$15)/1000+ARCH_AG!I59/144*INPUTS!$B$12*INPUTS!$C$28/1000)</f>
        <v>29.9525</v>
      </c>
      <c r="J59" s="9" t="n">
        <f aca="false">IF(TRIB!J59="",0,(TRIB!J59*IF($D59="A",(INPUTS!$G$29/12*INPUTS!$B$12+INPUTS!$H$29),(INPUTS!$L$29/12*INPUTS!$B$12+INPUTS!$M$29))+IF(FACADE!J59="",0,FACADE!J59)*INPUTS!$B$15)/1000+ARCH_AG!J59/144*INPUTS!$B$12*INPUTS!$C$29/1000)</f>
        <v>29.0425</v>
      </c>
      <c r="K59" s="9" t="n">
        <f aca="false">IF(TRIB!K59="",0,(TRIB!K59*IF($D59="A",(INPUTS!$G$30/12*INPUTS!$B$12+INPUTS!$H$30),(INPUTS!$L$30/12*INPUTS!$B$12+INPUTS!$M$30))+IF(FACADE!K59="",0,FACADE!K59)*INPUTS!$B$15)/1000+ARCH_AG!K59/144*INPUTS!$B$12*INPUTS!$C$30/1000)</f>
        <v>27.2325</v>
      </c>
      <c r="L59" s="9" t="n">
        <f aca="false">IF(TRIB!L59="",0,(TRIB!L59*IF($D59="A",(INPUTS!$G$31/12*INPUTS!$B$12+INPUTS!$H$31),(INPUTS!$L$31/12*INPUTS!$B$12+INPUTS!$M$31))+IF(FACADE!L59="",0,FACADE!L59)*INPUTS!$B$15)/1000+ARCH_AG!L59/144*INPUTS!$B$12*INPUTS!$C$31/1000)</f>
        <v>27.2325</v>
      </c>
      <c r="M59" s="9" t="n">
        <f aca="false">IF(TRIB!M59="",0,(TRIB!M59*IF($D59="A",(INPUTS!$G$32/12*INPUTS!$B$12+INPUTS!$H$32),(INPUTS!$L$32/12*INPUTS!$B$12+INPUTS!$M$32))+IF(FACADE!M59="",0,FACADE!M59)*INPUTS!$B$15)/1000+ARCH_AG!M59/144*INPUTS!$B$12*INPUTS!$C$32/1000)</f>
        <v>27.2325</v>
      </c>
      <c r="N59" s="9" t="n">
        <f aca="false">IF(TRIB!N59="",0,(TRIB!N59*IF($D59="A",(INPUTS!$G$33/12*INPUTS!$B$12+INPUTS!$H$33),(INPUTS!$L$33/12*INPUTS!$B$12+INPUTS!$M$33))+IF(FACADE!N59="",0,FACADE!N59)*INPUTS!$B$15)/1000+ARCH_AG!N59/144*INPUTS!$B$12*INPUTS!$C$33/1000)</f>
        <v>27.2325</v>
      </c>
      <c r="O59" s="9" t="n">
        <f aca="false">IF(TRIB!O59="",0,(TRIB!O59*IF($D59="A",(INPUTS!$G$34/12*INPUTS!$B$12+INPUTS!$H$34),(INPUTS!$L$34/12*INPUTS!$B$12+INPUTS!$M$34))+IF(FACADE!O59="",0,FACADE!O59)*INPUTS!$B$15)/1000+ARCH_AG!O59/144*INPUTS!$B$12*INPUTS!$C$34/1000)</f>
        <v>27.2325</v>
      </c>
      <c r="P59" s="9" t="n">
        <f aca="false">IF(TRIB!P59="",0,(TRIB!P59*IF($D59="A",(INPUTS!$G$35/12*INPUTS!$B$12+INPUTS!$H$35),(INPUTS!$L$35/12*INPUTS!$B$12+INPUTS!$M$35))+IF(FACADE!P59="",0,FACADE!P59)*INPUTS!$B$15)/1000+ARCH_AG!P59/144*INPUTS!$B$12*INPUTS!$C$35/1000)</f>
        <v>28.02</v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9" t="n">
        <f aca="false">IF(TRIB!E60="",0,(TRIB!E60*IF($D60="A",(INPUTS!$G$24/12*INPUTS!$B$12+INPUTS!$H$24),(INPUTS!$L$24/12*INPUTS!$B$12+INPUTS!$M$24))+IF(FACADE!E60="",0,FACADE!E60)*INPUTS!$B$15)/1000+ARCH_AG!E60/144*INPUTS!$B$12*INPUTS!$C$24/1000)</f>
        <v>59.475</v>
      </c>
      <c r="F60" s="9" t="n">
        <f aca="false">IF(TRIB!F60="",0,(TRIB!F60*IF($D60="A",(INPUTS!$G$25/12*INPUTS!$B$12+INPUTS!$H$25),(INPUTS!$L$25/12*INPUTS!$B$12+INPUTS!$M$25))+IF(FACADE!F60="",0,FACADE!F60)*INPUTS!$B$15)/1000+ARCH_AG!F60/144*INPUTS!$B$12*INPUTS!$C$25/1000)</f>
        <v>59.825</v>
      </c>
      <c r="G60" s="9" t="n">
        <f aca="false">IF(TRIB!G60="",0,(TRIB!G60*IF($D60="A",(INPUTS!$G$26/12*INPUTS!$B$12+INPUTS!$H$26),(INPUTS!$L$26/12*INPUTS!$B$12+INPUTS!$M$26))+IF(FACADE!G60="",0,FACADE!G60)*INPUTS!$B$15)/1000+ARCH_AG!G60/144*INPUTS!$B$12*INPUTS!$C$26/1000)</f>
        <v>6.285</v>
      </c>
      <c r="H60" s="9" t="n">
        <f aca="false">IF(TRIB!H60="",0,(TRIB!H60*IF($D60="A",(INPUTS!$G$27/12*INPUTS!$B$12+INPUTS!$H$27),(INPUTS!$L$27/12*INPUTS!$B$12+INPUTS!$M$27))+IF(FACADE!H60="",0,FACADE!H60)*INPUTS!$B$15)/1000+ARCH_AG!H60/144*INPUTS!$B$12*INPUTS!$C$27/1000)</f>
        <v>6.015</v>
      </c>
      <c r="I60" s="9" t="n">
        <f aca="false">IF(TRIB!I60="",0,(TRIB!I60*IF($D60="A",(INPUTS!$G$28/12*INPUTS!$B$12+INPUTS!$H$28),(INPUTS!$L$28/12*INPUTS!$B$12+INPUTS!$M$28))+IF(FACADE!I60="",0,FACADE!I60)*INPUTS!$B$15)/1000+ARCH_AG!I60/144*INPUTS!$B$12*INPUTS!$C$28/1000)</f>
        <v>6.015</v>
      </c>
      <c r="J60" s="9" t="n">
        <f aca="false">IF(TRIB!J60="",0,(TRIB!J60*IF($D60="A",(INPUTS!$G$29/12*INPUTS!$B$12+INPUTS!$H$29),(INPUTS!$L$29/12*INPUTS!$B$12+INPUTS!$M$29))+IF(FACADE!J60="",0,FACADE!J60)*INPUTS!$B$15)/1000+ARCH_AG!J60/144*INPUTS!$B$12*INPUTS!$C$29/1000)</f>
        <v>5.365</v>
      </c>
      <c r="K60" s="9" t="n">
        <f aca="false">IF(TRIB!K60="",0,(TRIB!K60*IF($D60="A",(INPUTS!$G$30/12*INPUTS!$B$12+INPUTS!$H$30),(INPUTS!$L$30/12*INPUTS!$B$12+INPUTS!$M$30))+IF(FACADE!K60="",0,FACADE!K60)*INPUTS!$B$15)/1000+ARCH_AG!K60/144*INPUTS!$B$12*INPUTS!$C$30/1000)</f>
        <v>5.415</v>
      </c>
      <c r="L60" s="9" t="n">
        <f aca="false">IF(TRIB!L60="",0,(TRIB!L60*IF($D60="A",(INPUTS!$G$31/12*INPUTS!$B$12+INPUTS!$H$31),(INPUTS!$L$31/12*INPUTS!$B$12+INPUTS!$M$31))+IF(FACADE!L60="",0,FACADE!L60)*INPUTS!$B$15)/1000+ARCH_AG!L60/144*INPUTS!$B$12*INPUTS!$C$31/1000)</f>
        <v>5.415</v>
      </c>
      <c r="M60" s="9" t="n">
        <f aca="false">IF(TRIB!M60="",0,(TRIB!M60*IF($D60="A",(INPUTS!$G$32/12*INPUTS!$B$12+INPUTS!$H$32),(INPUTS!$L$32/12*INPUTS!$B$12+INPUTS!$M$32))+IF(FACADE!M60="",0,FACADE!M60)*INPUTS!$B$15)/1000+ARCH_AG!M60/144*INPUTS!$B$12*INPUTS!$C$32/1000)</f>
        <v>5.415</v>
      </c>
      <c r="N60" s="9" t="n">
        <f aca="false">IF(TRIB!N60="",0,(TRIB!N60*IF($D60="A",(INPUTS!$G$33/12*INPUTS!$B$12+INPUTS!$H$33),(INPUTS!$L$33/12*INPUTS!$B$12+INPUTS!$M$33))+IF(FACADE!N60="",0,FACADE!N60)*INPUTS!$B$15)/1000+ARCH_AG!N60/144*INPUTS!$B$12*INPUTS!$C$33/1000)</f>
        <v>5.415</v>
      </c>
      <c r="O60" s="9" t="n">
        <f aca="false">IF(TRIB!O60="",0,(TRIB!O60*IF($D60="A",(INPUTS!$G$34/12*INPUTS!$B$12+INPUTS!$H$34),(INPUTS!$L$34/12*INPUTS!$B$12+INPUTS!$M$34))+IF(FACADE!O60="",0,FACADE!O60)*INPUTS!$B$15)/1000+ARCH_AG!O60/144*INPUTS!$B$12*INPUTS!$C$34/1000)</f>
        <v>5.415</v>
      </c>
      <c r="P60" s="9" t="n">
        <f aca="false">IF(TRIB!P60="",0,(TRIB!P60*IF($D60="A",(INPUTS!$G$35/12*INPUTS!$B$12+INPUTS!$H$35),(INPUTS!$L$35/12*INPUTS!$B$12+INPUTS!$M$35))+IF(FACADE!P60="",0,FACADE!P60)*INPUTS!$B$15)/1000+ARCH_AG!P60/144*INPUTS!$B$12*INPUTS!$C$35/1000)</f>
        <v>5.94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9" t="n">
        <f aca="false">IF(TRIB!E61="",0,(TRIB!E61*IF($D61="A",(INPUTS!$G$24/12*INPUTS!$B$12+INPUTS!$H$24),(INPUTS!$L$24/12*INPUTS!$B$12+INPUTS!$M$24))+IF(FACADE!E61="",0,FACADE!E61)*INPUTS!$B$15)/1000+ARCH_AG!E61/144*INPUTS!$B$12*INPUTS!$C$24/1000)</f>
        <v>62.5525</v>
      </c>
      <c r="F61" s="9" t="n">
        <f aca="false">IF(TRIB!F61="",0,(TRIB!F61*IF($D61="A",(INPUTS!$G$25/12*INPUTS!$B$12+INPUTS!$H$25),(INPUTS!$L$25/12*INPUTS!$B$12+INPUTS!$M$25))+IF(FACADE!F61="",0,FACADE!F61)*INPUTS!$B$15)/1000+ARCH_AG!F61/144*INPUTS!$B$12*INPUTS!$C$25/1000)</f>
        <v>66.6775</v>
      </c>
      <c r="G61" s="9" t="n">
        <f aca="false">IF(TRIB!G61="",0,(TRIB!G61*IF($D61="A",(INPUTS!$G$26/12*INPUTS!$B$12+INPUTS!$H$26),(INPUTS!$L$26/12*INPUTS!$B$12+INPUTS!$M$26))+IF(FACADE!G61="",0,FACADE!G61)*INPUTS!$B$15)/1000+ARCH_AG!G61/144*INPUTS!$B$12*INPUTS!$C$26/1000)</f>
        <v>59.1425</v>
      </c>
      <c r="H61" s="9" t="n">
        <f aca="false">IF(TRIB!H61="",0,(TRIB!H61*IF($D61="A",(INPUTS!$G$27/12*INPUTS!$B$12+INPUTS!$H$27),(INPUTS!$L$27/12*INPUTS!$B$12+INPUTS!$M$27))+IF(FACADE!H61="",0,FACADE!H61)*INPUTS!$B$15)/1000+ARCH_AG!H61/144*INPUTS!$B$12*INPUTS!$C$27/1000)</f>
        <v>62.6625</v>
      </c>
      <c r="I61" s="9" t="n">
        <f aca="false">IF(TRIB!I61="",0,(TRIB!I61*IF($D61="A",(INPUTS!$G$28/12*INPUTS!$B$12+INPUTS!$H$28),(INPUTS!$L$28/12*INPUTS!$B$12+INPUTS!$M$28))+IF(FACADE!I61="",0,FACADE!I61)*INPUTS!$B$15)/1000+ARCH_AG!I61/144*INPUTS!$B$12*INPUTS!$C$28/1000)</f>
        <v>62.6625</v>
      </c>
      <c r="J61" s="9" t="n">
        <f aca="false">IF(TRIB!J61="",0,(TRIB!J61*IF($D61="A",(INPUTS!$G$29/12*INPUTS!$B$12+INPUTS!$H$29),(INPUTS!$L$29/12*INPUTS!$B$12+INPUTS!$M$29))+IF(FACADE!J61="",0,FACADE!J61)*INPUTS!$B$15)/1000+ARCH_AG!J61/144*INPUTS!$B$12*INPUTS!$C$29/1000)</f>
        <v>62.6625</v>
      </c>
      <c r="K61" s="9" t="n">
        <f aca="false">IF(TRIB!K61="",0,(TRIB!K61*IF($D61="A",(INPUTS!$G$30/12*INPUTS!$B$12+INPUTS!$H$30),(INPUTS!$L$30/12*INPUTS!$B$12+INPUTS!$M$30))+IF(FACADE!K61="",0,FACADE!K61)*INPUTS!$B$15)/1000+ARCH_AG!K61/144*INPUTS!$B$12*INPUTS!$C$30/1000)</f>
        <v>58.6125</v>
      </c>
      <c r="L61" s="9" t="n">
        <f aca="false">IF(TRIB!L61="",0,(TRIB!L61*IF($D61="A",(INPUTS!$G$31/12*INPUTS!$B$12+INPUTS!$H$31),(INPUTS!$L$31/12*INPUTS!$B$12+INPUTS!$M$31))+IF(FACADE!L61="",0,FACADE!L61)*INPUTS!$B$15)/1000+ARCH_AG!L61/144*INPUTS!$B$12*INPUTS!$C$31/1000)</f>
        <v>58.6125</v>
      </c>
      <c r="M61" s="9" t="n">
        <f aca="false">IF(TRIB!M61="",0,(TRIB!M61*IF($D61="A",(INPUTS!$G$32/12*INPUTS!$B$12+INPUTS!$H$32),(INPUTS!$L$32/12*INPUTS!$B$12+INPUTS!$M$32))+IF(FACADE!M61="",0,FACADE!M61)*INPUTS!$B$15)/1000+ARCH_AG!M61/144*INPUTS!$B$12*INPUTS!$C$32/1000)</f>
        <v>58.6125</v>
      </c>
      <c r="N61" s="9" t="n">
        <f aca="false">IF(TRIB!N61="",0,(TRIB!N61*IF($D61="A",(INPUTS!$G$33/12*INPUTS!$B$12+INPUTS!$H$33),(INPUTS!$L$33/12*INPUTS!$B$12+INPUTS!$M$33))+IF(FACADE!N61="",0,FACADE!N61)*INPUTS!$B$15)/1000+ARCH_AG!N61/144*INPUTS!$B$12*INPUTS!$C$33/1000)</f>
        <v>58.6125</v>
      </c>
      <c r="O61" s="9" t="n">
        <f aca="false">IF(TRIB!O61="",0,(TRIB!O61*IF($D61="A",(INPUTS!$G$34/12*INPUTS!$B$12+INPUTS!$H$34),(INPUTS!$L$34/12*INPUTS!$B$12+INPUTS!$M$34))+IF(FACADE!O61="",0,FACADE!O61)*INPUTS!$B$15)/1000+ARCH_AG!O61/144*INPUTS!$B$12*INPUTS!$C$34/1000)</f>
        <v>58.6125</v>
      </c>
      <c r="P61" s="9" t="n">
        <f aca="false">IF(TRIB!P61="",0,(TRIB!P61*IF($D61="A",(INPUTS!$G$35/12*INPUTS!$B$12+INPUTS!$H$35),(INPUTS!$L$35/12*INPUTS!$B$12+INPUTS!$M$35))+IF(FACADE!P61="",0,FACADE!P61)*INPUTS!$B$15)/1000+ARCH_AG!P61/144*INPUTS!$B$12*INPUTS!$C$35/1000)</f>
        <v>59.4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9" t="n">
        <f aca="false">IF(TRIB!E62="",0,(TRIB!E62*IF($D62="A",(INPUTS!$G$24/12*INPUTS!$B$12+INPUTS!$H$24),(INPUTS!$L$24/12*INPUTS!$B$12+INPUTS!$M$24))+IF(FACADE!E62="",0,FACADE!E62)*INPUTS!$B$15)/1000+ARCH_AG!E62/144*INPUTS!$B$12*INPUTS!$C$24/1000)</f>
        <v>63.3275</v>
      </c>
      <c r="F62" s="9" t="n">
        <f aca="false">IF(TRIB!F62="",0,(TRIB!F62*IF($D62="A",(INPUTS!$G$25/12*INPUTS!$B$12+INPUTS!$H$25),(INPUTS!$L$25/12*INPUTS!$B$12+INPUTS!$M$25))+IF(FACADE!F62="",0,FACADE!F62)*INPUTS!$B$15)/1000+ARCH_AG!F62/144*INPUTS!$B$12*INPUTS!$C$25/1000)</f>
        <v>67.6025</v>
      </c>
      <c r="G62" s="9" t="n">
        <f aca="false">IF(TRIB!G62="",0,(TRIB!G62*IF($D62="A",(INPUTS!$G$26/12*INPUTS!$B$12+INPUTS!$H$26),(INPUTS!$L$26/12*INPUTS!$B$12+INPUTS!$M$26))+IF(FACADE!G62="",0,FACADE!G62)*INPUTS!$B$15)/1000+ARCH_AG!G62/144*INPUTS!$B$12*INPUTS!$C$26/1000)</f>
        <v>59.7175</v>
      </c>
      <c r="H62" s="9" t="n">
        <f aca="false">IF(TRIB!H62="",0,(TRIB!H62*IF($D62="A",(INPUTS!$G$27/12*INPUTS!$B$12+INPUTS!$H$27),(INPUTS!$L$27/12*INPUTS!$B$12+INPUTS!$M$27))+IF(FACADE!H62="",0,FACADE!H62)*INPUTS!$B$15)/1000+ARCH_AG!H62/144*INPUTS!$B$12*INPUTS!$C$27/1000)</f>
        <v>62.9225</v>
      </c>
      <c r="I62" s="9" t="n">
        <f aca="false">IF(TRIB!I62="",0,(TRIB!I62*IF($D62="A",(INPUTS!$G$28/12*INPUTS!$B$12+INPUTS!$H$28),(INPUTS!$L$28/12*INPUTS!$B$12+INPUTS!$M$28))+IF(FACADE!I62="",0,FACADE!I62)*INPUTS!$B$15)/1000+ARCH_AG!I62/144*INPUTS!$B$12*INPUTS!$C$28/1000)</f>
        <v>62.9225</v>
      </c>
      <c r="J62" s="9" t="n">
        <f aca="false">IF(TRIB!J62="",0,(TRIB!J62*IF($D62="A",(INPUTS!$G$29/12*INPUTS!$B$12+INPUTS!$H$29),(INPUTS!$L$29/12*INPUTS!$B$12+INPUTS!$M$29))+IF(FACADE!J62="",0,FACADE!J62)*INPUTS!$B$15)/1000+ARCH_AG!J62/144*INPUTS!$B$12*INPUTS!$C$29/1000)</f>
        <v>62.9225</v>
      </c>
      <c r="K62" s="9" t="n">
        <f aca="false">IF(TRIB!K62="",0,(TRIB!K62*IF($D62="A",(INPUTS!$G$30/12*INPUTS!$B$12+INPUTS!$H$30),(INPUTS!$L$30/12*INPUTS!$B$12+INPUTS!$M$30))+IF(FACADE!K62="",0,FACADE!K62)*INPUTS!$B$15)/1000+ARCH_AG!K62/144*INPUTS!$B$12*INPUTS!$C$30/1000)</f>
        <v>58.0125</v>
      </c>
      <c r="L62" s="9" t="n">
        <f aca="false">IF(TRIB!L62="",0,(TRIB!L62*IF($D62="A",(INPUTS!$G$31/12*INPUTS!$B$12+INPUTS!$H$31),(INPUTS!$L$31/12*INPUTS!$B$12+INPUTS!$M$31))+IF(FACADE!L62="",0,FACADE!L62)*INPUTS!$B$15)/1000+ARCH_AG!L62/144*INPUTS!$B$12*INPUTS!$C$31/1000)</f>
        <v>67.1325</v>
      </c>
      <c r="M62" s="9" t="n">
        <f aca="false">IF(TRIB!M62="",0,(TRIB!M62*IF($D62="A",(INPUTS!$G$32/12*INPUTS!$B$12+INPUTS!$H$32),(INPUTS!$L$32/12*INPUTS!$B$12+INPUTS!$M$32))+IF(FACADE!M62="",0,FACADE!M62)*INPUTS!$B$15)/1000+ARCH_AG!M62/144*INPUTS!$B$12*INPUTS!$C$32/1000)</f>
        <v>67.1325</v>
      </c>
      <c r="N62" s="9" t="n">
        <f aca="false">IF(TRIB!N62="",0,(TRIB!N62*IF($D62="A",(INPUTS!$G$33/12*INPUTS!$B$12+INPUTS!$H$33),(INPUTS!$L$33/12*INPUTS!$B$12+INPUTS!$M$33))+IF(FACADE!N62="",0,FACADE!N62)*INPUTS!$B$15)/1000+ARCH_AG!N62/144*INPUTS!$B$12*INPUTS!$C$33/1000)</f>
        <v>67.1325</v>
      </c>
      <c r="O62" s="9" t="n">
        <f aca="false">IF(TRIB!O62="",0,(TRIB!O62*IF($D62="A",(INPUTS!$G$34/12*INPUTS!$B$12+INPUTS!$H$34),(INPUTS!$L$34/12*INPUTS!$B$12+INPUTS!$M$34))+IF(FACADE!O62="",0,FACADE!O62)*INPUTS!$B$15)/1000+ARCH_AG!O62/144*INPUTS!$B$12*INPUTS!$C$34/1000)</f>
        <v>67.1325</v>
      </c>
      <c r="P62" s="9" t="n">
        <f aca="false">IF(TRIB!P62="",0,(TRIB!P62*IF($D62="A",(INPUTS!$G$35/12*INPUTS!$B$12+INPUTS!$H$35),(INPUTS!$L$35/12*INPUTS!$B$12+INPUTS!$M$35))+IF(FACADE!P62="",0,FACADE!P62)*INPUTS!$B$15)/1000+ARCH_AG!P62/144*INPUTS!$B$12*INPUTS!$C$35/1000)</f>
        <v>67.92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9" t="n">
        <f aca="false">IF(TRIB!E63="",0,(TRIB!E63*IF($D63="A",(INPUTS!$G$24/12*INPUTS!$B$12+INPUTS!$H$24),(INPUTS!$L$24/12*INPUTS!$B$12+INPUTS!$M$24))+IF(FACADE!E63="",0,FACADE!E63)*INPUTS!$B$15)/1000+ARCH_AG!E63/144*INPUTS!$B$12*INPUTS!$C$24/1000)</f>
        <v>45.3475</v>
      </c>
      <c r="F63" s="9" t="n">
        <f aca="false">IF(TRIB!F63="",0,(TRIB!F63*IF($D63="A",(INPUTS!$G$25/12*INPUTS!$B$12+INPUTS!$H$25),(INPUTS!$L$25/12*INPUTS!$B$12+INPUTS!$M$25))+IF(FACADE!F63="",0,FACADE!F63)*INPUTS!$B$15)/1000+ARCH_AG!F63/144*INPUTS!$B$12*INPUTS!$C$25/1000)</f>
        <v>48.4225</v>
      </c>
      <c r="G63" s="9" t="n">
        <f aca="false">IF(TRIB!G63="",0,(TRIB!G63*IF($D63="A",(INPUTS!$G$26/12*INPUTS!$B$12+INPUTS!$H$26),(INPUTS!$L$26/12*INPUTS!$B$12+INPUTS!$M$26))+IF(FACADE!G63="",0,FACADE!G63)*INPUTS!$B$15)/1000+ARCH_AG!G63/144*INPUTS!$B$12*INPUTS!$C$26/1000)</f>
        <v>43.8775</v>
      </c>
      <c r="H63" s="9" t="n">
        <f aca="false">IF(TRIB!H63="",0,(TRIB!H63*IF($D63="A",(INPUTS!$G$27/12*INPUTS!$B$12+INPUTS!$H$27),(INPUTS!$L$27/12*INPUTS!$B$12+INPUTS!$M$27))+IF(FACADE!H63="",0,FACADE!H63)*INPUTS!$B$15)/1000+ARCH_AG!H63/144*INPUTS!$B$12*INPUTS!$C$27/1000)</f>
        <v>52.5225</v>
      </c>
      <c r="I63" s="9" t="n">
        <f aca="false">IF(TRIB!I63="",0,(TRIB!I63*IF($D63="A",(INPUTS!$G$28/12*INPUTS!$B$12+INPUTS!$H$28),(INPUTS!$L$28/12*INPUTS!$B$12+INPUTS!$M$28))+IF(FACADE!I63="",0,FACADE!I63)*INPUTS!$B$15)/1000+ARCH_AG!I63/144*INPUTS!$B$12*INPUTS!$C$28/1000)</f>
        <v>52.5225</v>
      </c>
      <c r="J63" s="9" t="n">
        <f aca="false">IF(TRIB!J63="",0,(TRIB!J63*IF($D63="A",(INPUTS!$G$29/12*INPUTS!$B$12+INPUTS!$H$29),(INPUTS!$L$29/12*INPUTS!$B$12+INPUTS!$M$29))+IF(FACADE!J63="",0,FACADE!J63)*INPUTS!$B$15)/1000+ARCH_AG!J63/144*INPUTS!$B$12*INPUTS!$C$29/1000)</f>
        <v>52.5225</v>
      </c>
      <c r="K63" s="9" t="n">
        <f aca="false">IF(TRIB!K63="",0,(TRIB!K63*IF($D63="A",(INPUTS!$G$30/12*INPUTS!$B$12+INPUTS!$H$30),(INPUTS!$L$30/12*INPUTS!$B$12+INPUTS!$M$30))+IF(FACADE!K63="",0,FACADE!K63)*INPUTS!$B$15)/1000+ARCH_AG!K63/144*INPUTS!$B$12*INPUTS!$C$30/1000)</f>
        <v>52.7025</v>
      </c>
      <c r="L63" s="9" t="n">
        <f aca="false">IF(TRIB!L63="",0,(TRIB!L63*IF($D63="A",(INPUTS!$G$31/12*INPUTS!$B$12+INPUTS!$H$31),(INPUTS!$L$31/12*INPUTS!$B$12+INPUTS!$M$31))+IF(FACADE!L63="",0,FACADE!L63)*INPUTS!$B$15)/1000+ARCH_AG!L63/144*INPUTS!$B$12*INPUTS!$C$31/1000)</f>
        <v>19.3425</v>
      </c>
      <c r="M63" s="9" t="n">
        <f aca="false">IF(TRIB!M63="",0,(TRIB!M63*IF($D63="A",(INPUTS!$G$32/12*INPUTS!$B$12+INPUTS!$H$32),(INPUTS!$L$32/12*INPUTS!$B$12+INPUTS!$M$32))+IF(FACADE!M63="",0,FACADE!M63)*INPUTS!$B$15)/1000+ARCH_AG!M63/144*INPUTS!$B$12*INPUTS!$C$32/1000)</f>
        <v>19.3425</v>
      </c>
      <c r="N63" s="9" t="n">
        <f aca="false">IF(TRIB!N63="",0,(TRIB!N63*IF($D63="A",(INPUTS!$G$33/12*INPUTS!$B$12+INPUTS!$H$33),(INPUTS!$L$33/12*INPUTS!$B$12+INPUTS!$M$33))+IF(FACADE!N63="",0,FACADE!N63)*INPUTS!$B$15)/1000+ARCH_AG!N63/144*INPUTS!$B$12*INPUTS!$C$33/1000)</f>
        <v>19.3425</v>
      </c>
      <c r="O63" s="9" t="n">
        <f aca="false">IF(TRIB!O63="",0,(TRIB!O63*IF($D63="A",(INPUTS!$G$34/12*INPUTS!$B$12+INPUTS!$H$34),(INPUTS!$L$34/12*INPUTS!$B$12+INPUTS!$M$34))+IF(FACADE!O63="",0,FACADE!O63)*INPUTS!$B$15)/1000+ARCH_AG!O63/144*INPUTS!$B$12*INPUTS!$C$34/1000)</f>
        <v>19.3425</v>
      </c>
      <c r="P63" s="9" t="n">
        <f aca="false">IF(TRIB!P63="",0,(TRIB!P63*IF($D63="A",(INPUTS!$G$35/12*INPUTS!$B$12+INPUTS!$H$35),(INPUTS!$L$35/12*INPUTS!$B$12+INPUTS!$M$35))+IF(FACADE!P63="",0,FACADE!P63)*INPUTS!$B$15)/1000+ARCH_AG!P63/144*INPUTS!$B$12*INPUTS!$C$35/1000)</f>
        <v>20.13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9" t="n">
        <f aca="false">IF(TRIB!E64="",0,(TRIB!E64*IF($D64="A",(INPUTS!$G$24/12*INPUTS!$B$12+INPUTS!$H$24),(INPUTS!$L$24/12*INPUTS!$B$12+INPUTS!$M$24))+IF(FACADE!E64="",0,FACADE!E64)*INPUTS!$B$15)/1000+ARCH_AG!E64/144*INPUTS!$B$12*INPUTS!$C$24/1000)</f>
        <v>124.8625</v>
      </c>
      <c r="F64" s="9" t="n">
        <f aca="false">IF(TRIB!F64="",0,(TRIB!F64*IF($D64="A",(INPUTS!$G$25/12*INPUTS!$B$12+INPUTS!$H$25),(INPUTS!$L$25/12*INPUTS!$B$12+INPUTS!$M$25))+IF(FACADE!F64="",0,FACADE!F64)*INPUTS!$B$15)/1000+ARCH_AG!F64/144*INPUTS!$B$12*INPUTS!$C$25/1000)</f>
        <v>125.3875</v>
      </c>
      <c r="G64" s="9" t="n">
        <f aca="false">IF(TRIB!G64="",0,(TRIB!G64*IF($D64="A",(INPUTS!$G$26/12*INPUTS!$B$12+INPUTS!$H$26),(INPUTS!$L$26/12*INPUTS!$B$12+INPUTS!$M$26))+IF(FACADE!G64="",0,FACADE!G64)*INPUTS!$B$15)/1000+ARCH_AG!G64/144*INPUTS!$B$12*INPUTS!$C$26/1000)</f>
        <v>83.6675</v>
      </c>
      <c r="H64" s="9" t="n">
        <f aca="false">IF(TRIB!H64="",0,(TRIB!H64*IF($D64="A",(INPUTS!$G$27/12*INPUTS!$B$12+INPUTS!$H$27),(INPUTS!$L$27/12*INPUTS!$B$12+INPUTS!$M$27))+IF(FACADE!H64="",0,FACADE!H64)*INPUTS!$B$15)/1000+ARCH_AG!H64/144*INPUTS!$B$12*INPUTS!$C$27/1000)</f>
        <v>75.5825</v>
      </c>
      <c r="I64" s="9" t="n">
        <f aca="false">IF(TRIB!I64="",0,(TRIB!I64*IF($D64="A",(INPUTS!$G$28/12*INPUTS!$B$12+INPUTS!$H$28),(INPUTS!$L$28/12*INPUTS!$B$12+INPUTS!$M$28))+IF(FACADE!I64="",0,FACADE!I64)*INPUTS!$B$15)/1000+ARCH_AG!I64/144*INPUTS!$B$12*INPUTS!$C$28/1000)</f>
        <v>75.5825</v>
      </c>
      <c r="J64" s="9" t="n">
        <f aca="false">IF(TRIB!J64="",0,(TRIB!J64*IF($D64="A",(INPUTS!$G$29/12*INPUTS!$B$12+INPUTS!$H$29),(INPUTS!$L$29/12*INPUTS!$B$12+INPUTS!$M$29))+IF(FACADE!J64="",0,FACADE!J64)*INPUTS!$B$15)/1000+ARCH_AG!J64/144*INPUTS!$B$12*INPUTS!$C$29/1000)</f>
        <v>77.4025</v>
      </c>
      <c r="K64" s="9" t="n">
        <f aca="false">IF(TRIB!K64="",0,(TRIB!K64*IF($D64="A",(INPUTS!$G$30/12*INPUTS!$B$12+INPUTS!$H$30),(INPUTS!$L$30/12*INPUTS!$B$12+INPUTS!$M$30))+IF(FACADE!K64="",0,FACADE!K64)*INPUTS!$B$15)/1000+ARCH_AG!K64/144*INPUTS!$B$12*INPUTS!$C$30/1000)</f>
        <v>0</v>
      </c>
      <c r="L64" s="9" t="n">
        <f aca="false">IF(TRIB!L64="",0,(TRIB!L64*IF($D64="A",(INPUTS!$G$31/12*INPUTS!$B$12+INPUTS!$H$31),(INPUTS!$L$31/12*INPUTS!$B$12+INPUTS!$M$31))+IF(FACADE!L64="",0,FACADE!L64)*INPUTS!$B$15)/1000+ARCH_AG!L64/144*INPUTS!$B$12*INPUTS!$C$31/1000)</f>
        <v>0</v>
      </c>
      <c r="M64" s="9" t="n">
        <f aca="false">IF(TRIB!M64="",0,(TRIB!M64*IF($D64="A",(INPUTS!$G$32/12*INPUTS!$B$12+INPUTS!$H$32),(INPUTS!$L$32/12*INPUTS!$B$12+INPUTS!$M$32))+IF(FACADE!M64="",0,FACADE!M64)*INPUTS!$B$15)/1000+ARCH_AG!M64/144*INPUTS!$B$12*INPUTS!$C$32/1000)</f>
        <v>0</v>
      </c>
      <c r="N64" s="9" t="n">
        <f aca="false">IF(TRIB!N64="",0,(TRIB!N64*IF($D64="A",(INPUTS!$G$33/12*INPUTS!$B$12+INPUTS!$H$33),(INPUTS!$L$33/12*INPUTS!$B$12+INPUTS!$M$33))+IF(FACADE!N64="",0,FACADE!N64)*INPUTS!$B$15)/1000+ARCH_AG!N64/144*INPUTS!$B$12*INPUTS!$C$33/1000)</f>
        <v>0</v>
      </c>
      <c r="O64" s="9" t="n">
        <f aca="false">IF(TRIB!O64="",0,(TRIB!O64*IF($D64="A",(INPUTS!$G$34/12*INPUTS!$B$12+INPUTS!$H$34),(INPUTS!$L$34/12*INPUTS!$B$12+INPUTS!$M$34))+IF(FACADE!O64="",0,FACADE!O64)*INPUTS!$B$15)/1000+ARCH_AG!O64/144*INPUTS!$B$12*INPUTS!$C$34/1000)</f>
        <v>0</v>
      </c>
      <c r="P64" s="9" t="n">
        <f aca="false">IF(TRIB!P64="",0,(TRIB!P64*IF($D64="A",(INPUTS!$G$35/12*INPUTS!$B$12+INPUTS!$H$35),(INPUTS!$L$35/12*INPUTS!$B$12+INPUTS!$M$35))+IF(FACADE!P64="",0,FACADE!P64)*INPUTS!$B$15)/1000+ARCH_AG!P64/144*INPUTS!$B$12*INPUTS!$C$35/1000)</f>
        <v>0</v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9" t="n">
        <f aca="false">IF(TRIB!E65="",0,(TRIB!E65*IF($D65="A",(INPUTS!$G$24/12*INPUTS!$B$12+INPUTS!$H$24),(INPUTS!$L$24/12*INPUTS!$B$12+INPUTS!$M$24))+IF(FACADE!E65="",0,FACADE!E65)*INPUTS!$B$15)/1000+ARCH_AG!E65/144*INPUTS!$B$12*INPUTS!$C$24/1000)</f>
        <v>100.2175</v>
      </c>
      <c r="F65" s="9" t="n">
        <f aca="false">IF(TRIB!F65="",0,(TRIB!F65*IF($D65="A",(INPUTS!$G$25/12*INPUTS!$B$12+INPUTS!$H$25),(INPUTS!$L$25/12*INPUTS!$B$12+INPUTS!$M$25))+IF(FACADE!F65="",0,FACADE!F65)*INPUTS!$B$15)/1000+ARCH_AG!F65/144*INPUTS!$B$12*INPUTS!$C$25/1000)</f>
        <v>100.7425</v>
      </c>
      <c r="G65" s="9" t="n">
        <f aca="false">IF(TRIB!G65="",0,(TRIB!G65*IF($D65="A",(INPUTS!$G$26/12*INPUTS!$B$12+INPUTS!$H$26),(INPUTS!$L$26/12*INPUTS!$B$12+INPUTS!$M$26))+IF(FACADE!G65="",0,FACADE!G65)*INPUTS!$B$15)/1000+ARCH_AG!G65/144*INPUTS!$B$12*INPUTS!$C$26/1000)</f>
        <v>85.2625</v>
      </c>
      <c r="H65" s="9" t="n">
        <f aca="false">IF(TRIB!H65="",0,(TRIB!H65*IF($D65="A",(INPUTS!$G$27/12*INPUTS!$B$12+INPUTS!$H$27),(INPUTS!$L$27/12*INPUTS!$B$12+INPUTS!$M$27))+IF(FACADE!H65="",0,FACADE!H65)*INPUTS!$B$15)/1000+ARCH_AG!H65/144*INPUTS!$B$12*INPUTS!$C$27/1000)</f>
        <v>77.1425</v>
      </c>
      <c r="I65" s="9" t="n">
        <f aca="false">IF(TRIB!I65="",0,(TRIB!I65*IF($D65="A",(INPUTS!$G$28/12*INPUTS!$B$12+INPUTS!$H$28),(INPUTS!$L$28/12*INPUTS!$B$12+INPUTS!$M$28))+IF(FACADE!I65="",0,FACADE!I65)*INPUTS!$B$15)/1000+ARCH_AG!I65/144*INPUTS!$B$12*INPUTS!$C$28/1000)</f>
        <v>77.1425</v>
      </c>
      <c r="J65" s="9" t="n">
        <f aca="false">IF(TRIB!J65="",0,(TRIB!J65*IF($D65="A",(INPUTS!$G$29/12*INPUTS!$B$12+INPUTS!$H$29),(INPUTS!$L$29/12*INPUTS!$B$12+INPUTS!$M$29))+IF(FACADE!J65="",0,FACADE!J65)*INPUTS!$B$15)/1000+ARCH_AG!J65/144*INPUTS!$B$12*INPUTS!$C$29/1000)</f>
        <v>79.4825</v>
      </c>
      <c r="K65" s="9" t="n">
        <f aca="false">IF(TRIB!K65="",0,(TRIB!K65*IF($D65="A",(INPUTS!$G$30/12*INPUTS!$B$12+INPUTS!$H$30),(INPUTS!$L$30/12*INPUTS!$B$12+INPUTS!$M$30))+IF(FACADE!K65="",0,FACADE!K65)*INPUTS!$B$15)/1000+ARCH_AG!K65/144*INPUTS!$B$12*INPUTS!$C$30/1000)</f>
        <v>0</v>
      </c>
      <c r="L65" s="9" t="n">
        <f aca="false">IF(TRIB!L65="",0,(TRIB!L65*IF($D65="A",(INPUTS!$G$31/12*INPUTS!$B$12+INPUTS!$H$31),(INPUTS!$L$31/12*INPUTS!$B$12+INPUTS!$M$31))+IF(FACADE!L65="",0,FACADE!L65)*INPUTS!$B$15)/1000+ARCH_AG!L65/144*INPUTS!$B$12*INPUTS!$C$31/1000)</f>
        <v>0</v>
      </c>
      <c r="M65" s="9" t="n">
        <f aca="false">IF(TRIB!M65="",0,(TRIB!M65*IF($D65="A",(INPUTS!$G$32/12*INPUTS!$B$12+INPUTS!$H$32),(INPUTS!$L$32/12*INPUTS!$B$12+INPUTS!$M$32))+IF(FACADE!M65="",0,FACADE!M65)*INPUTS!$B$15)/1000+ARCH_AG!M65/144*INPUTS!$B$12*INPUTS!$C$32/1000)</f>
        <v>0</v>
      </c>
      <c r="N65" s="9" t="n">
        <f aca="false">IF(TRIB!N65="",0,(TRIB!N65*IF($D65="A",(INPUTS!$G$33/12*INPUTS!$B$12+INPUTS!$H$33),(INPUTS!$L$33/12*INPUTS!$B$12+INPUTS!$M$33))+IF(FACADE!N65="",0,FACADE!N65)*INPUTS!$B$15)/1000+ARCH_AG!N65/144*INPUTS!$B$12*INPUTS!$C$33/1000)</f>
        <v>0</v>
      </c>
      <c r="O65" s="9" t="n">
        <f aca="false">IF(TRIB!O65="",0,(TRIB!O65*IF($D65="A",(INPUTS!$G$34/12*INPUTS!$B$12+INPUTS!$H$34),(INPUTS!$L$34/12*INPUTS!$B$12+INPUTS!$M$34))+IF(FACADE!O65="",0,FACADE!O65)*INPUTS!$B$15)/1000+ARCH_AG!O65/144*INPUTS!$B$12*INPUTS!$C$34/1000)</f>
        <v>0</v>
      </c>
      <c r="P65" s="9" t="n">
        <f aca="false">IF(TRIB!P65="",0,(TRIB!P65*IF($D65="A",(INPUTS!$G$35/12*INPUTS!$B$12+INPUTS!$H$35),(INPUTS!$L$35/12*INPUTS!$B$12+INPUTS!$M$35))+IF(FACADE!P65="",0,FACADE!P65)*INPUTS!$B$15)/1000+ARCH_AG!P65/144*INPUTS!$B$12*INPUTS!$C$35/1000)</f>
        <v>0</v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9" t="n">
        <f aca="false">IF(TRIB!E66="",0,(TRIB!E66*IF($D66="A",(INPUTS!$G$24/12*INPUTS!$B$12+INPUTS!$H$24),(INPUTS!$L$24/12*INPUTS!$B$12+INPUTS!$M$24))+IF(FACADE!E66="",0,FACADE!E66)*INPUTS!$B$15)/1000+ARCH_AG!E66/144*INPUTS!$B$12*INPUTS!$C$24/1000)</f>
        <v>67.3575</v>
      </c>
      <c r="F66" s="9" t="n">
        <f aca="false">IF(TRIB!F66="",0,(TRIB!F66*IF($D66="A",(INPUTS!$G$25/12*INPUTS!$B$12+INPUTS!$H$25),(INPUTS!$L$25/12*INPUTS!$B$12+INPUTS!$M$25))+IF(FACADE!F66="",0,FACADE!F66)*INPUTS!$B$15)/1000+ARCH_AG!F66/144*INPUTS!$B$12*INPUTS!$C$25/1000)</f>
        <v>67.8825</v>
      </c>
      <c r="G66" s="9" t="n">
        <f aca="false">IF(TRIB!G66="",0,(TRIB!G66*IF($D66="A",(INPUTS!$G$26/12*INPUTS!$B$12+INPUTS!$H$26),(INPUTS!$L$26/12*INPUTS!$B$12+INPUTS!$M$26))+IF(FACADE!G66="",0,FACADE!G66)*INPUTS!$B$15)/1000+ARCH_AG!G66/144*INPUTS!$B$12*INPUTS!$C$26/1000)</f>
        <v>54.6675</v>
      </c>
      <c r="H66" s="9" t="n">
        <f aca="false">IF(TRIB!H66="",0,(TRIB!H66*IF($D66="A",(INPUTS!$G$27/12*INPUTS!$B$12+INPUTS!$H$27),(INPUTS!$L$27/12*INPUTS!$B$12+INPUTS!$M$27))+IF(FACADE!H66="",0,FACADE!H66)*INPUTS!$B$15)/1000+ARCH_AG!H66/144*INPUTS!$B$12*INPUTS!$C$27/1000)</f>
        <v>50.6225</v>
      </c>
      <c r="I66" s="9" t="n">
        <f aca="false">IF(TRIB!I66="",0,(TRIB!I66*IF($D66="A",(INPUTS!$G$28/12*INPUTS!$B$12+INPUTS!$H$28),(INPUTS!$L$28/12*INPUTS!$B$12+INPUTS!$M$28))+IF(FACADE!I66="",0,FACADE!I66)*INPUTS!$B$15)/1000+ARCH_AG!I66/144*INPUTS!$B$12*INPUTS!$C$28/1000)</f>
        <v>50.6225</v>
      </c>
      <c r="J66" s="9" t="n">
        <f aca="false">IF(TRIB!J66="",0,(TRIB!J66*IF($D66="A",(INPUTS!$G$29/12*INPUTS!$B$12+INPUTS!$H$29),(INPUTS!$L$29/12*INPUTS!$B$12+INPUTS!$M$29))+IF(FACADE!J66="",0,FACADE!J66)*INPUTS!$B$15)/1000+ARCH_AG!J66/144*INPUTS!$B$12*INPUTS!$C$29/1000)</f>
        <v>103.6525</v>
      </c>
      <c r="K66" s="9" t="n">
        <f aca="false">IF(TRIB!K66="",0,(TRIB!K66*IF($D66="A",(INPUTS!$G$30/12*INPUTS!$B$12+INPUTS!$H$30),(INPUTS!$L$30/12*INPUTS!$B$12+INPUTS!$M$30))+IF(FACADE!K66="",0,FACADE!K66)*INPUTS!$B$15)/1000+ARCH_AG!K66/144*INPUTS!$B$12*INPUTS!$C$30/1000)</f>
        <v>0</v>
      </c>
      <c r="L66" s="9" t="n">
        <f aca="false">IF(TRIB!L66="",0,(TRIB!L66*IF($D66="A",(INPUTS!$G$31/12*INPUTS!$B$12+INPUTS!$H$31),(INPUTS!$L$31/12*INPUTS!$B$12+INPUTS!$M$31))+IF(FACADE!L66="",0,FACADE!L66)*INPUTS!$B$15)/1000+ARCH_AG!L66/144*INPUTS!$B$12*INPUTS!$C$31/1000)</f>
        <v>0</v>
      </c>
      <c r="M66" s="9" t="n">
        <f aca="false">IF(TRIB!M66="",0,(TRIB!M66*IF($D66="A",(INPUTS!$G$32/12*INPUTS!$B$12+INPUTS!$H$32),(INPUTS!$L$32/12*INPUTS!$B$12+INPUTS!$M$32))+IF(FACADE!M66="",0,FACADE!M66)*INPUTS!$B$15)/1000+ARCH_AG!M66/144*INPUTS!$B$12*INPUTS!$C$32/1000)</f>
        <v>0</v>
      </c>
      <c r="N66" s="9" t="n">
        <f aca="false">IF(TRIB!N66="",0,(TRIB!N66*IF($D66="A",(INPUTS!$G$33/12*INPUTS!$B$12+INPUTS!$H$33),(INPUTS!$L$33/12*INPUTS!$B$12+INPUTS!$M$33))+IF(FACADE!N66="",0,FACADE!N66)*INPUTS!$B$15)/1000+ARCH_AG!N66/144*INPUTS!$B$12*INPUTS!$C$33/1000)</f>
        <v>0</v>
      </c>
      <c r="O66" s="9" t="n">
        <f aca="false">IF(TRIB!O66="",0,(TRIB!O66*IF($D66="A",(INPUTS!$G$34/12*INPUTS!$B$12+INPUTS!$H$34),(INPUTS!$L$34/12*INPUTS!$B$12+INPUTS!$M$34))+IF(FACADE!O66="",0,FACADE!O66)*INPUTS!$B$15)/1000+ARCH_AG!O66/144*INPUTS!$B$12*INPUTS!$C$34/1000)</f>
        <v>0</v>
      </c>
      <c r="P66" s="9" t="n">
        <f aca="false">IF(TRIB!P66="",0,(TRIB!P66*IF($D66="A",(INPUTS!$G$35/12*INPUTS!$B$12+INPUTS!$H$35),(INPUTS!$L$35/12*INPUTS!$B$12+INPUTS!$M$35))+IF(FACADE!P66="",0,FACADE!P66)*INPUTS!$B$15)/1000+ARCH_AG!P66/144*INPUTS!$B$12*INPUTS!$C$35/1000)</f>
        <v>0</v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9" t="n">
        <f aca="false">IF(TRIB!E67="",0,(TRIB!E67*IF($D67="A",(INPUTS!$G$24/12*INPUTS!$B$12+INPUTS!$H$24),(INPUTS!$L$24/12*INPUTS!$B$12+INPUTS!$M$24))+IF(FACADE!E67="",0,FACADE!E67)*INPUTS!$B$15)/1000+ARCH_AG!E67/144*INPUTS!$B$12*INPUTS!$C$24/1000)</f>
        <v>93.3975</v>
      </c>
      <c r="F67" s="9" t="n">
        <f aca="false">IF(TRIB!F67="",0,(TRIB!F67*IF($D67="A",(INPUTS!$G$25/12*INPUTS!$B$12+INPUTS!$H$25),(INPUTS!$L$25/12*INPUTS!$B$12+INPUTS!$M$25))+IF(FACADE!F67="",0,FACADE!F67)*INPUTS!$B$15)/1000+ARCH_AG!F67/144*INPUTS!$B$12*INPUTS!$C$25/1000)</f>
        <v>93.9225</v>
      </c>
      <c r="G67" s="9" t="n">
        <f aca="false">IF(TRIB!G67="",0,(TRIB!G67*IF($D67="A",(INPUTS!$G$26/12*INPUTS!$B$12+INPUTS!$H$26),(INPUTS!$L$26/12*INPUTS!$B$12+INPUTS!$M$26))+IF(FACADE!G67="",0,FACADE!G67)*INPUTS!$B$15)/1000+ARCH_AG!G67/144*INPUTS!$B$12*INPUTS!$C$26/1000)</f>
        <v>63.8025</v>
      </c>
      <c r="H67" s="9" t="n">
        <f aca="false">IF(TRIB!H67="",0,(TRIB!H67*IF($D67="A",(INPUTS!$G$27/12*INPUTS!$B$12+INPUTS!$H$27),(INPUTS!$L$27/12*INPUTS!$B$12+INPUTS!$M$27))+IF(FACADE!H67="",0,FACADE!H67)*INPUTS!$B$15)/1000+ARCH_AG!H67/144*INPUTS!$B$12*INPUTS!$C$27/1000)</f>
        <v>57.7725</v>
      </c>
      <c r="I67" s="9" t="n">
        <f aca="false">IF(TRIB!I67="",0,(TRIB!I67*IF($D67="A",(INPUTS!$G$28/12*INPUTS!$B$12+INPUTS!$H$28),(INPUTS!$L$28/12*INPUTS!$B$12+INPUTS!$M$28))+IF(FACADE!I67="",0,FACADE!I67)*INPUTS!$B$15)/1000+ARCH_AG!I67/144*INPUTS!$B$12*INPUTS!$C$28/1000)</f>
        <v>57.7725</v>
      </c>
      <c r="J67" s="9" t="n">
        <f aca="false">IF(TRIB!J67="",0,(TRIB!J67*IF($D67="A",(INPUTS!$G$29/12*INPUTS!$B$12+INPUTS!$H$29),(INPUTS!$L$29/12*INPUTS!$B$12+INPUTS!$M$29))+IF(FACADE!J67="",0,FACADE!J67)*INPUTS!$B$15)/1000+ARCH_AG!J67/144*INPUTS!$B$12*INPUTS!$C$29/1000)</f>
        <v>56.9925</v>
      </c>
      <c r="K67" s="9" t="n">
        <f aca="false">IF(TRIB!K67="",0,(TRIB!K67*IF($D67="A",(INPUTS!$G$30/12*INPUTS!$B$12+INPUTS!$H$30),(INPUTS!$L$30/12*INPUTS!$B$12+INPUTS!$M$30))+IF(FACADE!K67="",0,FACADE!K67)*INPUTS!$B$15)/1000+ARCH_AG!K67/144*INPUTS!$B$12*INPUTS!$C$30/1000)</f>
        <v>0</v>
      </c>
      <c r="L67" s="9" t="n">
        <f aca="false">IF(TRIB!L67="",0,(TRIB!L67*IF($D67="A",(INPUTS!$G$31/12*INPUTS!$B$12+INPUTS!$H$31),(INPUTS!$L$31/12*INPUTS!$B$12+INPUTS!$M$31))+IF(FACADE!L67="",0,FACADE!L67)*INPUTS!$B$15)/1000+ARCH_AG!L67/144*INPUTS!$B$12*INPUTS!$C$31/1000)</f>
        <v>0</v>
      </c>
      <c r="M67" s="9" t="n">
        <f aca="false">IF(TRIB!M67="",0,(TRIB!M67*IF($D67="A",(INPUTS!$G$32/12*INPUTS!$B$12+INPUTS!$H$32),(INPUTS!$L$32/12*INPUTS!$B$12+INPUTS!$M$32))+IF(FACADE!M67="",0,FACADE!M67)*INPUTS!$B$15)/1000+ARCH_AG!M67/144*INPUTS!$B$12*INPUTS!$C$32/1000)</f>
        <v>0</v>
      </c>
      <c r="N67" s="9" t="n">
        <f aca="false">IF(TRIB!N67="",0,(TRIB!N67*IF($D67="A",(INPUTS!$G$33/12*INPUTS!$B$12+INPUTS!$H$33),(INPUTS!$L$33/12*INPUTS!$B$12+INPUTS!$M$33))+IF(FACADE!N67="",0,FACADE!N67)*INPUTS!$B$15)/1000+ARCH_AG!N67/144*INPUTS!$B$12*INPUTS!$C$33/1000)</f>
        <v>0</v>
      </c>
      <c r="O67" s="9" t="n">
        <f aca="false">IF(TRIB!O67="",0,(TRIB!O67*IF($D67="A",(INPUTS!$G$34/12*INPUTS!$B$12+INPUTS!$H$34),(INPUTS!$L$34/12*INPUTS!$B$12+INPUTS!$M$34))+IF(FACADE!O67="",0,FACADE!O67)*INPUTS!$B$15)/1000+ARCH_AG!O67/144*INPUTS!$B$12*INPUTS!$C$34/1000)</f>
        <v>0</v>
      </c>
      <c r="P67" s="9" t="n">
        <f aca="false">IF(TRIB!P67="",0,(TRIB!P67*IF($D67="A",(INPUTS!$G$35/12*INPUTS!$B$12+INPUTS!$H$35),(INPUTS!$L$35/12*INPUTS!$B$12+INPUTS!$M$35))+IF(FACADE!P67="",0,FACADE!P67)*INPUTS!$B$15)/1000+ARCH_AG!P67/144*INPUTS!$B$12*INPUTS!$C$35/1000)</f>
        <v>0</v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9" t="n">
        <f aca="false">IF(TRIB!E68="",0,(TRIB!E68*IF($D68="A",(INPUTS!$G$24/12*INPUTS!$B$12+INPUTS!$H$24),(INPUTS!$L$24/12*INPUTS!$B$12+INPUTS!$M$24))+IF(FACADE!E68="",0,FACADE!E68)*INPUTS!$B$15)/1000+ARCH_AG!E68/144*INPUTS!$B$12*INPUTS!$C$24/1000)</f>
        <v>119.9025</v>
      </c>
      <c r="F68" s="9" t="n">
        <f aca="false">IF(TRIB!F68="",0,(TRIB!F68*IF($D68="A",(INPUTS!$G$25/12*INPUTS!$B$12+INPUTS!$H$25),(INPUTS!$L$25/12*INPUTS!$B$12+INPUTS!$M$25))+IF(FACADE!F68="",0,FACADE!F68)*INPUTS!$B$15)/1000+ARCH_AG!F68/144*INPUTS!$B$12*INPUTS!$C$25/1000)</f>
        <v>120.4275</v>
      </c>
      <c r="G68" s="9" t="n">
        <f aca="false">IF(TRIB!G68="",0,(TRIB!G68*IF($D68="A",(INPUTS!$G$26/12*INPUTS!$B$12+INPUTS!$H$26),(INPUTS!$L$26/12*INPUTS!$B$12+INPUTS!$M$26))+IF(FACADE!G68="",0,FACADE!G68)*INPUTS!$B$15)/1000+ARCH_AG!G68/144*INPUTS!$B$12*INPUTS!$C$26/1000)</f>
        <v>80.9125</v>
      </c>
      <c r="H68" s="9" t="n">
        <f aca="false">IF(TRIB!H68="",0,(TRIB!H68*IF($D68="A",(INPUTS!$G$27/12*INPUTS!$B$12+INPUTS!$H$27),(INPUTS!$L$27/12*INPUTS!$B$12+INPUTS!$M$27))+IF(FACADE!H68="",0,FACADE!H68)*INPUTS!$B$15)/1000+ARCH_AG!H68/144*INPUTS!$B$12*INPUTS!$C$27/1000)</f>
        <v>73.1125</v>
      </c>
      <c r="I68" s="9" t="n">
        <f aca="false">IF(TRIB!I68="",0,(TRIB!I68*IF($D68="A",(INPUTS!$G$28/12*INPUTS!$B$12+INPUTS!$H$28),(INPUTS!$L$28/12*INPUTS!$B$12+INPUTS!$M$28))+IF(FACADE!I68="",0,FACADE!I68)*INPUTS!$B$15)/1000+ARCH_AG!I68/144*INPUTS!$B$12*INPUTS!$C$28/1000)</f>
        <v>73.1125</v>
      </c>
      <c r="J68" s="9" t="n">
        <f aca="false">IF(TRIB!J68="",0,(TRIB!J68*IF($D68="A",(INPUTS!$G$29/12*INPUTS!$B$12+INPUTS!$H$29),(INPUTS!$L$29/12*INPUTS!$B$12+INPUTS!$M$29))+IF(FACADE!J68="",0,FACADE!J68)*INPUTS!$B$15)/1000+ARCH_AG!J68/144*INPUTS!$B$12*INPUTS!$C$29/1000)</f>
        <v>105.6125</v>
      </c>
      <c r="K68" s="9" t="n">
        <f aca="false">IF(TRIB!K68="",0,(TRIB!K68*IF($D68="A",(INPUTS!$G$30/12*INPUTS!$B$12+INPUTS!$H$30),(INPUTS!$L$30/12*INPUTS!$B$12+INPUTS!$M$30))+IF(FACADE!K68="",0,FACADE!K68)*INPUTS!$B$15)/1000+ARCH_AG!K68/144*INPUTS!$B$12*INPUTS!$C$30/1000)</f>
        <v>0</v>
      </c>
      <c r="L68" s="9" t="n">
        <f aca="false">IF(TRIB!L68="",0,(TRIB!L68*IF($D68="A",(INPUTS!$G$31/12*INPUTS!$B$12+INPUTS!$H$31),(INPUTS!$L$31/12*INPUTS!$B$12+INPUTS!$M$31))+IF(FACADE!L68="",0,FACADE!L68)*INPUTS!$B$15)/1000+ARCH_AG!L68/144*INPUTS!$B$12*INPUTS!$C$31/1000)</f>
        <v>0</v>
      </c>
      <c r="M68" s="9" t="n">
        <f aca="false">IF(TRIB!M68="",0,(TRIB!M68*IF($D68="A",(INPUTS!$G$32/12*INPUTS!$B$12+INPUTS!$H$32),(INPUTS!$L$32/12*INPUTS!$B$12+INPUTS!$M$32))+IF(FACADE!M68="",0,FACADE!M68)*INPUTS!$B$15)/1000+ARCH_AG!M68/144*INPUTS!$B$12*INPUTS!$C$32/1000)</f>
        <v>0</v>
      </c>
      <c r="N68" s="9" t="n">
        <f aca="false">IF(TRIB!N68="",0,(TRIB!N68*IF($D68="A",(INPUTS!$G$33/12*INPUTS!$B$12+INPUTS!$H$33),(INPUTS!$L$33/12*INPUTS!$B$12+INPUTS!$M$33))+IF(FACADE!N68="",0,FACADE!N68)*INPUTS!$B$15)/1000+ARCH_AG!N68/144*INPUTS!$B$12*INPUTS!$C$33/1000)</f>
        <v>0</v>
      </c>
      <c r="O68" s="9" t="n">
        <f aca="false">IF(TRIB!O68="",0,(TRIB!O68*IF($D68="A",(INPUTS!$G$34/12*INPUTS!$B$12+INPUTS!$H$34),(INPUTS!$L$34/12*INPUTS!$B$12+INPUTS!$M$34))+IF(FACADE!O68="",0,FACADE!O68)*INPUTS!$B$15)/1000+ARCH_AG!O68/144*INPUTS!$B$12*INPUTS!$C$34/1000)</f>
        <v>0</v>
      </c>
      <c r="P68" s="9" t="n">
        <f aca="false">IF(TRIB!P68="",0,(TRIB!P68*IF($D68="A",(INPUTS!$G$35/12*INPUTS!$B$12+INPUTS!$H$35),(INPUTS!$L$35/12*INPUTS!$B$12+INPUTS!$M$35))+IF(FACADE!P68="",0,FACADE!P68)*INPUTS!$B$15)/1000+ARCH_AG!P68/144*INPUTS!$B$12*INPUTS!$C$35/1000)</f>
        <v>0</v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9" t="n">
        <f aca="false">IF(TRIB!E69="",0,(TRIB!E69*IF($D69="A",(INPUTS!$G$24/12*INPUTS!$B$12+INPUTS!$H$24),(INPUTS!$L$24/12*INPUTS!$B$12+INPUTS!$M$24))+IF(FACADE!E69="",0,FACADE!E69)*INPUTS!$B$15)/1000+ARCH_AG!E69/144*INPUTS!$B$12*INPUTS!$C$24/1000)</f>
        <v>121.7625</v>
      </c>
      <c r="F69" s="9" t="n">
        <f aca="false">IF(TRIB!F69="",0,(TRIB!F69*IF($D69="A",(INPUTS!$G$25/12*INPUTS!$B$12+INPUTS!$H$25),(INPUTS!$L$25/12*INPUTS!$B$12+INPUTS!$M$25))+IF(FACADE!F69="",0,FACADE!F69)*INPUTS!$B$15)/1000+ARCH_AG!F69/144*INPUTS!$B$12*INPUTS!$C$25/1000)</f>
        <v>122.2875</v>
      </c>
      <c r="G69" s="9" t="n">
        <f aca="false">IF(TRIB!G69="",0,(TRIB!G69*IF($D69="A",(INPUTS!$G$26/12*INPUTS!$B$12+INPUTS!$H$26),(INPUTS!$L$26/12*INPUTS!$B$12+INPUTS!$M$26))+IF(FACADE!G69="",0,FACADE!G69)*INPUTS!$B$15)/1000+ARCH_AG!G69/144*INPUTS!$B$12*INPUTS!$C$26/1000)</f>
        <v>85.9875</v>
      </c>
      <c r="H69" s="9" t="n">
        <f aca="false">IF(TRIB!H69="",0,(TRIB!H69*IF($D69="A",(INPUTS!$G$27/12*INPUTS!$B$12+INPUTS!$H$27),(INPUTS!$L$27/12*INPUTS!$B$12+INPUTS!$M$27))+IF(FACADE!H69="",0,FACADE!H69)*INPUTS!$B$15)/1000+ARCH_AG!H69/144*INPUTS!$B$12*INPUTS!$C$27/1000)</f>
        <v>77.6625</v>
      </c>
      <c r="I69" s="9" t="n">
        <f aca="false">IF(TRIB!I69="",0,(TRIB!I69*IF($D69="A",(INPUTS!$G$28/12*INPUTS!$B$12+INPUTS!$H$28),(INPUTS!$L$28/12*INPUTS!$B$12+INPUTS!$M$28))+IF(FACADE!I69="",0,FACADE!I69)*INPUTS!$B$15)/1000+ARCH_AG!I69/144*INPUTS!$B$12*INPUTS!$C$28/1000)</f>
        <v>77.6625</v>
      </c>
      <c r="J69" s="9" t="n">
        <f aca="false">IF(TRIB!J69="",0,(TRIB!J69*IF($D69="A",(INPUTS!$G$29/12*INPUTS!$B$12+INPUTS!$H$29),(INPUTS!$L$29/12*INPUTS!$B$12+INPUTS!$M$29))+IF(FACADE!J69="",0,FACADE!J69)*INPUTS!$B$15)/1000+ARCH_AG!J69/144*INPUTS!$B$12*INPUTS!$C$29/1000)</f>
        <v>103.9225</v>
      </c>
      <c r="K69" s="9" t="n">
        <f aca="false">IF(TRIB!K69="",0,(TRIB!K69*IF($D69="A",(INPUTS!$G$30/12*INPUTS!$B$12+INPUTS!$H$30),(INPUTS!$L$30/12*INPUTS!$B$12+INPUTS!$M$30))+IF(FACADE!K69="",0,FACADE!K69)*INPUTS!$B$15)/1000+ARCH_AG!K69/144*INPUTS!$B$12*INPUTS!$C$30/1000)</f>
        <v>0</v>
      </c>
      <c r="L69" s="9" t="n">
        <f aca="false">IF(TRIB!L69="",0,(TRIB!L69*IF($D69="A",(INPUTS!$G$31/12*INPUTS!$B$12+INPUTS!$H$31),(INPUTS!$L$31/12*INPUTS!$B$12+INPUTS!$M$31))+IF(FACADE!L69="",0,FACADE!L69)*INPUTS!$B$15)/1000+ARCH_AG!L69/144*INPUTS!$B$12*INPUTS!$C$31/1000)</f>
        <v>0</v>
      </c>
      <c r="M69" s="9" t="n">
        <f aca="false">IF(TRIB!M69="",0,(TRIB!M69*IF($D69="A",(INPUTS!$G$32/12*INPUTS!$B$12+INPUTS!$H$32),(INPUTS!$L$32/12*INPUTS!$B$12+INPUTS!$M$32))+IF(FACADE!M69="",0,FACADE!M69)*INPUTS!$B$15)/1000+ARCH_AG!M69/144*INPUTS!$B$12*INPUTS!$C$32/1000)</f>
        <v>0</v>
      </c>
      <c r="N69" s="9" t="n">
        <f aca="false">IF(TRIB!N69="",0,(TRIB!N69*IF($D69="A",(INPUTS!$G$33/12*INPUTS!$B$12+INPUTS!$H$33),(INPUTS!$L$33/12*INPUTS!$B$12+INPUTS!$M$33))+IF(FACADE!N69="",0,FACADE!N69)*INPUTS!$B$15)/1000+ARCH_AG!N69/144*INPUTS!$B$12*INPUTS!$C$33/1000)</f>
        <v>0</v>
      </c>
      <c r="O69" s="9" t="n">
        <f aca="false">IF(TRIB!O69="",0,(TRIB!O69*IF($D69="A",(INPUTS!$G$34/12*INPUTS!$B$12+INPUTS!$H$34),(INPUTS!$L$34/12*INPUTS!$B$12+INPUTS!$M$34))+IF(FACADE!O69="",0,FACADE!O69)*INPUTS!$B$15)/1000+ARCH_AG!O69/144*INPUTS!$B$12*INPUTS!$C$34/1000)</f>
        <v>0</v>
      </c>
      <c r="P69" s="9" t="n">
        <f aca="false">IF(TRIB!P69="",0,(TRIB!P69*IF($D69="A",(INPUTS!$G$35/12*INPUTS!$B$12+INPUTS!$H$35),(INPUTS!$L$35/12*INPUTS!$B$12+INPUTS!$M$35))+IF(FACADE!P69="",0,FACADE!P69)*INPUTS!$B$15)/1000+ARCH_AG!P69/144*INPUTS!$B$12*INPUTS!$C$35/1000)</f>
        <v>0</v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9" t="n">
        <f aca="false">IF(TRIB!E70="",0,(TRIB!E70*IF($D70="A",(INPUTS!$G$24/12*INPUTS!$B$12+INPUTS!$H$24),(INPUTS!$L$24/12*INPUTS!$B$12+INPUTS!$M$24))+IF(FACADE!E70="",0,FACADE!E70)*INPUTS!$B$15)/1000+ARCH_AG!E70/144*INPUTS!$B$12*INPUTS!$C$24/1000)</f>
        <v>63.3275</v>
      </c>
      <c r="F70" s="9" t="n">
        <f aca="false">IF(TRIB!F70="",0,(TRIB!F70*IF($D70="A",(INPUTS!$G$25/12*INPUTS!$B$12+INPUTS!$H$25),(INPUTS!$L$25/12*INPUTS!$B$12+INPUTS!$M$25))+IF(FACADE!F70="",0,FACADE!F70)*INPUTS!$B$15)/1000+ARCH_AG!F70/144*INPUTS!$B$12*INPUTS!$C$25/1000)</f>
        <v>63.8525</v>
      </c>
      <c r="G70" s="9" t="n">
        <f aca="false">IF(TRIB!G70="",0,(TRIB!G70*IF($D70="A",(INPUTS!$G$26/12*INPUTS!$B$12+INPUTS!$H$26),(INPUTS!$L$26/12*INPUTS!$B$12+INPUTS!$M$26))+IF(FACADE!G70="",0,FACADE!G70)*INPUTS!$B$15)/1000+ARCH_AG!G70/144*INPUTS!$B$12*INPUTS!$C$26/1000)</f>
        <v>59.5975</v>
      </c>
      <c r="H70" s="9" t="n">
        <f aca="false">IF(TRIB!H70="",0,(TRIB!H70*IF($D70="A",(INPUTS!$G$27/12*INPUTS!$B$12+INPUTS!$H$27),(INPUTS!$L$27/12*INPUTS!$B$12+INPUTS!$M$27))+IF(FACADE!H70="",0,FACADE!H70)*INPUTS!$B$15)/1000+ARCH_AG!H70/144*INPUTS!$B$12*INPUTS!$C$27/1000)</f>
        <v>54.0025</v>
      </c>
      <c r="I70" s="9" t="n">
        <f aca="false">IF(TRIB!I70="",0,(TRIB!I70*IF($D70="A",(INPUTS!$G$28/12*INPUTS!$B$12+INPUTS!$H$28),(INPUTS!$L$28/12*INPUTS!$B$12+INPUTS!$M$28))+IF(FACADE!I70="",0,FACADE!I70)*INPUTS!$B$15)/1000+ARCH_AG!I70/144*INPUTS!$B$12*INPUTS!$C$28/1000)</f>
        <v>54.0025</v>
      </c>
      <c r="J70" s="9" t="n">
        <f aca="false">IF(TRIB!J70="",0,(TRIB!J70*IF($D70="A",(INPUTS!$G$29/12*INPUTS!$B$12+INPUTS!$H$29),(INPUTS!$L$29/12*INPUTS!$B$12+INPUTS!$M$29))+IF(FACADE!J70="",0,FACADE!J70)*INPUTS!$B$15)/1000+ARCH_AG!J70/144*INPUTS!$B$12*INPUTS!$C$29/1000)</f>
        <v>97.8225</v>
      </c>
      <c r="K70" s="9" t="n">
        <f aca="false">IF(TRIB!K70="",0,(TRIB!K70*IF($D70="A",(INPUTS!$G$30/12*INPUTS!$B$12+INPUTS!$H$30),(INPUTS!$L$30/12*INPUTS!$B$12+INPUTS!$M$30))+IF(FACADE!K70="",0,FACADE!K70)*INPUTS!$B$15)/1000+ARCH_AG!K70/144*INPUTS!$B$12*INPUTS!$C$30/1000)</f>
        <v>0</v>
      </c>
      <c r="L70" s="9" t="n">
        <f aca="false">IF(TRIB!L70="",0,(TRIB!L70*IF($D70="A",(INPUTS!$G$31/12*INPUTS!$B$12+INPUTS!$H$31),(INPUTS!$L$31/12*INPUTS!$B$12+INPUTS!$M$31))+IF(FACADE!L70="",0,FACADE!L70)*INPUTS!$B$15)/1000+ARCH_AG!L70/144*INPUTS!$B$12*INPUTS!$C$31/1000)</f>
        <v>0</v>
      </c>
      <c r="M70" s="9" t="n">
        <f aca="false">IF(TRIB!M70="",0,(TRIB!M70*IF($D70="A",(INPUTS!$G$32/12*INPUTS!$B$12+INPUTS!$H$32),(INPUTS!$L$32/12*INPUTS!$B$12+INPUTS!$M$32))+IF(FACADE!M70="",0,FACADE!M70)*INPUTS!$B$15)/1000+ARCH_AG!M70/144*INPUTS!$B$12*INPUTS!$C$32/1000)</f>
        <v>0</v>
      </c>
      <c r="N70" s="9" t="n">
        <f aca="false">IF(TRIB!N70="",0,(TRIB!N70*IF($D70="A",(INPUTS!$G$33/12*INPUTS!$B$12+INPUTS!$H$33),(INPUTS!$L$33/12*INPUTS!$B$12+INPUTS!$M$33))+IF(FACADE!N70="",0,FACADE!N70)*INPUTS!$B$15)/1000+ARCH_AG!N70/144*INPUTS!$B$12*INPUTS!$C$33/1000)</f>
        <v>0</v>
      </c>
      <c r="O70" s="9" t="n">
        <f aca="false">IF(TRIB!O70="",0,(TRIB!O70*IF($D70="A",(INPUTS!$G$34/12*INPUTS!$B$12+INPUTS!$H$34),(INPUTS!$L$34/12*INPUTS!$B$12+INPUTS!$M$34))+IF(FACADE!O70="",0,FACADE!O70)*INPUTS!$B$15)/1000+ARCH_AG!O70/144*INPUTS!$B$12*INPUTS!$C$34/1000)</f>
        <v>0</v>
      </c>
      <c r="P70" s="9" t="n">
        <f aca="false">IF(TRIB!P70="",0,(TRIB!P70*IF($D70="A",(INPUTS!$G$35/12*INPUTS!$B$12+INPUTS!$H$35),(INPUTS!$L$35/12*INPUTS!$B$12+INPUTS!$M$35))+IF(FACADE!P70="",0,FACADE!P70)*INPUTS!$B$15)/1000+ARCH_AG!P70/144*INPUTS!$B$12*INPUTS!$C$35/1000)</f>
        <v>0</v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9" t="n">
        <f aca="false">IF(TRIB!E71="",0,(TRIB!E71*IF($D71="A",(INPUTS!$G$24/12*INPUTS!$B$12+INPUTS!$H$24),(INPUTS!$L$24/12*INPUTS!$B$12+INPUTS!$M$24))+IF(FACADE!E71="",0,FACADE!E71)*INPUTS!$B$15)/1000+ARCH_AG!E71/144*INPUTS!$B$12*INPUTS!$C$24/1000)</f>
        <v>90.4525</v>
      </c>
      <c r="F71" s="9" t="n">
        <f aca="false">IF(TRIB!F71="",0,(TRIB!F71*IF($D71="A",(INPUTS!$G$25/12*INPUTS!$B$12+INPUTS!$H$25),(INPUTS!$L$25/12*INPUTS!$B$12+INPUTS!$M$25))+IF(FACADE!F71="",0,FACADE!F71)*INPUTS!$B$15)/1000+ARCH_AG!F71/144*INPUTS!$B$12*INPUTS!$C$25/1000)</f>
        <v>90.9775</v>
      </c>
      <c r="G71" s="9" t="n">
        <f aca="false">IF(TRIB!G71="",0,(TRIB!G71*IF($D71="A",(INPUTS!$G$26/12*INPUTS!$B$12+INPUTS!$H$26),(INPUTS!$L$26/12*INPUTS!$B$12+INPUTS!$M$26))+IF(FACADE!G71="",0,FACADE!G71)*INPUTS!$B$15)/1000+ARCH_AG!G71/144*INPUTS!$B$12*INPUTS!$C$26/1000)</f>
        <v>79.1725</v>
      </c>
      <c r="H71" s="9" t="n">
        <f aca="false">IF(TRIB!H71="",0,(TRIB!H71*IF($D71="A",(INPUTS!$G$27/12*INPUTS!$B$12+INPUTS!$H$27),(INPUTS!$L$27/12*INPUTS!$B$12+INPUTS!$M$27))+IF(FACADE!H71="",0,FACADE!H71)*INPUTS!$B$15)/1000+ARCH_AG!H71/144*INPUTS!$B$12*INPUTS!$C$27/1000)</f>
        <v>71.5525</v>
      </c>
      <c r="I71" s="9" t="n">
        <f aca="false">IF(TRIB!I71="",0,(TRIB!I71*IF($D71="A",(INPUTS!$G$28/12*INPUTS!$B$12+INPUTS!$H$28),(INPUTS!$L$28/12*INPUTS!$B$12+INPUTS!$M$28))+IF(FACADE!I71="",0,FACADE!I71)*INPUTS!$B$15)/1000+ARCH_AG!I71/144*INPUTS!$B$12*INPUTS!$C$28/1000)</f>
        <v>71.5525</v>
      </c>
      <c r="J71" s="9" t="n">
        <f aca="false">IF(TRIB!J71="",0,(TRIB!J71*IF($D71="A",(INPUTS!$G$29/12*INPUTS!$B$12+INPUTS!$H$29),(INPUTS!$L$29/12*INPUTS!$B$12+INPUTS!$M$29))+IF(FACADE!J71="",0,FACADE!J71)*INPUTS!$B$15)/1000+ARCH_AG!J71/144*INPUTS!$B$12*INPUTS!$C$29/1000)</f>
        <v>70.9025</v>
      </c>
      <c r="K71" s="9" t="n">
        <f aca="false">IF(TRIB!K71="",0,(TRIB!K71*IF($D71="A",(INPUTS!$G$30/12*INPUTS!$B$12+INPUTS!$H$30),(INPUTS!$L$30/12*INPUTS!$B$12+INPUTS!$M$30))+IF(FACADE!K71="",0,FACADE!K71)*INPUTS!$B$15)/1000+ARCH_AG!K71/144*INPUTS!$B$12*INPUTS!$C$30/1000)</f>
        <v>0</v>
      </c>
      <c r="L71" s="9" t="n">
        <f aca="false">IF(TRIB!L71="",0,(TRIB!L71*IF($D71="A",(INPUTS!$G$31/12*INPUTS!$B$12+INPUTS!$H$31),(INPUTS!$L$31/12*INPUTS!$B$12+INPUTS!$M$31))+IF(FACADE!L71="",0,FACADE!L71)*INPUTS!$B$15)/1000+ARCH_AG!L71/144*INPUTS!$B$12*INPUTS!$C$31/1000)</f>
        <v>0</v>
      </c>
      <c r="M71" s="9" t="n">
        <f aca="false">IF(TRIB!M71="",0,(TRIB!M71*IF($D71="A",(INPUTS!$G$32/12*INPUTS!$B$12+INPUTS!$H$32),(INPUTS!$L$32/12*INPUTS!$B$12+INPUTS!$M$32))+IF(FACADE!M71="",0,FACADE!M71)*INPUTS!$B$15)/1000+ARCH_AG!M71/144*INPUTS!$B$12*INPUTS!$C$32/1000)</f>
        <v>0</v>
      </c>
      <c r="N71" s="9" t="n">
        <f aca="false">IF(TRIB!N71="",0,(TRIB!N71*IF($D71="A",(INPUTS!$G$33/12*INPUTS!$B$12+INPUTS!$H$33),(INPUTS!$L$33/12*INPUTS!$B$12+INPUTS!$M$33))+IF(FACADE!N71="",0,FACADE!N71)*INPUTS!$B$15)/1000+ARCH_AG!N71/144*INPUTS!$B$12*INPUTS!$C$33/1000)</f>
        <v>0</v>
      </c>
      <c r="O71" s="9" t="n">
        <f aca="false">IF(TRIB!O71="",0,(TRIB!O71*IF($D71="A",(INPUTS!$G$34/12*INPUTS!$B$12+INPUTS!$H$34),(INPUTS!$L$34/12*INPUTS!$B$12+INPUTS!$M$34))+IF(FACADE!O71="",0,FACADE!O71)*INPUTS!$B$15)/1000+ARCH_AG!O71/144*INPUTS!$B$12*INPUTS!$C$34/1000)</f>
        <v>0</v>
      </c>
      <c r="P71" s="9" t="n">
        <f aca="false">IF(TRIB!P71="",0,(TRIB!P71*IF($D71="A",(INPUTS!$G$35/12*INPUTS!$B$12+INPUTS!$H$35),(INPUTS!$L$35/12*INPUTS!$B$12+INPUTS!$M$35))+IF(FACADE!P71="",0,FACADE!P71)*INPUTS!$B$15)/1000+ARCH_AG!P71/144*INPUTS!$B$12*INPUTS!$C$35/1000)</f>
        <v>0</v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9" t="n">
        <f aca="false">IF(TRIB!E72="",0,(TRIB!E72*IF($D72="A",(INPUTS!$G$24/12*INPUTS!$B$12+INPUTS!$H$24),(INPUTS!$L$24/12*INPUTS!$B$12+INPUTS!$M$24))+IF(FACADE!E72="",0,FACADE!E72)*INPUTS!$B$15)/1000+ARCH_AG!E72/144*INPUTS!$B$12*INPUTS!$C$24/1000)</f>
        <v>85.3375</v>
      </c>
      <c r="F72" s="9" t="n">
        <f aca="false">IF(TRIB!F72="",0,(TRIB!F72*IF($D72="A",(INPUTS!$G$25/12*INPUTS!$B$12+INPUTS!$H$25),(INPUTS!$L$25/12*INPUTS!$B$12+INPUTS!$M$25))+IF(FACADE!F72="",0,FACADE!F72)*INPUTS!$B$15)/1000+ARCH_AG!F72/144*INPUTS!$B$12*INPUTS!$C$25/1000)</f>
        <v>85.8625</v>
      </c>
      <c r="G72" s="9" t="n">
        <f aca="false">IF(TRIB!G72="",0,(TRIB!G72*IF($D72="A",(INPUTS!$G$26/12*INPUTS!$B$12+INPUTS!$H$26),(INPUTS!$L$26/12*INPUTS!$B$12+INPUTS!$M$26))+IF(FACADE!G72="",0,FACADE!G72)*INPUTS!$B$15)/1000+ARCH_AG!G72/144*INPUTS!$B$12*INPUTS!$C$26/1000)</f>
        <v>78.8825</v>
      </c>
      <c r="H72" s="9" t="n">
        <f aca="false">IF(TRIB!H72="",0,(TRIB!H72*IF($D72="A",(INPUTS!$G$27/12*INPUTS!$B$12+INPUTS!$H$27),(INPUTS!$L$27/12*INPUTS!$B$12+INPUTS!$M$27))+IF(FACADE!H72="",0,FACADE!H72)*INPUTS!$B$15)/1000+ARCH_AG!H72/144*INPUTS!$B$12*INPUTS!$C$27/1000)</f>
        <v>71.2925</v>
      </c>
      <c r="I72" s="9" t="n">
        <f aca="false">IF(TRIB!I72="",0,(TRIB!I72*IF($D72="A",(INPUTS!$G$28/12*INPUTS!$B$12+INPUTS!$H$28),(INPUTS!$L$28/12*INPUTS!$B$12+INPUTS!$M$28))+IF(FACADE!I72="",0,FACADE!I72)*INPUTS!$B$15)/1000+ARCH_AG!I72/144*INPUTS!$B$12*INPUTS!$C$28/1000)</f>
        <v>71.2925</v>
      </c>
      <c r="J72" s="9" t="n">
        <f aca="false">IF(TRIB!J72="",0,(TRIB!J72*IF($D72="A",(INPUTS!$G$29/12*INPUTS!$B$12+INPUTS!$H$29),(INPUTS!$L$29/12*INPUTS!$B$12+INPUTS!$M$29))+IF(FACADE!J72="",0,FACADE!J72)*INPUTS!$B$15)/1000+ARCH_AG!J72/144*INPUTS!$B$12*INPUTS!$C$29/1000)</f>
        <v>70.5125</v>
      </c>
      <c r="K72" s="9" t="n">
        <f aca="false">IF(TRIB!K72="",0,(TRIB!K72*IF($D72="A",(INPUTS!$G$30/12*INPUTS!$B$12+INPUTS!$H$30),(INPUTS!$L$30/12*INPUTS!$B$12+INPUTS!$M$30))+IF(FACADE!K72="",0,FACADE!K72)*INPUTS!$B$15)/1000+ARCH_AG!K72/144*INPUTS!$B$12*INPUTS!$C$30/1000)</f>
        <v>0</v>
      </c>
      <c r="L72" s="9" t="n">
        <f aca="false">IF(TRIB!L72="",0,(TRIB!L72*IF($D72="A",(INPUTS!$G$31/12*INPUTS!$B$12+INPUTS!$H$31),(INPUTS!$L$31/12*INPUTS!$B$12+INPUTS!$M$31))+IF(FACADE!L72="",0,FACADE!L72)*INPUTS!$B$15)/1000+ARCH_AG!L72/144*INPUTS!$B$12*INPUTS!$C$31/1000)</f>
        <v>0</v>
      </c>
      <c r="M72" s="9" t="n">
        <f aca="false">IF(TRIB!M72="",0,(TRIB!M72*IF($D72="A",(INPUTS!$G$32/12*INPUTS!$B$12+INPUTS!$H$32),(INPUTS!$L$32/12*INPUTS!$B$12+INPUTS!$M$32))+IF(FACADE!M72="",0,FACADE!M72)*INPUTS!$B$15)/1000+ARCH_AG!M72/144*INPUTS!$B$12*INPUTS!$C$32/1000)</f>
        <v>0</v>
      </c>
      <c r="N72" s="9" t="n">
        <f aca="false">IF(TRIB!N72="",0,(TRIB!N72*IF($D72="A",(INPUTS!$G$33/12*INPUTS!$B$12+INPUTS!$H$33),(INPUTS!$L$33/12*INPUTS!$B$12+INPUTS!$M$33))+IF(FACADE!N72="",0,FACADE!N72)*INPUTS!$B$15)/1000+ARCH_AG!N72/144*INPUTS!$B$12*INPUTS!$C$33/1000)</f>
        <v>0</v>
      </c>
      <c r="O72" s="9" t="n">
        <f aca="false">IF(TRIB!O72="",0,(TRIB!O72*IF($D72="A",(INPUTS!$G$34/12*INPUTS!$B$12+INPUTS!$H$34),(INPUTS!$L$34/12*INPUTS!$B$12+INPUTS!$M$34))+IF(FACADE!O72="",0,FACADE!O72)*INPUTS!$B$15)/1000+ARCH_AG!O72/144*INPUTS!$B$12*INPUTS!$C$34/1000)</f>
        <v>0</v>
      </c>
      <c r="P72" s="9" t="n">
        <f aca="false">IF(TRIB!P72="",0,(TRIB!P72*IF($D72="A",(INPUTS!$G$35/12*INPUTS!$B$12+INPUTS!$H$35),(INPUTS!$L$35/12*INPUTS!$B$12+INPUTS!$M$35))+IF(FACADE!P72="",0,FACADE!P72)*INPUTS!$B$15)/1000+ARCH_AG!P72/144*INPUTS!$B$12*INPUTS!$C$35/1000)</f>
        <v>0</v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9" t="n">
        <f aca="false">IF(TRIB!E73="",0,(TRIB!E73*IF($D73="A",(INPUTS!$G$24/12*INPUTS!$B$12+INPUTS!$H$24),(INPUTS!$L$24/12*INPUTS!$B$12+INPUTS!$M$24))+IF(FACADE!E73="",0,FACADE!E73)*INPUTS!$B$15)/1000+ARCH_AG!E73/144*INPUTS!$B$12*INPUTS!$C$24/1000)</f>
        <v>17.1375</v>
      </c>
      <c r="F73" s="9" t="n">
        <f aca="false">IF(TRIB!F73="",0,(TRIB!F73*IF($D73="A",(INPUTS!$G$25/12*INPUTS!$B$12+INPUTS!$H$25),(INPUTS!$L$25/12*INPUTS!$B$12+INPUTS!$M$25))+IF(FACADE!F73="",0,FACADE!F73)*INPUTS!$B$15)/1000+ARCH_AG!F73/144*INPUTS!$B$12*INPUTS!$C$25/1000)</f>
        <v>17.6625</v>
      </c>
      <c r="G73" s="9" t="n">
        <f aca="false">IF(TRIB!G73="",0,(TRIB!G73*IF($D73="A",(INPUTS!$G$26/12*INPUTS!$B$12+INPUTS!$H$26),(INPUTS!$L$26/12*INPUTS!$B$12+INPUTS!$M$26))+IF(FACADE!G73="",0,FACADE!G73)*INPUTS!$B$15)/1000+ARCH_AG!G73/144*INPUTS!$B$12*INPUTS!$C$26/1000)</f>
        <v>78.1575</v>
      </c>
      <c r="H73" s="9" t="n">
        <f aca="false">IF(TRIB!H73="",0,(TRIB!H73*IF($D73="A",(INPUTS!$G$27/12*INPUTS!$B$12+INPUTS!$H$27),(INPUTS!$L$27/12*INPUTS!$B$12+INPUTS!$M$27))+IF(FACADE!H73="",0,FACADE!H73)*INPUTS!$B$15)/1000+ARCH_AG!H73/144*INPUTS!$B$12*INPUTS!$C$27/1000)</f>
        <v>70.6425</v>
      </c>
      <c r="I73" s="9" t="n">
        <f aca="false">IF(TRIB!I73="",0,(TRIB!I73*IF($D73="A",(INPUTS!$G$28/12*INPUTS!$B$12+INPUTS!$H$28),(INPUTS!$L$28/12*INPUTS!$B$12+INPUTS!$M$28))+IF(FACADE!I73="",0,FACADE!I73)*INPUTS!$B$15)/1000+ARCH_AG!I73/144*INPUTS!$B$12*INPUTS!$C$28/1000)</f>
        <v>70.6425</v>
      </c>
      <c r="J73" s="9" t="n">
        <f aca="false">IF(TRIB!J73="",0,(TRIB!J73*IF($D73="A",(INPUTS!$G$29/12*INPUTS!$B$12+INPUTS!$H$29),(INPUTS!$L$29/12*INPUTS!$B$12+INPUTS!$M$29))+IF(FACADE!J73="",0,FACADE!J73)*INPUTS!$B$15)/1000+ARCH_AG!J73/144*INPUTS!$B$12*INPUTS!$C$29/1000)</f>
        <v>78.0525</v>
      </c>
      <c r="K73" s="9" t="n">
        <f aca="false">IF(TRIB!K73="",0,(TRIB!K73*IF($D73="A",(INPUTS!$G$30/12*INPUTS!$B$12+INPUTS!$H$30),(INPUTS!$L$30/12*INPUTS!$B$12+INPUTS!$M$30))+IF(FACADE!K73="",0,FACADE!K73)*INPUTS!$B$15)/1000+ARCH_AG!K73/144*INPUTS!$B$12*INPUTS!$C$30/1000)</f>
        <v>0</v>
      </c>
      <c r="L73" s="9" t="n">
        <f aca="false">IF(TRIB!L73="",0,(TRIB!L73*IF($D73="A",(INPUTS!$G$31/12*INPUTS!$B$12+INPUTS!$H$31),(INPUTS!$L$31/12*INPUTS!$B$12+INPUTS!$M$31))+IF(FACADE!L73="",0,FACADE!L73)*INPUTS!$B$15)/1000+ARCH_AG!L73/144*INPUTS!$B$12*INPUTS!$C$31/1000)</f>
        <v>0</v>
      </c>
      <c r="M73" s="9" t="n">
        <f aca="false">IF(TRIB!M73="",0,(TRIB!M73*IF($D73="A",(INPUTS!$G$32/12*INPUTS!$B$12+INPUTS!$H$32),(INPUTS!$L$32/12*INPUTS!$B$12+INPUTS!$M$32))+IF(FACADE!M73="",0,FACADE!M73)*INPUTS!$B$15)/1000+ARCH_AG!M73/144*INPUTS!$B$12*INPUTS!$C$32/1000)</f>
        <v>0</v>
      </c>
      <c r="N73" s="9" t="n">
        <f aca="false">IF(TRIB!N73="",0,(TRIB!N73*IF($D73="A",(INPUTS!$G$33/12*INPUTS!$B$12+INPUTS!$H$33),(INPUTS!$L$33/12*INPUTS!$B$12+INPUTS!$M$33))+IF(FACADE!N73="",0,FACADE!N73)*INPUTS!$B$15)/1000+ARCH_AG!N73/144*INPUTS!$B$12*INPUTS!$C$33/1000)</f>
        <v>0</v>
      </c>
      <c r="O73" s="9" t="n">
        <f aca="false">IF(TRIB!O73="",0,(TRIB!O73*IF($D73="A",(INPUTS!$G$34/12*INPUTS!$B$12+INPUTS!$H$34),(INPUTS!$L$34/12*INPUTS!$B$12+INPUTS!$M$34))+IF(FACADE!O73="",0,FACADE!O73)*INPUTS!$B$15)/1000+ARCH_AG!O73/144*INPUTS!$B$12*INPUTS!$C$34/1000)</f>
        <v>0</v>
      </c>
      <c r="P73" s="9" t="n">
        <f aca="false">IF(TRIB!P73="",0,(TRIB!P73*IF($D73="A",(INPUTS!$G$35/12*INPUTS!$B$12+INPUTS!$H$35),(INPUTS!$L$35/12*INPUTS!$B$12+INPUTS!$M$35))+IF(FACADE!P73="",0,FACADE!P73)*INPUTS!$B$15)/1000+ARCH_AG!P73/144*INPUTS!$B$12*INPUTS!$C$35/1000)</f>
        <v>0</v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9" t="n">
        <f aca="false">IF(TRIB!E74="",0,(TRIB!E74*IF($D74="A",(INPUTS!$G$24/12*INPUTS!$B$12+INPUTS!$H$24),(INPUTS!$L$24/12*INPUTS!$B$12+INPUTS!$M$24))+IF(FACADE!E74="",0,FACADE!E74)*INPUTS!$B$15)/1000+ARCH_AG!E74/144*INPUTS!$B$12*INPUTS!$C$24/1000)</f>
        <v>92.4675</v>
      </c>
      <c r="F74" s="9" t="n">
        <f aca="false">IF(TRIB!F74="",0,(TRIB!F74*IF($D74="A",(INPUTS!$G$25/12*INPUTS!$B$12+INPUTS!$H$25),(INPUTS!$L$25/12*INPUTS!$B$12+INPUTS!$M$25))+IF(FACADE!F74="",0,FACADE!F74)*INPUTS!$B$15)/1000+ARCH_AG!F74/144*INPUTS!$B$12*INPUTS!$C$25/1000)</f>
        <v>92.9925</v>
      </c>
      <c r="G74" s="9" t="n">
        <f aca="false">IF(TRIB!G74="",0,(TRIB!G74*IF($D74="A",(INPUTS!$G$26/12*INPUTS!$B$12+INPUTS!$H$26),(INPUTS!$L$26/12*INPUTS!$B$12+INPUTS!$M$26))+IF(FACADE!G74="",0,FACADE!G74)*INPUTS!$B$15)/1000+ARCH_AG!G74/144*INPUTS!$B$12*INPUTS!$C$26/1000)</f>
        <v>82.7975</v>
      </c>
      <c r="H74" s="9" t="n">
        <f aca="false">IF(TRIB!H74="",0,(TRIB!H74*IF($D74="A",(INPUTS!$G$27/12*INPUTS!$B$12+INPUTS!$H$27),(INPUTS!$L$27/12*INPUTS!$B$12+INPUTS!$M$27))+IF(FACADE!H74="",0,FACADE!H74)*INPUTS!$B$15)/1000+ARCH_AG!H74/144*INPUTS!$B$12*INPUTS!$C$27/1000)</f>
        <v>74.8025</v>
      </c>
      <c r="I74" s="9" t="n">
        <f aca="false">IF(TRIB!I74="",0,(TRIB!I74*IF($D74="A",(INPUTS!$G$28/12*INPUTS!$B$12+INPUTS!$H$28),(INPUTS!$L$28/12*INPUTS!$B$12+INPUTS!$M$28))+IF(FACADE!I74="",0,FACADE!I74)*INPUTS!$B$15)/1000+ARCH_AG!I74/144*INPUTS!$B$12*INPUTS!$C$28/1000)</f>
        <v>74.8025</v>
      </c>
      <c r="J74" s="9" t="n">
        <f aca="false">IF(TRIB!J74="",0,(TRIB!J74*IF($D74="A",(INPUTS!$G$29/12*INPUTS!$B$12+INPUTS!$H$29),(INPUTS!$L$29/12*INPUTS!$B$12+INPUTS!$M$29))+IF(FACADE!J74="",0,FACADE!J74)*INPUTS!$B$15)/1000+ARCH_AG!J74/144*INPUTS!$B$12*INPUTS!$C$29/1000)</f>
        <v>81.9525</v>
      </c>
      <c r="K74" s="9" t="n">
        <f aca="false">IF(TRIB!K74="",0,(TRIB!K74*IF($D74="A",(INPUTS!$G$30/12*INPUTS!$B$12+INPUTS!$H$30),(INPUTS!$L$30/12*INPUTS!$B$12+INPUTS!$M$30))+IF(FACADE!K74="",0,FACADE!K74)*INPUTS!$B$15)/1000+ARCH_AG!K74/144*INPUTS!$B$12*INPUTS!$C$30/1000)</f>
        <v>0</v>
      </c>
      <c r="L74" s="9" t="n">
        <f aca="false">IF(TRIB!L74="",0,(TRIB!L74*IF($D74="A",(INPUTS!$G$31/12*INPUTS!$B$12+INPUTS!$H$31),(INPUTS!$L$31/12*INPUTS!$B$12+INPUTS!$M$31))+IF(FACADE!L74="",0,FACADE!L74)*INPUTS!$B$15)/1000+ARCH_AG!L74/144*INPUTS!$B$12*INPUTS!$C$31/1000)</f>
        <v>0</v>
      </c>
      <c r="M74" s="9" t="n">
        <f aca="false">IF(TRIB!M74="",0,(TRIB!M74*IF($D74="A",(INPUTS!$G$32/12*INPUTS!$B$12+INPUTS!$H$32),(INPUTS!$L$32/12*INPUTS!$B$12+INPUTS!$M$32))+IF(FACADE!M74="",0,FACADE!M74)*INPUTS!$B$15)/1000+ARCH_AG!M74/144*INPUTS!$B$12*INPUTS!$C$32/1000)</f>
        <v>0</v>
      </c>
      <c r="N74" s="9" t="n">
        <f aca="false">IF(TRIB!N74="",0,(TRIB!N74*IF($D74="A",(INPUTS!$G$33/12*INPUTS!$B$12+INPUTS!$H$33),(INPUTS!$L$33/12*INPUTS!$B$12+INPUTS!$M$33))+IF(FACADE!N74="",0,FACADE!N74)*INPUTS!$B$15)/1000+ARCH_AG!N74/144*INPUTS!$B$12*INPUTS!$C$33/1000)</f>
        <v>0</v>
      </c>
      <c r="O74" s="9" t="n">
        <f aca="false">IF(TRIB!O74="",0,(TRIB!O74*IF($D74="A",(INPUTS!$G$34/12*INPUTS!$B$12+INPUTS!$H$34),(INPUTS!$L$34/12*INPUTS!$B$12+INPUTS!$M$34))+IF(FACADE!O74="",0,FACADE!O74)*INPUTS!$B$15)/1000+ARCH_AG!O74/144*INPUTS!$B$12*INPUTS!$C$34/1000)</f>
        <v>0</v>
      </c>
      <c r="P74" s="9" t="n">
        <f aca="false">IF(TRIB!P74="",0,(TRIB!P74*IF($D74="A",(INPUTS!$G$35/12*INPUTS!$B$12+INPUTS!$H$35),(INPUTS!$L$35/12*INPUTS!$B$12+INPUTS!$M$35))+IF(FACADE!P74="",0,FACADE!P74)*INPUTS!$B$15)/1000+ARCH_AG!P74/144*INPUTS!$B$12*INPUTS!$C$35/1000)</f>
        <v>0</v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9" t="n">
        <f aca="false">IF(TRIB!E75="",0,(TRIB!E75*IF($D75="A",(INPUTS!$G$24/12*INPUTS!$B$12+INPUTS!$H$24),(INPUTS!$L$24/12*INPUTS!$B$12+INPUTS!$M$24))+IF(FACADE!E75="",0,FACADE!E75)*INPUTS!$B$15)/1000+ARCH_AG!E75/144*INPUTS!$B$12*INPUTS!$C$24/1000)</f>
        <v>84.8725</v>
      </c>
      <c r="F75" s="9" t="n">
        <f aca="false">IF(TRIB!F75="",0,(TRIB!F75*IF($D75="A",(INPUTS!$G$25/12*INPUTS!$B$12+INPUTS!$H$25),(INPUTS!$L$25/12*INPUTS!$B$12+INPUTS!$M$25))+IF(FACADE!F75="",0,FACADE!F75)*INPUTS!$B$15)/1000+ARCH_AG!F75/144*INPUTS!$B$12*INPUTS!$C$25/1000)</f>
        <v>85.3975</v>
      </c>
      <c r="G75" s="9" t="n">
        <f aca="false">IF(TRIB!G75="",0,(TRIB!G75*IF($D75="A",(INPUTS!$G$26/12*INPUTS!$B$12+INPUTS!$H$26),(INPUTS!$L$26/12*INPUTS!$B$12+INPUTS!$M$26))+IF(FACADE!G75="",0,FACADE!G75)*INPUTS!$B$15)/1000+ARCH_AG!G75/144*INPUTS!$B$12*INPUTS!$C$26/1000)</f>
        <v>79.7525</v>
      </c>
      <c r="H75" s="9" t="n">
        <f aca="false">IF(TRIB!H75="",0,(TRIB!H75*IF($D75="A",(INPUTS!$G$27/12*INPUTS!$B$12+INPUTS!$H$27),(INPUTS!$L$27/12*INPUTS!$B$12+INPUTS!$M$27))+IF(FACADE!H75="",0,FACADE!H75)*INPUTS!$B$15)/1000+ARCH_AG!H75/144*INPUTS!$B$12*INPUTS!$C$27/1000)</f>
        <v>72.0725</v>
      </c>
      <c r="I75" s="9" t="n">
        <f aca="false">IF(TRIB!I75="",0,(TRIB!I75*IF($D75="A",(INPUTS!$G$28/12*INPUTS!$B$12+INPUTS!$H$28),(INPUTS!$L$28/12*INPUTS!$B$12+INPUTS!$M$28))+IF(FACADE!I75="",0,FACADE!I75)*INPUTS!$B$15)/1000+ARCH_AG!I75/144*INPUTS!$B$12*INPUTS!$C$28/1000)</f>
        <v>72.0725</v>
      </c>
      <c r="J75" s="9" t="n">
        <f aca="false">IF(TRIB!J75="",0,(TRIB!J75*IF($D75="A",(INPUTS!$G$29/12*INPUTS!$B$12+INPUTS!$H$29),(INPUTS!$L$29/12*INPUTS!$B$12+INPUTS!$M$29))+IF(FACADE!J75="",0,FACADE!J75)*INPUTS!$B$15)/1000+ARCH_AG!J75/144*INPUTS!$B$12*INPUTS!$C$29/1000)</f>
        <v>116.4225</v>
      </c>
      <c r="K75" s="9" t="n">
        <f aca="false">IF(TRIB!K75="",0,(TRIB!K75*IF($D75="A",(INPUTS!$G$30/12*INPUTS!$B$12+INPUTS!$H$30),(INPUTS!$L$30/12*INPUTS!$B$12+INPUTS!$M$30))+IF(FACADE!K75="",0,FACADE!K75)*INPUTS!$B$15)/1000+ARCH_AG!K75/144*INPUTS!$B$12*INPUTS!$C$30/1000)</f>
        <v>0</v>
      </c>
      <c r="L75" s="9" t="n">
        <f aca="false">IF(TRIB!L75="",0,(TRIB!L75*IF($D75="A",(INPUTS!$G$31/12*INPUTS!$B$12+INPUTS!$H$31),(INPUTS!$L$31/12*INPUTS!$B$12+INPUTS!$M$31))+IF(FACADE!L75="",0,FACADE!L75)*INPUTS!$B$15)/1000+ARCH_AG!L75/144*INPUTS!$B$12*INPUTS!$C$31/1000)</f>
        <v>0</v>
      </c>
      <c r="M75" s="9" t="n">
        <f aca="false">IF(TRIB!M75="",0,(TRIB!M75*IF($D75="A",(INPUTS!$G$32/12*INPUTS!$B$12+INPUTS!$H$32),(INPUTS!$L$32/12*INPUTS!$B$12+INPUTS!$M$32))+IF(FACADE!M75="",0,FACADE!M75)*INPUTS!$B$15)/1000+ARCH_AG!M75/144*INPUTS!$B$12*INPUTS!$C$32/1000)</f>
        <v>0</v>
      </c>
      <c r="N75" s="9" t="n">
        <f aca="false">IF(TRIB!N75="",0,(TRIB!N75*IF($D75="A",(INPUTS!$G$33/12*INPUTS!$B$12+INPUTS!$H$33),(INPUTS!$L$33/12*INPUTS!$B$12+INPUTS!$M$33))+IF(FACADE!N75="",0,FACADE!N75)*INPUTS!$B$15)/1000+ARCH_AG!N75/144*INPUTS!$B$12*INPUTS!$C$33/1000)</f>
        <v>0</v>
      </c>
      <c r="O75" s="9" t="n">
        <f aca="false">IF(TRIB!O75="",0,(TRIB!O75*IF($D75="A",(INPUTS!$G$34/12*INPUTS!$B$12+INPUTS!$H$34),(INPUTS!$L$34/12*INPUTS!$B$12+INPUTS!$M$34))+IF(FACADE!O75="",0,FACADE!O75)*INPUTS!$B$15)/1000+ARCH_AG!O75/144*INPUTS!$B$12*INPUTS!$C$34/1000)</f>
        <v>0</v>
      </c>
      <c r="P75" s="9" t="n">
        <f aca="false">IF(TRIB!P75="",0,(TRIB!P75*IF($D75="A",(INPUTS!$G$35/12*INPUTS!$B$12+INPUTS!$H$35),(INPUTS!$L$35/12*INPUTS!$B$12+INPUTS!$M$35))+IF(FACADE!P75="",0,FACADE!P75)*INPUTS!$B$15)/1000+ARCH_AG!P75/144*INPUTS!$B$12*INPUTS!$C$35/1000)</f>
        <v>0</v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9" t="n">
        <f aca="false">IF(TRIB!E76="",0,(TRIB!E76*IF($D76="A",(INPUTS!$G$24/12*INPUTS!$B$12+INPUTS!$H$24),(INPUTS!$L$24/12*INPUTS!$B$12+INPUTS!$M$24))+IF(FACADE!E76="",0,FACADE!E76)*INPUTS!$B$15)/1000+ARCH_AG!E76/144*INPUTS!$B$12*INPUTS!$C$24/1000)</f>
        <v>11.5575</v>
      </c>
      <c r="F76" s="9" t="n">
        <f aca="false">IF(TRIB!F76="",0,(TRIB!F76*IF($D76="A",(INPUTS!$G$25/12*INPUTS!$B$12+INPUTS!$H$25),(INPUTS!$L$25/12*INPUTS!$B$12+INPUTS!$M$25))+IF(FACADE!F76="",0,FACADE!F76)*INPUTS!$B$15)/1000+ARCH_AG!F76/144*INPUTS!$B$12*INPUTS!$C$25/1000)</f>
        <v>12.0825</v>
      </c>
      <c r="G76" s="9" t="n">
        <f aca="false">IF(TRIB!G76="",0,(TRIB!G76*IF($D76="A",(INPUTS!$G$26/12*INPUTS!$B$12+INPUTS!$H$26),(INPUTS!$L$26/12*INPUTS!$B$12+INPUTS!$M$26))+IF(FACADE!G76="",0,FACADE!G76)*INPUTS!$B$15)/1000+ARCH_AG!G76/144*INPUTS!$B$12*INPUTS!$C$26/1000)</f>
        <v>9.1375</v>
      </c>
      <c r="H76" s="9" t="n">
        <f aca="false">IF(TRIB!H76="",0,(TRIB!H76*IF($D76="A",(INPUTS!$G$27/12*INPUTS!$B$12+INPUTS!$H$27),(INPUTS!$L$27/12*INPUTS!$B$12+INPUTS!$M$27))+IF(FACADE!H76="",0,FACADE!H76)*INPUTS!$B$15)/1000+ARCH_AG!H76/144*INPUTS!$B$12*INPUTS!$C$27/1000)</f>
        <v>8.7625</v>
      </c>
      <c r="I76" s="9" t="n">
        <f aca="false">IF(TRIB!I76="",0,(TRIB!I76*IF($D76="A",(INPUTS!$G$28/12*INPUTS!$B$12+INPUTS!$H$28),(INPUTS!$L$28/12*INPUTS!$B$12+INPUTS!$M$28))+IF(FACADE!I76="",0,FACADE!I76)*INPUTS!$B$15)/1000+ARCH_AG!I76/144*INPUTS!$B$12*INPUTS!$C$28/1000)</f>
        <v>8.7625</v>
      </c>
      <c r="J76" s="9" t="n">
        <f aca="false">IF(TRIB!J76="",0,(TRIB!J76*IF($D76="A",(INPUTS!$G$29/12*INPUTS!$B$12+INPUTS!$H$29),(INPUTS!$L$29/12*INPUTS!$B$12+INPUTS!$M$29))+IF(FACADE!J76="",0,FACADE!J76)*INPUTS!$B$15)/1000+ARCH_AG!J76/144*INPUTS!$B$12*INPUTS!$C$29/1000)</f>
        <v>64.4025</v>
      </c>
      <c r="K76" s="9" t="n">
        <f aca="false">IF(TRIB!K76="",0,(TRIB!K76*IF($D76="A",(INPUTS!$G$30/12*INPUTS!$B$12+INPUTS!$H$30),(INPUTS!$L$30/12*INPUTS!$B$12+INPUTS!$M$30))+IF(FACADE!K76="",0,FACADE!K76)*INPUTS!$B$15)/1000+ARCH_AG!K76/144*INPUTS!$B$12*INPUTS!$C$30/1000)</f>
        <v>0</v>
      </c>
      <c r="L76" s="9" t="n">
        <f aca="false">IF(TRIB!L76="",0,(TRIB!L76*IF($D76="A",(INPUTS!$G$31/12*INPUTS!$B$12+INPUTS!$H$31),(INPUTS!$L$31/12*INPUTS!$B$12+INPUTS!$M$31))+IF(FACADE!L76="",0,FACADE!L76)*INPUTS!$B$15)/1000+ARCH_AG!L76/144*INPUTS!$B$12*INPUTS!$C$31/1000)</f>
        <v>0</v>
      </c>
      <c r="M76" s="9" t="n">
        <f aca="false">IF(TRIB!M76="",0,(TRIB!M76*IF($D76="A",(INPUTS!$G$32/12*INPUTS!$B$12+INPUTS!$H$32),(INPUTS!$L$32/12*INPUTS!$B$12+INPUTS!$M$32))+IF(FACADE!M76="",0,FACADE!M76)*INPUTS!$B$15)/1000+ARCH_AG!M76/144*INPUTS!$B$12*INPUTS!$C$32/1000)</f>
        <v>0</v>
      </c>
      <c r="N76" s="9" t="n">
        <f aca="false">IF(TRIB!N76="",0,(TRIB!N76*IF($D76="A",(INPUTS!$G$33/12*INPUTS!$B$12+INPUTS!$H$33),(INPUTS!$L$33/12*INPUTS!$B$12+INPUTS!$M$33))+IF(FACADE!N76="",0,FACADE!N76)*INPUTS!$B$15)/1000+ARCH_AG!N76/144*INPUTS!$B$12*INPUTS!$C$33/1000)</f>
        <v>0</v>
      </c>
      <c r="O76" s="9" t="n">
        <f aca="false">IF(TRIB!O76="",0,(TRIB!O76*IF($D76="A",(INPUTS!$G$34/12*INPUTS!$B$12+INPUTS!$H$34),(INPUTS!$L$34/12*INPUTS!$B$12+INPUTS!$M$34))+IF(FACADE!O76="",0,FACADE!O76)*INPUTS!$B$15)/1000+ARCH_AG!O76/144*INPUTS!$B$12*INPUTS!$C$34/1000)</f>
        <v>0</v>
      </c>
      <c r="P76" s="9" t="n">
        <f aca="false">IF(TRIB!P76="",0,(TRIB!P76*IF($D76="A",(INPUTS!$G$35/12*INPUTS!$B$12+INPUTS!$H$35),(INPUTS!$L$35/12*INPUTS!$B$12+INPUTS!$M$35))+IF(FACADE!P76="",0,FACADE!P76)*INPUTS!$B$15)/1000+ARCH_AG!P76/144*INPUTS!$B$12*INPUTS!$C$35/1000)</f>
        <v>0</v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9" t="n">
        <f aca="false">IF(TRIB!E77="",0,(TRIB!E77*IF($D77="A",(INPUTS!$G$24/12*INPUTS!$B$12+INPUTS!$H$24),(INPUTS!$L$24/12*INPUTS!$B$12+INPUTS!$M$24))+IF(FACADE!E77="",0,FACADE!E77)*INPUTS!$B$15)/1000+ARCH_AG!E77/144*INPUTS!$B$12*INPUTS!$C$24/1000)</f>
        <v>52.9425</v>
      </c>
      <c r="F77" s="9" t="n">
        <f aca="false">IF(TRIB!F77="",0,(TRIB!F77*IF($D77="A",(INPUTS!$G$25/12*INPUTS!$B$12+INPUTS!$H$25),(INPUTS!$L$25/12*INPUTS!$B$12+INPUTS!$M$25))+IF(FACADE!F77="",0,FACADE!F77)*INPUTS!$B$15)/1000+ARCH_AG!F77/144*INPUTS!$B$12*INPUTS!$C$25/1000)</f>
        <v>56.0175</v>
      </c>
      <c r="G77" s="9" t="n">
        <f aca="false">IF(TRIB!G77="",0,(TRIB!G77*IF($D77="A",(INPUTS!$G$26/12*INPUTS!$B$12+INPUTS!$H$26),(INPUTS!$L$26/12*INPUTS!$B$12+INPUTS!$M$26))+IF(FACADE!G77="",0,FACADE!G77)*INPUTS!$B$15)/1000+ARCH_AG!G77/144*INPUTS!$B$12*INPUTS!$C$26/1000)</f>
        <v>44.7525</v>
      </c>
      <c r="H77" s="9" t="n">
        <f aca="false">IF(TRIB!H77="",0,(TRIB!H77*IF($D77="A",(INPUTS!$G$27/12*INPUTS!$B$12+INPUTS!$H$27),(INPUTS!$L$27/12*INPUTS!$B$12+INPUTS!$M$27))+IF(FACADE!H77="",0,FACADE!H77)*INPUTS!$B$15)/1000+ARCH_AG!H77/144*INPUTS!$B$12*INPUTS!$C$27/1000)</f>
        <v>53.4325</v>
      </c>
      <c r="I77" s="9" t="n">
        <f aca="false">IF(TRIB!I77="",0,(TRIB!I77*IF($D77="A",(INPUTS!$G$28/12*INPUTS!$B$12+INPUTS!$H$28),(INPUTS!$L$28/12*INPUTS!$B$12+INPUTS!$M$28))+IF(FACADE!I77="",0,FACADE!I77)*INPUTS!$B$15)/1000+ARCH_AG!I77/144*INPUTS!$B$12*INPUTS!$C$28/1000)</f>
        <v>53.4325</v>
      </c>
      <c r="J77" s="9" t="n">
        <f aca="false">IF(TRIB!J77="",0,(TRIB!J77*IF($D77="A",(INPUTS!$G$29/12*INPUTS!$B$12+INPUTS!$H$29),(INPUTS!$L$29/12*INPUTS!$B$12+INPUTS!$M$29))+IF(FACADE!J77="",0,FACADE!J77)*INPUTS!$B$15)/1000+ARCH_AG!J77/144*INPUTS!$B$12*INPUTS!$C$29/1000)</f>
        <v>53.4525</v>
      </c>
      <c r="K77" s="9" t="n">
        <f aca="false">IF(TRIB!K77="",0,(TRIB!K77*IF($D77="A",(INPUTS!$G$30/12*INPUTS!$B$12+INPUTS!$H$30),(INPUTS!$L$30/12*INPUTS!$B$12+INPUTS!$M$30))+IF(FACADE!K77="",0,FACADE!K77)*INPUTS!$B$15)/1000+ARCH_AG!K77/144*INPUTS!$B$12*INPUTS!$C$30/1000)</f>
        <v>0</v>
      </c>
      <c r="L77" s="9" t="n">
        <f aca="false">IF(TRIB!L77="",0,(TRIB!L77*IF($D77="A",(INPUTS!$G$31/12*INPUTS!$B$12+INPUTS!$H$31),(INPUTS!$L$31/12*INPUTS!$B$12+INPUTS!$M$31))+IF(FACADE!L77="",0,FACADE!L77)*INPUTS!$B$15)/1000+ARCH_AG!L77/144*INPUTS!$B$12*INPUTS!$C$31/1000)</f>
        <v>0</v>
      </c>
      <c r="M77" s="9" t="n">
        <f aca="false">IF(TRIB!M77="",0,(TRIB!M77*IF($D77="A",(INPUTS!$G$32/12*INPUTS!$B$12+INPUTS!$H$32),(INPUTS!$L$32/12*INPUTS!$B$12+INPUTS!$M$32))+IF(FACADE!M77="",0,FACADE!M77)*INPUTS!$B$15)/1000+ARCH_AG!M77/144*INPUTS!$B$12*INPUTS!$C$32/1000)</f>
        <v>0</v>
      </c>
      <c r="N77" s="9" t="n">
        <f aca="false">IF(TRIB!N77="",0,(TRIB!N77*IF($D77="A",(INPUTS!$G$33/12*INPUTS!$B$12+INPUTS!$H$33),(INPUTS!$L$33/12*INPUTS!$B$12+INPUTS!$M$33))+IF(FACADE!N77="",0,FACADE!N77)*INPUTS!$B$15)/1000+ARCH_AG!N77/144*INPUTS!$B$12*INPUTS!$C$33/1000)</f>
        <v>0</v>
      </c>
      <c r="O77" s="9" t="n">
        <f aca="false">IF(TRIB!O77="",0,(TRIB!O77*IF($D77="A",(INPUTS!$G$34/12*INPUTS!$B$12+INPUTS!$H$34),(INPUTS!$L$34/12*INPUTS!$B$12+INPUTS!$M$34))+IF(FACADE!O77="",0,FACADE!O77)*INPUTS!$B$15)/1000+ARCH_AG!O77/144*INPUTS!$B$12*INPUTS!$C$34/1000)</f>
        <v>0</v>
      </c>
      <c r="P77" s="9" t="n">
        <f aca="false">IF(TRIB!P77="",0,(TRIB!P77*IF($D77="A",(INPUTS!$G$35/12*INPUTS!$B$12+INPUTS!$H$35),(INPUTS!$L$35/12*INPUTS!$B$12+INPUTS!$M$35))+IF(FACADE!P77="",0,FACADE!P77)*INPUTS!$B$15)/1000+ARCH_AG!P77/144*INPUTS!$B$12*INPUTS!$C$35/1000)</f>
        <v>0</v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9" t="n">
        <f aca="false">IF(TRIB!E78="",0,(TRIB!E78*IF($D78="A",(INPUTS!$G$24/12*INPUTS!$B$12+INPUTS!$H$24),(INPUTS!$L$24/12*INPUTS!$B$12+INPUTS!$M$24))+IF(FACADE!E78="",0,FACADE!E78)*INPUTS!$B$15)/1000+ARCH_AG!E78/144*INPUTS!$B$12*INPUTS!$C$24/1000)</f>
        <v>103.0075</v>
      </c>
      <c r="F78" s="9" t="n">
        <f aca="false">IF(TRIB!F78="",0,(TRIB!F78*IF($D78="A",(INPUTS!$G$25/12*INPUTS!$B$12+INPUTS!$H$25),(INPUTS!$L$25/12*INPUTS!$B$12+INPUTS!$M$25))+IF(FACADE!F78="",0,FACADE!F78)*INPUTS!$B$15)/1000+ARCH_AG!F78/144*INPUTS!$B$12*INPUTS!$C$25/1000)</f>
        <v>103.5325</v>
      </c>
      <c r="G78" s="9" t="n">
        <f aca="false">IF(TRIB!G78="",0,(TRIB!G78*IF($D78="A",(INPUTS!$G$26/12*INPUTS!$B$12+INPUTS!$H$26),(INPUTS!$L$26/12*INPUTS!$B$12+INPUTS!$M$26))+IF(FACADE!G78="",0,FACADE!G78)*INPUTS!$B$15)/1000+ARCH_AG!G78/144*INPUTS!$B$12*INPUTS!$C$26/1000)</f>
        <v>84.5375</v>
      </c>
      <c r="H78" s="9" t="n">
        <f aca="false">IF(TRIB!H78="",0,(TRIB!H78*IF($D78="A",(INPUTS!$G$27/12*INPUTS!$B$12+INPUTS!$H$27),(INPUTS!$L$27/12*INPUTS!$B$12+INPUTS!$M$27))+IF(FACADE!H78="",0,FACADE!H78)*INPUTS!$B$15)/1000+ARCH_AG!H78/144*INPUTS!$B$12*INPUTS!$C$27/1000)</f>
        <v>76.3625</v>
      </c>
      <c r="I78" s="9" t="n">
        <f aca="false">IF(TRIB!I78="",0,(TRIB!I78*IF($D78="A",(INPUTS!$G$28/12*INPUTS!$B$12+INPUTS!$H$28),(INPUTS!$L$28/12*INPUTS!$B$12+INPUTS!$M$28))+IF(FACADE!I78="",0,FACADE!I78)*INPUTS!$B$15)/1000+ARCH_AG!I78/144*INPUTS!$B$12*INPUTS!$C$28/1000)</f>
        <v>76.3625</v>
      </c>
      <c r="J78" s="9" t="n">
        <f aca="false">IF(TRIB!J78="",0,(TRIB!J78*IF($D78="A",(INPUTS!$G$29/12*INPUTS!$B$12+INPUTS!$H$29),(INPUTS!$L$29/12*INPUTS!$B$12+INPUTS!$M$29))+IF(FACADE!J78="",0,FACADE!J78)*INPUTS!$B$15)/1000+ARCH_AG!J78/144*INPUTS!$B$12*INPUTS!$C$29/1000)</f>
        <v>75.5825</v>
      </c>
      <c r="K78" s="9" t="n">
        <f aca="false">IF(TRIB!K78="",0,(TRIB!K78*IF($D78="A",(INPUTS!$G$30/12*INPUTS!$B$12+INPUTS!$H$30),(INPUTS!$L$30/12*INPUTS!$B$12+INPUTS!$M$30))+IF(FACADE!K78="",0,FACADE!K78)*INPUTS!$B$15)/1000+ARCH_AG!K78/144*INPUTS!$B$12*INPUTS!$C$30/1000)</f>
        <v>0</v>
      </c>
      <c r="L78" s="9" t="n">
        <f aca="false">IF(TRIB!L78="",0,(TRIB!L78*IF($D78="A",(INPUTS!$G$31/12*INPUTS!$B$12+INPUTS!$H$31),(INPUTS!$L$31/12*INPUTS!$B$12+INPUTS!$M$31))+IF(FACADE!L78="",0,FACADE!L78)*INPUTS!$B$15)/1000+ARCH_AG!L78/144*INPUTS!$B$12*INPUTS!$C$31/1000)</f>
        <v>0</v>
      </c>
      <c r="M78" s="9" t="n">
        <f aca="false">IF(TRIB!M78="",0,(TRIB!M78*IF($D78="A",(INPUTS!$G$32/12*INPUTS!$B$12+INPUTS!$H$32),(INPUTS!$L$32/12*INPUTS!$B$12+INPUTS!$M$32))+IF(FACADE!M78="",0,FACADE!M78)*INPUTS!$B$15)/1000+ARCH_AG!M78/144*INPUTS!$B$12*INPUTS!$C$32/1000)</f>
        <v>0</v>
      </c>
      <c r="N78" s="9" t="n">
        <f aca="false">IF(TRIB!N78="",0,(TRIB!N78*IF($D78="A",(INPUTS!$G$33/12*INPUTS!$B$12+INPUTS!$H$33),(INPUTS!$L$33/12*INPUTS!$B$12+INPUTS!$M$33))+IF(FACADE!N78="",0,FACADE!N78)*INPUTS!$B$15)/1000+ARCH_AG!N78/144*INPUTS!$B$12*INPUTS!$C$33/1000)</f>
        <v>0</v>
      </c>
      <c r="O78" s="9" t="n">
        <f aca="false">IF(TRIB!O78="",0,(TRIB!O78*IF($D78="A",(INPUTS!$G$34/12*INPUTS!$B$12+INPUTS!$H$34),(INPUTS!$L$34/12*INPUTS!$B$12+INPUTS!$M$34))+IF(FACADE!O78="",0,FACADE!O78)*INPUTS!$B$15)/1000+ARCH_AG!O78/144*INPUTS!$B$12*INPUTS!$C$34/1000)</f>
        <v>0</v>
      </c>
      <c r="P78" s="9" t="n">
        <f aca="false">IF(TRIB!P78="",0,(TRIB!P78*IF($D78="A",(INPUTS!$G$35/12*INPUTS!$B$12+INPUTS!$H$35),(INPUTS!$L$35/12*INPUTS!$B$12+INPUTS!$M$35))+IF(FACADE!P78="",0,FACADE!P78)*INPUTS!$B$15)/1000+ARCH_AG!P78/144*INPUTS!$B$12*INPUTS!$C$35/1000)</f>
        <v>0</v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9" t="n">
        <f aca="false">IF(TRIB!E79="",0,(TRIB!E79*IF($D79="A",(INPUTS!$G$24/12*INPUTS!$B$12+INPUTS!$H$24),(INPUTS!$L$24/12*INPUTS!$B$12+INPUTS!$M$24))+IF(FACADE!E79="",0,FACADE!E79)*INPUTS!$B$15)/1000+ARCH_AG!E79/144*INPUTS!$B$12*INPUTS!$C$24/1000)</f>
        <v>83.9425</v>
      </c>
      <c r="F79" s="9" t="n">
        <f aca="false">IF(TRIB!F79="",0,(TRIB!F79*IF($D79="A",(INPUTS!$G$25/12*INPUTS!$B$12+INPUTS!$H$25),(INPUTS!$L$25/12*INPUTS!$B$12+INPUTS!$M$25))+IF(FACADE!F79="",0,FACADE!F79)*INPUTS!$B$15)/1000+ARCH_AG!F79/144*INPUTS!$B$12*INPUTS!$C$25/1000)</f>
        <v>84.4675</v>
      </c>
      <c r="G79" s="9" t="n">
        <f aca="false">IF(TRIB!G79="",0,(TRIB!G79*IF($D79="A",(INPUTS!$G$26/12*INPUTS!$B$12+INPUTS!$H$26),(INPUTS!$L$26/12*INPUTS!$B$12+INPUTS!$M$26))+IF(FACADE!G79="",0,FACADE!G79)*INPUTS!$B$15)/1000+ARCH_AG!G79/144*INPUTS!$B$12*INPUTS!$C$26/1000)</f>
        <v>79.6075</v>
      </c>
      <c r="H79" s="9" t="n">
        <f aca="false">IF(TRIB!H79="",0,(TRIB!H79*IF($D79="A",(INPUTS!$G$27/12*INPUTS!$B$12+INPUTS!$H$27),(INPUTS!$L$27/12*INPUTS!$B$12+INPUTS!$M$27))+IF(FACADE!H79="",0,FACADE!H79)*INPUTS!$B$15)/1000+ARCH_AG!H79/144*INPUTS!$B$12*INPUTS!$C$27/1000)</f>
        <v>71.9425</v>
      </c>
      <c r="I79" s="9" t="n">
        <f aca="false">IF(TRIB!I79="",0,(TRIB!I79*IF($D79="A",(INPUTS!$G$28/12*INPUTS!$B$12+INPUTS!$H$28),(INPUTS!$L$28/12*INPUTS!$B$12+INPUTS!$M$28))+IF(FACADE!I79="",0,FACADE!I79)*INPUTS!$B$15)/1000+ARCH_AG!I79/144*INPUTS!$B$12*INPUTS!$C$28/1000)</f>
        <v>71.9425</v>
      </c>
      <c r="J79" s="9" t="n">
        <f aca="false">IF(TRIB!J79="",0,(TRIB!J79*IF($D79="A",(INPUTS!$G$29/12*INPUTS!$B$12+INPUTS!$H$29),(INPUTS!$L$29/12*INPUTS!$B$12+INPUTS!$M$29))+IF(FACADE!J79="",0,FACADE!J79)*INPUTS!$B$15)/1000+ARCH_AG!J79/144*INPUTS!$B$12*INPUTS!$C$29/1000)</f>
        <v>78.0525</v>
      </c>
      <c r="K79" s="9" t="n">
        <f aca="false">IF(TRIB!K79="",0,(TRIB!K79*IF($D79="A",(INPUTS!$G$30/12*INPUTS!$B$12+INPUTS!$H$30),(INPUTS!$L$30/12*INPUTS!$B$12+INPUTS!$M$30))+IF(FACADE!K79="",0,FACADE!K79)*INPUTS!$B$15)/1000+ARCH_AG!K79/144*INPUTS!$B$12*INPUTS!$C$30/1000)</f>
        <v>0</v>
      </c>
      <c r="L79" s="9" t="n">
        <f aca="false">IF(TRIB!L79="",0,(TRIB!L79*IF($D79="A",(INPUTS!$G$31/12*INPUTS!$B$12+INPUTS!$H$31),(INPUTS!$L$31/12*INPUTS!$B$12+INPUTS!$M$31))+IF(FACADE!L79="",0,FACADE!L79)*INPUTS!$B$15)/1000+ARCH_AG!L79/144*INPUTS!$B$12*INPUTS!$C$31/1000)</f>
        <v>0</v>
      </c>
      <c r="M79" s="9" t="n">
        <f aca="false">IF(TRIB!M79="",0,(TRIB!M79*IF($D79="A",(INPUTS!$G$32/12*INPUTS!$B$12+INPUTS!$H$32),(INPUTS!$L$32/12*INPUTS!$B$12+INPUTS!$M$32))+IF(FACADE!M79="",0,FACADE!M79)*INPUTS!$B$15)/1000+ARCH_AG!M79/144*INPUTS!$B$12*INPUTS!$C$32/1000)</f>
        <v>0</v>
      </c>
      <c r="N79" s="9" t="n">
        <f aca="false">IF(TRIB!N79="",0,(TRIB!N79*IF($D79="A",(INPUTS!$G$33/12*INPUTS!$B$12+INPUTS!$H$33),(INPUTS!$L$33/12*INPUTS!$B$12+INPUTS!$M$33))+IF(FACADE!N79="",0,FACADE!N79)*INPUTS!$B$15)/1000+ARCH_AG!N79/144*INPUTS!$B$12*INPUTS!$C$33/1000)</f>
        <v>0</v>
      </c>
      <c r="O79" s="9" t="n">
        <f aca="false">IF(TRIB!O79="",0,(TRIB!O79*IF($D79="A",(INPUTS!$G$34/12*INPUTS!$B$12+INPUTS!$H$34),(INPUTS!$L$34/12*INPUTS!$B$12+INPUTS!$M$34))+IF(FACADE!O79="",0,FACADE!O79)*INPUTS!$B$15)/1000+ARCH_AG!O79/144*INPUTS!$B$12*INPUTS!$C$34/1000)</f>
        <v>0</v>
      </c>
      <c r="P79" s="9" t="n">
        <f aca="false">IF(TRIB!P79="",0,(TRIB!P79*IF($D79="A",(INPUTS!$G$35/12*INPUTS!$B$12+INPUTS!$H$35),(INPUTS!$L$35/12*INPUTS!$B$12+INPUTS!$M$35))+IF(FACADE!P79="",0,FACADE!P79)*INPUTS!$B$15)/1000+ARCH_AG!P79/144*INPUTS!$B$12*INPUTS!$C$35/1000)</f>
        <v>0</v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9" t="n">
        <f aca="false">IF(TRIB!E80="",0,(TRIB!E80*IF($D80="A",(INPUTS!$G$24/12*INPUTS!$B$12+INPUTS!$H$24),(INPUTS!$L$24/12*INPUTS!$B$12+INPUTS!$M$24))+IF(FACADE!E80="",0,FACADE!E80)*INPUTS!$B$15)/1000+ARCH_AG!E80/144*INPUTS!$B$12*INPUTS!$C$24/1000)</f>
        <v>87.9725</v>
      </c>
      <c r="F80" s="9" t="n">
        <f aca="false">IF(TRIB!F80="",0,(TRIB!F80*IF($D80="A",(INPUTS!$G$25/12*INPUTS!$B$12+INPUTS!$H$25),(INPUTS!$L$25/12*INPUTS!$B$12+INPUTS!$M$25))+IF(FACADE!F80="",0,FACADE!F80)*INPUTS!$B$15)/1000+ARCH_AG!F80/144*INPUTS!$B$12*INPUTS!$C$25/1000)</f>
        <v>88.4975</v>
      </c>
      <c r="G80" s="9" t="n">
        <f aca="false">IF(TRIB!G80="",0,(TRIB!G80*IF($D80="A",(INPUTS!$G$26/12*INPUTS!$B$12+INPUTS!$H$26),(INPUTS!$L$26/12*INPUTS!$B$12+INPUTS!$M$26))+IF(FACADE!G80="",0,FACADE!G80)*INPUTS!$B$15)/1000+ARCH_AG!G80/144*INPUTS!$B$12*INPUTS!$C$26/1000)</f>
        <v>82.6525</v>
      </c>
      <c r="H80" s="9" t="n">
        <f aca="false">IF(TRIB!H80="",0,(TRIB!H80*IF($D80="A",(INPUTS!$G$27/12*INPUTS!$B$12+INPUTS!$H$27),(INPUTS!$L$27/12*INPUTS!$B$12+INPUTS!$M$27))+IF(FACADE!H80="",0,FACADE!H80)*INPUTS!$B$15)/1000+ARCH_AG!H80/144*INPUTS!$B$12*INPUTS!$C$27/1000)</f>
        <v>74.6725</v>
      </c>
      <c r="I80" s="9" t="n">
        <f aca="false">IF(TRIB!I80="",0,(TRIB!I80*IF($D80="A",(INPUTS!$G$28/12*INPUTS!$B$12+INPUTS!$H$28),(INPUTS!$L$28/12*INPUTS!$B$12+INPUTS!$M$28))+IF(FACADE!I80="",0,FACADE!I80)*INPUTS!$B$15)/1000+ARCH_AG!I80/144*INPUTS!$B$12*INPUTS!$C$28/1000)</f>
        <v>74.6725</v>
      </c>
      <c r="J80" s="9" t="n">
        <f aca="false">IF(TRIB!J80="",0,(TRIB!J80*IF($D80="A",(INPUTS!$G$29/12*INPUTS!$B$12+INPUTS!$H$29),(INPUTS!$L$29/12*INPUTS!$B$12+INPUTS!$M$29))+IF(FACADE!J80="",0,FACADE!J80)*INPUTS!$B$15)/1000+ARCH_AG!J80/144*INPUTS!$B$12*INPUTS!$C$29/1000)</f>
        <v>81.8225</v>
      </c>
      <c r="K80" s="9" t="n">
        <f aca="false">IF(TRIB!K80="",0,(TRIB!K80*IF($D80="A",(INPUTS!$G$30/12*INPUTS!$B$12+INPUTS!$H$30),(INPUTS!$L$30/12*INPUTS!$B$12+INPUTS!$M$30))+IF(FACADE!K80="",0,FACADE!K80)*INPUTS!$B$15)/1000+ARCH_AG!K80/144*INPUTS!$B$12*INPUTS!$C$30/1000)</f>
        <v>0</v>
      </c>
      <c r="L80" s="9" t="n">
        <f aca="false">IF(TRIB!L80="",0,(TRIB!L80*IF($D80="A",(INPUTS!$G$31/12*INPUTS!$B$12+INPUTS!$H$31),(INPUTS!$L$31/12*INPUTS!$B$12+INPUTS!$M$31))+IF(FACADE!L80="",0,FACADE!L80)*INPUTS!$B$15)/1000+ARCH_AG!L80/144*INPUTS!$B$12*INPUTS!$C$31/1000)</f>
        <v>0</v>
      </c>
      <c r="M80" s="9" t="n">
        <f aca="false">IF(TRIB!M80="",0,(TRIB!M80*IF($D80="A",(INPUTS!$G$32/12*INPUTS!$B$12+INPUTS!$H$32),(INPUTS!$L$32/12*INPUTS!$B$12+INPUTS!$M$32))+IF(FACADE!M80="",0,FACADE!M80)*INPUTS!$B$15)/1000+ARCH_AG!M80/144*INPUTS!$B$12*INPUTS!$C$32/1000)</f>
        <v>0</v>
      </c>
      <c r="N80" s="9" t="n">
        <f aca="false">IF(TRIB!N80="",0,(TRIB!N80*IF($D80="A",(INPUTS!$G$33/12*INPUTS!$B$12+INPUTS!$H$33),(INPUTS!$L$33/12*INPUTS!$B$12+INPUTS!$M$33))+IF(FACADE!N80="",0,FACADE!N80)*INPUTS!$B$15)/1000+ARCH_AG!N80/144*INPUTS!$B$12*INPUTS!$C$33/1000)</f>
        <v>0</v>
      </c>
      <c r="O80" s="9" t="n">
        <f aca="false">IF(TRIB!O80="",0,(TRIB!O80*IF($D80="A",(INPUTS!$G$34/12*INPUTS!$B$12+INPUTS!$H$34),(INPUTS!$L$34/12*INPUTS!$B$12+INPUTS!$M$34))+IF(FACADE!O80="",0,FACADE!O80)*INPUTS!$B$15)/1000+ARCH_AG!O80/144*INPUTS!$B$12*INPUTS!$C$34/1000)</f>
        <v>0</v>
      </c>
      <c r="P80" s="9" t="n">
        <f aca="false">IF(TRIB!P80="",0,(TRIB!P80*IF($D80="A",(INPUTS!$G$35/12*INPUTS!$B$12+INPUTS!$H$35),(INPUTS!$L$35/12*INPUTS!$B$12+INPUTS!$M$35))+IF(FACADE!P80="",0,FACADE!P80)*INPUTS!$B$15)/1000+ARCH_AG!P80/144*INPUTS!$B$12*INPUTS!$C$35/1000)</f>
        <v>0</v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9" t="n">
        <f aca="false">IF(TRIB!E81="",0,(TRIB!E81*IF($D81="A",(INPUTS!$G$24/12*INPUTS!$B$12+INPUTS!$H$24),(INPUTS!$L$24/12*INPUTS!$B$12+INPUTS!$M$24))+IF(FACADE!E81="",0,FACADE!E81)*INPUTS!$B$15)/1000+ARCH_AG!E81/144*INPUTS!$B$12*INPUTS!$C$24/1000)</f>
        <v>87.9725</v>
      </c>
      <c r="F81" s="9" t="n">
        <f aca="false">IF(TRIB!F81="",0,(TRIB!F81*IF($D81="A",(INPUTS!$G$25/12*INPUTS!$B$12+INPUTS!$H$25),(INPUTS!$L$25/12*INPUTS!$B$12+INPUTS!$M$25))+IF(FACADE!F81="",0,FACADE!F81)*INPUTS!$B$15)/1000+ARCH_AG!F81/144*INPUTS!$B$12*INPUTS!$C$25/1000)</f>
        <v>88.4975</v>
      </c>
      <c r="G81" s="9" t="n">
        <f aca="false">IF(TRIB!G81="",0,(TRIB!G81*IF($D81="A",(INPUTS!$G$26/12*INPUTS!$B$12+INPUTS!$H$26),(INPUTS!$L$26/12*INPUTS!$B$12+INPUTS!$M$26))+IF(FACADE!G81="",0,FACADE!G81)*INPUTS!$B$15)/1000+ARCH_AG!G81/144*INPUTS!$B$12*INPUTS!$C$26/1000)</f>
        <v>82.6525</v>
      </c>
      <c r="H81" s="9" t="n">
        <f aca="false">IF(TRIB!H81="",0,(TRIB!H81*IF($D81="A",(INPUTS!$G$27/12*INPUTS!$B$12+INPUTS!$H$27),(INPUTS!$L$27/12*INPUTS!$B$12+INPUTS!$M$27))+IF(FACADE!H81="",0,FACADE!H81)*INPUTS!$B$15)/1000+ARCH_AG!H81/144*INPUTS!$B$12*INPUTS!$C$27/1000)</f>
        <v>74.6725</v>
      </c>
      <c r="I81" s="9" t="n">
        <f aca="false">IF(TRIB!I81="",0,(TRIB!I81*IF($D81="A",(INPUTS!$G$28/12*INPUTS!$B$12+INPUTS!$H$28),(INPUTS!$L$28/12*INPUTS!$B$12+INPUTS!$M$28))+IF(FACADE!I81="",0,FACADE!I81)*INPUTS!$B$15)/1000+ARCH_AG!I81/144*INPUTS!$B$12*INPUTS!$C$28/1000)</f>
        <v>74.6725</v>
      </c>
      <c r="J81" s="9" t="n">
        <f aca="false">IF(TRIB!J81="",0,(TRIB!J81*IF($D81="A",(INPUTS!$G$29/12*INPUTS!$B$12+INPUTS!$H$29),(INPUTS!$L$29/12*INPUTS!$B$12+INPUTS!$M$29))+IF(FACADE!J81="",0,FACADE!J81)*INPUTS!$B$15)/1000+ARCH_AG!J81/144*INPUTS!$B$12*INPUTS!$C$29/1000)</f>
        <v>116.2925</v>
      </c>
      <c r="K81" s="9" t="n">
        <f aca="false">IF(TRIB!K81="",0,(TRIB!K81*IF($D81="A",(INPUTS!$G$30/12*INPUTS!$B$12+INPUTS!$H$30),(INPUTS!$L$30/12*INPUTS!$B$12+INPUTS!$M$30))+IF(FACADE!K81="",0,FACADE!K81)*INPUTS!$B$15)/1000+ARCH_AG!K81/144*INPUTS!$B$12*INPUTS!$C$30/1000)</f>
        <v>0</v>
      </c>
      <c r="L81" s="9" t="n">
        <f aca="false">IF(TRIB!L81="",0,(TRIB!L81*IF($D81="A",(INPUTS!$G$31/12*INPUTS!$B$12+INPUTS!$H$31),(INPUTS!$L$31/12*INPUTS!$B$12+INPUTS!$M$31))+IF(FACADE!L81="",0,FACADE!L81)*INPUTS!$B$15)/1000+ARCH_AG!L81/144*INPUTS!$B$12*INPUTS!$C$31/1000)</f>
        <v>0</v>
      </c>
      <c r="M81" s="9" t="n">
        <f aca="false">IF(TRIB!M81="",0,(TRIB!M81*IF($D81="A",(INPUTS!$G$32/12*INPUTS!$B$12+INPUTS!$H$32),(INPUTS!$L$32/12*INPUTS!$B$12+INPUTS!$M$32))+IF(FACADE!M81="",0,FACADE!M81)*INPUTS!$B$15)/1000+ARCH_AG!M81/144*INPUTS!$B$12*INPUTS!$C$32/1000)</f>
        <v>0</v>
      </c>
      <c r="N81" s="9" t="n">
        <f aca="false">IF(TRIB!N81="",0,(TRIB!N81*IF($D81="A",(INPUTS!$G$33/12*INPUTS!$B$12+INPUTS!$H$33),(INPUTS!$L$33/12*INPUTS!$B$12+INPUTS!$M$33))+IF(FACADE!N81="",0,FACADE!N81)*INPUTS!$B$15)/1000+ARCH_AG!N81/144*INPUTS!$B$12*INPUTS!$C$33/1000)</f>
        <v>0</v>
      </c>
      <c r="O81" s="9" t="n">
        <f aca="false">IF(TRIB!O81="",0,(TRIB!O81*IF($D81="A",(INPUTS!$G$34/12*INPUTS!$B$12+INPUTS!$H$34),(INPUTS!$L$34/12*INPUTS!$B$12+INPUTS!$M$34))+IF(FACADE!O81="",0,FACADE!O81)*INPUTS!$B$15)/1000+ARCH_AG!O81/144*INPUTS!$B$12*INPUTS!$C$34/1000)</f>
        <v>0</v>
      </c>
      <c r="P81" s="9" t="n">
        <f aca="false">IF(TRIB!P81="",0,(TRIB!P81*IF($D81="A",(INPUTS!$G$35/12*INPUTS!$B$12+INPUTS!$H$35),(INPUTS!$L$35/12*INPUTS!$B$12+INPUTS!$M$35))+IF(FACADE!P81="",0,FACADE!P81)*INPUTS!$B$15)/1000+ARCH_AG!P81/144*INPUTS!$B$12*INPUTS!$C$35/1000)</f>
        <v>0</v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9" t="n">
        <f aca="false">IF(TRIB!E82="",0,(TRIB!E82*IF($D82="A",(INPUTS!$G$24/12*INPUTS!$B$12+INPUTS!$H$24),(INPUTS!$L$24/12*INPUTS!$B$12+INPUTS!$M$24))+IF(FACADE!E82="",0,FACADE!E82)*INPUTS!$B$15)/1000+ARCH_AG!E82/144*INPUTS!$B$12*INPUTS!$C$24/1000)</f>
        <v>11.0925</v>
      </c>
      <c r="F82" s="9" t="n">
        <f aca="false">IF(TRIB!F82="",0,(TRIB!F82*IF($D82="A",(INPUTS!$G$25/12*INPUTS!$B$12+INPUTS!$H$25),(INPUTS!$L$25/12*INPUTS!$B$12+INPUTS!$M$25))+IF(FACADE!F82="",0,FACADE!F82)*INPUTS!$B$15)/1000+ARCH_AG!F82/144*INPUTS!$B$12*INPUTS!$C$25/1000)</f>
        <v>11.6175</v>
      </c>
      <c r="G82" s="9" t="n">
        <f aca="false">IF(TRIB!G82="",0,(TRIB!G82*IF($D82="A",(INPUTS!$G$26/12*INPUTS!$B$12+INPUTS!$H$26),(INPUTS!$L$26/12*INPUTS!$B$12+INPUTS!$M$26))+IF(FACADE!G82="",0,FACADE!G82)*INPUTS!$B$15)/1000+ARCH_AG!G82/144*INPUTS!$B$12*INPUTS!$C$26/1000)</f>
        <v>10.7325</v>
      </c>
      <c r="H82" s="9" t="n">
        <f aca="false">IF(TRIB!H82="",0,(TRIB!H82*IF($D82="A",(INPUTS!$G$27/12*INPUTS!$B$12+INPUTS!$H$27),(INPUTS!$L$27/12*INPUTS!$B$12+INPUTS!$M$27))+IF(FACADE!H82="",0,FACADE!H82)*INPUTS!$B$15)/1000+ARCH_AG!H82/144*INPUTS!$B$12*INPUTS!$C$27/1000)</f>
        <v>10.1925</v>
      </c>
      <c r="I82" s="9" t="n">
        <f aca="false">IF(TRIB!I82="",0,(TRIB!I82*IF($D82="A",(INPUTS!$G$28/12*INPUTS!$B$12+INPUTS!$H$28),(INPUTS!$L$28/12*INPUTS!$B$12+INPUTS!$M$28))+IF(FACADE!I82="",0,FACADE!I82)*INPUTS!$B$15)/1000+ARCH_AG!I82/144*INPUTS!$B$12*INPUTS!$C$28/1000)</f>
        <v>10.1925</v>
      </c>
      <c r="J82" s="9" t="n">
        <f aca="false">IF(TRIB!J82="",0,(TRIB!J82*IF($D82="A",(INPUTS!$G$29/12*INPUTS!$B$12+INPUTS!$H$29),(INPUTS!$L$29/12*INPUTS!$B$12+INPUTS!$M$29))+IF(FACADE!J82="",0,FACADE!J82)*INPUTS!$B$15)/1000+ARCH_AG!J82/144*INPUTS!$B$12*INPUTS!$C$29/1000)</f>
        <v>58.2925</v>
      </c>
      <c r="K82" s="9" t="n">
        <f aca="false">IF(TRIB!K82="",0,(TRIB!K82*IF($D82="A",(INPUTS!$G$30/12*INPUTS!$B$12+INPUTS!$H$30),(INPUTS!$L$30/12*INPUTS!$B$12+INPUTS!$M$30))+IF(FACADE!K82="",0,FACADE!K82)*INPUTS!$B$15)/1000+ARCH_AG!K82/144*INPUTS!$B$12*INPUTS!$C$30/1000)</f>
        <v>0</v>
      </c>
      <c r="L82" s="9" t="n">
        <f aca="false">IF(TRIB!L82="",0,(TRIB!L82*IF($D82="A",(INPUTS!$G$31/12*INPUTS!$B$12+INPUTS!$H$31),(INPUTS!$L$31/12*INPUTS!$B$12+INPUTS!$M$31))+IF(FACADE!L82="",0,FACADE!L82)*INPUTS!$B$15)/1000+ARCH_AG!L82/144*INPUTS!$B$12*INPUTS!$C$31/1000)</f>
        <v>0</v>
      </c>
      <c r="M82" s="9" t="n">
        <f aca="false">IF(TRIB!M82="",0,(TRIB!M82*IF($D82="A",(INPUTS!$G$32/12*INPUTS!$B$12+INPUTS!$H$32),(INPUTS!$L$32/12*INPUTS!$B$12+INPUTS!$M$32))+IF(FACADE!M82="",0,FACADE!M82)*INPUTS!$B$15)/1000+ARCH_AG!M82/144*INPUTS!$B$12*INPUTS!$C$32/1000)</f>
        <v>0</v>
      </c>
      <c r="N82" s="9" t="n">
        <f aca="false">IF(TRIB!N82="",0,(TRIB!N82*IF($D82="A",(INPUTS!$G$33/12*INPUTS!$B$12+INPUTS!$H$33),(INPUTS!$L$33/12*INPUTS!$B$12+INPUTS!$M$33))+IF(FACADE!N82="",0,FACADE!N82)*INPUTS!$B$15)/1000+ARCH_AG!N82/144*INPUTS!$B$12*INPUTS!$C$33/1000)</f>
        <v>0</v>
      </c>
      <c r="O82" s="9" t="n">
        <f aca="false">IF(TRIB!O82="",0,(TRIB!O82*IF($D82="A",(INPUTS!$G$34/12*INPUTS!$B$12+INPUTS!$H$34),(INPUTS!$L$34/12*INPUTS!$B$12+INPUTS!$M$34))+IF(FACADE!O82="",0,FACADE!O82)*INPUTS!$B$15)/1000+ARCH_AG!O82/144*INPUTS!$B$12*INPUTS!$C$34/1000)</f>
        <v>0</v>
      </c>
      <c r="P82" s="9" t="n">
        <f aca="false">IF(TRIB!P82="",0,(TRIB!P82*IF($D82="A",(INPUTS!$G$35/12*INPUTS!$B$12+INPUTS!$H$35),(INPUTS!$L$35/12*INPUTS!$B$12+INPUTS!$M$35))+IF(FACADE!P82="",0,FACADE!P82)*INPUTS!$B$15)/1000+ARCH_AG!P82/144*INPUTS!$B$12*INPUTS!$C$35/1000)</f>
        <v>0</v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9" t="n">
        <f aca="false">IF(TRIB!E83="",0,(TRIB!E83*IF($D83="A",(INPUTS!$G$24/12*INPUTS!$B$12+INPUTS!$H$24),(INPUTS!$L$24/12*INPUTS!$B$12+INPUTS!$M$24))+IF(FACADE!E83="",0,FACADE!E83)*INPUTS!$B$15)/1000+ARCH_AG!E83/144*INPUTS!$B$12*INPUTS!$C$24/1000)</f>
        <v>65.6525</v>
      </c>
      <c r="F83" s="9" t="n">
        <f aca="false">IF(TRIB!F83="",0,(TRIB!F83*IF($D83="A",(INPUTS!$G$25/12*INPUTS!$B$12+INPUTS!$H$25),(INPUTS!$L$25/12*INPUTS!$B$12+INPUTS!$M$25))+IF(FACADE!F83="",0,FACADE!F83)*INPUTS!$B$15)/1000+ARCH_AG!F83/144*INPUTS!$B$12*INPUTS!$C$25/1000)</f>
        <v>71.1275</v>
      </c>
      <c r="G83" s="9" t="n">
        <f aca="false">IF(TRIB!G83="",0,(TRIB!G83*IF($D83="A",(INPUTS!$G$26/12*INPUTS!$B$12+INPUTS!$H$26),(INPUTS!$L$26/12*INPUTS!$B$12+INPUTS!$M$26))+IF(FACADE!G83="",0,FACADE!G83)*INPUTS!$B$15)/1000+ARCH_AG!G83/144*INPUTS!$B$12*INPUTS!$C$26/1000)</f>
        <v>60.8825</v>
      </c>
      <c r="H83" s="9" t="n">
        <f aca="false">IF(TRIB!H83="",0,(TRIB!H83*IF($D83="A",(INPUTS!$G$27/12*INPUTS!$B$12+INPUTS!$H$27),(INPUTS!$L$27/12*INPUTS!$B$12+INPUTS!$M$27))+IF(FACADE!H83="",0,FACADE!H83)*INPUTS!$B$15)/1000+ARCH_AG!H83/144*INPUTS!$B$12*INPUTS!$C$27/1000)</f>
        <v>65.0225</v>
      </c>
      <c r="I83" s="9" t="n">
        <f aca="false">IF(TRIB!I83="",0,(TRIB!I83*IF($D83="A",(INPUTS!$G$28/12*INPUTS!$B$12+INPUTS!$H$28),(INPUTS!$L$28/12*INPUTS!$B$12+INPUTS!$M$28))+IF(FACADE!I83="",0,FACADE!I83)*INPUTS!$B$15)/1000+ARCH_AG!I83/144*INPUTS!$B$12*INPUTS!$C$28/1000)</f>
        <v>65.0225</v>
      </c>
      <c r="J83" s="9" t="n">
        <f aca="false">IF(TRIB!J83="",0,(TRIB!J83*IF($D83="A",(INPUTS!$G$29/12*INPUTS!$B$12+INPUTS!$H$29),(INPUTS!$L$29/12*INPUTS!$B$12+INPUTS!$M$29))+IF(FACADE!J83="",0,FACADE!J83)*INPUTS!$B$15)/1000+ARCH_AG!J83/144*INPUTS!$B$12*INPUTS!$C$29/1000)</f>
        <v>51.4825</v>
      </c>
      <c r="K83" s="9" t="n">
        <f aca="false">IF(TRIB!K83="",0,(TRIB!K83*IF($D83="A",(INPUTS!$G$30/12*INPUTS!$B$12+INPUTS!$H$30),(INPUTS!$L$30/12*INPUTS!$B$12+INPUTS!$M$30))+IF(FACADE!K83="",0,FACADE!K83)*INPUTS!$B$15)/1000+ARCH_AG!K83/144*INPUTS!$B$12*INPUTS!$C$30/1000)</f>
        <v>0</v>
      </c>
      <c r="L83" s="9" t="n">
        <f aca="false">IF(TRIB!L83="",0,(TRIB!L83*IF($D83="A",(INPUTS!$G$31/12*INPUTS!$B$12+INPUTS!$H$31),(INPUTS!$L$31/12*INPUTS!$B$12+INPUTS!$M$31))+IF(FACADE!L83="",0,FACADE!L83)*INPUTS!$B$15)/1000+ARCH_AG!L83/144*INPUTS!$B$12*INPUTS!$C$31/1000)</f>
        <v>0</v>
      </c>
      <c r="M83" s="9" t="n">
        <f aca="false">IF(TRIB!M83="",0,(TRIB!M83*IF($D83="A",(INPUTS!$G$32/12*INPUTS!$B$12+INPUTS!$H$32),(INPUTS!$L$32/12*INPUTS!$B$12+INPUTS!$M$32))+IF(FACADE!M83="",0,FACADE!M83)*INPUTS!$B$15)/1000+ARCH_AG!M83/144*INPUTS!$B$12*INPUTS!$C$32/1000)</f>
        <v>0</v>
      </c>
      <c r="N83" s="9" t="n">
        <f aca="false">IF(TRIB!N83="",0,(TRIB!N83*IF($D83="A",(INPUTS!$G$33/12*INPUTS!$B$12+INPUTS!$H$33),(INPUTS!$L$33/12*INPUTS!$B$12+INPUTS!$M$33))+IF(FACADE!N83="",0,FACADE!N83)*INPUTS!$B$15)/1000+ARCH_AG!N83/144*INPUTS!$B$12*INPUTS!$C$33/1000)</f>
        <v>0</v>
      </c>
      <c r="O83" s="9" t="n">
        <f aca="false">IF(TRIB!O83="",0,(TRIB!O83*IF($D83="A",(INPUTS!$G$34/12*INPUTS!$B$12+INPUTS!$H$34),(INPUTS!$L$34/12*INPUTS!$B$12+INPUTS!$M$34))+IF(FACADE!O83="",0,FACADE!O83)*INPUTS!$B$15)/1000+ARCH_AG!O83/144*INPUTS!$B$12*INPUTS!$C$34/1000)</f>
        <v>0</v>
      </c>
      <c r="P83" s="9" t="n">
        <f aca="false">IF(TRIB!P83="",0,(TRIB!P83*IF($D83="A",(INPUTS!$G$35/12*INPUTS!$B$12+INPUTS!$H$35),(INPUTS!$L$35/12*INPUTS!$B$12+INPUTS!$M$35))+IF(FACADE!P83="",0,FACADE!P83)*INPUTS!$B$15)/1000+ARCH_AG!P83/144*INPUTS!$B$12*INPUTS!$C$35/1000)</f>
        <v>0</v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9" t="n">
        <f aca="false">IF(TRIB!E84="",0,(TRIB!E84*IF($D84="A",(INPUTS!$G$24/12*INPUTS!$B$12+INPUTS!$H$24),(INPUTS!$L$24/12*INPUTS!$B$12+INPUTS!$M$24))+IF(FACADE!E84="",0,FACADE!E84)*INPUTS!$B$15)/1000+ARCH_AG!E84/144*INPUTS!$B$12*INPUTS!$C$24/1000)</f>
        <v>16.5175</v>
      </c>
      <c r="F84" s="9" t="n">
        <f aca="false">IF(TRIB!F84="",0,(TRIB!F84*IF($D84="A",(INPUTS!$G$25/12*INPUTS!$B$12+INPUTS!$H$25),(INPUTS!$L$25/12*INPUTS!$B$12+INPUTS!$M$25))+IF(FACADE!F84="",0,FACADE!F84)*INPUTS!$B$15)/1000+ARCH_AG!F84/144*INPUTS!$B$12*INPUTS!$C$25/1000)</f>
        <v>17.0425</v>
      </c>
      <c r="G84" s="9" t="n">
        <f aca="false">IF(TRIB!G84="",0,(TRIB!G84*IF($D84="A",(INPUTS!$G$26/12*INPUTS!$B$12+INPUTS!$H$26),(INPUTS!$L$26/12*INPUTS!$B$12+INPUTS!$M$26))+IF(FACADE!G84="",0,FACADE!G84)*INPUTS!$B$15)/1000+ARCH_AG!G84/144*INPUTS!$B$12*INPUTS!$C$26/1000)</f>
        <v>84.9725</v>
      </c>
      <c r="H84" s="9" t="n">
        <f aca="false">IF(TRIB!H84="",0,(TRIB!H84*IF($D84="A",(INPUTS!$G$27/12*INPUTS!$B$12+INPUTS!$H$27),(INPUTS!$L$27/12*INPUTS!$B$12+INPUTS!$M$27))+IF(FACADE!H84="",0,FACADE!H84)*INPUTS!$B$15)/1000+ARCH_AG!H84/144*INPUTS!$B$12*INPUTS!$C$27/1000)</f>
        <v>76.7525</v>
      </c>
      <c r="I84" s="9" t="n">
        <f aca="false">IF(TRIB!I84="",0,(TRIB!I84*IF($D84="A",(INPUTS!$G$28/12*INPUTS!$B$12+INPUTS!$H$28),(INPUTS!$L$28/12*INPUTS!$B$12+INPUTS!$M$28))+IF(FACADE!I84="",0,FACADE!I84)*INPUTS!$B$15)/1000+ARCH_AG!I84/144*INPUTS!$B$12*INPUTS!$C$28/1000)</f>
        <v>76.8825</v>
      </c>
      <c r="J84" s="9" t="n">
        <f aca="false">IF(TRIB!J84="",0,(TRIB!J84*IF($D84="A",(INPUTS!$G$29/12*INPUTS!$B$12+INPUTS!$H$29),(INPUTS!$L$29/12*INPUTS!$B$12+INPUTS!$M$29))+IF(FACADE!J84="",0,FACADE!J84)*INPUTS!$B$15)/1000+ARCH_AG!J84/144*INPUTS!$B$12*INPUTS!$C$29/1000)</f>
        <v>84.4225</v>
      </c>
      <c r="K84" s="9" t="n">
        <f aca="false">IF(TRIB!K84="",0,(TRIB!K84*IF($D84="A",(INPUTS!$G$30/12*INPUTS!$B$12+INPUTS!$H$30),(INPUTS!$L$30/12*INPUTS!$B$12+INPUTS!$M$30))+IF(FACADE!K84="",0,FACADE!K84)*INPUTS!$B$15)/1000+ARCH_AG!K84/144*INPUTS!$B$12*INPUTS!$C$30/1000)</f>
        <v>0</v>
      </c>
      <c r="L84" s="9" t="n">
        <f aca="false">IF(TRIB!L84="",0,(TRIB!L84*IF($D84="A",(INPUTS!$G$31/12*INPUTS!$B$12+INPUTS!$H$31),(INPUTS!$L$31/12*INPUTS!$B$12+INPUTS!$M$31))+IF(FACADE!L84="",0,FACADE!L84)*INPUTS!$B$15)/1000+ARCH_AG!L84/144*INPUTS!$B$12*INPUTS!$C$31/1000)</f>
        <v>0</v>
      </c>
      <c r="M84" s="9" t="n">
        <f aca="false">IF(TRIB!M84="",0,(TRIB!M84*IF($D84="A",(INPUTS!$G$32/12*INPUTS!$B$12+INPUTS!$H$32),(INPUTS!$L$32/12*INPUTS!$B$12+INPUTS!$M$32))+IF(FACADE!M84="",0,FACADE!M84)*INPUTS!$B$15)/1000+ARCH_AG!M84/144*INPUTS!$B$12*INPUTS!$C$32/1000)</f>
        <v>0</v>
      </c>
      <c r="N84" s="9" t="n">
        <f aca="false">IF(TRIB!N84="",0,(TRIB!N84*IF($D84="A",(INPUTS!$G$33/12*INPUTS!$B$12+INPUTS!$H$33),(INPUTS!$L$33/12*INPUTS!$B$12+INPUTS!$M$33))+IF(FACADE!N84="",0,FACADE!N84)*INPUTS!$B$15)/1000+ARCH_AG!N84/144*INPUTS!$B$12*INPUTS!$C$33/1000)</f>
        <v>0</v>
      </c>
      <c r="O84" s="9" t="n">
        <f aca="false">IF(TRIB!O84="",0,(TRIB!O84*IF($D84="A",(INPUTS!$G$34/12*INPUTS!$B$12+INPUTS!$H$34),(INPUTS!$L$34/12*INPUTS!$B$12+INPUTS!$M$34))+IF(FACADE!O84="",0,FACADE!O84)*INPUTS!$B$15)/1000+ARCH_AG!O84/144*INPUTS!$B$12*INPUTS!$C$34/1000)</f>
        <v>0</v>
      </c>
      <c r="P84" s="9" t="n">
        <f aca="false">IF(TRIB!P84="",0,(TRIB!P84*IF($D84="A",(INPUTS!$G$35/12*INPUTS!$B$12+INPUTS!$H$35),(INPUTS!$L$35/12*INPUTS!$B$12+INPUTS!$M$35))+IF(FACADE!P84="",0,FACADE!P84)*INPUTS!$B$15)/1000+ARCH_AG!P84/144*INPUTS!$B$12*INPUTS!$C$35/1000)</f>
        <v>0</v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9" t="n">
        <f aca="false">IF(TRIB!E85="",0,(TRIB!E85*IF($D85="A",(INPUTS!$G$24/12*INPUTS!$B$12+INPUTS!$H$24),(INPUTS!$L$24/12*INPUTS!$B$12+INPUTS!$M$24))+IF(FACADE!E85="",0,FACADE!E85)*INPUTS!$B$15)/1000+ARCH_AG!E85/144*INPUTS!$B$12*INPUTS!$C$24/1000)</f>
        <v>76.9675</v>
      </c>
      <c r="F85" s="9" t="n">
        <f aca="false">IF(TRIB!F85="",0,(TRIB!F85*IF($D85="A",(INPUTS!$G$25/12*INPUTS!$B$12+INPUTS!$H$25),(INPUTS!$L$25/12*INPUTS!$B$12+INPUTS!$M$25))+IF(FACADE!F85="",0,FACADE!F85)*INPUTS!$B$15)/1000+ARCH_AG!F85/144*INPUTS!$B$12*INPUTS!$C$25/1000)</f>
        <v>77.4925</v>
      </c>
      <c r="G85" s="9" t="n">
        <f aca="false">IF(TRIB!G85="",0,(TRIB!G85*IF($D85="A",(INPUTS!$G$26/12*INPUTS!$B$12+INPUTS!$H$26),(INPUTS!$L$26/12*INPUTS!$B$12+INPUTS!$M$26))+IF(FACADE!G85="",0,FACADE!G85)*INPUTS!$B$15)/1000+ARCH_AG!G85/144*INPUTS!$B$12*INPUTS!$C$26/1000)</f>
        <v>78.4475</v>
      </c>
      <c r="H85" s="9" t="n">
        <f aca="false">IF(TRIB!H85="",0,(TRIB!H85*IF($D85="A",(INPUTS!$G$27/12*INPUTS!$B$12+INPUTS!$H$27),(INPUTS!$L$27/12*INPUTS!$B$12+INPUTS!$M$27))+IF(FACADE!H85="",0,FACADE!H85)*INPUTS!$B$15)/1000+ARCH_AG!H85/144*INPUTS!$B$12*INPUTS!$C$27/1000)</f>
        <v>70.9025</v>
      </c>
      <c r="I85" s="9" t="n">
        <f aca="false">IF(TRIB!I85="",0,(TRIB!I85*IF($D85="A",(INPUTS!$G$28/12*INPUTS!$B$12+INPUTS!$H$28),(INPUTS!$L$28/12*INPUTS!$B$12+INPUTS!$M$28))+IF(FACADE!I85="",0,FACADE!I85)*INPUTS!$B$15)/1000+ARCH_AG!I85/144*INPUTS!$B$12*INPUTS!$C$28/1000)</f>
        <v>70.9025</v>
      </c>
      <c r="J85" s="9" t="n">
        <f aca="false">IF(TRIB!J85="",0,(TRIB!J85*IF($D85="A",(INPUTS!$G$29/12*INPUTS!$B$12+INPUTS!$H$29),(INPUTS!$L$29/12*INPUTS!$B$12+INPUTS!$M$29))+IF(FACADE!J85="",0,FACADE!J85)*INPUTS!$B$15)/1000+ARCH_AG!J85/144*INPUTS!$B$12*INPUTS!$C$29/1000)</f>
        <v>76.7525</v>
      </c>
      <c r="K85" s="9" t="n">
        <f aca="false">IF(TRIB!K85="",0,(TRIB!K85*IF($D85="A",(INPUTS!$G$30/12*INPUTS!$B$12+INPUTS!$H$30),(INPUTS!$L$30/12*INPUTS!$B$12+INPUTS!$M$30))+IF(FACADE!K85="",0,FACADE!K85)*INPUTS!$B$15)/1000+ARCH_AG!K85/144*INPUTS!$B$12*INPUTS!$C$30/1000)</f>
        <v>0</v>
      </c>
      <c r="L85" s="9" t="n">
        <f aca="false">IF(TRIB!L85="",0,(TRIB!L85*IF($D85="A",(INPUTS!$G$31/12*INPUTS!$B$12+INPUTS!$H$31),(INPUTS!$L$31/12*INPUTS!$B$12+INPUTS!$M$31))+IF(FACADE!L85="",0,FACADE!L85)*INPUTS!$B$15)/1000+ARCH_AG!L85/144*INPUTS!$B$12*INPUTS!$C$31/1000)</f>
        <v>0</v>
      </c>
      <c r="M85" s="9" t="n">
        <f aca="false">IF(TRIB!M85="",0,(TRIB!M85*IF($D85="A",(INPUTS!$G$32/12*INPUTS!$B$12+INPUTS!$H$32),(INPUTS!$L$32/12*INPUTS!$B$12+INPUTS!$M$32))+IF(FACADE!M85="",0,FACADE!M85)*INPUTS!$B$15)/1000+ARCH_AG!M85/144*INPUTS!$B$12*INPUTS!$C$32/1000)</f>
        <v>0</v>
      </c>
      <c r="N85" s="9" t="n">
        <f aca="false">IF(TRIB!N85="",0,(TRIB!N85*IF($D85="A",(INPUTS!$G$33/12*INPUTS!$B$12+INPUTS!$H$33),(INPUTS!$L$33/12*INPUTS!$B$12+INPUTS!$M$33))+IF(FACADE!N85="",0,FACADE!N85)*INPUTS!$B$15)/1000+ARCH_AG!N85/144*INPUTS!$B$12*INPUTS!$C$33/1000)</f>
        <v>0</v>
      </c>
      <c r="O85" s="9" t="n">
        <f aca="false">IF(TRIB!O85="",0,(TRIB!O85*IF($D85="A",(INPUTS!$G$34/12*INPUTS!$B$12+INPUTS!$H$34),(INPUTS!$L$34/12*INPUTS!$B$12+INPUTS!$M$34))+IF(FACADE!O85="",0,FACADE!O85)*INPUTS!$B$15)/1000+ARCH_AG!O85/144*INPUTS!$B$12*INPUTS!$C$34/1000)</f>
        <v>0</v>
      </c>
      <c r="P85" s="9" t="n">
        <f aca="false">IF(TRIB!P85="",0,(TRIB!P85*IF($D85="A",(INPUTS!$G$35/12*INPUTS!$B$12+INPUTS!$H$35),(INPUTS!$L$35/12*INPUTS!$B$12+INPUTS!$M$35))+IF(FACADE!P85="",0,FACADE!P85)*INPUTS!$B$15)/1000+ARCH_AG!P85/144*INPUTS!$B$12*INPUTS!$C$35/1000)</f>
        <v>0</v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9" t="n">
        <f aca="false">IF(TRIB!E86="",0,(TRIB!E86*IF($D86="A",(INPUTS!$G$24/12*INPUTS!$B$12+INPUTS!$H$24),(INPUTS!$L$24/12*INPUTS!$B$12+INPUTS!$M$24))+IF(FACADE!E86="",0,FACADE!E86)*INPUTS!$B$15)/1000+ARCH_AG!E86/144*INPUTS!$B$12*INPUTS!$C$24/1000)</f>
        <v>9.5425</v>
      </c>
      <c r="F86" s="9" t="n">
        <f aca="false">IF(TRIB!F86="",0,(TRIB!F86*IF($D86="A",(INPUTS!$G$25/12*INPUTS!$B$12+INPUTS!$H$25),(INPUTS!$L$25/12*INPUTS!$B$12+INPUTS!$M$25))+IF(FACADE!F86="",0,FACADE!F86)*INPUTS!$B$15)/1000+ARCH_AG!F86/144*INPUTS!$B$12*INPUTS!$C$25/1000)</f>
        <v>10.0675</v>
      </c>
      <c r="G86" s="9" t="n">
        <f aca="false">IF(TRIB!G86="",0,(TRIB!G86*IF($D86="A",(INPUTS!$G$26/12*INPUTS!$B$12+INPUTS!$H$26),(INPUTS!$L$26/12*INPUTS!$B$12+INPUTS!$M$26))+IF(FACADE!G86="",0,FACADE!G86)*INPUTS!$B$15)/1000+ARCH_AG!G86/144*INPUTS!$B$12*INPUTS!$C$26/1000)</f>
        <v>9.2825</v>
      </c>
      <c r="H86" s="9" t="n">
        <f aca="false">IF(TRIB!H86="",0,(TRIB!H86*IF($D86="A",(INPUTS!$G$27/12*INPUTS!$B$12+INPUTS!$H$27),(INPUTS!$L$27/12*INPUTS!$B$12+INPUTS!$M$27))+IF(FACADE!H86="",0,FACADE!H86)*INPUTS!$B$15)/1000+ARCH_AG!H86/144*INPUTS!$B$12*INPUTS!$C$27/1000)</f>
        <v>8.8925</v>
      </c>
      <c r="I86" s="9" t="n">
        <f aca="false">IF(TRIB!I86="",0,(TRIB!I86*IF($D86="A",(INPUTS!$G$28/12*INPUTS!$B$12+INPUTS!$H$28),(INPUTS!$L$28/12*INPUTS!$B$12+INPUTS!$M$28))+IF(FACADE!I86="",0,FACADE!I86)*INPUTS!$B$15)/1000+ARCH_AG!I86/144*INPUTS!$B$12*INPUTS!$C$28/1000)</f>
        <v>8.4125</v>
      </c>
      <c r="J86" s="9" t="n">
        <f aca="false">IF(TRIB!J86="",0,(TRIB!J86*IF($D86="A",(INPUTS!$G$29/12*INPUTS!$B$12+INPUTS!$H$29),(INPUTS!$L$29/12*INPUTS!$B$12+INPUTS!$M$29))+IF(FACADE!J86="",0,FACADE!J86)*INPUTS!$B$15)/1000+ARCH_AG!J86/144*INPUTS!$B$12*INPUTS!$C$29/1000)</f>
        <v>35.0425</v>
      </c>
      <c r="K86" s="9" t="n">
        <f aca="false">IF(TRIB!K86="",0,(TRIB!K86*IF($D86="A",(INPUTS!$G$30/12*INPUTS!$B$12+INPUTS!$H$30),(INPUTS!$L$30/12*INPUTS!$B$12+INPUTS!$M$30))+IF(FACADE!K86="",0,FACADE!K86)*INPUTS!$B$15)/1000+ARCH_AG!K86/144*INPUTS!$B$12*INPUTS!$C$30/1000)</f>
        <v>0</v>
      </c>
      <c r="L86" s="9" t="n">
        <f aca="false">IF(TRIB!L86="",0,(TRIB!L86*IF($D86="A",(INPUTS!$G$31/12*INPUTS!$B$12+INPUTS!$H$31),(INPUTS!$L$31/12*INPUTS!$B$12+INPUTS!$M$31))+IF(FACADE!L86="",0,FACADE!L86)*INPUTS!$B$15)/1000+ARCH_AG!L86/144*INPUTS!$B$12*INPUTS!$C$31/1000)</f>
        <v>0</v>
      </c>
      <c r="M86" s="9" t="n">
        <f aca="false">IF(TRIB!M86="",0,(TRIB!M86*IF($D86="A",(INPUTS!$G$32/12*INPUTS!$B$12+INPUTS!$H$32),(INPUTS!$L$32/12*INPUTS!$B$12+INPUTS!$M$32))+IF(FACADE!M86="",0,FACADE!M86)*INPUTS!$B$15)/1000+ARCH_AG!M86/144*INPUTS!$B$12*INPUTS!$C$32/1000)</f>
        <v>0</v>
      </c>
      <c r="N86" s="9" t="n">
        <f aca="false">IF(TRIB!N86="",0,(TRIB!N86*IF($D86="A",(INPUTS!$G$33/12*INPUTS!$B$12+INPUTS!$H$33),(INPUTS!$L$33/12*INPUTS!$B$12+INPUTS!$M$33))+IF(FACADE!N86="",0,FACADE!N86)*INPUTS!$B$15)/1000+ARCH_AG!N86/144*INPUTS!$B$12*INPUTS!$C$33/1000)</f>
        <v>0</v>
      </c>
      <c r="O86" s="9" t="n">
        <f aca="false">IF(TRIB!O86="",0,(TRIB!O86*IF($D86="A",(INPUTS!$G$34/12*INPUTS!$B$12+INPUTS!$H$34),(INPUTS!$L$34/12*INPUTS!$B$12+INPUTS!$M$34))+IF(FACADE!O86="",0,FACADE!O86)*INPUTS!$B$15)/1000+ARCH_AG!O86/144*INPUTS!$B$12*INPUTS!$C$34/1000)</f>
        <v>0</v>
      </c>
      <c r="P86" s="9" t="n">
        <f aca="false">IF(TRIB!P86="",0,(TRIB!P86*IF($D86="A",(INPUTS!$G$35/12*INPUTS!$B$12+INPUTS!$H$35),(INPUTS!$L$35/12*INPUTS!$B$12+INPUTS!$M$35))+IF(FACADE!P86="",0,FACADE!P86)*INPUTS!$B$15)/1000+ARCH_AG!P86/144*INPUTS!$B$12*INPUTS!$C$35/1000)</f>
        <v>0</v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9" t="n">
        <f aca="false">IF(TRIB!E87="",0,(TRIB!E87*IF($D87="A",(INPUTS!$G$24/12*INPUTS!$B$12+INPUTS!$H$24),(INPUTS!$L$24/12*INPUTS!$B$12+INPUTS!$M$24))+IF(FACADE!E87="",0,FACADE!E87)*INPUTS!$B$15)/1000+ARCH_AG!E87/144*INPUTS!$B$12*INPUTS!$C$24/1000)</f>
        <v>87.9725</v>
      </c>
      <c r="F87" s="9" t="n">
        <f aca="false">IF(TRIB!F87="",0,(TRIB!F87*IF($D87="A",(INPUTS!$G$25/12*INPUTS!$B$12+INPUTS!$H$25),(INPUTS!$L$25/12*INPUTS!$B$12+INPUTS!$M$25))+IF(FACADE!F87="",0,FACADE!F87)*INPUTS!$B$15)/1000+ARCH_AG!F87/144*INPUTS!$B$12*INPUTS!$C$25/1000)</f>
        <v>88.4975</v>
      </c>
      <c r="G87" s="9" t="n">
        <f aca="false">IF(TRIB!G87="",0,(TRIB!G87*IF($D87="A",(INPUTS!$G$26/12*INPUTS!$B$12+INPUTS!$H$26),(INPUTS!$L$26/12*INPUTS!$B$12+INPUTS!$M$26))+IF(FACADE!G87="",0,FACADE!G87)*INPUTS!$B$15)/1000+ARCH_AG!G87/144*INPUTS!$B$12*INPUTS!$C$26/1000)</f>
        <v>82.6525</v>
      </c>
      <c r="H87" s="9" t="n">
        <f aca="false">IF(TRIB!H87="",0,(TRIB!H87*IF($D87="A",(INPUTS!$G$27/12*INPUTS!$B$12+INPUTS!$H$27),(INPUTS!$L$27/12*INPUTS!$B$12+INPUTS!$M$27))+IF(FACADE!H87="",0,FACADE!H87)*INPUTS!$B$15)/1000+ARCH_AG!H87/144*INPUTS!$B$12*INPUTS!$C$27/1000)</f>
        <v>74.6725</v>
      </c>
      <c r="I87" s="9" t="n">
        <f aca="false">IF(TRIB!I87="",0,(TRIB!I87*IF($D87="A",(INPUTS!$G$28/12*INPUTS!$B$12+INPUTS!$H$28),(INPUTS!$L$28/12*INPUTS!$B$12+INPUTS!$M$28))+IF(FACADE!I87="",0,FACADE!I87)*INPUTS!$B$15)/1000+ARCH_AG!I87/144*INPUTS!$B$12*INPUTS!$C$28/1000)</f>
        <v>0</v>
      </c>
      <c r="J87" s="9" t="n">
        <f aca="false">IF(TRIB!J87="",0,(TRIB!J87*IF($D87="A",(INPUTS!$G$29/12*INPUTS!$B$12+INPUTS!$H$29),(INPUTS!$L$29/12*INPUTS!$B$12+INPUTS!$M$29))+IF(FACADE!J87="",0,FACADE!J87)*INPUTS!$B$15)/1000+ARCH_AG!J87/144*INPUTS!$B$12*INPUTS!$C$29/1000)</f>
        <v>0</v>
      </c>
      <c r="K87" s="9" t="n">
        <f aca="false">IF(TRIB!K87="",0,(TRIB!K87*IF($D87="A",(INPUTS!$G$30/12*INPUTS!$B$12+INPUTS!$H$30),(INPUTS!$L$30/12*INPUTS!$B$12+INPUTS!$M$30))+IF(FACADE!K87="",0,FACADE!K87)*INPUTS!$B$15)/1000+ARCH_AG!K87/144*INPUTS!$B$12*INPUTS!$C$30/1000)</f>
        <v>0</v>
      </c>
      <c r="L87" s="9" t="n">
        <f aca="false">IF(TRIB!L87="",0,(TRIB!L87*IF($D87="A",(INPUTS!$G$31/12*INPUTS!$B$12+INPUTS!$H$31),(INPUTS!$L$31/12*INPUTS!$B$12+INPUTS!$M$31))+IF(FACADE!L87="",0,FACADE!L87)*INPUTS!$B$15)/1000+ARCH_AG!L87/144*INPUTS!$B$12*INPUTS!$C$31/1000)</f>
        <v>0</v>
      </c>
      <c r="M87" s="9" t="n">
        <f aca="false">IF(TRIB!M87="",0,(TRIB!M87*IF($D87="A",(INPUTS!$G$32/12*INPUTS!$B$12+INPUTS!$H$32),(INPUTS!$L$32/12*INPUTS!$B$12+INPUTS!$M$32))+IF(FACADE!M87="",0,FACADE!M87)*INPUTS!$B$15)/1000+ARCH_AG!M87/144*INPUTS!$B$12*INPUTS!$C$32/1000)</f>
        <v>0</v>
      </c>
      <c r="N87" s="9" t="n">
        <f aca="false">IF(TRIB!N87="",0,(TRIB!N87*IF($D87="A",(INPUTS!$G$33/12*INPUTS!$B$12+INPUTS!$H$33),(INPUTS!$L$33/12*INPUTS!$B$12+INPUTS!$M$33))+IF(FACADE!N87="",0,FACADE!N87)*INPUTS!$B$15)/1000+ARCH_AG!N87/144*INPUTS!$B$12*INPUTS!$C$33/1000)</f>
        <v>0</v>
      </c>
      <c r="O87" s="9" t="n">
        <f aca="false">IF(TRIB!O87="",0,(TRIB!O87*IF($D87="A",(INPUTS!$G$34/12*INPUTS!$B$12+INPUTS!$H$34),(INPUTS!$L$34/12*INPUTS!$B$12+INPUTS!$M$34))+IF(FACADE!O87="",0,FACADE!O87)*INPUTS!$B$15)/1000+ARCH_AG!O87/144*INPUTS!$B$12*INPUTS!$C$34/1000)</f>
        <v>0</v>
      </c>
      <c r="P87" s="9" t="n">
        <f aca="false">IF(TRIB!P87="",0,(TRIB!P87*IF($D87="A",(INPUTS!$G$35/12*INPUTS!$B$12+INPUTS!$H$35),(INPUTS!$L$35/12*INPUTS!$B$12+INPUTS!$M$35))+IF(FACADE!P87="",0,FACADE!P87)*INPUTS!$B$15)/1000+ARCH_AG!P87/144*INPUTS!$B$12*INPUTS!$C$35/1000)</f>
        <v>0</v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9" t="n">
        <f aca="false">IF(TRIB!E88="",0,(TRIB!E88*IF($D88="A",(INPUTS!$G$24/12*INPUTS!$B$12+INPUTS!$H$24),(INPUTS!$L$24/12*INPUTS!$B$12+INPUTS!$M$24))+IF(FACADE!E88="",0,FACADE!E88)*INPUTS!$B$15)/1000+ARCH_AG!E88/144*INPUTS!$B$12*INPUTS!$C$24/1000)</f>
        <v>87.9725</v>
      </c>
      <c r="F88" s="9" t="n">
        <f aca="false">IF(TRIB!F88="",0,(TRIB!F88*IF($D88="A",(INPUTS!$G$25/12*INPUTS!$B$12+INPUTS!$H$25),(INPUTS!$L$25/12*INPUTS!$B$12+INPUTS!$M$25))+IF(FACADE!F88="",0,FACADE!F88)*INPUTS!$B$15)/1000+ARCH_AG!F88/144*INPUTS!$B$12*INPUTS!$C$25/1000)</f>
        <v>88.4975</v>
      </c>
      <c r="G88" s="9" t="n">
        <f aca="false">IF(TRIB!G88="",0,(TRIB!G88*IF($D88="A",(INPUTS!$G$26/12*INPUTS!$B$12+INPUTS!$H$26),(INPUTS!$L$26/12*INPUTS!$B$12+INPUTS!$M$26))+IF(FACADE!G88="",0,FACADE!G88)*INPUTS!$B$15)/1000+ARCH_AG!G88/144*INPUTS!$B$12*INPUTS!$C$26/1000)</f>
        <v>74.9375</v>
      </c>
      <c r="H88" s="9" t="n">
        <f aca="false">IF(TRIB!H88="",0,(TRIB!H88*IF($D88="A",(INPUTS!$G$27/12*INPUTS!$B$12+INPUTS!$H$27),(INPUTS!$L$27/12*INPUTS!$B$12+INPUTS!$M$27))+IF(FACADE!H88="",0,FACADE!H88)*INPUTS!$B$15)/1000+ARCH_AG!H88/144*INPUTS!$B$12*INPUTS!$C$27/1000)</f>
        <v>67.7225</v>
      </c>
      <c r="I88" s="9" t="n">
        <f aca="false">IF(TRIB!I88="",0,(TRIB!I88*IF($D88="A",(INPUTS!$G$28/12*INPUTS!$B$12+INPUTS!$H$28),(INPUTS!$L$28/12*INPUTS!$B$12+INPUTS!$M$28))+IF(FACADE!I88="",0,FACADE!I88)*INPUTS!$B$15)/1000+ARCH_AG!I88/144*INPUTS!$B$12*INPUTS!$C$28/1000)</f>
        <v>0</v>
      </c>
      <c r="J88" s="9" t="n">
        <f aca="false">IF(TRIB!J88="",0,(TRIB!J88*IF($D88="A",(INPUTS!$G$29/12*INPUTS!$B$12+INPUTS!$H$29),(INPUTS!$L$29/12*INPUTS!$B$12+INPUTS!$M$29))+IF(FACADE!J88="",0,FACADE!J88)*INPUTS!$B$15)/1000+ARCH_AG!J88/144*INPUTS!$B$12*INPUTS!$C$29/1000)</f>
        <v>0</v>
      </c>
      <c r="K88" s="9" t="n">
        <f aca="false">IF(TRIB!K88="",0,(TRIB!K88*IF($D88="A",(INPUTS!$G$30/12*INPUTS!$B$12+INPUTS!$H$30),(INPUTS!$L$30/12*INPUTS!$B$12+INPUTS!$M$30))+IF(FACADE!K88="",0,FACADE!K88)*INPUTS!$B$15)/1000+ARCH_AG!K88/144*INPUTS!$B$12*INPUTS!$C$30/1000)</f>
        <v>0</v>
      </c>
      <c r="L88" s="9" t="n">
        <f aca="false">IF(TRIB!L88="",0,(TRIB!L88*IF($D88="A",(INPUTS!$G$31/12*INPUTS!$B$12+INPUTS!$H$31),(INPUTS!$L$31/12*INPUTS!$B$12+INPUTS!$M$31))+IF(FACADE!L88="",0,FACADE!L88)*INPUTS!$B$15)/1000+ARCH_AG!L88/144*INPUTS!$B$12*INPUTS!$C$31/1000)</f>
        <v>0</v>
      </c>
      <c r="M88" s="9" t="n">
        <f aca="false">IF(TRIB!M88="",0,(TRIB!M88*IF($D88="A",(INPUTS!$G$32/12*INPUTS!$B$12+INPUTS!$H$32),(INPUTS!$L$32/12*INPUTS!$B$12+INPUTS!$M$32))+IF(FACADE!M88="",0,FACADE!M88)*INPUTS!$B$15)/1000+ARCH_AG!M88/144*INPUTS!$B$12*INPUTS!$C$32/1000)</f>
        <v>0</v>
      </c>
      <c r="N88" s="9" t="n">
        <f aca="false">IF(TRIB!N88="",0,(TRIB!N88*IF($D88="A",(INPUTS!$G$33/12*INPUTS!$B$12+INPUTS!$H$33),(INPUTS!$L$33/12*INPUTS!$B$12+INPUTS!$M$33))+IF(FACADE!N88="",0,FACADE!N88)*INPUTS!$B$15)/1000+ARCH_AG!N88/144*INPUTS!$B$12*INPUTS!$C$33/1000)</f>
        <v>0</v>
      </c>
      <c r="O88" s="9" t="n">
        <f aca="false">IF(TRIB!O88="",0,(TRIB!O88*IF($D88="A",(INPUTS!$G$34/12*INPUTS!$B$12+INPUTS!$H$34),(INPUTS!$L$34/12*INPUTS!$B$12+INPUTS!$M$34))+IF(FACADE!O88="",0,FACADE!O88)*INPUTS!$B$15)/1000+ARCH_AG!O88/144*INPUTS!$B$12*INPUTS!$C$34/1000)</f>
        <v>0</v>
      </c>
      <c r="P88" s="9" t="n">
        <f aca="false">IF(TRIB!P88="",0,(TRIB!P88*IF($D88="A",(INPUTS!$G$35/12*INPUTS!$B$12+INPUTS!$H$35),(INPUTS!$L$35/12*INPUTS!$B$12+INPUTS!$M$35))+IF(FACADE!P88="",0,FACADE!P88)*INPUTS!$B$15)/1000+ARCH_AG!P88/144*INPUTS!$B$12*INPUTS!$C$35/1000)</f>
        <v>0</v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9" t="n">
        <f aca="false">IF(TRIB!E89="",0,(TRIB!E89*IF($D89="A",(INPUTS!$G$24/12*INPUTS!$B$12+INPUTS!$H$24),(INPUTS!$L$24/12*INPUTS!$B$12+INPUTS!$M$24))+IF(FACADE!E89="",0,FACADE!E89)*INPUTS!$B$15)/1000+ARCH_AG!E89/144*INPUTS!$B$12*INPUTS!$C$24/1000)</f>
        <v>93.0875</v>
      </c>
      <c r="F89" s="9" t="n">
        <f aca="false">IF(TRIB!F89="",0,(TRIB!F89*IF($D89="A",(INPUTS!$G$25/12*INPUTS!$B$12+INPUTS!$H$25),(INPUTS!$L$25/12*INPUTS!$B$12+INPUTS!$M$25))+IF(FACADE!F89="",0,FACADE!F89)*INPUTS!$B$15)/1000+ARCH_AG!F89/144*INPUTS!$B$12*INPUTS!$C$25/1000)</f>
        <v>97.3625</v>
      </c>
      <c r="G89" s="9" t="n">
        <f aca="false">IF(TRIB!G89="",0,(TRIB!G89*IF($D89="A",(INPUTS!$G$26/12*INPUTS!$B$12+INPUTS!$H$26),(INPUTS!$L$26/12*INPUTS!$B$12+INPUTS!$M$26))+IF(FACADE!G89="",0,FACADE!G89)*INPUTS!$B$15)/1000+ARCH_AG!G89/144*INPUTS!$B$12*INPUTS!$C$26/1000)</f>
        <v>60.5925</v>
      </c>
      <c r="H89" s="9" t="n">
        <f aca="false">IF(TRIB!H89="",0,(TRIB!H89*IF($D89="A",(INPUTS!$G$27/12*INPUTS!$B$12+INPUTS!$H$27),(INPUTS!$L$27/12*INPUTS!$B$12+INPUTS!$M$27))+IF(FACADE!H89="",0,FACADE!H89)*INPUTS!$B$15)/1000+ARCH_AG!H89/144*INPUTS!$B$12*INPUTS!$C$27/1000)</f>
        <v>65.0225</v>
      </c>
      <c r="I89" s="9" t="n">
        <f aca="false">IF(TRIB!I89="",0,(TRIB!I89*IF($D89="A",(INPUTS!$G$28/12*INPUTS!$B$12+INPUTS!$H$28),(INPUTS!$L$28/12*INPUTS!$B$12+INPUTS!$M$28))+IF(FACADE!I89="",0,FACADE!I89)*INPUTS!$B$15)/1000+ARCH_AG!I89/144*INPUTS!$B$12*INPUTS!$C$28/1000)</f>
        <v>65.0225</v>
      </c>
      <c r="J89" s="9" t="n">
        <f aca="false">IF(TRIB!J89="",0,(TRIB!J89*IF($D89="A",(INPUTS!$G$29/12*INPUTS!$B$12+INPUTS!$H$29),(INPUTS!$L$29/12*INPUTS!$B$12+INPUTS!$M$29))+IF(FACADE!J89="",0,FACADE!J89)*INPUTS!$B$15)/1000+ARCH_AG!J89/144*INPUTS!$B$12*INPUTS!$C$29/1000)</f>
        <v>57.9925</v>
      </c>
      <c r="K89" s="9" t="n">
        <f aca="false">IF(TRIB!K89="",0,(TRIB!K89*IF($D89="A",(INPUTS!$G$30/12*INPUTS!$B$12+INPUTS!$H$30),(INPUTS!$L$30/12*INPUTS!$B$12+INPUTS!$M$30))+IF(FACADE!K89="",0,FACADE!K89)*INPUTS!$B$15)/1000+ARCH_AG!K89/144*INPUTS!$B$12*INPUTS!$C$30/1000)</f>
        <v>0</v>
      </c>
      <c r="L89" s="9" t="n">
        <f aca="false">IF(TRIB!L89="",0,(TRIB!L89*IF($D89="A",(INPUTS!$G$31/12*INPUTS!$B$12+INPUTS!$H$31),(INPUTS!$L$31/12*INPUTS!$B$12+INPUTS!$M$31))+IF(FACADE!L89="",0,FACADE!L89)*INPUTS!$B$15)/1000+ARCH_AG!L89/144*INPUTS!$B$12*INPUTS!$C$31/1000)</f>
        <v>0</v>
      </c>
      <c r="M89" s="9" t="n">
        <f aca="false">IF(TRIB!M89="",0,(TRIB!M89*IF($D89="A",(INPUTS!$G$32/12*INPUTS!$B$12+INPUTS!$H$32),(INPUTS!$L$32/12*INPUTS!$B$12+INPUTS!$M$32))+IF(FACADE!M89="",0,FACADE!M89)*INPUTS!$B$15)/1000+ARCH_AG!M89/144*INPUTS!$B$12*INPUTS!$C$32/1000)</f>
        <v>0</v>
      </c>
      <c r="N89" s="9" t="n">
        <f aca="false">IF(TRIB!N89="",0,(TRIB!N89*IF($D89="A",(INPUTS!$G$33/12*INPUTS!$B$12+INPUTS!$H$33),(INPUTS!$L$33/12*INPUTS!$B$12+INPUTS!$M$33))+IF(FACADE!N89="",0,FACADE!N89)*INPUTS!$B$15)/1000+ARCH_AG!N89/144*INPUTS!$B$12*INPUTS!$C$33/1000)</f>
        <v>0</v>
      </c>
      <c r="O89" s="9" t="n">
        <f aca="false">IF(TRIB!O89="",0,(TRIB!O89*IF($D89="A",(INPUTS!$G$34/12*INPUTS!$B$12+INPUTS!$H$34),(INPUTS!$L$34/12*INPUTS!$B$12+INPUTS!$M$34))+IF(FACADE!O89="",0,FACADE!O89)*INPUTS!$B$15)/1000+ARCH_AG!O89/144*INPUTS!$B$12*INPUTS!$C$34/1000)</f>
        <v>0</v>
      </c>
      <c r="P89" s="9" t="n">
        <f aca="false">IF(TRIB!P89="",0,(TRIB!P89*IF($D89="A",(INPUTS!$G$35/12*INPUTS!$B$12+INPUTS!$H$35),(INPUTS!$L$35/12*INPUTS!$B$12+INPUTS!$M$35))+IF(FACADE!P89="",0,FACADE!P89)*INPUTS!$B$15)/1000+ARCH_AG!P89/144*INPUTS!$B$12*INPUTS!$C$35/1000)</f>
        <v>0</v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9" t="n">
        <f aca="false">IF(TRIB!E90="",0,(TRIB!E90*IF($D90="A",(INPUTS!$G$24/12*INPUTS!$B$12+INPUTS!$H$24),(INPUTS!$L$24/12*INPUTS!$B$12+INPUTS!$M$24))+IF(FACADE!E90="",0,FACADE!E90)*INPUTS!$B$15)/1000+ARCH_AG!E90/144*INPUTS!$B$12*INPUTS!$C$24/1000)</f>
        <v>8.7675</v>
      </c>
      <c r="F90" s="9" t="n">
        <f aca="false">IF(TRIB!F90="",0,(TRIB!F90*IF($D90="A",(INPUTS!$G$25/12*INPUTS!$B$12+INPUTS!$H$25),(INPUTS!$L$25/12*INPUTS!$B$12+INPUTS!$M$25))+IF(FACADE!F90="",0,FACADE!F90)*INPUTS!$B$15)/1000+ARCH_AG!F90/144*INPUTS!$B$12*INPUTS!$C$25/1000)</f>
        <v>9.2925</v>
      </c>
      <c r="G90" s="9" t="n">
        <f aca="false">IF(TRIB!G90="",0,(TRIB!G90*IF($D90="A",(INPUTS!$G$26/12*INPUTS!$B$12+INPUTS!$H$26),(INPUTS!$L$26/12*INPUTS!$B$12+INPUTS!$M$26))+IF(FACADE!G90="",0,FACADE!G90)*INPUTS!$B$15)/1000+ARCH_AG!G90/144*INPUTS!$B$12*INPUTS!$C$26/1000)</f>
        <v>8.5575</v>
      </c>
      <c r="H90" s="9" t="n">
        <f aca="false">IF(TRIB!H90="",0,(TRIB!H90*IF($D90="A",(INPUTS!$G$27/12*INPUTS!$B$12+INPUTS!$H$27),(INPUTS!$L$27/12*INPUTS!$B$12+INPUTS!$M$27))+IF(FACADE!H90="",0,FACADE!H90)*INPUTS!$B$15)/1000+ARCH_AG!H90/144*INPUTS!$B$12*INPUTS!$C$27/1000)</f>
        <v>8.2425</v>
      </c>
      <c r="I90" s="9" t="n">
        <f aca="false">IF(TRIB!I90="",0,(TRIB!I90*IF($D90="A",(INPUTS!$G$28/12*INPUTS!$B$12+INPUTS!$H$28),(INPUTS!$L$28/12*INPUTS!$B$12+INPUTS!$M$28))+IF(FACADE!I90="",0,FACADE!I90)*INPUTS!$B$15)/1000+ARCH_AG!I90/144*INPUTS!$B$12*INPUTS!$C$28/1000)</f>
        <v>8.2425</v>
      </c>
      <c r="J90" s="9" t="n">
        <f aca="false">IF(TRIB!J90="",0,(TRIB!J90*IF($D90="A",(INPUTS!$G$29/12*INPUTS!$B$12+INPUTS!$H$29),(INPUTS!$L$29/12*INPUTS!$B$12+INPUTS!$M$29))+IF(FACADE!J90="",0,FACADE!J90)*INPUTS!$B$15)/1000+ARCH_AG!J90/144*INPUTS!$B$12*INPUTS!$C$29/1000)</f>
        <v>30.5825</v>
      </c>
      <c r="K90" s="9" t="n">
        <f aca="false">IF(TRIB!K90="",0,(TRIB!K90*IF($D90="A",(INPUTS!$G$30/12*INPUTS!$B$12+INPUTS!$H$30),(INPUTS!$L$30/12*INPUTS!$B$12+INPUTS!$M$30))+IF(FACADE!K90="",0,FACADE!K90)*INPUTS!$B$15)/1000+ARCH_AG!K90/144*INPUTS!$B$12*INPUTS!$C$30/1000)</f>
        <v>0</v>
      </c>
      <c r="L90" s="9" t="n">
        <f aca="false">IF(TRIB!L90="",0,(TRIB!L90*IF($D90="A",(INPUTS!$G$31/12*INPUTS!$B$12+INPUTS!$H$31),(INPUTS!$L$31/12*INPUTS!$B$12+INPUTS!$M$31))+IF(FACADE!L90="",0,FACADE!L90)*INPUTS!$B$15)/1000+ARCH_AG!L90/144*INPUTS!$B$12*INPUTS!$C$31/1000)</f>
        <v>0</v>
      </c>
      <c r="M90" s="9" t="n">
        <f aca="false">IF(TRIB!M90="",0,(TRIB!M90*IF($D90="A",(INPUTS!$G$32/12*INPUTS!$B$12+INPUTS!$H$32),(INPUTS!$L$32/12*INPUTS!$B$12+INPUTS!$M$32))+IF(FACADE!M90="",0,FACADE!M90)*INPUTS!$B$15)/1000+ARCH_AG!M90/144*INPUTS!$B$12*INPUTS!$C$32/1000)</f>
        <v>0</v>
      </c>
      <c r="N90" s="9" t="n">
        <f aca="false">IF(TRIB!N90="",0,(TRIB!N90*IF($D90="A",(INPUTS!$G$33/12*INPUTS!$B$12+INPUTS!$H$33),(INPUTS!$L$33/12*INPUTS!$B$12+INPUTS!$M$33))+IF(FACADE!N90="",0,FACADE!N90)*INPUTS!$B$15)/1000+ARCH_AG!N90/144*INPUTS!$B$12*INPUTS!$C$33/1000)</f>
        <v>0</v>
      </c>
      <c r="O90" s="9" t="n">
        <f aca="false">IF(TRIB!O90="",0,(TRIB!O90*IF($D90="A",(INPUTS!$G$34/12*INPUTS!$B$12+INPUTS!$H$34),(INPUTS!$L$34/12*INPUTS!$B$12+INPUTS!$M$34))+IF(FACADE!O90="",0,FACADE!O90)*INPUTS!$B$15)/1000+ARCH_AG!O90/144*INPUTS!$B$12*INPUTS!$C$34/1000)</f>
        <v>0</v>
      </c>
      <c r="P90" s="9" t="n">
        <f aca="false">IF(TRIB!P90="",0,(TRIB!P90*IF($D90="A",(INPUTS!$G$35/12*INPUTS!$B$12+INPUTS!$H$35),(INPUTS!$L$35/12*INPUTS!$B$12+INPUTS!$M$35))+IF(FACADE!P90="",0,FACADE!P90)*INPUTS!$B$15)/1000+ARCH_AG!P90/144*INPUTS!$B$12*INPUTS!$C$35/1000)</f>
        <v>0</v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9" t="n">
        <f aca="false">IF(TRIB!E91="",0,(TRIB!E91*IF($D91="A",(INPUTS!$G$24/12*INPUTS!$B$12+INPUTS!$H$24),(INPUTS!$L$24/12*INPUTS!$B$12+INPUTS!$M$24))+IF(FACADE!E91="",0,FACADE!E91)*INPUTS!$B$15)/1000+ARCH_AG!E91/144*INPUTS!$B$12*INPUTS!$C$24/1000)</f>
        <v>76.9675</v>
      </c>
      <c r="F91" s="9" t="n">
        <f aca="false">IF(TRIB!F91="",0,(TRIB!F91*IF($D91="A",(INPUTS!$G$25/12*INPUTS!$B$12+INPUTS!$H$25),(INPUTS!$L$25/12*INPUTS!$B$12+INPUTS!$M$25))+IF(FACADE!F91="",0,FACADE!F91)*INPUTS!$B$15)/1000+ARCH_AG!F91/144*INPUTS!$B$12*INPUTS!$C$25/1000)</f>
        <v>77.4925</v>
      </c>
      <c r="G91" s="9" t="n">
        <f aca="false">IF(TRIB!G91="",0,(TRIB!G91*IF($D91="A",(INPUTS!$G$26/12*INPUTS!$B$12+INPUTS!$H$26),(INPUTS!$L$26/12*INPUTS!$B$12+INPUTS!$M$26))+IF(FACADE!G91="",0,FACADE!G91)*INPUTS!$B$15)/1000+ARCH_AG!G91/144*INPUTS!$B$12*INPUTS!$C$26/1000)</f>
        <v>75.4025</v>
      </c>
      <c r="H91" s="9" t="n">
        <f aca="false">IF(TRIB!H91="",0,(TRIB!H91*IF($D91="A",(INPUTS!$G$27/12*INPUTS!$B$12+INPUTS!$H$27),(INPUTS!$L$27/12*INPUTS!$B$12+INPUTS!$M$27))+IF(FACADE!H91="",0,FACADE!H91)*INPUTS!$B$15)/1000+ARCH_AG!H91/144*INPUTS!$B$12*INPUTS!$C$27/1000)</f>
        <v>68.1725</v>
      </c>
      <c r="I91" s="9" t="n">
        <f aca="false">IF(TRIB!I91="",0,(TRIB!I91*IF($D91="A",(INPUTS!$G$28/12*INPUTS!$B$12+INPUTS!$H$28),(INPUTS!$L$28/12*INPUTS!$B$12+INPUTS!$M$28))+IF(FACADE!I91="",0,FACADE!I91)*INPUTS!$B$15)/1000+ARCH_AG!I91/144*INPUTS!$B$12*INPUTS!$C$28/1000)</f>
        <v>68.4325</v>
      </c>
      <c r="J91" s="9" t="n">
        <f aca="false">IF(TRIB!J91="",0,(TRIB!J91*IF($D91="A",(INPUTS!$G$29/12*INPUTS!$B$12+INPUTS!$H$29),(INPUTS!$L$29/12*INPUTS!$B$12+INPUTS!$M$29))+IF(FACADE!J91="",0,FACADE!J91)*INPUTS!$B$15)/1000+ARCH_AG!J91/144*INPUTS!$B$12*INPUTS!$C$29/1000)</f>
        <v>52.8125</v>
      </c>
      <c r="K91" s="9" t="n">
        <f aca="false">IF(TRIB!K91="",0,(TRIB!K91*IF($D91="A",(INPUTS!$G$30/12*INPUTS!$B$12+INPUTS!$H$30),(INPUTS!$L$30/12*INPUTS!$B$12+INPUTS!$M$30))+IF(FACADE!K91="",0,FACADE!K91)*INPUTS!$B$15)/1000+ARCH_AG!K91/144*INPUTS!$B$12*INPUTS!$C$30/1000)</f>
        <v>0</v>
      </c>
      <c r="L91" s="9" t="n">
        <f aca="false">IF(TRIB!L91="",0,(TRIB!L91*IF($D91="A",(INPUTS!$G$31/12*INPUTS!$B$12+INPUTS!$H$31),(INPUTS!$L$31/12*INPUTS!$B$12+INPUTS!$M$31))+IF(FACADE!L91="",0,FACADE!L91)*INPUTS!$B$15)/1000+ARCH_AG!L91/144*INPUTS!$B$12*INPUTS!$C$31/1000)</f>
        <v>0</v>
      </c>
      <c r="M91" s="9" t="n">
        <f aca="false">IF(TRIB!M91="",0,(TRIB!M91*IF($D91="A",(INPUTS!$G$32/12*INPUTS!$B$12+INPUTS!$H$32),(INPUTS!$L$32/12*INPUTS!$B$12+INPUTS!$M$32))+IF(FACADE!M91="",0,FACADE!M91)*INPUTS!$B$15)/1000+ARCH_AG!M91/144*INPUTS!$B$12*INPUTS!$C$32/1000)</f>
        <v>0</v>
      </c>
      <c r="N91" s="9" t="n">
        <f aca="false">IF(TRIB!N91="",0,(TRIB!N91*IF($D91="A",(INPUTS!$G$33/12*INPUTS!$B$12+INPUTS!$H$33),(INPUTS!$L$33/12*INPUTS!$B$12+INPUTS!$M$33))+IF(FACADE!N91="",0,FACADE!N91)*INPUTS!$B$15)/1000+ARCH_AG!N91/144*INPUTS!$B$12*INPUTS!$C$33/1000)</f>
        <v>0</v>
      </c>
      <c r="O91" s="9" t="n">
        <f aca="false">IF(TRIB!O91="",0,(TRIB!O91*IF($D91="A",(INPUTS!$G$34/12*INPUTS!$B$12+INPUTS!$H$34),(INPUTS!$L$34/12*INPUTS!$B$12+INPUTS!$M$34))+IF(FACADE!O91="",0,FACADE!O91)*INPUTS!$B$15)/1000+ARCH_AG!O91/144*INPUTS!$B$12*INPUTS!$C$34/1000)</f>
        <v>0</v>
      </c>
      <c r="P91" s="9" t="n">
        <f aca="false">IF(TRIB!P91="",0,(TRIB!P91*IF($D91="A",(INPUTS!$G$35/12*INPUTS!$B$12+INPUTS!$H$35),(INPUTS!$L$35/12*INPUTS!$B$12+INPUTS!$M$35))+IF(FACADE!P91="",0,FACADE!P91)*INPUTS!$B$15)/1000+ARCH_AG!P91/144*INPUTS!$B$12*INPUTS!$C$35/1000)</f>
        <v>0</v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9" t="n">
        <f aca="false">IF(TRIB!E92="",0,(TRIB!E92*IF($D92="A",(INPUTS!$G$24/12*INPUTS!$B$12+INPUTS!$H$24),(INPUTS!$L$24/12*INPUTS!$B$12+INPUTS!$M$24))+IF(FACADE!E92="",0,FACADE!E92)*INPUTS!$B$15)/1000+ARCH_AG!E92/144*INPUTS!$B$12*INPUTS!$C$24/1000)</f>
        <v>97.5825</v>
      </c>
      <c r="F92" s="9" t="n">
        <f aca="false">IF(TRIB!F92="",0,(TRIB!F92*IF($D92="A",(INPUTS!$G$25/12*INPUTS!$B$12+INPUTS!$H$25),(INPUTS!$L$25/12*INPUTS!$B$12+INPUTS!$M$25))+IF(FACADE!F92="",0,FACADE!F92)*INPUTS!$B$15)/1000+ARCH_AG!F92/144*INPUTS!$B$12*INPUTS!$C$25/1000)</f>
        <v>98.1075</v>
      </c>
      <c r="G92" s="9" t="n">
        <f aca="false">IF(TRIB!G92="",0,(TRIB!G92*IF($D92="A",(INPUTS!$G$26/12*INPUTS!$B$12+INPUTS!$H$26),(INPUTS!$L$26/12*INPUTS!$B$12+INPUTS!$M$26))+IF(FACADE!G92="",0,FACADE!G92)*INPUTS!$B$15)/1000+ARCH_AG!G92/144*INPUTS!$B$12*INPUTS!$C$26/1000)</f>
        <v>91.6425</v>
      </c>
      <c r="H92" s="9" t="n">
        <f aca="false">IF(TRIB!H92="",0,(TRIB!H92*IF($D92="A",(INPUTS!$G$27/12*INPUTS!$B$12+INPUTS!$H$27),(INPUTS!$L$27/12*INPUTS!$B$12+INPUTS!$M$27))+IF(FACADE!H92="",0,FACADE!H92)*INPUTS!$B$15)/1000+ARCH_AG!H92/144*INPUTS!$B$12*INPUTS!$C$27/1000)</f>
        <v>82.7325</v>
      </c>
      <c r="I92" s="9" t="n">
        <f aca="false">IF(TRIB!I92="",0,(TRIB!I92*IF($D92="A",(INPUTS!$G$28/12*INPUTS!$B$12+INPUTS!$H$28),(INPUTS!$L$28/12*INPUTS!$B$12+INPUTS!$M$28))+IF(FACADE!I92="",0,FACADE!I92)*INPUTS!$B$15)/1000+ARCH_AG!I92/144*INPUTS!$B$12*INPUTS!$C$28/1000)</f>
        <v>82.7325</v>
      </c>
      <c r="J92" s="9" t="n">
        <f aca="false">IF(TRIB!J92="",0,(TRIB!J92*IF($D92="A",(INPUTS!$G$29/12*INPUTS!$B$12+INPUTS!$H$29),(INPUTS!$L$29/12*INPUTS!$B$12+INPUTS!$M$29))+IF(FACADE!J92="",0,FACADE!J92)*INPUTS!$B$15)/1000+ARCH_AG!J92/144*INPUTS!$B$12*INPUTS!$C$29/1000)</f>
        <v>0</v>
      </c>
      <c r="K92" s="9" t="n">
        <f aca="false">IF(TRIB!K92="",0,(TRIB!K92*IF($D92="A",(INPUTS!$G$30/12*INPUTS!$B$12+INPUTS!$H$30),(INPUTS!$L$30/12*INPUTS!$B$12+INPUTS!$M$30))+IF(FACADE!K92="",0,FACADE!K92)*INPUTS!$B$15)/1000+ARCH_AG!K92/144*INPUTS!$B$12*INPUTS!$C$30/1000)</f>
        <v>0</v>
      </c>
      <c r="L92" s="9" t="n">
        <f aca="false">IF(TRIB!L92="",0,(TRIB!L92*IF($D92="A",(INPUTS!$G$31/12*INPUTS!$B$12+INPUTS!$H$31),(INPUTS!$L$31/12*INPUTS!$B$12+INPUTS!$M$31))+IF(FACADE!L92="",0,FACADE!L92)*INPUTS!$B$15)/1000+ARCH_AG!L92/144*INPUTS!$B$12*INPUTS!$C$31/1000)</f>
        <v>0</v>
      </c>
      <c r="M92" s="9" t="n">
        <f aca="false">IF(TRIB!M92="",0,(TRIB!M92*IF($D92="A",(INPUTS!$G$32/12*INPUTS!$B$12+INPUTS!$H$32),(INPUTS!$L$32/12*INPUTS!$B$12+INPUTS!$M$32))+IF(FACADE!M92="",0,FACADE!M92)*INPUTS!$B$15)/1000+ARCH_AG!M92/144*INPUTS!$B$12*INPUTS!$C$32/1000)</f>
        <v>0</v>
      </c>
      <c r="N92" s="9" t="n">
        <f aca="false">IF(TRIB!N92="",0,(TRIB!N92*IF($D92="A",(INPUTS!$G$33/12*INPUTS!$B$12+INPUTS!$H$33),(INPUTS!$L$33/12*INPUTS!$B$12+INPUTS!$M$33))+IF(FACADE!N92="",0,FACADE!N92)*INPUTS!$B$15)/1000+ARCH_AG!N92/144*INPUTS!$B$12*INPUTS!$C$33/1000)</f>
        <v>0</v>
      </c>
      <c r="O92" s="9" t="n">
        <f aca="false">IF(TRIB!O92="",0,(TRIB!O92*IF($D92="A",(INPUTS!$G$34/12*INPUTS!$B$12+INPUTS!$H$34),(INPUTS!$L$34/12*INPUTS!$B$12+INPUTS!$M$34))+IF(FACADE!O92="",0,FACADE!O92)*INPUTS!$B$15)/1000+ARCH_AG!O92/144*INPUTS!$B$12*INPUTS!$C$34/1000)</f>
        <v>0</v>
      </c>
      <c r="P92" s="9" t="n">
        <f aca="false">IF(TRIB!P92="",0,(TRIB!P92*IF($D92="A",(INPUTS!$G$35/12*INPUTS!$B$12+INPUTS!$H$35),(INPUTS!$L$35/12*INPUTS!$B$12+INPUTS!$M$35))+IF(FACADE!P92="",0,FACADE!P92)*INPUTS!$B$15)/1000+ARCH_AG!P92/144*INPUTS!$B$12*INPUTS!$C$35/1000)</f>
        <v>0</v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9" t="n">
        <f aca="false">IF(TRIB!E93="",0,(TRIB!E93*IF($D93="A",(INPUTS!$G$24/12*INPUTS!$B$12+INPUTS!$H$24),(INPUTS!$L$24/12*INPUTS!$B$12+INPUTS!$M$24))+IF(FACADE!E93="",0,FACADE!E93)*INPUTS!$B$15)/1000+ARCH_AG!E93/144*INPUTS!$B$12*INPUTS!$C$24/1000)</f>
        <v>97.5825</v>
      </c>
      <c r="F93" s="9" t="n">
        <f aca="false">IF(TRIB!F93="",0,(TRIB!F93*IF($D93="A",(INPUTS!$G$25/12*INPUTS!$B$12+INPUTS!$H$25),(INPUTS!$L$25/12*INPUTS!$B$12+INPUTS!$M$25))+IF(FACADE!F93="",0,FACADE!F93)*INPUTS!$B$15)/1000+ARCH_AG!F93/144*INPUTS!$B$12*INPUTS!$C$25/1000)</f>
        <v>98.1075</v>
      </c>
      <c r="G93" s="9" t="n">
        <f aca="false">IF(TRIB!G93="",0,(TRIB!G93*IF($D93="A",(INPUTS!$G$26/12*INPUTS!$B$12+INPUTS!$H$26),(INPUTS!$L$26/12*INPUTS!$B$12+INPUTS!$M$26))+IF(FACADE!G93="",0,FACADE!G93)*INPUTS!$B$15)/1000+ARCH_AG!G93/144*INPUTS!$B$12*INPUTS!$C$26/1000)</f>
        <v>91.8025</v>
      </c>
      <c r="H93" s="9" t="n">
        <f aca="false">IF(TRIB!H93="",0,(TRIB!H93*IF($D93="A",(INPUTS!$G$27/12*INPUTS!$B$12+INPUTS!$H$27),(INPUTS!$L$27/12*INPUTS!$B$12+INPUTS!$M$27))+IF(FACADE!H93="",0,FACADE!H93)*INPUTS!$B$15)/1000+ARCH_AG!H93/144*INPUTS!$B$12*INPUTS!$C$27/1000)</f>
        <v>82.7325</v>
      </c>
      <c r="I93" s="9" t="n">
        <f aca="false">IF(TRIB!I93="",0,(TRIB!I93*IF($D93="A",(INPUTS!$G$28/12*INPUTS!$B$12+INPUTS!$H$28),(INPUTS!$L$28/12*INPUTS!$B$12+INPUTS!$M$28))+IF(FACADE!I93="",0,FACADE!I93)*INPUTS!$B$15)/1000+ARCH_AG!I93/144*INPUTS!$B$12*INPUTS!$C$28/1000)</f>
        <v>82.7325</v>
      </c>
      <c r="J93" s="9" t="n">
        <f aca="false">IF(TRIB!J93="",0,(TRIB!J93*IF($D93="A",(INPUTS!$G$29/12*INPUTS!$B$12+INPUTS!$H$29),(INPUTS!$L$29/12*INPUTS!$B$12+INPUTS!$M$29))+IF(FACADE!J93="",0,FACADE!J93)*INPUTS!$B$15)/1000+ARCH_AG!J93/144*INPUTS!$B$12*INPUTS!$C$29/1000)</f>
        <v>0</v>
      </c>
      <c r="K93" s="9" t="n">
        <f aca="false">IF(TRIB!K93="",0,(TRIB!K93*IF($D93="A",(INPUTS!$G$30/12*INPUTS!$B$12+INPUTS!$H$30),(INPUTS!$L$30/12*INPUTS!$B$12+INPUTS!$M$30))+IF(FACADE!K93="",0,FACADE!K93)*INPUTS!$B$15)/1000+ARCH_AG!K93/144*INPUTS!$B$12*INPUTS!$C$30/1000)</f>
        <v>0</v>
      </c>
      <c r="L93" s="9" t="n">
        <f aca="false">IF(TRIB!L93="",0,(TRIB!L93*IF($D93="A",(INPUTS!$G$31/12*INPUTS!$B$12+INPUTS!$H$31),(INPUTS!$L$31/12*INPUTS!$B$12+INPUTS!$M$31))+IF(FACADE!L93="",0,FACADE!L93)*INPUTS!$B$15)/1000+ARCH_AG!L93/144*INPUTS!$B$12*INPUTS!$C$31/1000)</f>
        <v>0</v>
      </c>
      <c r="M93" s="9" t="n">
        <f aca="false">IF(TRIB!M93="",0,(TRIB!M93*IF($D93="A",(INPUTS!$G$32/12*INPUTS!$B$12+INPUTS!$H$32),(INPUTS!$L$32/12*INPUTS!$B$12+INPUTS!$M$32))+IF(FACADE!M93="",0,FACADE!M93)*INPUTS!$B$15)/1000+ARCH_AG!M93/144*INPUTS!$B$12*INPUTS!$C$32/1000)</f>
        <v>0</v>
      </c>
      <c r="N93" s="9" t="n">
        <f aca="false">IF(TRIB!N93="",0,(TRIB!N93*IF($D93="A",(INPUTS!$G$33/12*INPUTS!$B$12+INPUTS!$H$33),(INPUTS!$L$33/12*INPUTS!$B$12+INPUTS!$M$33))+IF(FACADE!N93="",0,FACADE!N93)*INPUTS!$B$15)/1000+ARCH_AG!N93/144*INPUTS!$B$12*INPUTS!$C$33/1000)</f>
        <v>0</v>
      </c>
      <c r="O93" s="9" t="n">
        <f aca="false">IF(TRIB!O93="",0,(TRIB!O93*IF($D93="A",(INPUTS!$G$34/12*INPUTS!$B$12+INPUTS!$H$34),(INPUTS!$L$34/12*INPUTS!$B$12+INPUTS!$M$34))+IF(FACADE!O93="",0,FACADE!O93)*INPUTS!$B$15)/1000+ARCH_AG!O93/144*INPUTS!$B$12*INPUTS!$C$34/1000)</f>
        <v>0</v>
      </c>
      <c r="P93" s="9" t="n">
        <f aca="false">IF(TRIB!P93="",0,(TRIB!P93*IF($D93="A",(INPUTS!$G$35/12*INPUTS!$B$12+INPUTS!$H$35),(INPUTS!$L$35/12*INPUTS!$B$12+INPUTS!$M$35))+IF(FACADE!P93="",0,FACADE!P93)*INPUTS!$B$15)/1000+ARCH_AG!P93/144*INPUTS!$B$12*INPUTS!$C$35/1000)</f>
        <v>0</v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9" t="n">
        <f aca="false">IF(TRIB!E94="",0,(TRIB!E94*IF($D94="A",(INPUTS!$G$24/12*INPUTS!$B$12+INPUTS!$H$24),(INPUTS!$L$24/12*INPUTS!$B$12+INPUTS!$M$24))+IF(FACADE!E94="",0,FACADE!E94)*INPUTS!$B$15)/1000+ARCH_AG!E94/144*INPUTS!$B$12*INPUTS!$C$24/1000)</f>
        <v>6.5975</v>
      </c>
      <c r="F94" s="9" t="n">
        <f aca="false">IF(TRIB!F94="",0,(TRIB!F94*IF($D94="A",(INPUTS!$G$25/12*INPUTS!$B$12+INPUTS!$H$25),(INPUTS!$L$25/12*INPUTS!$B$12+INPUTS!$M$25))+IF(FACADE!F94="",0,FACADE!F94)*INPUTS!$B$15)/1000+ARCH_AG!F94/144*INPUTS!$B$12*INPUTS!$C$25/1000)</f>
        <v>7.1225</v>
      </c>
      <c r="G94" s="9" t="n">
        <f aca="false">IF(TRIB!G94="",0,(TRIB!G94*IF($D94="A",(INPUTS!$G$26/12*INPUTS!$B$12+INPUTS!$H$26),(INPUTS!$L$26/12*INPUTS!$B$12+INPUTS!$M$26))+IF(FACADE!G94="",0,FACADE!G94)*INPUTS!$B$15)/1000+ARCH_AG!G94/144*INPUTS!$B$12*INPUTS!$C$26/1000)</f>
        <v>18.8525</v>
      </c>
      <c r="H94" s="9" t="n">
        <f aca="false">IF(TRIB!H94="",0,(TRIB!H94*IF($D94="A",(INPUTS!$G$27/12*INPUTS!$B$12+INPUTS!$H$27),(INPUTS!$L$27/12*INPUTS!$B$12+INPUTS!$M$27))+IF(FACADE!H94="",0,FACADE!H94)*INPUTS!$B$15)/1000+ARCH_AG!H94/144*INPUTS!$B$12*INPUTS!$C$27/1000)</f>
        <v>17.4725</v>
      </c>
      <c r="I94" s="9" t="n">
        <f aca="false">IF(TRIB!I94="",0,(TRIB!I94*IF($D94="A",(INPUTS!$G$28/12*INPUTS!$B$12+INPUTS!$H$28),(INPUTS!$L$28/12*INPUTS!$B$12+INPUTS!$M$28))+IF(FACADE!I94="",0,FACADE!I94)*INPUTS!$B$15)/1000+ARCH_AG!I94/144*INPUTS!$B$12*INPUTS!$C$28/1000)</f>
        <v>20.3325</v>
      </c>
      <c r="J94" s="9" t="n">
        <f aca="false">IF(TRIB!J94="",0,(TRIB!J94*IF($D94="A",(INPUTS!$G$29/12*INPUTS!$B$12+INPUTS!$H$29),(INPUTS!$L$29/12*INPUTS!$B$12+INPUTS!$M$29))+IF(FACADE!J94="",0,FACADE!J94)*INPUTS!$B$15)/1000+ARCH_AG!J94/144*INPUTS!$B$12*INPUTS!$C$29/1000)</f>
        <v>121.4225</v>
      </c>
      <c r="K94" s="9" t="n">
        <f aca="false">IF(TRIB!K94="",0,(TRIB!K94*IF($D94="A",(INPUTS!$G$30/12*INPUTS!$B$12+INPUTS!$H$30),(INPUTS!$L$30/12*INPUTS!$B$12+INPUTS!$M$30))+IF(FACADE!K94="",0,FACADE!K94)*INPUTS!$B$15)/1000+ARCH_AG!K94/144*INPUTS!$B$12*INPUTS!$C$30/1000)</f>
        <v>0</v>
      </c>
      <c r="L94" s="9" t="n">
        <f aca="false">IF(TRIB!L94="",0,(TRIB!L94*IF($D94="A",(INPUTS!$G$31/12*INPUTS!$B$12+INPUTS!$H$31),(INPUTS!$L$31/12*INPUTS!$B$12+INPUTS!$M$31))+IF(FACADE!L94="",0,FACADE!L94)*INPUTS!$B$15)/1000+ARCH_AG!L94/144*INPUTS!$B$12*INPUTS!$C$31/1000)</f>
        <v>0</v>
      </c>
      <c r="M94" s="9" t="n">
        <f aca="false">IF(TRIB!M94="",0,(TRIB!M94*IF($D94="A",(INPUTS!$G$32/12*INPUTS!$B$12+INPUTS!$H$32),(INPUTS!$L$32/12*INPUTS!$B$12+INPUTS!$M$32))+IF(FACADE!M94="",0,FACADE!M94)*INPUTS!$B$15)/1000+ARCH_AG!M94/144*INPUTS!$B$12*INPUTS!$C$32/1000)</f>
        <v>0</v>
      </c>
      <c r="N94" s="9" t="n">
        <f aca="false">IF(TRIB!N94="",0,(TRIB!N94*IF($D94="A",(INPUTS!$G$33/12*INPUTS!$B$12+INPUTS!$H$33),(INPUTS!$L$33/12*INPUTS!$B$12+INPUTS!$M$33))+IF(FACADE!N94="",0,FACADE!N94)*INPUTS!$B$15)/1000+ARCH_AG!N94/144*INPUTS!$B$12*INPUTS!$C$33/1000)</f>
        <v>0</v>
      </c>
      <c r="O94" s="9" t="n">
        <f aca="false">IF(TRIB!O94="",0,(TRIB!O94*IF($D94="A",(INPUTS!$G$34/12*INPUTS!$B$12+INPUTS!$H$34),(INPUTS!$L$34/12*INPUTS!$B$12+INPUTS!$M$34))+IF(FACADE!O94="",0,FACADE!O94)*INPUTS!$B$15)/1000+ARCH_AG!O94/144*INPUTS!$B$12*INPUTS!$C$34/1000)</f>
        <v>0</v>
      </c>
      <c r="P94" s="9" t="n">
        <f aca="false">IF(TRIB!P94="",0,(TRIB!P94*IF($D94="A",(INPUTS!$G$35/12*INPUTS!$B$12+INPUTS!$H$35),(INPUTS!$L$35/12*INPUTS!$B$12+INPUTS!$M$35))+IF(FACADE!P94="",0,FACADE!P94)*INPUTS!$B$15)/1000+ARCH_AG!P94/144*INPUTS!$B$12*INPUTS!$C$35/1000)</f>
        <v>0</v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9" t="n">
        <f aca="false">IF(TRIB!E95="",0,(TRIB!E95*IF($D95="A",(INPUTS!$G$24/12*INPUTS!$B$12+INPUTS!$H$24),(INPUTS!$L$24/12*INPUTS!$B$12+INPUTS!$M$24))+IF(FACADE!E95="",0,FACADE!E95)*INPUTS!$B$15)/1000+ARCH_AG!E95/144*INPUTS!$B$12*INPUTS!$C$24/1000)</f>
        <v>65.6525</v>
      </c>
      <c r="F95" s="9" t="n">
        <f aca="false">IF(TRIB!F95="",0,(TRIB!F95*IF($D95="A",(INPUTS!$G$25/12*INPUTS!$B$12+INPUTS!$H$25),(INPUTS!$L$25/12*INPUTS!$B$12+INPUTS!$M$25))+IF(FACADE!F95="",0,FACADE!F95)*INPUTS!$B$15)/1000+ARCH_AG!F95/144*INPUTS!$B$12*INPUTS!$C$25/1000)</f>
        <v>68.7275</v>
      </c>
      <c r="G95" s="9" t="n">
        <f aca="false">IF(TRIB!G95="",0,(TRIB!G95*IF($D95="A",(INPUTS!$G$26/12*INPUTS!$B$12+INPUTS!$H$26),(INPUTS!$L$26/12*INPUTS!$B$12+INPUTS!$M$26))+IF(FACADE!G95="",0,FACADE!G95)*INPUTS!$B$15)/1000+ARCH_AG!G95/144*INPUTS!$B$12*INPUTS!$C$26/1000)</f>
        <v>44.4575</v>
      </c>
      <c r="H95" s="9" t="n">
        <f aca="false">IF(TRIB!H95="",0,(TRIB!H95*IF($D95="A",(INPUTS!$G$27/12*INPUTS!$B$12+INPUTS!$H$27),(INPUTS!$L$27/12*INPUTS!$B$12+INPUTS!$M$27))+IF(FACADE!H95="",0,FACADE!H95)*INPUTS!$B$15)/1000+ARCH_AG!H95/144*INPUTS!$B$12*INPUTS!$C$27/1000)</f>
        <v>50.3025</v>
      </c>
      <c r="I95" s="9" t="n">
        <f aca="false">IF(TRIB!I95="",0,(TRIB!I95*IF($D95="A",(INPUTS!$G$28/12*INPUTS!$B$12+INPUTS!$H$28),(INPUTS!$L$28/12*INPUTS!$B$12+INPUTS!$M$28))+IF(FACADE!I95="",0,FACADE!I95)*INPUTS!$B$15)/1000+ARCH_AG!I95/144*INPUTS!$B$12*INPUTS!$C$28/1000)</f>
        <v>50.3025</v>
      </c>
      <c r="J95" s="9" t="n">
        <f aca="false">IF(TRIB!J95="",0,(TRIB!J95*IF($D95="A",(INPUTS!$G$29/12*INPUTS!$B$12+INPUTS!$H$29),(INPUTS!$L$29/12*INPUTS!$B$12+INPUTS!$M$29))+IF(FACADE!J95="",0,FACADE!J95)*INPUTS!$B$15)/1000+ARCH_AG!J95/144*INPUTS!$B$12*INPUTS!$C$29/1000)</f>
        <v>111.4825</v>
      </c>
      <c r="K95" s="9" t="n">
        <f aca="false">IF(TRIB!K95="",0,(TRIB!K95*IF($D95="A",(INPUTS!$G$30/12*INPUTS!$B$12+INPUTS!$H$30),(INPUTS!$L$30/12*INPUTS!$B$12+INPUTS!$M$30))+IF(FACADE!K95="",0,FACADE!K95)*INPUTS!$B$15)/1000+ARCH_AG!K95/144*INPUTS!$B$12*INPUTS!$C$30/1000)</f>
        <v>0</v>
      </c>
      <c r="L95" s="9" t="n">
        <f aca="false">IF(TRIB!L95="",0,(TRIB!L95*IF($D95="A",(INPUTS!$G$31/12*INPUTS!$B$12+INPUTS!$H$31),(INPUTS!$L$31/12*INPUTS!$B$12+INPUTS!$M$31))+IF(FACADE!L95="",0,FACADE!L95)*INPUTS!$B$15)/1000+ARCH_AG!L95/144*INPUTS!$B$12*INPUTS!$C$31/1000)</f>
        <v>0</v>
      </c>
      <c r="M95" s="9" t="n">
        <f aca="false">IF(TRIB!M95="",0,(TRIB!M95*IF($D95="A",(INPUTS!$G$32/12*INPUTS!$B$12+INPUTS!$H$32),(INPUTS!$L$32/12*INPUTS!$B$12+INPUTS!$M$32))+IF(FACADE!M95="",0,FACADE!M95)*INPUTS!$B$15)/1000+ARCH_AG!M95/144*INPUTS!$B$12*INPUTS!$C$32/1000)</f>
        <v>0</v>
      </c>
      <c r="N95" s="9" t="n">
        <f aca="false">IF(TRIB!N95="",0,(TRIB!N95*IF($D95="A",(INPUTS!$G$33/12*INPUTS!$B$12+INPUTS!$H$33),(INPUTS!$L$33/12*INPUTS!$B$12+INPUTS!$M$33))+IF(FACADE!N95="",0,FACADE!N95)*INPUTS!$B$15)/1000+ARCH_AG!N95/144*INPUTS!$B$12*INPUTS!$C$33/1000)</f>
        <v>0</v>
      </c>
      <c r="O95" s="9" t="n">
        <f aca="false">IF(TRIB!O95="",0,(TRIB!O95*IF($D95="A",(INPUTS!$G$34/12*INPUTS!$B$12+INPUTS!$H$34),(INPUTS!$L$34/12*INPUTS!$B$12+INPUTS!$M$34))+IF(FACADE!O95="",0,FACADE!O95)*INPUTS!$B$15)/1000+ARCH_AG!O95/144*INPUTS!$B$12*INPUTS!$C$34/1000)</f>
        <v>0</v>
      </c>
      <c r="P95" s="9" t="n">
        <f aca="false">IF(TRIB!P95="",0,(TRIB!P95*IF($D95="A",(INPUTS!$G$35/12*INPUTS!$B$12+INPUTS!$H$35),(INPUTS!$L$35/12*INPUTS!$B$12+INPUTS!$M$35))+IF(FACADE!P95="",0,FACADE!P95)*INPUTS!$B$15)/1000+ARCH_AG!P95/144*INPUTS!$B$12*INPUTS!$C$35/1000)</f>
        <v>0</v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9" t="n">
        <f aca="false">IF(TRIB!E96="",0,(TRIB!E96*IF($D96="A",(INPUTS!$G$24/12*INPUTS!$B$12+INPUTS!$H$24),(INPUTS!$L$24/12*INPUTS!$B$12+INPUTS!$M$24))+IF(FACADE!E96="",0,FACADE!E96)*INPUTS!$B$15)/1000+ARCH_AG!E96/144*INPUTS!$B$12*INPUTS!$C$24/1000)</f>
        <v>95.1025</v>
      </c>
      <c r="F96" s="9" t="n">
        <f aca="false">IF(TRIB!F96="",0,(TRIB!F96*IF($D96="A",(INPUTS!$G$25/12*INPUTS!$B$12+INPUTS!$H$25),(INPUTS!$L$25/12*INPUTS!$B$12+INPUTS!$M$25))+IF(FACADE!F96="",0,FACADE!F96)*INPUTS!$B$15)/1000+ARCH_AG!F96/144*INPUTS!$B$12*INPUTS!$C$25/1000)</f>
        <v>95.6275</v>
      </c>
      <c r="G96" s="9" t="n">
        <f aca="false">IF(TRIB!G96="",0,(TRIB!G96*IF($D96="A",(INPUTS!$G$26/12*INPUTS!$B$12+INPUTS!$H$26),(INPUTS!$L$26/12*INPUTS!$B$12+INPUTS!$M$26))+IF(FACADE!G96="",0,FACADE!G96)*INPUTS!$B$15)/1000+ARCH_AG!G96/144*INPUTS!$B$12*INPUTS!$C$26/1000)</f>
        <v>66.9925</v>
      </c>
      <c r="H96" s="9" t="n">
        <f aca="false">IF(TRIB!H96="",0,(TRIB!H96*IF($D96="A",(INPUTS!$G$27/12*INPUTS!$B$12+INPUTS!$H$27),(INPUTS!$L$27/12*INPUTS!$B$12+INPUTS!$M$27))+IF(FACADE!H96="",0,FACADE!H96)*INPUTS!$B$15)/1000+ARCH_AG!H96/144*INPUTS!$B$12*INPUTS!$C$27/1000)</f>
        <v>60.6325</v>
      </c>
      <c r="I96" s="9" t="n">
        <f aca="false">IF(TRIB!I96="",0,(TRIB!I96*IF($D96="A",(INPUTS!$G$28/12*INPUTS!$B$12+INPUTS!$H$28),(INPUTS!$L$28/12*INPUTS!$B$12+INPUTS!$M$28))+IF(FACADE!I96="",0,FACADE!I96)*INPUTS!$B$15)/1000+ARCH_AG!I96/144*INPUTS!$B$12*INPUTS!$C$28/1000)</f>
        <v>60.8925</v>
      </c>
      <c r="J96" s="9" t="n">
        <f aca="false">IF(TRIB!J96="",0,(TRIB!J96*IF($D96="A",(INPUTS!$G$29/12*INPUTS!$B$12+INPUTS!$H$29),(INPUTS!$L$29/12*INPUTS!$B$12+INPUTS!$M$29))+IF(FACADE!J96="",0,FACADE!J96)*INPUTS!$B$15)/1000+ARCH_AG!J96/144*INPUTS!$B$12*INPUTS!$C$29/1000)</f>
        <v>0</v>
      </c>
      <c r="K96" s="9" t="n">
        <f aca="false">IF(TRIB!K96="",0,(TRIB!K96*IF($D96="A",(INPUTS!$G$30/12*INPUTS!$B$12+INPUTS!$H$30),(INPUTS!$L$30/12*INPUTS!$B$12+INPUTS!$M$30))+IF(FACADE!K96="",0,FACADE!K96)*INPUTS!$B$15)/1000+ARCH_AG!K96/144*INPUTS!$B$12*INPUTS!$C$30/1000)</f>
        <v>0</v>
      </c>
      <c r="L96" s="9" t="n">
        <f aca="false">IF(TRIB!L96="",0,(TRIB!L96*IF($D96="A",(INPUTS!$G$31/12*INPUTS!$B$12+INPUTS!$H$31),(INPUTS!$L$31/12*INPUTS!$B$12+INPUTS!$M$31))+IF(FACADE!L96="",0,FACADE!L96)*INPUTS!$B$15)/1000+ARCH_AG!L96/144*INPUTS!$B$12*INPUTS!$C$31/1000)</f>
        <v>0</v>
      </c>
      <c r="M96" s="9" t="n">
        <f aca="false">IF(TRIB!M96="",0,(TRIB!M96*IF($D96="A",(INPUTS!$G$32/12*INPUTS!$B$12+INPUTS!$H$32),(INPUTS!$L$32/12*INPUTS!$B$12+INPUTS!$M$32))+IF(FACADE!M96="",0,FACADE!M96)*INPUTS!$B$15)/1000+ARCH_AG!M96/144*INPUTS!$B$12*INPUTS!$C$32/1000)</f>
        <v>0</v>
      </c>
      <c r="N96" s="9" t="n">
        <f aca="false">IF(TRIB!N96="",0,(TRIB!N96*IF($D96="A",(INPUTS!$G$33/12*INPUTS!$B$12+INPUTS!$H$33),(INPUTS!$L$33/12*INPUTS!$B$12+INPUTS!$M$33))+IF(FACADE!N96="",0,FACADE!N96)*INPUTS!$B$15)/1000+ARCH_AG!N96/144*INPUTS!$B$12*INPUTS!$C$33/1000)</f>
        <v>0</v>
      </c>
      <c r="O96" s="9" t="n">
        <f aca="false">IF(TRIB!O96="",0,(TRIB!O96*IF($D96="A",(INPUTS!$G$34/12*INPUTS!$B$12+INPUTS!$H$34),(INPUTS!$L$34/12*INPUTS!$B$12+INPUTS!$M$34))+IF(FACADE!O96="",0,FACADE!O96)*INPUTS!$B$15)/1000+ARCH_AG!O96/144*INPUTS!$B$12*INPUTS!$C$34/1000)</f>
        <v>0</v>
      </c>
      <c r="P96" s="9" t="n">
        <f aca="false">IF(TRIB!P96="",0,(TRIB!P96*IF($D96="A",(INPUTS!$G$35/12*INPUTS!$B$12+INPUTS!$H$35),(INPUTS!$L$35/12*INPUTS!$B$12+INPUTS!$M$35))+IF(FACADE!P96="",0,FACADE!P96)*INPUTS!$B$15)/1000+ARCH_AG!P96/144*INPUTS!$B$12*INPUTS!$C$35/1000)</f>
        <v>0</v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9" t="n">
        <f aca="false">IF(TRIB!E97="",0,(TRIB!E97*IF($D97="A",(INPUTS!$G$24/12*INPUTS!$B$12+INPUTS!$H$24),(INPUTS!$L$24/12*INPUTS!$B$12+INPUTS!$M$24))+IF(FACADE!E97="",0,FACADE!E97)*INPUTS!$B$15)/1000+ARCH_AG!E97/144*INPUTS!$B$12*INPUTS!$C$24/1000)</f>
        <v>87.3525</v>
      </c>
      <c r="F97" s="9" t="n">
        <f aca="false">IF(TRIB!F97="",0,(TRIB!F97*IF($D97="A",(INPUTS!$G$25/12*INPUTS!$B$12+INPUTS!$H$25),(INPUTS!$L$25/12*INPUTS!$B$12+INPUTS!$M$25))+IF(FACADE!F97="",0,FACADE!F97)*INPUTS!$B$15)/1000+ARCH_AG!F97/144*INPUTS!$B$12*INPUTS!$C$25/1000)</f>
        <v>87.8775</v>
      </c>
      <c r="G97" s="9" t="n">
        <f aca="false">IF(TRIB!G97="",0,(TRIB!G97*IF($D97="A",(INPUTS!$G$26/12*INPUTS!$B$12+INPUTS!$H$26),(INPUTS!$L$26/12*INPUTS!$B$12+INPUTS!$M$26))+IF(FACADE!G97="",0,FACADE!G97)*INPUTS!$B$15)/1000+ARCH_AG!G97/144*INPUTS!$B$12*INPUTS!$C$26/1000)</f>
        <v>82.0725</v>
      </c>
      <c r="H97" s="9" t="n">
        <f aca="false">IF(TRIB!H97="",0,(TRIB!H97*IF($D97="A",(INPUTS!$G$27/12*INPUTS!$B$12+INPUTS!$H$27),(INPUTS!$L$27/12*INPUTS!$B$12+INPUTS!$M$27))+IF(FACADE!H97="",0,FACADE!H97)*INPUTS!$B$15)/1000+ARCH_AG!H97/144*INPUTS!$B$12*INPUTS!$C$27/1000)</f>
        <v>74.1525</v>
      </c>
      <c r="I97" s="9" t="n">
        <f aca="false">IF(TRIB!I97="",0,(TRIB!I97*IF($D97="A",(INPUTS!$G$28/12*INPUTS!$B$12+INPUTS!$H$28),(INPUTS!$L$28/12*INPUTS!$B$12+INPUTS!$M$28))+IF(FACADE!I97="",0,FACADE!I97)*INPUTS!$B$15)/1000+ARCH_AG!I97/144*INPUTS!$B$12*INPUTS!$C$28/1000)</f>
        <v>74.2825</v>
      </c>
      <c r="J97" s="9" t="n">
        <f aca="false">IF(TRIB!J97="",0,(TRIB!J97*IF($D97="A",(INPUTS!$G$29/12*INPUTS!$B$12+INPUTS!$H$29),(INPUTS!$L$29/12*INPUTS!$B$12+INPUTS!$M$29))+IF(FACADE!J97="",0,FACADE!J97)*INPUTS!$B$15)/1000+ARCH_AG!J97/144*INPUTS!$B$12*INPUTS!$C$29/1000)</f>
        <v>0</v>
      </c>
      <c r="K97" s="9" t="n">
        <f aca="false">IF(TRIB!K97="",0,(TRIB!K97*IF($D97="A",(INPUTS!$G$30/12*INPUTS!$B$12+INPUTS!$H$30),(INPUTS!$L$30/12*INPUTS!$B$12+INPUTS!$M$30))+IF(FACADE!K97="",0,FACADE!K97)*INPUTS!$B$15)/1000+ARCH_AG!K97/144*INPUTS!$B$12*INPUTS!$C$30/1000)</f>
        <v>0</v>
      </c>
      <c r="L97" s="9" t="n">
        <f aca="false">IF(TRIB!L97="",0,(TRIB!L97*IF($D97="A",(INPUTS!$G$31/12*INPUTS!$B$12+INPUTS!$H$31),(INPUTS!$L$31/12*INPUTS!$B$12+INPUTS!$M$31))+IF(FACADE!L97="",0,FACADE!L97)*INPUTS!$B$15)/1000+ARCH_AG!L97/144*INPUTS!$B$12*INPUTS!$C$31/1000)</f>
        <v>0</v>
      </c>
      <c r="M97" s="9" t="n">
        <f aca="false">IF(TRIB!M97="",0,(TRIB!M97*IF($D97="A",(INPUTS!$G$32/12*INPUTS!$B$12+INPUTS!$H$32),(INPUTS!$L$32/12*INPUTS!$B$12+INPUTS!$M$32))+IF(FACADE!M97="",0,FACADE!M97)*INPUTS!$B$15)/1000+ARCH_AG!M97/144*INPUTS!$B$12*INPUTS!$C$32/1000)</f>
        <v>0</v>
      </c>
      <c r="N97" s="9" t="n">
        <f aca="false">IF(TRIB!N97="",0,(TRIB!N97*IF($D97="A",(INPUTS!$G$33/12*INPUTS!$B$12+INPUTS!$H$33),(INPUTS!$L$33/12*INPUTS!$B$12+INPUTS!$M$33))+IF(FACADE!N97="",0,FACADE!N97)*INPUTS!$B$15)/1000+ARCH_AG!N97/144*INPUTS!$B$12*INPUTS!$C$33/1000)</f>
        <v>0</v>
      </c>
      <c r="O97" s="9" t="n">
        <f aca="false">IF(TRIB!O97="",0,(TRIB!O97*IF($D97="A",(INPUTS!$G$34/12*INPUTS!$B$12+INPUTS!$H$34),(INPUTS!$L$34/12*INPUTS!$B$12+INPUTS!$M$34))+IF(FACADE!O97="",0,FACADE!O97)*INPUTS!$B$15)/1000+ARCH_AG!O97/144*INPUTS!$B$12*INPUTS!$C$34/1000)</f>
        <v>0</v>
      </c>
      <c r="P97" s="9" t="n">
        <f aca="false">IF(TRIB!P97="",0,(TRIB!P97*IF($D97="A",(INPUTS!$G$35/12*INPUTS!$B$12+INPUTS!$H$35),(INPUTS!$L$35/12*INPUTS!$B$12+INPUTS!$M$35))+IF(FACADE!P97="",0,FACADE!P97)*INPUTS!$B$15)/1000+ARCH_AG!P97/144*INPUTS!$B$12*INPUTS!$C$35/1000)</f>
        <v>0</v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9" t="n">
        <f aca="false">IF(TRIB!E98="",0,(TRIB!E98*IF($D98="A",(INPUTS!$G$24/12*INPUTS!$B$12+INPUTS!$H$24),(INPUTS!$L$24/12*INPUTS!$B$12+INPUTS!$M$24))+IF(FACADE!E98="",0,FACADE!E98)*INPUTS!$B$15)/1000+ARCH_AG!E98/144*INPUTS!$B$12*INPUTS!$C$24/1000)</f>
        <v>46.7425</v>
      </c>
      <c r="F98" s="9" t="n">
        <f aca="false">IF(TRIB!F98="",0,(TRIB!F98*IF($D98="A",(INPUTS!$G$25/12*INPUTS!$B$12+INPUTS!$H$25),(INPUTS!$L$25/12*INPUTS!$B$12+INPUTS!$M$25))+IF(FACADE!F98="",0,FACADE!F98)*INPUTS!$B$15)/1000+ARCH_AG!F98/144*INPUTS!$B$12*INPUTS!$C$25/1000)</f>
        <v>47.2675</v>
      </c>
      <c r="G98" s="9" t="n">
        <f aca="false">IF(TRIB!G98="",0,(TRIB!G98*IF($D98="A",(INPUTS!$G$26/12*INPUTS!$B$12+INPUTS!$H$26),(INPUTS!$L$26/12*INPUTS!$B$12+INPUTS!$M$26))+IF(FACADE!G98="",0,FACADE!G98)*INPUTS!$B$15)/1000+ARCH_AG!G98/144*INPUTS!$B$12*INPUTS!$C$26/1000)</f>
        <v>44.0825</v>
      </c>
      <c r="H98" s="9" t="n">
        <f aca="false">IF(TRIB!H98="",0,(TRIB!H98*IF($D98="A",(INPUTS!$G$27/12*INPUTS!$B$12+INPUTS!$H$27),(INPUTS!$L$27/12*INPUTS!$B$12+INPUTS!$M$27))+IF(FACADE!H98="",0,FACADE!H98)*INPUTS!$B$15)/1000+ARCH_AG!H98/144*INPUTS!$B$12*INPUTS!$C$27/1000)</f>
        <v>40.0925</v>
      </c>
      <c r="I98" s="9" t="n">
        <f aca="false">IF(TRIB!I98="",0,(TRIB!I98*IF($D98="A",(INPUTS!$G$28/12*INPUTS!$B$12+INPUTS!$H$28),(INPUTS!$L$28/12*INPUTS!$B$12+INPUTS!$M$28))+IF(FACADE!I98="",0,FACADE!I98)*INPUTS!$B$15)/1000+ARCH_AG!I98/144*INPUTS!$B$12*INPUTS!$C$28/1000)</f>
        <v>40.0925</v>
      </c>
      <c r="J98" s="9" t="n">
        <f aca="false">IF(TRIB!J98="",0,(TRIB!J98*IF($D98="A",(INPUTS!$G$29/12*INPUTS!$B$12+INPUTS!$H$29),(INPUTS!$L$29/12*INPUTS!$B$12+INPUTS!$M$29))+IF(FACADE!J98="",0,FACADE!J98)*INPUTS!$B$15)/1000+ARCH_AG!J98/144*INPUTS!$B$12*INPUTS!$C$29/1000)</f>
        <v>0</v>
      </c>
      <c r="K98" s="9" t="n">
        <f aca="false">IF(TRIB!K98="",0,(TRIB!K98*IF($D98="A",(INPUTS!$G$30/12*INPUTS!$B$12+INPUTS!$H$30),(INPUTS!$L$30/12*INPUTS!$B$12+INPUTS!$M$30))+IF(FACADE!K98="",0,FACADE!K98)*INPUTS!$B$15)/1000+ARCH_AG!K98/144*INPUTS!$B$12*INPUTS!$C$30/1000)</f>
        <v>0</v>
      </c>
      <c r="L98" s="9" t="n">
        <f aca="false">IF(TRIB!L98="",0,(TRIB!L98*IF($D98="A",(INPUTS!$G$31/12*INPUTS!$B$12+INPUTS!$H$31),(INPUTS!$L$31/12*INPUTS!$B$12+INPUTS!$M$31))+IF(FACADE!L98="",0,FACADE!L98)*INPUTS!$B$15)/1000+ARCH_AG!L98/144*INPUTS!$B$12*INPUTS!$C$31/1000)</f>
        <v>0</v>
      </c>
      <c r="M98" s="9" t="n">
        <f aca="false">IF(TRIB!M98="",0,(TRIB!M98*IF($D98="A",(INPUTS!$G$32/12*INPUTS!$B$12+INPUTS!$H$32),(INPUTS!$L$32/12*INPUTS!$B$12+INPUTS!$M$32))+IF(FACADE!M98="",0,FACADE!M98)*INPUTS!$B$15)/1000+ARCH_AG!M98/144*INPUTS!$B$12*INPUTS!$C$32/1000)</f>
        <v>0</v>
      </c>
      <c r="N98" s="9" t="n">
        <f aca="false">IF(TRIB!N98="",0,(TRIB!N98*IF($D98="A",(INPUTS!$G$33/12*INPUTS!$B$12+INPUTS!$H$33),(INPUTS!$L$33/12*INPUTS!$B$12+INPUTS!$M$33))+IF(FACADE!N98="",0,FACADE!N98)*INPUTS!$B$15)/1000+ARCH_AG!N98/144*INPUTS!$B$12*INPUTS!$C$33/1000)</f>
        <v>0</v>
      </c>
      <c r="O98" s="9" t="n">
        <f aca="false">IF(TRIB!O98="",0,(TRIB!O98*IF($D98="A",(INPUTS!$G$34/12*INPUTS!$B$12+INPUTS!$H$34),(INPUTS!$L$34/12*INPUTS!$B$12+INPUTS!$M$34))+IF(FACADE!O98="",0,FACADE!O98)*INPUTS!$B$15)/1000+ARCH_AG!O98/144*INPUTS!$B$12*INPUTS!$C$34/1000)</f>
        <v>0</v>
      </c>
      <c r="P98" s="9" t="n">
        <f aca="false">IF(TRIB!P98="",0,(TRIB!P98*IF($D98="A",(INPUTS!$G$35/12*INPUTS!$B$12+INPUTS!$H$35),(INPUTS!$L$35/12*INPUTS!$B$12+INPUTS!$M$35))+IF(FACADE!P98="",0,FACADE!P98)*INPUTS!$B$15)/1000+ARCH_AG!P98/144*INPUTS!$B$12*INPUTS!$C$35/1000)</f>
        <v>0</v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9" t="n">
        <f aca="false">IF(TRIB!E99="",0,(TRIB!E99*IF($D99="A",(INPUTS!$G$24/12*INPUTS!$B$12+INPUTS!$H$24),(INPUTS!$L$24/12*INPUTS!$B$12+INPUTS!$M$24))+IF(FACADE!E99="",0,FACADE!E99)*INPUTS!$B$15)/1000+ARCH_AG!E99/144*INPUTS!$B$12*INPUTS!$C$24/1000)</f>
        <v>112.3075</v>
      </c>
      <c r="F99" s="9" t="n">
        <f aca="false">IF(TRIB!F99="",0,(TRIB!F99*IF($D99="A",(INPUTS!$G$25/12*INPUTS!$B$12+INPUTS!$H$25),(INPUTS!$L$25/12*INPUTS!$B$12+INPUTS!$M$25))+IF(FACADE!F99="",0,FACADE!F99)*INPUTS!$B$15)/1000+ARCH_AG!F99/144*INPUTS!$B$12*INPUTS!$C$25/1000)</f>
        <v>112.8325</v>
      </c>
      <c r="G99" s="9" t="n">
        <f aca="false">IF(TRIB!G99="",0,(TRIB!G99*IF($D99="A",(INPUTS!$G$26/12*INPUTS!$B$12+INPUTS!$H$26),(INPUTS!$L$26/12*INPUTS!$B$12+INPUTS!$M$26))+IF(FACADE!G99="",0,FACADE!G99)*INPUTS!$B$15)/1000+ARCH_AG!G99/144*INPUTS!$B$12*INPUTS!$C$26/1000)</f>
        <v>105.4175</v>
      </c>
      <c r="H99" s="9" t="n">
        <f aca="false">IF(TRIB!H99="",0,(TRIB!H99*IF($D99="A",(INPUTS!$G$27/12*INPUTS!$B$12+INPUTS!$H$27),(INPUTS!$L$27/12*INPUTS!$B$12+INPUTS!$M$27))+IF(FACADE!H99="",0,FACADE!H99)*INPUTS!$B$15)/1000+ARCH_AG!H99/144*INPUTS!$B$12*INPUTS!$C$27/1000)</f>
        <v>95.0825</v>
      </c>
      <c r="I99" s="9" t="n">
        <f aca="false">IF(TRIB!I99="",0,(TRIB!I99*IF($D99="A",(INPUTS!$G$28/12*INPUTS!$B$12+INPUTS!$H$28),(INPUTS!$L$28/12*INPUTS!$B$12+INPUTS!$M$28))+IF(FACADE!I99="",0,FACADE!I99)*INPUTS!$B$15)/1000+ARCH_AG!I99/144*INPUTS!$B$12*INPUTS!$C$28/1000)</f>
        <v>95.0825</v>
      </c>
      <c r="J99" s="9" t="n">
        <f aca="false">IF(TRIB!J99="",0,(TRIB!J99*IF($D99="A",(INPUTS!$G$29/12*INPUTS!$B$12+INPUTS!$H$29),(INPUTS!$L$29/12*INPUTS!$B$12+INPUTS!$M$29))+IF(FACADE!J99="",0,FACADE!J99)*INPUTS!$B$15)/1000+ARCH_AG!J99/144*INPUTS!$B$12*INPUTS!$C$29/1000)</f>
        <v>0</v>
      </c>
      <c r="K99" s="9" t="n">
        <f aca="false">IF(TRIB!K99="",0,(TRIB!K99*IF($D99="A",(INPUTS!$G$30/12*INPUTS!$B$12+INPUTS!$H$30),(INPUTS!$L$30/12*INPUTS!$B$12+INPUTS!$M$30))+IF(FACADE!K99="",0,FACADE!K99)*INPUTS!$B$15)/1000+ARCH_AG!K99/144*INPUTS!$B$12*INPUTS!$C$30/1000)</f>
        <v>0</v>
      </c>
      <c r="L99" s="9" t="n">
        <f aca="false">IF(TRIB!L99="",0,(TRIB!L99*IF($D99="A",(INPUTS!$G$31/12*INPUTS!$B$12+INPUTS!$H$31),(INPUTS!$L$31/12*INPUTS!$B$12+INPUTS!$M$31))+IF(FACADE!L99="",0,FACADE!L99)*INPUTS!$B$15)/1000+ARCH_AG!L99/144*INPUTS!$B$12*INPUTS!$C$31/1000)</f>
        <v>0</v>
      </c>
      <c r="M99" s="9" t="n">
        <f aca="false">IF(TRIB!M99="",0,(TRIB!M99*IF($D99="A",(INPUTS!$G$32/12*INPUTS!$B$12+INPUTS!$H$32),(INPUTS!$L$32/12*INPUTS!$B$12+INPUTS!$M$32))+IF(FACADE!M99="",0,FACADE!M99)*INPUTS!$B$15)/1000+ARCH_AG!M99/144*INPUTS!$B$12*INPUTS!$C$32/1000)</f>
        <v>0</v>
      </c>
      <c r="N99" s="9" t="n">
        <f aca="false">IF(TRIB!N99="",0,(TRIB!N99*IF($D99="A",(INPUTS!$G$33/12*INPUTS!$B$12+INPUTS!$H$33),(INPUTS!$L$33/12*INPUTS!$B$12+INPUTS!$M$33))+IF(FACADE!N99="",0,FACADE!N99)*INPUTS!$B$15)/1000+ARCH_AG!N99/144*INPUTS!$B$12*INPUTS!$C$33/1000)</f>
        <v>0</v>
      </c>
      <c r="O99" s="9" t="n">
        <f aca="false">IF(TRIB!O99="",0,(TRIB!O99*IF($D99="A",(INPUTS!$G$34/12*INPUTS!$B$12+INPUTS!$H$34),(INPUTS!$L$34/12*INPUTS!$B$12+INPUTS!$M$34))+IF(FACADE!O99="",0,FACADE!O99)*INPUTS!$B$15)/1000+ARCH_AG!O99/144*INPUTS!$B$12*INPUTS!$C$34/1000)</f>
        <v>0</v>
      </c>
      <c r="P99" s="9" t="n">
        <f aca="false">IF(TRIB!P99="",0,(TRIB!P99*IF($D99="A",(INPUTS!$G$35/12*INPUTS!$B$12+INPUTS!$H$35),(INPUTS!$L$35/12*INPUTS!$B$12+INPUTS!$M$35))+IF(FACADE!P99="",0,FACADE!P99)*INPUTS!$B$15)/1000+ARCH_AG!P99/144*INPUTS!$B$12*INPUTS!$C$35/1000)</f>
        <v>0</v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9" t="n">
        <f aca="false">IF(TRIB!E100="",0,(TRIB!E100*IF($D100="A",(INPUTS!$G$24/12*INPUTS!$B$12+INPUTS!$H$24),(INPUTS!$L$24/12*INPUTS!$B$12+INPUTS!$M$24))+IF(FACADE!E100="",0,FACADE!E100)*INPUTS!$B$15)/1000+ARCH_AG!E100/144*INPUTS!$B$12*INPUTS!$C$24/1000)</f>
        <v>97.7375</v>
      </c>
      <c r="F100" s="9" t="n">
        <f aca="false">IF(TRIB!F100="",0,(TRIB!F100*IF($D100="A",(INPUTS!$G$25/12*INPUTS!$B$12+INPUTS!$H$25),(INPUTS!$L$25/12*INPUTS!$B$12+INPUTS!$M$25))+IF(FACADE!F100="",0,FACADE!F100)*INPUTS!$B$15)/1000+ARCH_AG!F100/144*INPUTS!$B$12*INPUTS!$C$25/1000)</f>
        <v>98.2625</v>
      </c>
      <c r="G100" s="9" t="n">
        <f aca="false">IF(TRIB!G100="",0,(TRIB!G100*IF($D100="A",(INPUTS!$G$26/12*INPUTS!$B$12+INPUTS!$H$26),(INPUTS!$L$26/12*INPUTS!$B$12+INPUTS!$M$26))+IF(FACADE!G100="",0,FACADE!G100)*INPUTS!$B$15)/1000+ARCH_AG!G100/144*INPUTS!$B$12*INPUTS!$C$26/1000)</f>
        <v>91.7875</v>
      </c>
      <c r="H100" s="9" t="n">
        <f aca="false">IF(TRIB!H100="",0,(TRIB!H100*IF($D100="A",(INPUTS!$G$27/12*INPUTS!$B$12+INPUTS!$H$27),(INPUTS!$L$27/12*INPUTS!$B$12+INPUTS!$M$27))+IF(FACADE!H100="",0,FACADE!H100)*INPUTS!$B$15)/1000+ARCH_AG!H100/144*INPUTS!$B$12*INPUTS!$C$27/1000)</f>
        <v>82.8625</v>
      </c>
      <c r="I100" s="9" t="n">
        <f aca="false">IF(TRIB!I100="",0,(TRIB!I100*IF($D100="A",(INPUTS!$G$28/12*INPUTS!$B$12+INPUTS!$H$28),(INPUTS!$L$28/12*INPUTS!$B$12+INPUTS!$M$28))+IF(FACADE!I100="",0,FACADE!I100)*INPUTS!$B$15)/1000+ARCH_AG!I100/144*INPUTS!$B$12*INPUTS!$C$28/1000)</f>
        <v>82.8625</v>
      </c>
      <c r="J100" s="9" t="n">
        <f aca="false">IF(TRIB!J100="",0,(TRIB!J100*IF($D100="A",(INPUTS!$G$29/12*INPUTS!$B$12+INPUTS!$H$29),(INPUTS!$L$29/12*INPUTS!$B$12+INPUTS!$M$29))+IF(FACADE!J100="",0,FACADE!J100)*INPUTS!$B$15)/1000+ARCH_AG!J100/144*INPUTS!$B$12*INPUTS!$C$29/1000)</f>
        <v>0</v>
      </c>
      <c r="K100" s="9" t="n">
        <f aca="false">IF(TRIB!K100="",0,(TRIB!K100*IF($D100="A",(INPUTS!$G$30/12*INPUTS!$B$12+INPUTS!$H$30),(INPUTS!$L$30/12*INPUTS!$B$12+INPUTS!$M$30))+IF(FACADE!K100="",0,FACADE!K100)*INPUTS!$B$15)/1000+ARCH_AG!K100/144*INPUTS!$B$12*INPUTS!$C$30/1000)</f>
        <v>0</v>
      </c>
      <c r="L100" s="9" t="n">
        <f aca="false">IF(TRIB!L100="",0,(TRIB!L100*IF($D100="A",(INPUTS!$G$31/12*INPUTS!$B$12+INPUTS!$H$31),(INPUTS!$L$31/12*INPUTS!$B$12+INPUTS!$M$31))+IF(FACADE!L100="",0,FACADE!L100)*INPUTS!$B$15)/1000+ARCH_AG!L100/144*INPUTS!$B$12*INPUTS!$C$31/1000)</f>
        <v>0</v>
      </c>
      <c r="M100" s="9" t="n">
        <f aca="false">IF(TRIB!M100="",0,(TRIB!M100*IF($D100="A",(INPUTS!$G$32/12*INPUTS!$B$12+INPUTS!$H$32),(INPUTS!$L$32/12*INPUTS!$B$12+INPUTS!$M$32))+IF(FACADE!M100="",0,FACADE!M100)*INPUTS!$B$15)/1000+ARCH_AG!M100/144*INPUTS!$B$12*INPUTS!$C$32/1000)</f>
        <v>0</v>
      </c>
      <c r="N100" s="9" t="n">
        <f aca="false">IF(TRIB!N100="",0,(TRIB!N100*IF($D100="A",(INPUTS!$G$33/12*INPUTS!$B$12+INPUTS!$H$33),(INPUTS!$L$33/12*INPUTS!$B$12+INPUTS!$M$33))+IF(FACADE!N100="",0,FACADE!N100)*INPUTS!$B$15)/1000+ARCH_AG!N100/144*INPUTS!$B$12*INPUTS!$C$33/1000)</f>
        <v>0</v>
      </c>
      <c r="O100" s="9" t="n">
        <f aca="false">IF(TRIB!O100="",0,(TRIB!O100*IF($D100="A",(INPUTS!$G$34/12*INPUTS!$B$12+INPUTS!$H$34),(INPUTS!$L$34/12*INPUTS!$B$12+INPUTS!$M$34))+IF(FACADE!O100="",0,FACADE!O100)*INPUTS!$B$15)/1000+ARCH_AG!O100/144*INPUTS!$B$12*INPUTS!$C$34/1000)</f>
        <v>0</v>
      </c>
      <c r="P100" s="9" t="n">
        <f aca="false">IF(TRIB!P100="",0,(TRIB!P100*IF($D100="A",(INPUTS!$G$35/12*INPUTS!$B$12+INPUTS!$H$35),(INPUTS!$L$35/12*INPUTS!$B$12+INPUTS!$M$35))+IF(FACADE!P100="",0,FACADE!P100)*INPUTS!$B$15)/1000+ARCH_AG!P100/144*INPUTS!$B$12*INPUTS!$C$35/1000)</f>
        <v>0</v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9" t="n">
        <f aca="false">IF(TRIB!E101="",0,(TRIB!E101*IF($D101="A",(INPUTS!$G$24/12*INPUTS!$B$12+INPUTS!$H$24),(INPUTS!$L$24/12*INPUTS!$B$12+INPUTS!$M$24))+IF(FACADE!E101="",0,FACADE!E101)*INPUTS!$B$15)/1000+ARCH_AG!E101/144*INPUTS!$B$12*INPUTS!$C$24/1000)</f>
        <v>79.6025</v>
      </c>
      <c r="F101" s="9" t="n">
        <f aca="false">IF(TRIB!F101="",0,(TRIB!F101*IF($D101="A",(INPUTS!$G$25/12*INPUTS!$B$12+INPUTS!$H$25),(INPUTS!$L$25/12*INPUTS!$B$12+INPUTS!$M$25))+IF(FACADE!F101="",0,FACADE!F101)*INPUTS!$B$15)/1000+ARCH_AG!F101/144*INPUTS!$B$12*INPUTS!$C$25/1000)</f>
        <v>82.8275</v>
      </c>
      <c r="G101" s="9" t="n">
        <f aca="false">IF(TRIB!G101="",0,(TRIB!G101*IF($D101="A",(INPUTS!$G$26/12*INPUTS!$B$12+INPUTS!$H$26),(INPUTS!$L$26/12*INPUTS!$B$12+INPUTS!$M$26))+IF(FACADE!G101="",0,FACADE!G101)*INPUTS!$B$15)/1000+ARCH_AG!G101/144*INPUTS!$B$12*INPUTS!$C$26/1000)</f>
        <v>46.2025</v>
      </c>
      <c r="H101" s="9" t="n">
        <f aca="false">IF(TRIB!H101="",0,(TRIB!H101*IF($D101="A",(INPUTS!$G$27/12*INPUTS!$B$12+INPUTS!$H$27),(INPUTS!$L$27/12*INPUTS!$B$12+INPUTS!$M$27))+IF(FACADE!H101="",0,FACADE!H101)*INPUTS!$B$15)/1000+ARCH_AG!H101/144*INPUTS!$B$12*INPUTS!$C$27/1000)</f>
        <v>48.5025</v>
      </c>
      <c r="I101" s="9" t="n">
        <f aca="false">IF(TRIB!I101="",0,(TRIB!I101*IF($D101="A",(INPUTS!$G$28/12*INPUTS!$B$12+INPUTS!$H$28),(INPUTS!$L$28/12*INPUTS!$B$12+INPUTS!$M$28))+IF(FACADE!I101="",0,FACADE!I101)*INPUTS!$B$15)/1000+ARCH_AG!I101/144*INPUTS!$B$12*INPUTS!$C$28/1000)</f>
        <v>48.5025</v>
      </c>
      <c r="J101" s="9" t="n">
        <f aca="false">IF(TRIB!J101="",0,(TRIB!J101*IF($D101="A",(INPUTS!$G$29/12*INPUTS!$B$12+INPUTS!$H$29),(INPUTS!$L$29/12*INPUTS!$B$12+INPUTS!$M$29))+IF(FACADE!J101="",0,FACADE!J101)*INPUTS!$B$15)/1000+ARCH_AG!J101/144*INPUTS!$B$12*INPUTS!$C$29/1000)</f>
        <v>121.0925</v>
      </c>
      <c r="K101" s="9" t="n">
        <f aca="false">IF(TRIB!K101="",0,(TRIB!K101*IF($D101="A",(INPUTS!$G$30/12*INPUTS!$B$12+INPUTS!$H$30),(INPUTS!$L$30/12*INPUTS!$B$12+INPUTS!$M$30))+IF(FACADE!K101="",0,FACADE!K101)*INPUTS!$B$15)/1000+ARCH_AG!K101/144*INPUTS!$B$12*INPUTS!$C$30/1000)</f>
        <v>0</v>
      </c>
      <c r="L101" s="9" t="n">
        <f aca="false">IF(TRIB!L101="",0,(TRIB!L101*IF($D101="A",(INPUTS!$G$31/12*INPUTS!$B$12+INPUTS!$H$31),(INPUTS!$L$31/12*INPUTS!$B$12+INPUTS!$M$31))+IF(FACADE!L101="",0,FACADE!L101)*INPUTS!$B$15)/1000+ARCH_AG!L101/144*INPUTS!$B$12*INPUTS!$C$31/1000)</f>
        <v>0</v>
      </c>
      <c r="M101" s="9" t="n">
        <f aca="false">IF(TRIB!M101="",0,(TRIB!M101*IF($D101="A",(INPUTS!$G$32/12*INPUTS!$B$12+INPUTS!$H$32),(INPUTS!$L$32/12*INPUTS!$B$12+INPUTS!$M$32))+IF(FACADE!M101="",0,FACADE!M101)*INPUTS!$B$15)/1000+ARCH_AG!M101/144*INPUTS!$B$12*INPUTS!$C$32/1000)</f>
        <v>0</v>
      </c>
      <c r="N101" s="9" t="n">
        <f aca="false">IF(TRIB!N101="",0,(TRIB!N101*IF($D101="A",(INPUTS!$G$33/12*INPUTS!$B$12+INPUTS!$H$33),(INPUTS!$L$33/12*INPUTS!$B$12+INPUTS!$M$33))+IF(FACADE!N101="",0,FACADE!N101)*INPUTS!$B$15)/1000+ARCH_AG!N101/144*INPUTS!$B$12*INPUTS!$C$33/1000)</f>
        <v>0</v>
      </c>
      <c r="O101" s="9" t="n">
        <f aca="false">IF(TRIB!O101="",0,(TRIB!O101*IF($D101="A",(INPUTS!$G$34/12*INPUTS!$B$12+INPUTS!$H$34),(INPUTS!$L$34/12*INPUTS!$B$12+INPUTS!$M$34))+IF(FACADE!O101="",0,FACADE!O101)*INPUTS!$B$15)/1000+ARCH_AG!O101/144*INPUTS!$B$12*INPUTS!$C$34/1000)</f>
        <v>0</v>
      </c>
      <c r="P101" s="9" t="n">
        <f aca="false">IF(TRIB!P101="",0,(TRIB!P101*IF($D101="A",(INPUTS!$G$35/12*INPUTS!$B$12+INPUTS!$H$35),(INPUTS!$L$35/12*INPUTS!$B$12+INPUTS!$M$35))+IF(FACADE!P101="",0,FACADE!P101)*INPUTS!$B$15)/1000+ARCH_AG!P101/144*INPUTS!$B$12*INPUTS!$C$35/1000)</f>
        <v>0</v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9" t="n">
        <f aca="false">IF(TRIB!E102="",0,(TRIB!E102*IF($D102="A",(INPUTS!$G$24/12*INPUTS!$B$12+INPUTS!$H$24),(INPUTS!$L$24/12*INPUTS!$B$12+INPUTS!$M$24))+IF(FACADE!E102="",0,FACADE!E102)*INPUTS!$B$15)/1000+ARCH_AG!E102/144*INPUTS!$B$12*INPUTS!$C$24/1000)</f>
        <v>58.3675</v>
      </c>
      <c r="F102" s="9" t="n">
        <f aca="false">IF(TRIB!F102="",0,(TRIB!F102*IF($D102="A",(INPUTS!$G$25/12*INPUTS!$B$12+INPUTS!$H$25),(INPUTS!$L$25/12*INPUTS!$B$12+INPUTS!$M$25))+IF(FACADE!F102="",0,FACADE!F102)*INPUTS!$B$15)/1000+ARCH_AG!F102/144*INPUTS!$B$12*INPUTS!$C$25/1000)</f>
        <v>58.8925</v>
      </c>
      <c r="G102" s="9" t="n">
        <f aca="false">IF(TRIB!G102="",0,(TRIB!G102*IF($D102="A",(INPUTS!$G$26/12*INPUTS!$B$12+INPUTS!$H$26),(INPUTS!$L$26/12*INPUTS!$B$12+INPUTS!$M$26))+IF(FACADE!G102="",0,FACADE!G102)*INPUTS!$B$15)/1000+ARCH_AG!G102/144*INPUTS!$B$12*INPUTS!$C$26/1000)</f>
        <v>52.7825</v>
      </c>
      <c r="H102" s="9" t="n">
        <f aca="false">IF(TRIB!H102="",0,(TRIB!H102*IF($D102="A",(INPUTS!$G$27/12*INPUTS!$B$12+INPUTS!$H$27),(INPUTS!$L$27/12*INPUTS!$B$12+INPUTS!$M$27))+IF(FACADE!H102="",0,FACADE!H102)*INPUTS!$B$15)/1000+ARCH_AG!H102/144*INPUTS!$B$12*INPUTS!$C$27/1000)</f>
        <v>47.8925</v>
      </c>
      <c r="I102" s="9" t="n">
        <f aca="false">IF(TRIB!I102="",0,(TRIB!I102*IF($D102="A",(INPUTS!$G$28/12*INPUTS!$B$12+INPUTS!$H$28),(INPUTS!$L$28/12*INPUTS!$B$12+INPUTS!$M$28))+IF(FACADE!I102="",0,FACADE!I102)*INPUTS!$B$15)/1000+ARCH_AG!I102/144*INPUTS!$B$12*INPUTS!$C$28/1000)</f>
        <v>70.6625</v>
      </c>
      <c r="J102" s="9" t="n">
        <f aca="false">IF(TRIB!J102="",0,(TRIB!J102*IF($D102="A",(INPUTS!$G$29/12*INPUTS!$B$12+INPUTS!$H$29),(INPUTS!$L$29/12*INPUTS!$B$12+INPUTS!$M$29))+IF(FACADE!J102="",0,FACADE!J102)*INPUTS!$B$15)/1000+ARCH_AG!J102/144*INPUTS!$B$12*INPUTS!$C$29/1000)</f>
        <v>0</v>
      </c>
      <c r="K102" s="9" t="n">
        <f aca="false">IF(TRIB!K102="",0,(TRIB!K102*IF($D102="A",(INPUTS!$G$30/12*INPUTS!$B$12+INPUTS!$H$30),(INPUTS!$L$30/12*INPUTS!$B$12+INPUTS!$M$30))+IF(FACADE!K102="",0,FACADE!K102)*INPUTS!$B$15)/1000+ARCH_AG!K102/144*INPUTS!$B$12*INPUTS!$C$30/1000)</f>
        <v>0</v>
      </c>
      <c r="L102" s="9" t="n">
        <f aca="false">IF(TRIB!L102="",0,(TRIB!L102*IF($D102="A",(INPUTS!$G$31/12*INPUTS!$B$12+INPUTS!$H$31),(INPUTS!$L$31/12*INPUTS!$B$12+INPUTS!$M$31))+IF(FACADE!L102="",0,FACADE!L102)*INPUTS!$B$15)/1000+ARCH_AG!L102/144*INPUTS!$B$12*INPUTS!$C$31/1000)</f>
        <v>0</v>
      </c>
      <c r="M102" s="9" t="n">
        <f aca="false">IF(TRIB!M102="",0,(TRIB!M102*IF($D102="A",(INPUTS!$G$32/12*INPUTS!$B$12+INPUTS!$H$32),(INPUTS!$L$32/12*INPUTS!$B$12+INPUTS!$M$32))+IF(FACADE!M102="",0,FACADE!M102)*INPUTS!$B$15)/1000+ARCH_AG!M102/144*INPUTS!$B$12*INPUTS!$C$32/1000)</f>
        <v>0</v>
      </c>
      <c r="N102" s="9" t="n">
        <f aca="false">IF(TRIB!N102="",0,(TRIB!N102*IF($D102="A",(INPUTS!$G$33/12*INPUTS!$B$12+INPUTS!$H$33),(INPUTS!$L$33/12*INPUTS!$B$12+INPUTS!$M$33))+IF(FACADE!N102="",0,FACADE!N102)*INPUTS!$B$15)/1000+ARCH_AG!N102/144*INPUTS!$B$12*INPUTS!$C$33/1000)</f>
        <v>0</v>
      </c>
      <c r="O102" s="9" t="n">
        <f aca="false">IF(TRIB!O102="",0,(TRIB!O102*IF($D102="A",(INPUTS!$G$34/12*INPUTS!$B$12+INPUTS!$H$34),(INPUTS!$L$34/12*INPUTS!$B$12+INPUTS!$M$34))+IF(FACADE!O102="",0,FACADE!O102)*INPUTS!$B$15)/1000+ARCH_AG!O102/144*INPUTS!$B$12*INPUTS!$C$34/1000)</f>
        <v>0</v>
      </c>
      <c r="P102" s="9" t="n">
        <f aca="false">IF(TRIB!P102="",0,(TRIB!P102*IF($D102="A",(INPUTS!$G$35/12*INPUTS!$B$12+INPUTS!$H$35),(INPUTS!$L$35/12*INPUTS!$B$12+INPUTS!$M$35))+IF(FACADE!P102="",0,FACADE!P102)*INPUTS!$B$15)/1000+ARCH_AG!P102/144*INPUTS!$B$12*INPUTS!$C$35/1000)</f>
        <v>0</v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9" t="n">
        <f aca="false">IF(TRIB!E103="",0,(TRIB!E103*IF($D103="A",(INPUTS!$G$24/12*INPUTS!$B$12+INPUTS!$H$24),(INPUTS!$L$24/12*INPUTS!$B$12+INPUTS!$M$24))+IF(FACADE!E103="",0,FACADE!E103)*INPUTS!$B$15)/1000+ARCH_AG!E103/144*INPUTS!$B$12*INPUTS!$C$24/1000)</f>
        <v>77.7425</v>
      </c>
      <c r="F103" s="9" t="n">
        <f aca="false">IF(TRIB!F103="",0,(TRIB!F103*IF($D103="A",(INPUTS!$G$25/12*INPUTS!$B$12+INPUTS!$H$25),(INPUTS!$L$25/12*INPUTS!$B$12+INPUTS!$M$25))+IF(FACADE!F103="",0,FACADE!F103)*INPUTS!$B$15)/1000+ARCH_AG!F103/144*INPUTS!$B$12*INPUTS!$C$25/1000)</f>
        <v>78.2675</v>
      </c>
      <c r="G103" s="9" t="n">
        <f aca="false">IF(TRIB!G103="",0,(TRIB!G103*IF($D103="A",(INPUTS!$G$26/12*INPUTS!$B$12+INPUTS!$H$26),(INPUTS!$L$26/12*INPUTS!$B$12+INPUTS!$M$26))+IF(FACADE!G103="",0,FACADE!G103)*INPUTS!$B$15)/1000+ARCH_AG!G103/144*INPUTS!$B$12*INPUTS!$C$26/1000)</f>
        <v>73.0825</v>
      </c>
      <c r="H103" s="9" t="n">
        <f aca="false">IF(TRIB!H103="",0,(TRIB!H103*IF($D103="A",(INPUTS!$G$27/12*INPUTS!$B$12+INPUTS!$H$27),(INPUTS!$L$27/12*INPUTS!$B$12+INPUTS!$M$27))+IF(FACADE!H103="",0,FACADE!H103)*INPUTS!$B$15)/1000+ARCH_AG!H103/144*INPUTS!$B$12*INPUTS!$C$27/1000)</f>
        <v>66.0925</v>
      </c>
      <c r="I103" s="9" t="n">
        <f aca="false">IF(TRIB!I103="",0,(TRIB!I103*IF($D103="A",(INPUTS!$G$28/12*INPUTS!$B$12+INPUTS!$H$28),(INPUTS!$L$28/12*INPUTS!$B$12+INPUTS!$M$28))+IF(FACADE!I103="",0,FACADE!I103)*INPUTS!$B$15)/1000+ARCH_AG!I103/144*INPUTS!$B$12*INPUTS!$C$28/1000)</f>
        <v>103.3825</v>
      </c>
      <c r="J103" s="9" t="n">
        <f aca="false">IF(TRIB!J103="",0,(TRIB!J103*IF($D103="A",(INPUTS!$G$29/12*INPUTS!$B$12+INPUTS!$H$29),(INPUTS!$L$29/12*INPUTS!$B$12+INPUTS!$M$29))+IF(FACADE!J103="",0,FACADE!J103)*INPUTS!$B$15)/1000+ARCH_AG!J103/144*INPUTS!$B$12*INPUTS!$C$29/1000)</f>
        <v>0</v>
      </c>
      <c r="K103" s="9" t="n">
        <f aca="false">IF(TRIB!K103="",0,(TRIB!K103*IF($D103="A",(INPUTS!$G$30/12*INPUTS!$B$12+INPUTS!$H$30),(INPUTS!$L$30/12*INPUTS!$B$12+INPUTS!$M$30))+IF(FACADE!K103="",0,FACADE!K103)*INPUTS!$B$15)/1000+ARCH_AG!K103/144*INPUTS!$B$12*INPUTS!$C$30/1000)</f>
        <v>0</v>
      </c>
      <c r="L103" s="9" t="n">
        <f aca="false">IF(TRIB!L103="",0,(TRIB!L103*IF($D103="A",(INPUTS!$G$31/12*INPUTS!$B$12+INPUTS!$H$31),(INPUTS!$L$31/12*INPUTS!$B$12+INPUTS!$M$31))+IF(FACADE!L103="",0,FACADE!L103)*INPUTS!$B$15)/1000+ARCH_AG!L103/144*INPUTS!$B$12*INPUTS!$C$31/1000)</f>
        <v>0</v>
      </c>
      <c r="M103" s="9" t="n">
        <f aca="false">IF(TRIB!M103="",0,(TRIB!M103*IF($D103="A",(INPUTS!$G$32/12*INPUTS!$B$12+INPUTS!$H$32),(INPUTS!$L$32/12*INPUTS!$B$12+INPUTS!$M$32))+IF(FACADE!M103="",0,FACADE!M103)*INPUTS!$B$15)/1000+ARCH_AG!M103/144*INPUTS!$B$12*INPUTS!$C$32/1000)</f>
        <v>0</v>
      </c>
      <c r="N103" s="9" t="n">
        <f aca="false">IF(TRIB!N103="",0,(TRIB!N103*IF($D103="A",(INPUTS!$G$33/12*INPUTS!$B$12+INPUTS!$H$33),(INPUTS!$L$33/12*INPUTS!$B$12+INPUTS!$M$33))+IF(FACADE!N103="",0,FACADE!N103)*INPUTS!$B$15)/1000+ARCH_AG!N103/144*INPUTS!$B$12*INPUTS!$C$33/1000)</f>
        <v>0</v>
      </c>
      <c r="O103" s="9" t="n">
        <f aca="false">IF(TRIB!O103="",0,(TRIB!O103*IF($D103="A",(INPUTS!$G$34/12*INPUTS!$B$12+INPUTS!$H$34),(INPUTS!$L$34/12*INPUTS!$B$12+INPUTS!$M$34))+IF(FACADE!O103="",0,FACADE!O103)*INPUTS!$B$15)/1000+ARCH_AG!O103/144*INPUTS!$B$12*INPUTS!$C$34/1000)</f>
        <v>0</v>
      </c>
      <c r="P103" s="9" t="n">
        <f aca="false">IF(TRIB!P103="",0,(TRIB!P103*IF($D103="A",(INPUTS!$G$35/12*INPUTS!$B$12+INPUTS!$H$35),(INPUTS!$L$35/12*INPUTS!$B$12+INPUTS!$M$35))+IF(FACADE!P103="",0,FACADE!P103)*INPUTS!$B$15)/1000+ARCH_AG!P103/144*INPUTS!$B$12*INPUTS!$C$35/1000)</f>
        <v>0</v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9" t="n">
        <f aca="false">IF(TRIB!E104="",0,(TRIB!E104*IF($D104="A",(INPUTS!$G$24/12*INPUTS!$B$12+INPUTS!$H$24),(INPUTS!$L$24/12*INPUTS!$B$12+INPUTS!$M$24))+IF(FACADE!E104="",0,FACADE!E104)*INPUTS!$B$15)/1000+ARCH_AG!E104/144*INPUTS!$B$12*INPUTS!$C$24/1000)</f>
        <v>67.6675</v>
      </c>
      <c r="F104" s="9" t="n">
        <f aca="false">IF(TRIB!F104="",0,(TRIB!F104*IF($D104="A",(INPUTS!$G$25/12*INPUTS!$B$12+INPUTS!$H$25),(INPUTS!$L$25/12*INPUTS!$B$12+INPUTS!$M$25))+IF(FACADE!F104="",0,FACADE!F104)*INPUTS!$B$15)/1000+ARCH_AG!F104/144*INPUTS!$B$12*INPUTS!$C$25/1000)</f>
        <v>68.1925</v>
      </c>
      <c r="G104" s="9" t="n">
        <f aca="false">IF(TRIB!G104="",0,(TRIB!G104*IF($D104="A",(INPUTS!$G$26/12*INPUTS!$B$12+INPUTS!$H$26),(INPUTS!$L$26/12*INPUTS!$B$12+INPUTS!$M$26))+IF(FACADE!G104="",0,FACADE!G104)*INPUTS!$B$15)/1000+ARCH_AG!G104/144*INPUTS!$B$12*INPUTS!$C$26/1000)</f>
        <v>63.1225</v>
      </c>
      <c r="H104" s="9" t="n">
        <f aca="false">IF(TRIB!H104="",0,(TRIB!H104*IF($D104="A",(INPUTS!$G$27/12*INPUTS!$B$12+INPUTS!$H$27),(INPUTS!$L$27/12*INPUTS!$B$12+INPUTS!$M$27))+IF(FACADE!H104="",0,FACADE!H104)*INPUTS!$B$15)/1000+ARCH_AG!H104/144*INPUTS!$B$12*INPUTS!$C$27/1000)</f>
        <v>56.9325</v>
      </c>
      <c r="I104" s="9" t="n">
        <f aca="false">IF(TRIB!I104="",0,(TRIB!I104*IF($D104="A",(INPUTS!$G$28/12*INPUTS!$B$12+INPUTS!$H$28),(INPUTS!$L$28/12*INPUTS!$B$12+INPUTS!$M$28))+IF(FACADE!I104="",0,FACADE!I104)*INPUTS!$B$15)/1000+ARCH_AG!I104/144*INPUTS!$B$12*INPUTS!$C$28/1000)</f>
        <v>71.0325</v>
      </c>
      <c r="J104" s="9" t="n">
        <f aca="false">IF(TRIB!J104="",0,(TRIB!J104*IF($D104="A",(INPUTS!$G$29/12*INPUTS!$B$12+INPUTS!$H$29),(INPUTS!$L$29/12*INPUTS!$B$12+INPUTS!$M$29))+IF(FACADE!J104="",0,FACADE!J104)*INPUTS!$B$15)/1000+ARCH_AG!J104/144*INPUTS!$B$12*INPUTS!$C$29/1000)</f>
        <v>0</v>
      </c>
      <c r="K104" s="9" t="n">
        <f aca="false">IF(TRIB!K104="",0,(TRIB!K104*IF($D104="A",(INPUTS!$G$30/12*INPUTS!$B$12+INPUTS!$H$30),(INPUTS!$L$30/12*INPUTS!$B$12+INPUTS!$M$30))+IF(FACADE!K104="",0,FACADE!K104)*INPUTS!$B$15)/1000+ARCH_AG!K104/144*INPUTS!$B$12*INPUTS!$C$30/1000)</f>
        <v>0</v>
      </c>
      <c r="L104" s="9" t="n">
        <f aca="false">IF(TRIB!L104="",0,(TRIB!L104*IF($D104="A",(INPUTS!$G$31/12*INPUTS!$B$12+INPUTS!$H$31),(INPUTS!$L$31/12*INPUTS!$B$12+INPUTS!$M$31))+IF(FACADE!L104="",0,FACADE!L104)*INPUTS!$B$15)/1000+ARCH_AG!L104/144*INPUTS!$B$12*INPUTS!$C$31/1000)</f>
        <v>0</v>
      </c>
      <c r="M104" s="9" t="n">
        <f aca="false">IF(TRIB!M104="",0,(TRIB!M104*IF($D104="A",(INPUTS!$G$32/12*INPUTS!$B$12+INPUTS!$H$32),(INPUTS!$L$32/12*INPUTS!$B$12+INPUTS!$M$32))+IF(FACADE!M104="",0,FACADE!M104)*INPUTS!$B$15)/1000+ARCH_AG!M104/144*INPUTS!$B$12*INPUTS!$C$32/1000)</f>
        <v>0</v>
      </c>
      <c r="N104" s="9" t="n">
        <f aca="false">IF(TRIB!N104="",0,(TRIB!N104*IF($D104="A",(INPUTS!$G$33/12*INPUTS!$B$12+INPUTS!$H$33),(INPUTS!$L$33/12*INPUTS!$B$12+INPUTS!$M$33))+IF(FACADE!N104="",0,FACADE!N104)*INPUTS!$B$15)/1000+ARCH_AG!N104/144*INPUTS!$B$12*INPUTS!$C$33/1000)</f>
        <v>0</v>
      </c>
      <c r="O104" s="9" t="n">
        <f aca="false">IF(TRIB!O104="",0,(TRIB!O104*IF($D104="A",(INPUTS!$G$34/12*INPUTS!$B$12+INPUTS!$H$34),(INPUTS!$L$34/12*INPUTS!$B$12+INPUTS!$M$34))+IF(FACADE!O104="",0,FACADE!O104)*INPUTS!$B$15)/1000+ARCH_AG!O104/144*INPUTS!$B$12*INPUTS!$C$34/1000)</f>
        <v>0</v>
      </c>
      <c r="P104" s="9" t="n">
        <f aca="false">IF(TRIB!P104="",0,(TRIB!P104*IF($D104="A",(INPUTS!$G$35/12*INPUTS!$B$12+INPUTS!$H$35),(INPUTS!$L$35/12*INPUTS!$B$12+INPUTS!$M$35))+IF(FACADE!P104="",0,FACADE!P104)*INPUTS!$B$15)/1000+ARCH_AG!P104/144*INPUTS!$B$12*INPUTS!$C$35/1000)</f>
        <v>0</v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9" t="n">
        <f aca="false">IF(TRIB!E105="",0,(TRIB!E105*IF($D105="A",(INPUTS!$G$24/12*INPUTS!$B$12+INPUTS!$H$24),(INPUTS!$L$24/12*INPUTS!$B$12+INPUTS!$M$24))+IF(FACADE!E105="",0,FACADE!E105)*INPUTS!$B$15)/1000+ARCH_AG!E105/144*INPUTS!$B$12*INPUTS!$C$24/1000)</f>
        <v>80.9975</v>
      </c>
      <c r="F105" s="9" t="n">
        <f aca="false">IF(TRIB!F105="",0,(TRIB!F105*IF($D105="A",(INPUTS!$G$25/12*INPUTS!$B$12+INPUTS!$H$25),(INPUTS!$L$25/12*INPUTS!$B$12+INPUTS!$M$25))+IF(FACADE!F105="",0,FACADE!F105)*INPUTS!$B$15)/1000+ARCH_AG!F105/144*INPUTS!$B$12*INPUTS!$C$25/1000)</f>
        <v>81.5225</v>
      </c>
      <c r="G105" s="9" t="n">
        <f aca="false">IF(TRIB!G105="",0,(TRIB!G105*IF($D105="A",(INPUTS!$G$26/12*INPUTS!$B$12+INPUTS!$H$26),(INPUTS!$L$26/12*INPUTS!$B$12+INPUTS!$M$26))+IF(FACADE!G105="",0,FACADE!G105)*INPUTS!$B$15)/1000+ARCH_AG!G105/144*INPUTS!$B$12*INPUTS!$C$26/1000)</f>
        <v>76.1275</v>
      </c>
      <c r="H105" s="9" t="n">
        <f aca="false">IF(TRIB!H105="",0,(TRIB!H105*IF($D105="A",(INPUTS!$G$27/12*INPUTS!$B$12+INPUTS!$H$27),(INPUTS!$L$27/12*INPUTS!$B$12+INPUTS!$M$27))+IF(FACADE!H105="",0,FACADE!H105)*INPUTS!$B$15)/1000+ARCH_AG!H105/144*INPUTS!$B$12*INPUTS!$C$27/1000)</f>
        <v>68.8225</v>
      </c>
      <c r="I105" s="9" t="n">
        <f aca="false">IF(TRIB!I105="",0,(TRIB!I105*IF($D105="A",(INPUTS!$G$28/12*INPUTS!$B$12+INPUTS!$H$28),(INPUTS!$L$28/12*INPUTS!$B$12+INPUTS!$M$28))+IF(FACADE!I105="",0,FACADE!I105)*INPUTS!$B$15)/1000+ARCH_AG!I105/144*INPUTS!$B$12*INPUTS!$C$28/1000)</f>
        <v>105.7425</v>
      </c>
      <c r="J105" s="9" t="n">
        <f aca="false">IF(TRIB!J105="",0,(TRIB!J105*IF($D105="A",(INPUTS!$G$29/12*INPUTS!$B$12+INPUTS!$H$29),(INPUTS!$L$29/12*INPUTS!$B$12+INPUTS!$M$29))+IF(FACADE!J105="",0,FACADE!J105)*INPUTS!$B$15)/1000+ARCH_AG!J105/144*INPUTS!$B$12*INPUTS!$C$29/1000)</f>
        <v>0</v>
      </c>
      <c r="K105" s="9" t="n">
        <f aca="false">IF(TRIB!K105="",0,(TRIB!K105*IF($D105="A",(INPUTS!$G$30/12*INPUTS!$B$12+INPUTS!$H$30),(INPUTS!$L$30/12*INPUTS!$B$12+INPUTS!$M$30))+IF(FACADE!K105="",0,FACADE!K105)*INPUTS!$B$15)/1000+ARCH_AG!K105/144*INPUTS!$B$12*INPUTS!$C$30/1000)</f>
        <v>0</v>
      </c>
      <c r="L105" s="9" t="n">
        <f aca="false">IF(TRIB!L105="",0,(TRIB!L105*IF($D105="A",(INPUTS!$G$31/12*INPUTS!$B$12+INPUTS!$H$31),(INPUTS!$L$31/12*INPUTS!$B$12+INPUTS!$M$31))+IF(FACADE!L105="",0,FACADE!L105)*INPUTS!$B$15)/1000+ARCH_AG!L105/144*INPUTS!$B$12*INPUTS!$C$31/1000)</f>
        <v>0</v>
      </c>
      <c r="M105" s="9" t="n">
        <f aca="false">IF(TRIB!M105="",0,(TRIB!M105*IF($D105="A",(INPUTS!$G$32/12*INPUTS!$B$12+INPUTS!$H$32),(INPUTS!$L$32/12*INPUTS!$B$12+INPUTS!$M$32))+IF(FACADE!M105="",0,FACADE!M105)*INPUTS!$B$15)/1000+ARCH_AG!M105/144*INPUTS!$B$12*INPUTS!$C$32/1000)</f>
        <v>0</v>
      </c>
      <c r="N105" s="9" t="n">
        <f aca="false">IF(TRIB!N105="",0,(TRIB!N105*IF($D105="A",(INPUTS!$G$33/12*INPUTS!$B$12+INPUTS!$H$33),(INPUTS!$L$33/12*INPUTS!$B$12+INPUTS!$M$33))+IF(FACADE!N105="",0,FACADE!N105)*INPUTS!$B$15)/1000+ARCH_AG!N105/144*INPUTS!$B$12*INPUTS!$C$33/1000)</f>
        <v>0</v>
      </c>
      <c r="O105" s="9" t="n">
        <f aca="false">IF(TRIB!O105="",0,(TRIB!O105*IF($D105="A",(INPUTS!$G$34/12*INPUTS!$B$12+INPUTS!$H$34),(INPUTS!$L$34/12*INPUTS!$B$12+INPUTS!$M$34))+IF(FACADE!O105="",0,FACADE!O105)*INPUTS!$B$15)/1000+ARCH_AG!O105/144*INPUTS!$B$12*INPUTS!$C$34/1000)</f>
        <v>0</v>
      </c>
      <c r="P105" s="9" t="n">
        <f aca="false">IF(TRIB!P105="",0,(TRIB!P105*IF($D105="A",(INPUTS!$G$35/12*INPUTS!$B$12+INPUTS!$H$35),(INPUTS!$L$35/12*INPUTS!$B$12+INPUTS!$M$35))+IF(FACADE!P105="",0,FACADE!P105)*INPUTS!$B$15)/1000+ARCH_AG!P105/144*INPUTS!$B$12*INPUTS!$C$35/1000)</f>
        <v>0</v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9" t="n">
        <f aca="false">IF(TRIB!E106="",0,(TRIB!E106*IF($D106="A",(INPUTS!$G$24/12*INPUTS!$B$12+INPUTS!$H$24),(INPUTS!$L$24/12*INPUTS!$B$12+INPUTS!$M$24))+IF(FACADE!E106="",0,FACADE!E106)*INPUTS!$B$15)/1000+ARCH_AG!E106/144*INPUTS!$B$12*INPUTS!$C$24/1000)</f>
        <v>72.6275</v>
      </c>
      <c r="F106" s="9" t="n">
        <f aca="false">IF(TRIB!F106="",0,(TRIB!F106*IF($D106="A",(INPUTS!$G$25/12*INPUTS!$B$12+INPUTS!$H$25),(INPUTS!$L$25/12*INPUTS!$B$12+INPUTS!$M$25))+IF(FACADE!F106="",0,FACADE!F106)*INPUTS!$B$15)/1000+ARCH_AG!F106/144*INPUTS!$B$12*INPUTS!$C$25/1000)</f>
        <v>73.1525</v>
      </c>
      <c r="G106" s="9" t="n">
        <f aca="false">IF(TRIB!G106="",0,(TRIB!G106*IF($D106="A",(INPUTS!$G$26/12*INPUTS!$B$12+INPUTS!$H$26),(INPUTS!$L$26/12*INPUTS!$B$12+INPUTS!$M$26))+IF(FACADE!G106="",0,FACADE!G106)*INPUTS!$B$15)/1000+ARCH_AG!G106/144*INPUTS!$B$12*INPUTS!$C$26/1000)</f>
        <v>68.2975</v>
      </c>
      <c r="H106" s="9" t="n">
        <f aca="false">IF(TRIB!H106="",0,(TRIB!H106*IF($D106="A",(INPUTS!$G$27/12*INPUTS!$B$12+INPUTS!$H$27),(INPUTS!$L$27/12*INPUTS!$B$12+INPUTS!$M$27))+IF(FACADE!H106="",0,FACADE!H106)*INPUTS!$B$15)/1000+ARCH_AG!H106/144*INPUTS!$B$12*INPUTS!$C$27/1000)</f>
        <v>61.8025</v>
      </c>
      <c r="I106" s="9" t="n">
        <f aca="false">IF(TRIB!I106="",0,(TRIB!I106*IF($D106="A",(INPUTS!$G$28/12*INPUTS!$B$12+INPUTS!$H$28),(INPUTS!$L$28/12*INPUTS!$B$12+INPUTS!$M$28))+IF(FACADE!I106="",0,FACADE!I106)*INPUTS!$B$15)/1000+ARCH_AG!I106/144*INPUTS!$B$12*INPUTS!$C$28/1000)</f>
        <v>102.9225</v>
      </c>
      <c r="J106" s="9" t="n">
        <f aca="false">IF(TRIB!J106="",0,(TRIB!J106*IF($D106="A",(INPUTS!$G$29/12*INPUTS!$B$12+INPUTS!$H$29),(INPUTS!$L$29/12*INPUTS!$B$12+INPUTS!$M$29))+IF(FACADE!J106="",0,FACADE!J106)*INPUTS!$B$15)/1000+ARCH_AG!J106/144*INPUTS!$B$12*INPUTS!$C$29/1000)</f>
        <v>0</v>
      </c>
      <c r="K106" s="9" t="n">
        <f aca="false">IF(TRIB!K106="",0,(TRIB!K106*IF($D106="A",(INPUTS!$G$30/12*INPUTS!$B$12+INPUTS!$H$30),(INPUTS!$L$30/12*INPUTS!$B$12+INPUTS!$M$30))+IF(FACADE!K106="",0,FACADE!K106)*INPUTS!$B$15)/1000+ARCH_AG!K106/144*INPUTS!$B$12*INPUTS!$C$30/1000)</f>
        <v>0</v>
      </c>
      <c r="L106" s="9" t="n">
        <f aca="false">IF(TRIB!L106="",0,(TRIB!L106*IF($D106="A",(INPUTS!$G$31/12*INPUTS!$B$12+INPUTS!$H$31),(INPUTS!$L$31/12*INPUTS!$B$12+INPUTS!$M$31))+IF(FACADE!L106="",0,FACADE!L106)*INPUTS!$B$15)/1000+ARCH_AG!L106/144*INPUTS!$B$12*INPUTS!$C$31/1000)</f>
        <v>0</v>
      </c>
      <c r="M106" s="9" t="n">
        <f aca="false">IF(TRIB!M106="",0,(TRIB!M106*IF($D106="A",(INPUTS!$G$32/12*INPUTS!$B$12+INPUTS!$H$32),(INPUTS!$L$32/12*INPUTS!$B$12+INPUTS!$M$32))+IF(FACADE!M106="",0,FACADE!M106)*INPUTS!$B$15)/1000+ARCH_AG!M106/144*INPUTS!$B$12*INPUTS!$C$32/1000)</f>
        <v>0</v>
      </c>
      <c r="N106" s="9" t="n">
        <f aca="false">IF(TRIB!N106="",0,(TRIB!N106*IF($D106="A",(INPUTS!$G$33/12*INPUTS!$B$12+INPUTS!$H$33),(INPUTS!$L$33/12*INPUTS!$B$12+INPUTS!$M$33))+IF(FACADE!N106="",0,FACADE!N106)*INPUTS!$B$15)/1000+ARCH_AG!N106/144*INPUTS!$B$12*INPUTS!$C$33/1000)</f>
        <v>0</v>
      </c>
      <c r="O106" s="9" t="n">
        <f aca="false">IF(TRIB!O106="",0,(TRIB!O106*IF($D106="A",(INPUTS!$G$34/12*INPUTS!$B$12+INPUTS!$H$34),(INPUTS!$L$34/12*INPUTS!$B$12+INPUTS!$M$34))+IF(FACADE!O106="",0,FACADE!O106)*INPUTS!$B$15)/1000+ARCH_AG!O106/144*INPUTS!$B$12*INPUTS!$C$34/1000)</f>
        <v>0</v>
      </c>
      <c r="P106" s="9" t="n">
        <f aca="false">IF(TRIB!P106="",0,(TRIB!P106*IF($D106="A",(INPUTS!$G$35/12*INPUTS!$B$12+INPUTS!$H$35),(INPUTS!$L$35/12*INPUTS!$B$12+INPUTS!$M$35))+IF(FACADE!P106="",0,FACADE!P106)*INPUTS!$B$15)/1000+ARCH_AG!P106/144*INPUTS!$B$12*INPUTS!$C$35/1000)</f>
        <v>0</v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9" t="n">
        <f aca="false">IF(TRIB!E107="",0,(TRIB!E107*IF($D107="A",(INPUTS!$G$24/12*INPUTS!$B$12+INPUTS!$H$24),(INPUTS!$L$24/12*INPUTS!$B$12+INPUTS!$M$24))+IF(FACADE!E107="",0,FACADE!E107)*INPUTS!$B$15)/1000+ARCH_AG!E107/144*INPUTS!$B$12*INPUTS!$C$24/1000)</f>
        <v>69.6825</v>
      </c>
      <c r="F107" s="9" t="n">
        <f aca="false">IF(TRIB!F107="",0,(TRIB!F107*IF($D107="A",(INPUTS!$G$25/12*INPUTS!$B$12+INPUTS!$H$25),(INPUTS!$L$25/12*INPUTS!$B$12+INPUTS!$M$25))+IF(FACADE!F107="",0,FACADE!F107)*INPUTS!$B$15)/1000+ARCH_AG!F107/144*INPUTS!$B$12*INPUTS!$C$25/1000)</f>
        <v>72.9075</v>
      </c>
      <c r="G107" s="9" t="n">
        <f aca="false">IF(TRIB!G107="",0,(TRIB!G107*IF($D107="A",(INPUTS!$G$26/12*INPUTS!$B$12+INPUTS!$H$26),(INPUTS!$L$26/12*INPUTS!$B$12+INPUTS!$M$26))+IF(FACADE!G107="",0,FACADE!G107)*INPUTS!$B$15)/1000+ARCH_AG!G107/144*INPUTS!$B$12*INPUTS!$C$26/1000)</f>
        <v>44.3175</v>
      </c>
      <c r="H107" s="9" t="n">
        <f aca="false">IF(TRIB!H107="",0,(TRIB!H107*IF($D107="A",(INPUTS!$G$27/12*INPUTS!$B$12+INPUTS!$H$27),(INPUTS!$L$27/12*INPUTS!$B$12+INPUTS!$M$27))+IF(FACADE!H107="",0,FACADE!H107)*INPUTS!$B$15)/1000+ARCH_AG!H107/144*INPUTS!$B$12*INPUTS!$C$27/1000)</f>
        <v>48.3525</v>
      </c>
      <c r="I107" s="9" t="n">
        <f aca="false">IF(TRIB!I107="",0,(TRIB!I107*IF($D107="A",(INPUTS!$G$28/12*INPUTS!$B$12+INPUTS!$H$28),(INPUTS!$L$28/12*INPUTS!$B$12+INPUTS!$M$28))+IF(FACADE!I107="",0,FACADE!I107)*INPUTS!$B$15)/1000+ARCH_AG!I107/144*INPUTS!$B$12*INPUTS!$C$28/1000)</f>
        <v>48.3525</v>
      </c>
      <c r="J107" s="9" t="n">
        <f aca="false">IF(TRIB!J107="",0,(TRIB!J107*IF($D107="A",(INPUTS!$G$29/12*INPUTS!$B$12+INPUTS!$H$29),(INPUTS!$L$29/12*INPUTS!$B$12+INPUTS!$M$29))+IF(FACADE!J107="",0,FACADE!J107)*INPUTS!$B$15)/1000+ARCH_AG!J107/144*INPUTS!$B$12*INPUTS!$C$29/1000)</f>
        <v>0</v>
      </c>
      <c r="K107" s="9" t="n">
        <f aca="false">IF(TRIB!K107="",0,(TRIB!K107*IF($D107="A",(INPUTS!$G$30/12*INPUTS!$B$12+INPUTS!$H$30),(INPUTS!$L$30/12*INPUTS!$B$12+INPUTS!$M$30))+IF(FACADE!K107="",0,FACADE!K107)*INPUTS!$B$15)/1000+ARCH_AG!K107/144*INPUTS!$B$12*INPUTS!$C$30/1000)</f>
        <v>0</v>
      </c>
      <c r="L107" s="9" t="n">
        <f aca="false">IF(TRIB!L107="",0,(TRIB!L107*IF($D107="A",(INPUTS!$G$31/12*INPUTS!$B$12+INPUTS!$H$31),(INPUTS!$L$31/12*INPUTS!$B$12+INPUTS!$M$31))+IF(FACADE!L107="",0,FACADE!L107)*INPUTS!$B$15)/1000+ARCH_AG!L107/144*INPUTS!$B$12*INPUTS!$C$31/1000)</f>
        <v>0</v>
      </c>
      <c r="M107" s="9" t="n">
        <f aca="false">IF(TRIB!M107="",0,(TRIB!M107*IF($D107="A",(INPUTS!$G$32/12*INPUTS!$B$12+INPUTS!$H$32),(INPUTS!$L$32/12*INPUTS!$B$12+INPUTS!$M$32))+IF(FACADE!M107="",0,FACADE!M107)*INPUTS!$B$15)/1000+ARCH_AG!M107/144*INPUTS!$B$12*INPUTS!$C$32/1000)</f>
        <v>0</v>
      </c>
      <c r="N107" s="9" t="n">
        <f aca="false">IF(TRIB!N107="",0,(TRIB!N107*IF($D107="A",(INPUTS!$G$33/12*INPUTS!$B$12+INPUTS!$H$33),(INPUTS!$L$33/12*INPUTS!$B$12+INPUTS!$M$33))+IF(FACADE!N107="",0,FACADE!N107)*INPUTS!$B$15)/1000+ARCH_AG!N107/144*INPUTS!$B$12*INPUTS!$C$33/1000)</f>
        <v>0</v>
      </c>
      <c r="O107" s="9" t="n">
        <f aca="false">IF(TRIB!O107="",0,(TRIB!O107*IF($D107="A",(INPUTS!$G$34/12*INPUTS!$B$12+INPUTS!$H$34),(INPUTS!$L$34/12*INPUTS!$B$12+INPUTS!$M$34))+IF(FACADE!O107="",0,FACADE!O107)*INPUTS!$B$15)/1000+ARCH_AG!O107/144*INPUTS!$B$12*INPUTS!$C$34/1000)</f>
        <v>0</v>
      </c>
      <c r="P107" s="9" t="n">
        <f aca="false">IF(TRIB!P107="",0,(TRIB!P107*IF($D107="A",(INPUTS!$G$35/12*INPUTS!$B$12+INPUTS!$H$35),(INPUTS!$L$35/12*INPUTS!$B$12+INPUTS!$M$35))+IF(FACADE!P107="",0,FACADE!P107)*INPUTS!$B$15)/1000+ARCH_AG!P107/144*INPUTS!$B$12*INPUTS!$C$35/1000)</f>
        <v>0</v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9" t="n">
        <f aca="false">IF(TRIB!E108="",0,(TRIB!E108*IF($D108="A",(INPUTS!$G$24/12*INPUTS!$B$12+INPUTS!$H$24),(INPUTS!$L$24/12*INPUTS!$B$12+INPUTS!$M$24))+IF(FACADE!E108="",0,FACADE!E108)*INPUTS!$B$15)/1000+ARCH_AG!E108/144*INPUTS!$B$12*INPUTS!$C$24/1000)</f>
        <v>31.0875</v>
      </c>
      <c r="F108" s="9" t="n">
        <f aca="false">IF(TRIB!F108="",0,(TRIB!F108*IF($D108="A",(INPUTS!$G$25/12*INPUTS!$B$12+INPUTS!$H$25),(INPUTS!$L$25/12*INPUTS!$B$12+INPUTS!$M$25))+IF(FACADE!F108="",0,FACADE!F108)*INPUTS!$B$15)/1000+ARCH_AG!F108/144*INPUTS!$B$12*INPUTS!$C$25/1000)</f>
        <v>36.1125</v>
      </c>
      <c r="G108" s="9" t="n">
        <f aca="false">IF(TRIB!G108="",0,(TRIB!G108*IF($D108="A",(INPUTS!$G$26/12*INPUTS!$B$12+INPUTS!$H$26),(INPUTS!$L$26/12*INPUTS!$B$12+INPUTS!$M$26))+IF(FACADE!G108="",0,FACADE!G108)*INPUTS!$B$15)/1000+ARCH_AG!G108/144*INPUTS!$B$12*INPUTS!$C$26/1000)</f>
        <v>24.6175</v>
      </c>
      <c r="H108" s="9" t="n">
        <f aca="false">IF(TRIB!H108="",0,(TRIB!H108*IF($D108="A",(INPUTS!$G$27/12*INPUTS!$B$12+INPUTS!$H$27),(INPUTS!$L$27/12*INPUTS!$B$12+INPUTS!$M$27))+IF(FACADE!H108="",0,FACADE!H108)*INPUTS!$B$15)/1000+ARCH_AG!H108/144*INPUTS!$B$12*INPUTS!$C$27/1000)</f>
        <v>12.5325</v>
      </c>
      <c r="I108" s="9" t="n">
        <f aca="false">IF(TRIB!I108="",0,(TRIB!I108*IF($D108="A",(INPUTS!$G$28/12*INPUTS!$B$12+INPUTS!$H$28),(INPUTS!$L$28/12*INPUTS!$B$12+INPUTS!$M$28))+IF(FACADE!I108="",0,FACADE!I108)*INPUTS!$B$15)/1000+ARCH_AG!I108/144*INPUTS!$B$12*INPUTS!$C$28/1000)</f>
        <v>12.5325</v>
      </c>
      <c r="J108" s="9" t="n">
        <f aca="false">IF(TRIB!J108="",0,(TRIB!J108*IF($D108="A",(INPUTS!$G$29/12*INPUTS!$B$12+INPUTS!$H$29),(INPUTS!$L$29/12*INPUTS!$B$12+INPUTS!$M$29))+IF(FACADE!J108="",0,FACADE!J108)*INPUTS!$B$15)/1000+ARCH_AG!J108/144*INPUTS!$B$12*INPUTS!$C$29/1000)</f>
        <v>0</v>
      </c>
      <c r="K108" s="9" t="n">
        <f aca="false">IF(TRIB!K108="",0,(TRIB!K108*IF($D108="A",(INPUTS!$G$30/12*INPUTS!$B$12+INPUTS!$H$30),(INPUTS!$L$30/12*INPUTS!$B$12+INPUTS!$M$30))+IF(FACADE!K108="",0,FACADE!K108)*INPUTS!$B$15)/1000+ARCH_AG!K108/144*INPUTS!$B$12*INPUTS!$C$30/1000)</f>
        <v>0</v>
      </c>
      <c r="L108" s="9" t="n">
        <f aca="false">IF(TRIB!L108="",0,(TRIB!L108*IF($D108="A",(INPUTS!$G$31/12*INPUTS!$B$12+INPUTS!$H$31),(INPUTS!$L$31/12*INPUTS!$B$12+INPUTS!$M$31))+IF(FACADE!L108="",0,FACADE!L108)*INPUTS!$B$15)/1000+ARCH_AG!L108/144*INPUTS!$B$12*INPUTS!$C$31/1000)</f>
        <v>0</v>
      </c>
      <c r="M108" s="9" t="n">
        <f aca="false">IF(TRIB!M108="",0,(TRIB!M108*IF($D108="A",(INPUTS!$G$32/12*INPUTS!$B$12+INPUTS!$H$32),(INPUTS!$L$32/12*INPUTS!$B$12+INPUTS!$M$32))+IF(FACADE!M108="",0,FACADE!M108)*INPUTS!$B$15)/1000+ARCH_AG!M108/144*INPUTS!$B$12*INPUTS!$C$32/1000)</f>
        <v>0</v>
      </c>
      <c r="N108" s="9" t="n">
        <f aca="false">IF(TRIB!N108="",0,(TRIB!N108*IF($D108="A",(INPUTS!$G$33/12*INPUTS!$B$12+INPUTS!$H$33),(INPUTS!$L$33/12*INPUTS!$B$12+INPUTS!$M$33))+IF(FACADE!N108="",0,FACADE!N108)*INPUTS!$B$15)/1000+ARCH_AG!N108/144*INPUTS!$B$12*INPUTS!$C$33/1000)</f>
        <v>0</v>
      </c>
      <c r="O108" s="9" t="n">
        <f aca="false">IF(TRIB!O108="",0,(TRIB!O108*IF($D108="A",(INPUTS!$G$34/12*INPUTS!$B$12+INPUTS!$H$34),(INPUTS!$L$34/12*INPUTS!$B$12+INPUTS!$M$34))+IF(FACADE!O108="",0,FACADE!O108)*INPUTS!$B$15)/1000+ARCH_AG!O108/144*INPUTS!$B$12*INPUTS!$C$34/1000)</f>
        <v>0</v>
      </c>
      <c r="P108" s="9" t="n">
        <f aca="false">IF(TRIB!P108="",0,(TRIB!P108*IF($D108="A",(INPUTS!$G$35/12*INPUTS!$B$12+INPUTS!$H$35),(INPUTS!$L$35/12*INPUTS!$B$12+INPUTS!$M$35))+IF(FACADE!P108="",0,FACADE!P108)*INPUTS!$B$15)/1000+ARCH_AG!P108/144*INPUTS!$B$12*INPUTS!$C$35/1000)</f>
        <v>0</v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9" t="n">
        <f aca="false">IF(TRIB!E109="",0,(TRIB!E109*IF($D109="A",(INPUTS!$G$24/12*INPUTS!$B$12+INPUTS!$H$24),(INPUTS!$L$24/12*INPUTS!$B$12+INPUTS!$M$24))+IF(FACADE!E109="",0,FACADE!E109)*INPUTS!$B$15)/1000+ARCH_AG!E109/144*INPUTS!$B$12*INPUTS!$C$24/1000)</f>
        <v>55.1125</v>
      </c>
      <c r="F109" s="9" t="n">
        <f aca="false">IF(TRIB!F109="",0,(TRIB!F109*IF($D109="A",(INPUTS!$G$25/12*INPUTS!$B$12+INPUTS!$H$25),(INPUTS!$L$25/12*INPUTS!$B$12+INPUTS!$M$25))+IF(FACADE!F109="",0,FACADE!F109)*INPUTS!$B$15)/1000+ARCH_AG!F109/144*INPUTS!$B$12*INPUTS!$C$25/1000)</f>
        <v>57.5875</v>
      </c>
      <c r="G109" s="9" t="n">
        <f aca="false">IF(TRIB!G109="",0,(TRIB!G109*IF($D109="A",(INPUTS!$G$26/12*INPUTS!$B$12+INPUTS!$H$26),(INPUTS!$L$26/12*INPUTS!$B$12+INPUTS!$M$26))+IF(FACADE!G109="",0,FACADE!G109)*INPUTS!$B$15)/1000+ARCH_AG!G109/144*INPUTS!$B$12*INPUTS!$C$26/1000)</f>
        <v>18.7775</v>
      </c>
      <c r="H109" s="9" t="n">
        <f aca="false">IF(TRIB!H109="",0,(TRIB!H109*IF($D109="A",(INPUTS!$G$27/12*INPUTS!$B$12+INPUTS!$H$27),(INPUTS!$L$27/12*INPUTS!$B$12+INPUTS!$M$27))+IF(FACADE!H109="",0,FACADE!H109)*INPUTS!$B$15)/1000+ARCH_AG!H109/144*INPUTS!$B$12*INPUTS!$C$27/1000)</f>
        <v>6.7225</v>
      </c>
      <c r="I109" s="9" t="n">
        <f aca="false">IF(TRIB!I109="",0,(TRIB!I109*IF($D109="A",(INPUTS!$G$28/12*INPUTS!$B$12+INPUTS!$H$28),(INPUTS!$L$28/12*INPUTS!$B$12+INPUTS!$M$28))+IF(FACADE!I109="",0,FACADE!I109)*INPUTS!$B$15)/1000+ARCH_AG!I109/144*INPUTS!$B$12*INPUTS!$C$28/1000)</f>
        <v>17.1225</v>
      </c>
      <c r="J109" s="9" t="n">
        <f aca="false">IF(TRIB!J109="",0,(TRIB!J109*IF($D109="A",(INPUTS!$G$29/12*INPUTS!$B$12+INPUTS!$H$29),(INPUTS!$L$29/12*INPUTS!$B$12+INPUTS!$M$29))+IF(FACADE!J109="",0,FACADE!J109)*INPUTS!$B$15)/1000+ARCH_AG!J109/144*INPUTS!$B$12*INPUTS!$C$29/1000)</f>
        <v>0</v>
      </c>
      <c r="K109" s="9" t="n">
        <f aca="false">IF(TRIB!K109="",0,(TRIB!K109*IF($D109="A",(INPUTS!$G$30/12*INPUTS!$B$12+INPUTS!$H$30),(INPUTS!$L$30/12*INPUTS!$B$12+INPUTS!$M$30))+IF(FACADE!K109="",0,FACADE!K109)*INPUTS!$B$15)/1000+ARCH_AG!K109/144*INPUTS!$B$12*INPUTS!$C$30/1000)</f>
        <v>0</v>
      </c>
      <c r="L109" s="9" t="n">
        <f aca="false">IF(TRIB!L109="",0,(TRIB!L109*IF($D109="A",(INPUTS!$G$31/12*INPUTS!$B$12+INPUTS!$H$31),(INPUTS!$L$31/12*INPUTS!$B$12+INPUTS!$M$31))+IF(FACADE!L109="",0,FACADE!L109)*INPUTS!$B$15)/1000+ARCH_AG!L109/144*INPUTS!$B$12*INPUTS!$C$31/1000)</f>
        <v>0</v>
      </c>
      <c r="M109" s="9" t="n">
        <f aca="false">IF(TRIB!M109="",0,(TRIB!M109*IF($D109="A",(INPUTS!$G$32/12*INPUTS!$B$12+INPUTS!$H$32),(INPUTS!$L$32/12*INPUTS!$B$12+INPUTS!$M$32))+IF(FACADE!M109="",0,FACADE!M109)*INPUTS!$B$15)/1000+ARCH_AG!M109/144*INPUTS!$B$12*INPUTS!$C$32/1000)</f>
        <v>0</v>
      </c>
      <c r="N109" s="9" t="n">
        <f aca="false">IF(TRIB!N109="",0,(TRIB!N109*IF($D109="A",(INPUTS!$G$33/12*INPUTS!$B$12+INPUTS!$H$33),(INPUTS!$L$33/12*INPUTS!$B$12+INPUTS!$M$33))+IF(FACADE!N109="",0,FACADE!N109)*INPUTS!$B$15)/1000+ARCH_AG!N109/144*INPUTS!$B$12*INPUTS!$C$33/1000)</f>
        <v>0</v>
      </c>
      <c r="O109" s="9" t="n">
        <f aca="false">IF(TRIB!O109="",0,(TRIB!O109*IF($D109="A",(INPUTS!$G$34/12*INPUTS!$B$12+INPUTS!$H$34),(INPUTS!$L$34/12*INPUTS!$B$12+INPUTS!$M$34))+IF(FACADE!O109="",0,FACADE!O109)*INPUTS!$B$15)/1000+ARCH_AG!O109/144*INPUTS!$B$12*INPUTS!$C$34/1000)</f>
        <v>0</v>
      </c>
      <c r="P109" s="9" t="n">
        <f aca="false">IF(TRIB!P109="",0,(TRIB!P109*IF($D109="A",(INPUTS!$G$35/12*INPUTS!$B$12+INPUTS!$H$35),(INPUTS!$L$35/12*INPUTS!$B$12+INPUTS!$M$35))+IF(FACADE!P109="",0,FACADE!P109)*INPUTS!$B$15)/1000+ARCH_AG!P109/144*INPUTS!$B$12*INPUTS!$C$35/1000)</f>
        <v>0</v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9" t="n">
        <f aca="false">IF(TRIB!E110="",0,(TRIB!E110*IF($D110="A",(INPUTS!$G$24/12*INPUTS!$B$12+INPUTS!$H$24),(INPUTS!$L$24/12*INPUTS!$B$12+INPUTS!$M$24))+IF(FACADE!E110="",0,FACADE!E110)*INPUTS!$B$15)/1000+ARCH_AG!E110/144*INPUTS!$B$12*INPUTS!$C$24/1000)</f>
        <v>30.6225</v>
      </c>
      <c r="F110" s="9" t="n">
        <f aca="false">IF(TRIB!F110="",0,(TRIB!F110*IF($D110="A",(INPUTS!$G$25/12*INPUTS!$B$12+INPUTS!$H$25),(INPUTS!$L$25/12*INPUTS!$B$12+INPUTS!$M$25))+IF(FACADE!F110="",0,FACADE!F110)*INPUTS!$B$15)/1000+ARCH_AG!F110/144*INPUTS!$B$12*INPUTS!$C$25/1000)</f>
        <v>35.3475</v>
      </c>
      <c r="G110" s="9" t="n">
        <f aca="false">IF(TRIB!G110="",0,(TRIB!G110*IF($D110="A",(INPUTS!$G$26/12*INPUTS!$B$12+INPUTS!$H$26),(INPUTS!$L$26/12*INPUTS!$B$12+INPUTS!$M$26))+IF(FACADE!G110="",0,FACADE!G110)*INPUTS!$B$15)/1000+ARCH_AG!G110/144*INPUTS!$B$12*INPUTS!$C$26/1000)</f>
        <v>29.1425</v>
      </c>
      <c r="H110" s="9" t="n">
        <f aca="false">IF(TRIB!H110="",0,(TRIB!H110*IF($D110="A",(INPUTS!$G$27/12*INPUTS!$B$12+INPUTS!$H$27),(INPUTS!$L$27/12*INPUTS!$B$12+INPUTS!$M$27))+IF(FACADE!H110="",0,FACADE!H110)*INPUTS!$B$15)/1000+ARCH_AG!H110/144*INPUTS!$B$12*INPUTS!$C$27/1000)</f>
        <v>0</v>
      </c>
      <c r="I110" s="9" t="n">
        <f aca="false">IF(TRIB!I110="",0,(TRIB!I110*IF($D110="A",(INPUTS!$G$28/12*INPUTS!$B$12+INPUTS!$H$28),(INPUTS!$L$28/12*INPUTS!$B$12+INPUTS!$M$28))+IF(FACADE!I110="",0,FACADE!I110)*INPUTS!$B$15)/1000+ARCH_AG!I110/144*INPUTS!$B$12*INPUTS!$C$28/1000)</f>
        <v>0</v>
      </c>
      <c r="J110" s="9" t="n">
        <f aca="false">IF(TRIB!J110="",0,(TRIB!J110*IF($D110="A",(INPUTS!$G$29/12*INPUTS!$B$12+INPUTS!$H$29),(INPUTS!$L$29/12*INPUTS!$B$12+INPUTS!$M$29))+IF(FACADE!J110="",0,FACADE!J110)*INPUTS!$B$15)/1000+ARCH_AG!J110/144*INPUTS!$B$12*INPUTS!$C$29/1000)</f>
        <v>0</v>
      </c>
      <c r="K110" s="9" t="n">
        <f aca="false">IF(TRIB!K110="",0,(TRIB!K110*IF($D110="A",(INPUTS!$G$30/12*INPUTS!$B$12+INPUTS!$H$30),(INPUTS!$L$30/12*INPUTS!$B$12+INPUTS!$M$30))+IF(FACADE!K110="",0,FACADE!K110)*INPUTS!$B$15)/1000+ARCH_AG!K110/144*INPUTS!$B$12*INPUTS!$C$30/1000)</f>
        <v>0</v>
      </c>
      <c r="L110" s="9" t="n">
        <f aca="false">IF(TRIB!L110="",0,(TRIB!L110*IF($D110="A",(INPUTS!$G$31/12*INPUTS!$B$12+INPUTS!$H$31),(INPUTS!$L$31/12*INPUTS!$B$12+INPUTS!$M$31))+IF(FACADE!L110="",0,FACADE!L110)*INPUTS!$B$15)/1000+ARCH_AG!L110/144*INPUTS!$B$12*INPUTS!$C$31/1000)</f>
        <v>0</v>
      </c>
      <c r="M110" s="9" t="n">
        <f aca="false">IF(TRIB!M110="",0,(TRIB!M110*IF($D110="A",(INPUTS!$G$32/12*INPUTS!$B$12+INPUTS!$H$32),(INPUTS!$L$32/12*INPUTS!$B$12+INPUTS!$M$32))+IF(FACADE!M110="",0,FACADE!M110)*INPUTS!$B$15)/1000+ARCH_AG!M110/144*INPUTS!$B$12*INPUTS!$C$32/1000)</f>
        <v>0</v>
      </c>
      <c r="N110" s="9" t="n">
        <f aca="false">IF(TRIB!N110="",0,(TRIB!N110*IF($D110="A",(INPUTS!$G$33/12*INPUTS!$B$12+INPUTS!$H$33),(INPUTS!$L$33/12*INPUTS!$B$12+INPUTS!$M$33))+IF(FACADE!N110="",0,FACADE!N110)*INPUTS!$B$15)/1000+ARCH_AG!N110/144*INPUTS!$B$12*INPUTS!$C$33/1000)</f>
        <v>0</v>
      </c>
      <c r="O110" s="9" t="n">
        <f aca="false">IF(TRIB!O110="",0,(TRIB!O110*IF($D110="A",(INPUTS!$G$34/12*INPUTS!$B$12+INPUTS!$H$34),(INPUTS!$L$34/12*INPUTS!$B$12+INPUTS!$M$34))+IF(FACADE!O110="",0,FACADE!O110)*INPUTS!$B$15)/1000+ARCH_AG!O110/144*INPUTS!$B$12*INPUTS!$C$34/1000)</f>
        <v>0</v>
      </c>
      <c r="P110" s="9" t="n">
        <f aca="false">IF(TRIB!P110="",0,(TRIB!P110*IF($D110="A",(INPUTS!$G$35/12*INPUTS!$B$12+INPUTS!$H$35),(INPUTS!$L$35/12*INPUTS!$B$12+INPUTS!$M$35))+IF(FACADE!P110="",0,FACADE!P110)*INPUTS!$B$15)/1000+ARCH_AG!P110/144*INPUTS!$B$12*INPUTS!$C$35/1000)</f>
        <v>0</v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9" t="n">
        <f aca="false">IF(TRIB!E111="",0,(TRIB!E111*IF($D111="A",(INPUTS!$G$24/12*INPUTS!$B$12+INPUTS!$H$24),(INPUTS!$L$24/12*INPUTS!$B$12+INPUTS!$M$24))+IF(FACADE!E111="",0,FACADE!E111)*INPUTS!$B$15)/1000+ARCH_AG!E111/144*INPUTS!$B$12*INPUTS!$C$24/1000)</f>
        <v>28.2975</v>
      </c>
      <c r="F111" s="9" t="n">
        <f aca="false">IF(TRIB!F111="",0,(TRIB!F111*IF($D111="A",(INPUTS!$G$25/12*INPUTS!$B$12+INPUTS!$H$25),(INPUTS!$L$25/12*INPUTS!$B$12+INPUTS!$M$25))+IF(FACADE!F111="",0,FACADE!F111)*INPUTS!$B$15)/1000+ARCH_AG!F111/144*INPUTS!$B$12*INPUTS!$C$25/1000)</f>
        <v>30.0225</v>
      </c>
      <c r="G111" s="9" t="n">
        <f aca="false">IF(TRIB!G111="",0,(TRIB!G111*IF($D111="A",(INPUTS!$G$26/12*INPUTS!$B$12+INPUTS!$H$26),(INPUTS!$L$26/12*INPUTS!$B$12+INPUTS!$M$26))+IF(FACADE!G111="",0,FACADE!G111)*INPUTS!$B$15)/1000+ARCH_AG!G111/144*INPUTS!$B$12*INPUTS!$C$26/1000)</f>
        <v>13.2425</v>
      </c>
      <c r="H111" s="9" t="n">
        <f aca="false">IF(TRIB!H111="",0,(TRIB!H111*IF($D111="A",(INPUTS!$G$27/12*INPUTS!$B$12+INPUTS!$H$27),(INPUTS!$L$27/12*INPUTS!$B$12+INPUTS!$M$27))+IF(FACADE!H111="",0,FACADE!H111)*INPUTS!$B$15)/1000+ARCH_AG!H111/144*INPUTS!$B$12*INPUTS!$C$27/1000)</f>
        <v>0</v>
      </c>
      <c r="I111" s="9" t="n">
        <f aca="false">IF(TRIB!I111="",0,(TRIB!I111*IF($D111="A",(INPUTS!$G$28/12*INPUTS!$B$12+INPUTS!$H$28),(INPUTS!$L$28/12*INPUTS!$B$12+INPUTS!$M$28))+IF(FACADE!I111="",0,FACADE!I111)*INPUTS!$B$15)/1000+ARCH_AG!I111/144*INPUTS!$B$12*INPUTS!$C$28/1000)</f>
        <v>0</v>
      </c>
      <c r="J111" s="9" t="n">
        <f aca="false">IF(TRIB!J111="",0,(TRIB!J111*IF($D111="A",(INPUTS!$G$29/12*INPUTS!$B$12+INPUTS!$H$29),(INPUTS!$L$29/12*INPUTS!$B$12+INPUTS!$M$29))+IF(FACADE!J111="",0,FACADE!J111)*INPUTS!$B$15)/1000+ARCH_AG!J111/144*INPUTS!$B$12*INPUTS!$C$29/1000)</f>
        <v>0</v>
      </c>
      <c r="K111" s="9" t="n">
        <f aca="false">IF(TRIB!K111="",0,(TRIB!K111*IF($D111="A",(INPUTS!$G$30/12*INPUTS!$B$12+INPUTS!$H$30),(INPUTS!$L$30/12*INPUTS!$B$12+INPUTS!$M$30))+IF(FACADE!K111="",0,FACADE!K111)*INPUTS!$B$15)/1000+ARCH_AG!K111/144*INPUTS!$B$12*INPUTS!$C$30/1000)</f>
        <v>0</v>
      </c>
      <c r="L111" s="9" t="n">
        <f aca="false">IF(TRIB!L111="",0,(TRIB!L111*IF($D111="A",(INPUTS!$G$31/12*INPUTS!$B$12+INPUTS!$H$31),(INPUTS!$L$31/12*INPUTS!$B$12+INPUTS!$M$31))+IF(FACADE!L111="",0,FACADE!L111)*INPUTS!$B$15)/1000+ARCH_AG!L111/144*INPUTS!$B$12*INPUTS!$C$31/1000)</f>
        <v>0</v>
      </c>
      <c r="M111" s="9" t="n">
        <f aca="false">IF(TRIB!M111="",0,(TRIB!M111*IF($D111="A",(INPUTS!$G$32/12*INPUTS!$B$12+INPUTS!$H$32),(INPUTS!$L$32/12*INPUTS!$B$12+INPUTS!$M$32))+IF(FACADE!M111="",0,FACADE!M111)*INPUTS!$B$15)/1000+ARCH_AG!M111/144*INPUTS!$B$12*INPUTS!$C$32/1000)</f>
        <v>0</v>
      </c>
      <c r="N111" s="9" t="n">
        <f aca="false">IF(TRIB!N111="",0,(TRIB!N111*IF($D111="A",(INPUTS!$G$33/12*INPUTS!$B$12+INPUTS!$H$33),(INPUTS!$L$33/12*INPUTS!$B$12+INPUTS!$M$33))+IF(FACADE!N111="",0,FACADE!N111)*INPUTS!$B$15)/1000+ARCH_AG!N111/144*INPUTS!$B$12*INPUTS!$C$33/1000)</f>
        <v>0</v>
      </c>
      <c r="O111" s="9" t="n">
        <f aca="false">IF(TRIB!O111="",0,(TRIB!O111*IF($D111="A",(INPUTS!$G$34/12*INPUTS!$B$12+INPUTS!$H$34),(INPUTS!$L$34/12*INPUTS!$B$12+INPUTS!$M$34))+IF(FACADE!O111="",0,FACADE!O111)*INPUTS!$B$15)/1000+ARCH_AG!O111/144*INPUTS!$B$12*INPUTS!$C$34/1000)</f>
        <v>0</v>
      </c>
      <c r="P111" s="9" t="n">
        <f aca="false">IF(TRIB!P111="",0,(TRIB!P111*IF($D111="A",(INPUTS!$G$35/12*INPUTS!$B$12+INPUTS!$H$35),(INPUTS!$L$35/12*INPUTS!$B$12+INPUTS!$M$35))+IF(FACADE!P111="",0,FACADE!P111)*INPUTS!$B$15)/1000+ARCH_AG!P111/144*INPUTS!$B$12*INPUTS!$C$35/1000)</f>
        <v>0</v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9" t="n">
        <f aca="false">IF(TRIB!E112="",0,(TRIB!E112*IF($D112="A",(INPUTS!$G$24/12*INPUTS!$B$12+INPUTS!$H$24),(INPUTS!$L$24/12*INPUTS!$B$12+INPUTS!$M$24))+IF(FACADE!E112="",0,FACADE!E112)*INPUTS!$B$15)/1000+ARCH_AG!E112/144*INPUTS!$B$12*INPUTS!$C$24/1000)</f>
        <v>0</v>
      </c>
      <c r="F112" s="9" t="n">
        <f aca="false">IF(TRIB!F112="",0,(TRIB!F112*IF($D112="A",(INPUTS!$G$25/12*INPUTS!$B$12+INPUTS!$H$25),(INPUTS!$L$25/12*INPUTS!$B$12+INPUTS!$M$25))+IF(FACADE!F112="",0,FACADE!F112)*INPUTS!$B$15)/1000+ARCH_AG!F112/144*INPUTS!$B$12*INPUTS!$C$25/1000)</f>
        <v>39.8375</v>
      </c>
      <c r="G112" s="9" t="n">
        <f aca="false">IF(TRIB!G112="",0,(TRIB!G112*IF($D112="A",(INPUTS!$G$26/12*INPUTS!$B$12+INPUTS!$H$26),(INPUTS!$L$26/12*INPUTS!$B$12+INPUTS!$M$26))+IF(FACADE!G112="",0,FACADE!G112)*INPUTS!$B$15)/1000+ARCH_AG!G112/144*INPUTS!$B$12*INPUTS!$C$26/1000)</f>
        <v>0</v>
      </c>
      <c r="H112" s="9" t="n">
        <f aca="false">IF(TRIB!H112="",0,(TRIB!H112*IF($D112="A",(INPUTS!$G$27/12*INPUTS!$B$12+INPUTS!$H$27),(INPUTS!$L$27/12*INPUTS!$B$12+INPUTS!$M$27))+IF(FACADE!H112="",0,FACADE!H112)*INPUTS!$B$15)/1000+ARCH_AG!H112/144*INPUTS!$B$12*INPUTS!$C$27/1000)</f>
        <v>0</v>
      </c>
      <c r="I112" s="9" t="n">
        <f aca="false">IF(TRIB!I112="",0,(TRIB!I112*IF($D112="A",(INPUTS!$G$28/12*INPUTS!$B$12+INPUTS!$H$28),(INPUTS!$L$28/12*INPUTS!$B$12+INPUTS!$M$28))+IF(FACADE!I112="",0,FACADE!I112)*INPUTS!$B$15)/1000+ARCH_AG!I112/144*INPUTS!$B$12*INPUTS!$C$28/1000)</f>
        <v>0</v>
      </c>
      <c r="J112" s="9" t="n">
        <f aca="false">IF(TRIB!J112="",0,(TRIB!J112*IF($D112="A",(INPUTS!$G$29/12*INPUTS!$B$12+INPUTS!$H$29),(INPUTS!$L$29/12*INPUTS!$B$12+INPUTS!$M$29))+IF(FACADE!J112="",0,FACADE!J112)*INPUTS!$B$15)/1000+ARCH_AG!J112/144*INPUTS!$B$12*INPUTS!$C$29/1000)</f>
        <v>0</v>
      </c>
      <c r="K112" s="9" t="n">
        <f aca="false">IF(TRIB!K112="",0,(TRIB!K112*IF($D112="A",(INPUTS!$G$30/12*INPUTS!$B$12+INPUTS!$H$30),(INPUTS!$L$30/12*INPUTS!$B$12+INPUTS!$M$30))+IF(FACADE!K112="",0,FACADE!K112)*INPUTS!$B$15)/1000+ARCH_AG!K112/144*INPUTS!$B$12*INPUTS!$C$30/1000)</f>
        <v>0</v>
      </c>
      <c r="L112" s="9" t="n">
        <f aca="false">IF(TRIB!L112="",0,(TRIB!L112*IF($D112="A",(INPUTS!$G$31/12*INPUTS!$B$12+INPUTS!$H$31),(INPUTS!$L$31/12*INPUTS!$B$12+INPUTS!$M$31))+IF(FACADE!L112="",0,FACADE!L112)*INPUTS!$B$15)/1000+ARCH_AG!L112/144*INPUTS!$B$12*INPUTS!$C$31/1000)</f>
        <v>0</v>
      </c>
      <c r="M112" s="9" t="n">
        <f aca="false">IF(TRIB!M112="",0,(TRIB!M112*IF($D112="A",(INPUTS!$G$32/12*INPUTS!$B$12+INPUTS!$H$32),(INPUTS!$L$32/12*INPUTS!$B$12+INPUTS!$M$32))+IF(FACADE!M112="",0,FACADE!M112)*INPUTS!$B$15)/1000+ARCH_AG!M112/144*INPUTS!$B$12*INPUTS!$C$32/1000)</f>
        <v>0</v>
      </c>
      <c r="N112" s="9" t="n">
        <f aca="false">IF(TRIB!N112="",0,(TRIB!N112*IF($D112="A",(INPUTS!$G$33/12*INPUTS!$B$12+INPUTS!$H$33),(INPUTS!$L$33/12*INPUTS!$B$12+INPUTS!$M$33))+IF(FACADE!N112="",0,FACADE!N112)*INPUTS!$B$15)/1000+ARCH_AG!N112/144*INPUTS!$B$12*INPUTS!$C$33/1000)</f>
        <v>0</v>
      </c>
      <c r="O112" s="9" t="n">
        <f aca="false">IF(TRIB!O112="",0,(TRIB!O112*IF($D112="A",(INPUTS!$G$34/12*INPUTS!$B$12+INPUTS!$H$34),(INPUTS!$L$34/12*INPUTS!$B$12+INPUTS!$M$34))+IF(FACADE!O112="",0,FACADE!O112)*INPUTS!$B$15)/1000+ARCH_AG!O112/144*INPUTS!$B$12*INPUTS!$C$34/1000)</f>
        <v>0</v>
      </c>
      <c r="P112" s="9" t="n">
        <f aca="false">IF(TRIB!P112="",0,(TRIB!P112*IF($D112="A",(INPUTS!$G$35/12*INPUTS!$B$12+INPUTS!$H$35),(INPUTS!$L$35/12*INPUTS!$B$12+INPUTS!$M$35))+IF(FACADE!P112="",0,FACADE!P112)*INPUTS!$B$15)/1000+ARCH_AG!P112/144*INPUTS!$B$12*INPUTS!$C$35/1000)</f>
        <v>0</v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9" t="n">
        <f aca="false">IF(TRIB!E113="",0,(TRIB!E113*IF($D113="A",(INPUTS!$G$24/12*INPUTS!$B$12+INPUTS!$H$24),(INPUTS!$L$24/12*INPUTS!$B$12+INPUTS!$M$24))+IF(FACADE!E113="",0,FACADE!E113)*INPUTS!$B$15)/1000+ARCH_AG!E113/144*INPUTS!$B$12*INPUTS!$C$24/1000)</f>
        <v>0</v>
      </c>
      <c r="F113" s="9" t="n">
        <f aca="false">IF(TRIB!F113="",0,(TRIB!F113*IF($D113="A",(INPUTS!$G$25/12*INPUTS!$B$12+INPUTS!$H$25),(INPUTS!$L$25/12*INPUTS!$B$12+INPUTS!$M$25))+IF(FACADE!F113="",0,FACADE!F113)*INPUTS!$B$15)/1000+ARCH_AG!F113/144*INPUTS!$B$12*INPUTS!$C$25/1000)</f>
        <v>63.3145833333333</v>
      </c>
      <c r="G113" s="9" t="n">
        <f aca="false">IF(TRIB!G113="",0,(TRIB!G113*IF($D113="A",(INPUTS!$G$26/12*INPUTS!$B$12+INPUTS!$H$26),(INPUTS!$L$26/12*INPUTS!$B$12+INPUTS!$M$26))+IF(FACADE!G113="",0,FACADE!G113)*INPUTS!$B$15)/1000+ARCH_AG!G113/144*INPUTS!$B$12*INPUTS!$C$26/1000)</f>
        <v>0</v>
      </c>
      <c r="H113" s="9" t="n">
        <f aca="false">IF(TRIB!H113="",0,(TRIB!H113*IF($D113="A",(INPUTS!$G$27/12*INPUTS!$B$12+INPUTS!$H$27),(INPUTS!$L$27/12*INPUTS!$B$12+INPUTS!$M$27))+IF(FACADE!H113="",0,FACADE!H113)*INPUTS!$B$15)/1000+ARCH_AG!H113/144*INPUTS!$B$12*INPUTS!$C$27/1000)</f>
        <v>0</v>
      </c>
      <c r="I113" s="9" t="n">
        <f aca="false">IF(TRIB!I113="",0,(TRIB!I113*IF($D113="A",(INPUTS!$G$28/12*INPUTS!$B$12+INPUTS!$H$28),(INPUTS!$L$28/12*INPUTS!$B$12+INPUTS!$M$28))+IF(FACADE!I113="",0,FACADE!I113)*INPUTS!$B$15)/1000+ARCH_AG!I113/144*INPUTS!$B$12*INPUTS!$C$28/1000)</f>
        <v>0</v>
      </c>
      <c r="J113" s="9" t="n">
        <f aca="false">IF(TRIB!J113="",0,(TRIB!J113*IF($D113="A",(INPUTS!$G$29/12*INPUTS!$B$12+INPUTS!$H$29),(INPUTS!$L$29/12*INPUTS!$B$12+INPUTS!$M$29))+IF(FACADE!J113="",0,FACADE!J113)*INPUTS!$B$15)/1000+ARCH_AG!J113/144*INPUTS!$B$12*INPUTS!$C$29/1000)</f>
        <v>0</v>
      </c>
      <c r="K113" s="9" t="n">
        <f aca="false">IF(TRIB!K113="",0,(TRIB!K113*IF($D113="A",(INPUTS!$G$30/12*INPUTS!$B$12+INPUTS!$H$30),(INPUTS!$L$30/12*INPUTS!$B$12+INPUTS!$M$30))+IF(FACADE!K113="",0,FACADE!K113)*INPUTS!$B$15)/1000+ARCH_AG!K113/144*INPUTS!$B$12*INPUTS!$C$30/1000)</f>
        <v>0</v>
      </c>
      <c r="L113" s="9" t="n">
        <f aca="false">IF(TRIB!L113="",0,(TRIB!L113*IF($D113="A",(INPUTS!$G$31/12*INPUTS!$B$12+INPUTS!$H$31),(INPUTS!$L$31/12*INPUTS!$B$12+INPUTS!$M$31))+IF(FACADE!L113="",0,FACADE!L113)*INPUTS!$B$15)/1000+ARCH_AG!L113/144*INPUTS!$B$12*INPUTS!$C$31/1000)</f>
        <v>0</v>
      </c>
      <c r="M113" s="9" t="n">
        <f aca="false">IF(TRIB!M113="",0,(TRIB!M113*IF($D113="A",(INPUTS!$G$32/12*INPUTS!$B$12+INPUTS!$H$32),(INPUTS!$L$32/12*INPUTS!$B$12+INPUTS!$M$32))+IF(FACADE!M113="",0,FACADE!M113)*INPUTS!$B$15)/1000+ARCH_AG!M113/144*INPUTS!$B$12*INPUTS!$C$32/1000)</f>
        <v>0</v>
      </c>
      <c r="N113" s="9" t="n">
        <f aca="false">IF(TRIB!N113="",0,(TRIB!N113*IF($D113="A",(INPUTS!$G$33/12*INPUTS!$B$12+INPUTS!$H$33),(INPUTS!$L$33/12*INPUTS!$B$12+INPUTS!$M$33))+IF(FACADE!N113="",0,FACADE!N113)*INPUTS!$B$15)/1000+ARCH_AG!N113/144*INPUTS!$B$12*INPUTS!$C$33/1000)</f>
        <v>0</v>
      </c>
      <c r="O113" s="9" t="n">
        <f aca="false">IF(TRIB!O113="",0,(TRIB!O113*IF($D113="A",(INPUTS!$G$34/12*INPUTS!$B$12+INPUTS!$H$34),(INPUTS!$L$34/12*INPUTS!$B$12+INPUTS!$M$34))+IF(FACADE!O113="",0,FACADE!O113)*INPUTS!$B$15)/1000+ARCH_AG!O113/144*INPUTS!$B$12*INPUTS!$C$34/1000)</f>
        <v>0</v>
      </c>
      <c r="P113" s="9" t="n">
        <f aca="false">IF(TRIB!P113="",0,(TRIB!P113*IF($D113="A",(INPUTS!$G$35/12*INPUTS!$B$12+INPUTS!$H$35),(INPUTS!$L$35/12*INPUTS!$B$12+INPUTS!$M$35))+IF(FACADE!P113="",0,FACADE!P113)*INPUTS!$B$15)/1000+ARCH_AG!P113/144*INPUTS!$B$12*INPUTS!$C$35/1000)</f>
        <v>0</v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9" t="n">
        <f aca="false">IF(TRIB!E114="",0,(TRIB!E114*IF($D114="A",(INPUTS!$G$24/12*INPUTS!$B$12+INPUTS!$H$24),(INPUTS!$L$24/12*INPUTS!$B$12+INPUTS!$M$24))+IF(FACADE!E114="",0,FACADE!E114)*INPUTS!$B$15)/1000+ARCH_AG!E114/144*INPUTS!$B$12*INPUTS!$C$24/1000)</f>
        <v>89.5225</v>
      </c>
      <c r="F114" s="9" t="n">
        <f aca="false">IF(TRIB!F114="",0,(TRIB!F114*IF($D114="A",(INPUTS!$G$25/12*INPUTS!$B$12+INPUTS!$H$25),(INPUTS!$L$25/12*INPUTS!$B$12+INPUTS!$M$25))+IF(FACADE!F114="",0,FACADE!F114)*INPUTS!$B$15)/1000+ARCH_AG!F114/144*INPUTS!$B$12*INPUTS!$C$25/1000)</f>
        <v>90.0475</v>
      </c>
      <c r="G114" s="9" t="n">
        <f aca="false">IF(TRIB!G114="",0,(TRIB!G114*IF($D114="A",(INPUTS!$G$26/12*INPUTS!$B$12+INPUTS!$H$26),(INPUTS!$L$26/12*INPUTS!$B$12+INPUTS!$M$26))+IF(FACADE!G114="",0,FACADE!G114)*INPUTS!$B$15)/1000+ARCH_AG!G114/144*INPUTS!$B$12*INPUTS!$C$26/1000)</f>
        <v>0</v>
      </c>
      <c r="H114" s="9" t="n">
        <f aca="false">IF(TRIB!H114="",0,(TRIB!H114*IF($D114="A",(INPUTS!$G$27/12*INPUTS!$B$12+INPUTS!$H$27),(INPUTS!$L$27/12*INPUTS!$B$12+INPUTS!$M$27))+IF(FACADE!H114="",0,FACADE!H114)*INPUTS!$B$15)/1000+ARCH_AG!H114/144*INPUTS!$B$12*INPUTS!$C$27/1000)</f>
        <v>0</v>
      </c>
      <c r="I114" s="9" t="n">
        <f aca="false">IF(TRIB!I114="",0,(TRIB!I114*IF($D114="A",(INPUTS!$G$28/12*INPUTS!$B$12+INPUTS!$H$28),(INPUTS!$L$28/12*INPUTS!$B$12+INPUTS!$M$28))+IF(FACADE!I114="",0,FACADE!I114)*INPUTS!$B$15)/1000+ARCH_AG!I114/144*INPUTS!$B$12*INPUTS!$C$28/1000)</f>
        <v>0</v>
      </c>
      <c r="J114" s="9" t="n">
        <f aca="false">IF(TRIB!J114="",0,(TRIB!J114*IF($D114="A",(INPUTS!$G$29/12*INPUTS!$B$12+INPUTS!$H$29),(INPUTS!$L$29/12*INPUTS!$B$12+INPUTS!$M$29))+IF(FACADE!J114="",0,FACADE!J114)*INPUTS!$B$15)/1000+ARCH_AG!J114/144*INPUTS!$B$12*INPUTS!$C$29/1000)</f>
        <v>0</v>
      </c>
      <c r="K114" s="9" t="n">
        <f aca="false">IF(TRIB!K114="",0,(TRIB!K114*IF($D114="A",(INPUTS!$G$30/12*INPUTS!$B$12+INPUTS!$H$30),(INPUTS!$L$30/12*INPUTS!$B$12+INPUTS!$M$30))+IF(FACADE!K114="",0,FACADE!K114)*INPUTS!$B$15)/1000+ARCH_AG!K114/144*INPUTS!$B$12*INPUTS!$C$30/1000)</f>
        <v>0</v>
      </c>
      <c r="L114" s="9" t="n">
        <f aca="false">IF(TRIB!L114="",0,(TRIB!L114*IF($D114="A",(INPUTS!$G$31/12*INPUTS!$B$12+INPUTS!$H$31),(INPUTS!$L$31/12*INPUTS!$B$12+INPUTS!$M$31))+IF(FACADE!L114="",0,FACADE!L114)*INPUTS!$B$15)/1000+ARCH_AG!L114/144*INPUTS!$B$12*INPUTS!$C$31/1000)</f>
        <v>0</v>
      </c>
      <c r="M114" s="9" t="n">
        <f aca="false">IF(TRIB!M114="",0,(TRIB!M114*IF($D114="A",(INPUTS!$G$32/12*INPUTS!$B$12+INPUTS!$H$32),(INPUTS!$L$32/12*INPUTS!$B$12+INPUTS!$M$32))+IF(FACADE!M114="",0,FACADE!M114)*INPUTS!$B$15)/1000+ARCH_AG!M114/144*INPUTS!$B$12*INPUTS!$C$32/1000)</f>
        <v>0</v>
      </c>
      <c r="N114" s="9" t="n">
        <f aca="false">IF(TRIB!N114="",0,(TRIB!N114*IF($D114="A",(INPUTS!$G$33/12*INPUTS!$B$12+INPUTS!$H$33),(INPUTS!$L$33/12*INPUTS!$B$12+INPUTS!$M$33))+IF(FACADE!N114="",0,FACADE!N114)*INPUTS!$B$15)/1000+ARCH_AG!N114/144*INPUTS!$B$12*INPUTS!$C$33/1000)</f>
        <v>0</v>
      </c>
      <c r="O114" s="9" t="n">
        <f aca="false">IF(TRIB!O114="",0,(TRIB!O114*IF($D114="A",(INPUTS!$G$34/12*INPUTS!$B$12+INPUTS!$H$34),(INPUTS!$L$34/12*INPUTS!$B$12+INPUTS!$M$34))+IF(FACADE!O114="",0,FACADE!O114)*INPUTS!$B$15)/1000+ARCH_AG!O114/144*INPUTS!$B$12*INPUTS!$C$34/1000)</f>
        <v>0</v>
      </c>
      <c r="P114" s="9" t="n">
        <f aca="false">IF(TRIB!P114="",0,(TRIB!P114*IF($D114="A",(INPUTS!$G$35/12*INPUTS!$B$12+INPUTS!$H$35),(INPUTS!$L$35/12*INPUTS!$B$12+INPUTS!$M$35))+IF(FACADE!P114="",0,FACADE!P114)*INPUTS!$B$15)/1000+ARCH_AG!P114/144*INPUTS!$B$12*INPUTS!$C$35/1000)</f>
        <v>0</v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9" t="n">
        <f aca="false">IF(TRIB!E115="",0,(TRIB!E115*IF($D115="A",(INPUTS!$G$24/12*INPUTS!$B$12+INPUTS!$H$24),(INPUTS!$L$24/12*INPUTS!$B$12+INPUTS!$M$24))+IF(FACADE!E115="",0,FACADE!E115)*INPUTS!$B$15)/1000+ARCH_AG!E115/144*INPUTS!$B$12*INPUTS!$C$24/1000)</f>
        <v>88.5925</v>
      </c>
      <c r="F115" s="9" t="n">
        <f aca="false">IF(TRIB!F115="",0,(TRIB!F115*IF($D115="A",(INPUTS!$G$25/12*INPUTS!$B$12+INPUTS!$H$25),(INPUTS!$L$25/12*INPUTS!$B$12+INPUTS!$M$25))+IF(FACADE!F115="",0,FACADE!F115)*INPUTS!$B$15)/1000+ARCH_AG!F115/144*INPUTS!$B$12*INPUTS!$C$25/1000)</f>
        <v>89.1175</v>
      </c>
      <c r="G115" s="9" t="n">
        <f aca="false">IF(TRIB!G115="",0,(TRIB!G115*IF($D115="A",(INPUTS!$G$26/12*INPUTS!$B$12+INPUTS!$H$26),(INPUTS!$L$26/12*INPUTS!$B$12+INPUTS!$M$26))+IF(FACADE!G115="",0,FACADE!G115)*INPUTS!$B$15)/1000+ARCH_AG!G115/144*INPUTS!$B$12*INPUTS!$C$26/1000)</f>
        <v>0</v>
      </c>
      <c r="H115" s="9" t="n">
        <f aca="false">IF(TRIB!H115="",0,(TRIB!H115*IF($D115="A",(INPUTS!$G$27/12*INPUTS!$B$12+INPUTS!$H$27),(INPUTS!$L$27/12*INPUTS!$B$12+INPUTS!$M$27))+IF(FACADE!H115="",0,FACADE!H115)*INPUTS!$B$15)/1000+ARCH_AG!H115/144*INPUTS!$B$12*INPUTS!$C$27/1000)</f>
        <v>0</v>
      </c>
      <c r="I115" s="9" t="n">
        <f aca="false">IF(TRIB!I115="",0,(TRIB!I115*IF($D115="A",(INPUTS!$G$28/12*INPUTS!$B$12+INPUTS!$H$28),(INPUTS!$L$28/12*INPUTS!$B$12+INPUTS!$M$28))+IF(FACADE!I115="",0,FACADE!I115)*INPUTS!$B$15)/1000+ARCH_AG!I115/144*INPUTS!$B$12*INPUTS!$C$28/1000)</f>
        <v>0</v>
      </c>
      <c r="J115" s="9" t="n">
        <f aca="false">IF(TRIB!J115="",0,(TRIB!J115*IF($D115="A",(INPUTS!$G$29/12*INPUTS!$B$12+INPUTS!$H$29),(INPUTS!$L$29/12*INPUTS!$B$12+INPUTS!$M$29))+IF(FACADE!J115="",0,FACADE!J115)*INPUTS!$B$15)/1000+ARCH_AG!J115/144*INPUTS!$B$12*INPUTS!$C$29/1000)</f>
        <v>0</v>
      </c>
      <c r="K115" s="9" t="n">
        <f aca="false">IF(TRIB!K115="",0,(TRIB!K115*IF($D115="A",(INPUTS!$G$30/12*INPUTS!$B$12+INPUTS!$H$30),(INPUTS!$L$30/12*INPUTS!$B$12+INPUTS!$M$30))+IF(FACADE!K115="",0,FACADE!K115)*INPUTS!$B$15)/1000+ARCH_AG!K115/144*INPUTS!$B$12*INPUTS!$C$30/1000)</f>
        <v>0</v>
      </c>
      <c r="L115" s="9" t="n">
        <f aca="false">IF(TRIB!L115="",0,(TRIB!L115*IF($D115="A",(INPUTS!$G$31/12*INPUTS!$B$12+INPUTS!$H$31),(INPUTS!$L$31/12*INPUTS!$B$12+INPUTS!$M$31))+IF(FACADE!L115="",0,FACADE!L115)*INPUTS!$B$15)/1000+ARCH_AG!L115/144*INPUTS!$B$12*INPUTS!$C$31/1000)</f>
        <v>0</v>
      </c>
      <c r="M115" s="9" t="n">
        <f aca="false">IF(TRIB!M115="",0,(TRIB!M115*IF($D115="A",(INPUTS!$G$32/12*INPUTS!$B$12+INPUTS!$H$32),(INPUTS!$L$32/12*INPUTS!$B$12+INPUTS!$M$32))+IF(FACADE!M115="",0,FACADE!M115)*INPUTS!$B$15)/1000+ARCH_AG!M115/144*INPUTS!$B$12*INPUTS!$C$32/1000)</f>
        <v>0</v>
      </c>
      <c r="N115" s="9" t="n">
        <f aca="false">IF(TRIB!N115="",0,(TRIB!N115*IF($D115="A",(INPUTS!$G$33/12*INPUTS!$B$12+INPUTS!$H$33),(INPUTS!$L$33/12*INPUTS!$B$12+INPUTS!$M$33))+IF(FACADE!N115="",0,FACADE!N115)*INPUTS!$B$15)/1000+ARCH_AG!N115/144*INPUTS!$B$12*INPUTS!$C$33/1000)</f>
        <v>0</v>
      </c>
      <c r="O115" s="9" t="n">
        <f aca="false">IF(TRIB!O115="",0,(TRIB!O115*IF($D115="A",(INPUTS!$G$34/12*INPUTS!$B$12+INPUTS!$H$34),(INPUTS!$L$34/12*INPUTS!$B$12+INPUTS!$M$34))+IF(FACADE!O115="",0,FACADE!O115)*INPUTS!$B$15)/1000+ARCH_AG!O115/144*INPUTS!$B$12*INPUTS!$C$34/1000)</f>
        <v>0</v>
      </c>
      <c r="P115" s="9" t="n">
        <f aca="false">IF(TRIB!P115="",0,(TRIB!P115*IF($D115="A",(INPUTS!$G$35/12*INPUTS!$B$12+INPUTS!$H$35),(INPUTS!$L$35/12*INPUTS!$B$12+INPUTS!$M$35))+IF(FACADE!P115="",0,FACADE!P115)*INPUTS!$B$15)/1000+ARCH_AG!P115/144*INPUTS!$B$12*INPUTS!$C$35/1000)</f>
        <v>0</v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9" t="n">
        <f aca="false">IF(TRIB!E116="",0,(TRIB!E116*IF($D116="A",(INPUTS!$G$24/12*INPUTS!$B$12+INPUTS!$H$24),(INPUTS!$L$24/12*INPUTS!$B$12+INPUTS!$M$24))+IF(FACADE!E116="",0,FACADE!E116)*INPUTS!$B$15)/1000+ARCH_AG!E116/144*INPUTS!$B$12*INPUTS!$C$24/1000)</f>
        <v>95.5675</v>
      </c>
      <c r="F116" s="9" t="n">
        <f aca="false">IF(TRIB!F116="",0,(TRIB!F116*IF($D116="A",(INPUTS!$G$25/12*INPUTS!$B$12+INPUTS!$H$25),(INPUTS!$L$25/12*INPUTS!$B$12+INPUTS!$M$25))+IF(FACADE!F116="",0,FACADE!F116)*INPUTS!$B$15)/1000+ARCH_AG!F116/144*INPUTS!$B$12*INPUTS!$C$25/1000)</f>
        <v>96.0925</v>
      </c>
      <c r="G116" s="9" t="n">
        <f aca="false">IF(TRIB!G116="",0,(TRIB!G116*IF($D116="A",(INPUTS!$G$26/12*INPUTS!$B$12+INPUTS!$H$26),(INPUTS!$L$26/12*INPUTS!$B$12+INPUTS!$M$26))+IF(FACADE!G116="",0,FACADE!G116)*INPUTS!$B$15)/1000+ARCH_AG!G116/144*INPUTS!$B$12*INPUTS!$C$26/1000)</f>
        <v>0</v>
      </c>
      <c r="H116" s="9" t="n">
        <f aca="false">IF(TRIB!H116="",0,(TRIB!H116*IF($D116="A",(INPUTS!$G$27/12*INPUTS!$B$12+INPUTS!$H$27),(INPUTS!$L$27/12*INPUTS!$B$12+INPUTS!$M$27))+IF(FACADE!H116="",0,FACADE!H116)*INPUTS!$B$15)/1000+ARCH_AG!H116/144*INPUTS!$B$12*INPUTS!$C$27/1000)</f>
        <v>0</v>
      </c>
      <c r="I116" s="9" t="n">
        <f aca="false">IF(TRIB!I116="",0,(TRIB!I116*IF($D116="A",(INPUTS!$G$28/12*INPUTS!$B$12+INPUTS!$H$28),(INPUTS!$L$28/12*INPUTS!$B$12+INPUTS!$M$28))+IF(FACADE!I116="",0,FACADE!I116)*INPUTS!$B$15)/1000+ARCH_AG!I116/144*INPUTS!$B$12*INPUTS!$C$28/1000)</f>
        <v>0</v>
      </c>
      <c r="J116" s="9" t="n">
        <f aca="false">IF(TRIB!J116="",0,(TRIB!J116*IF($D116="A",(INPUTS!$G$29/12*INPUTS!$B$12+INPUTS!$H$29),(INPUTS!$L$29/12*INPUTS!$B$12+INPUTS!$M$29))+IF(FACADE!J116="",0,FACADE!J116)*INPUTS!$B$15)/1000+ARCH_AG!J116/144*INPUTS!$B$12*INPUTS!$C$29/1000)</f>
        <v>0</v>
      </c>
      <c r="K116" s="9" t="n">
        <f aca="false">IF(TRIB!K116="",0,(TRIB!K116*IF($D116="A",(INPUTS!$G$30/12*INPUTS!$B$12+INPUTS!$H$30),(INPUTS!$L$30/12*INPUTS!$B$12+INPUTS!$M$30))+IF(FACADE!K116="",0,FACADE!K116)*INPUTS!$B$15)/1000+ARCH_AG!K116/144*INPUTS!$B$12*INPUTS!$C$30/1000)</f>
        <v>0</v>
      </c>
      <c r="L116" s="9" t="n">
        <f aca="false">IF(TRIB!L116="",0,(TRIB!L116*IF($D116="A",(INPUTS!$G$31/12*INPUTS!$B$12+INPUTS!$H$31),(INPUTS!$L$31/12*INPUTS!$B$12+INPUTS!$M$31))+IF(FACADE!L116="",0,FACADE!L116)*INPUTS!$B$15)/1000+ARCH_AG!L116/144*INPUTS!$B$12*INPUTS!$C$31/1000)</f>
        <v>0</v>
      </c>
      <c r="M116" s="9" t="n">
        <f aca="false">IF(TRIB!M116="",0,(TRIB!M116*IF($D116="A",(INPUTS!$G$32/12*INPUTS!$B$12+INPUTS!$H$32),(INPUTS!$L$32/12*INPUTS!$B$12+INPUTS!$M$32))+IF(FACADE!M116="",0,FACADE!M116)*INPUTS!$B$15)/1000+ARCH_AG!M116/144*INPUTS!$B$12*INPUTS!$C$32/1000)</f>
        <v>0</v>
      </c>
      <c r="N116" s="9" t="n">
        <f aca="false">IF(TRIB!N116="",0,(TRIB!N116*IF($D116="A",(INPUTS!$G$33/12*INPUTS!$B$12+INPUTS!$H$33),(INPUTS!$L$33/12*INPUTS!$B$12+INPUTS!$M$33))+IF(FACADE!N116="",0,FACADE!N116)*INPUTS!$B$15)/1000+ARCH_AG!N116/144*INPUTS!$B$12*INPUTS!$C$33/1000)</f>
        <v>0</v>
      </c>
      <c r="O116" s="9" t="n">
        <f aca="false">IF(TRIB!O116="",0,(TRIB!O116*IF($D116="A",(INPUTS!$G$34/12*INPUTS!$B$12+INPUTS!$H$34),(INPUTS!$L$34/12*INPUTS!$B$12+INPUTS!$M$34))+IF(FACADE!O116="",0,FACADE!O116)*INPUTS!$B$15)/1000+ARCH_AG!O116/144*INPUTS!$B$12*INPUTS!$C$34/1000)</f>
        <v>0</v>
      </c>
      <c r="P116" s="9" t="n">
        <f aca="false">IF(TRIB!P116="",0,(TRIB!P116*IF($D116="A",(INPUTS!$G$35/12*INPUTS!$B$12+INPUTS!$H$35),(INPUTS!$L$35/12*INPUTS!$B$12+INPUTS!$M$35))+IF(FACADE!P116="",0,FACADE!P116)*INPUTS!$B$15)/1000+ARCH_AG!P116/144*INPUTS!$B$12*INPUTS!$C$35/1000)</f>
        <v>0</v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9" t="n">
        <f aca="false">IF(TRIB!E117="",0,(TRIB!E117*IF($D117="A",(INPUTS!$G$24/12*INPUTS!$B$12+INPUTS!$H$24),(INPUTS!$L$24/12*INPUTS!$B$12+INPUTS!$M$24))+IF(FACADE!E117="",0,FACADE!E117)*INPUTS!$B$15)/1000+ARCH_AG!E117/144*INPUTS!$B$12*INPUTS!$C$24/1000)</f>
        <v>91.6925</v>
      </c>
      <c r="F117" s="9" t="n">
        <f aca="false">IF(TRIB!F117="",0,(TRIB!F117*IF($D117="A",(INPUTS!$G$25/12*INPUTS!$B$12+INPUTS!$H$25),(INPUTS!$L$25/12*INPUTS!$B$12+INPUTS!$M$25))+IF(FACADE!F117="",0,FACADE!F117)*INPUTS!$B$15)/1000+ARCH_AG!F117/144*INPUTS!$B$12*INPUTS!$C$25/1000)</f>
        <v>92.2175</v>
      </c>
      <c r="G117" s="9" t="n">
        <f aca="false">IF(TRIB!G117="",0,(TRIB!G117*IF($D117="A",(INPUTS!$G$26/12*INPUTS!$B$12+INPUTS!$H$26),(INPUTS!$L$26/12*INPUTS!$B$12+INPUTS!$M$26))+IF(FACADE!G117="",0,FACADE!G117)*INPUTS!$B$15)/1000+ARCH_AG!G117/144*INPUTS!$B$12*INPUTS!$C$26/1000)</f>
        <v>0</v>
      </c>
      <c r="H117" s="9" t="n">
        <f aca="false">IF(TRIB!H117="",0,(TRIB!H117*IF($D117="A",(INPUTS!$G$27/12*INPUTS!$B$12+INPUTS!$H$27),(INPUTS!$L$27/12*INPUTS!$B$12+INPUTS!$M$27))+IF(FACADE!H117="",0,FACADE!H117)*INPUTS!$B$15)/1000+ARCH_AG!H117/144*INPUTS!$B$12*INPUTS!$C$27/1000)</f>
        <v>0</v>
      </c>
      <c r="I117" s="9" t="n">
        <f aca="false">IF(TRIB!I117="",0,(TRIB!I117*IF($D117="A",(INPUTS!$G$28/12*INPUTS!$B$12+INPUTS!$H$28),(INPUTS!$L$28/12*INPUTS!$B$12+INPUTS!$M$28))+IF(FACADE!I117="",0,FACADE!I117)*INPUTS!$B$15)/1000+ARCH_AG!I117/144*INPUTS!$B$12*INPUTS!$C$28/1000)</f>
        <v>0</v>
      </c>
      <c r="J117" s="9" t="n">
        <f aca="false">IF(TRIB!J117="",0,(TRIB!J117*IF($D117="A",(INPUTS!$G$29/12*INPUTS!$B$12+INPUTS!$H$29),(INPUTS!$L$29/12*INPUTS!$B$12+INPUTS!$M$29))+IF(FACADE!J117="",0,FACADE!J117)*INPUTS!$B$15)/1000+ARCH_AG!J117/144*INPUTS!$B$12*INPUTS!$C$29/1000)</f>
        <v>0</v>
      </c>
      <c r="K117" s="9" t="n">
        <f aca="false">IF(TRIB!K117="",0,(TRIB!K117*IF($D117="A",(INPUTS!$G$30/12*INPUTS!$B$12+INPUTS!$H$30),(INPUTS!$L$30/12*INPUTS!$B$12+INPUTS!$M$30))+IF(FACADE!K117="",0,FACADE!K117)*INPUTS!$B$15)/1000+ARCH_AG!K117/144*INPUTS!$B$12*INPUTS!$C$30/1000)</f>
        <v>0</v>
      </c>
      <c r="L117" s="9" t="n">
        <f aca="false">IF(TRIB!L117="",0,(TRIB!L117*IF($D117="A",(INPUTS!$G$31/12*INPUTS!$B$12+INPUTS!$H$31),(INPUTS!$L$31/12*INPUTS!$B$12+INPUTS!$M$31))+IF(FACADE!L117="",0,FACADE!L117)*INPUTS!$B$15)/1000+ARCH_AG!L117/144*INPUTS!$B$12*INPUTS!$C$31/1000)</f>
        <v>0</v>
      </c>
      <c r="M117" s="9" t="n">
        <f aca="false">IF(TRIB!M117="",0,(TRIB!M117*IF($D117="A",(INPUTS!$G$32/12*INPUTS!$B$12+INPUTS!$H$32),(INPUTS!$L$32/12*INPUTS!$B$12+INPUTS!$M$32))+IF(FACADE!M117="",0,FACADE!M117)*INPUTS!$B$15)/1000+ARCH_AG!M117/144*INPUTS!$B$12*INPUTS!$C$32/1000)</f>
        <v>0</v>
      </c>
      <c r="N117" s="9" t="n">
        <f aca="false">IF(TRIB!N117="",0,(TRIB!N117*IF($D117="A",(INPUTS!$G$33/12*INPUTS!$B$12+INPUTS!$H$33),(INPUTS!$L$33/12*INPUTS!$B$12+INPUTS!$M$33))+IF(FACADE!N117="",0,FACADE!N117)*INPUTS!$B$15)/1000+ARCH_AG!N117/144*INPUTS!$B$12*INPUTS!$C$33/1000)</f>
        <v>0</v>
      </c>
      <c r="O117" s="9" t="n">
        <f aca="false">IF(TRIB!O117="",0,(TRIB!O117*IF($D117="A",(INPUTS!$G$34/12*INPUTS!$B$12+INPUTS!$H$34),(INPUTS!$L$34/12*INPUTS!$B$12+INPUTS!$M$34))+IF(FACADE!O117="",0,FACADE!O117)*INPUTS!$B$15)/1000+ARCH_AG!O117/144*INPUTS!$B$12*INPUTS!$C$34/1000)</f>
        <v>0</v>
      </c>
      <c r="P117" s="9" t="n">
        <f aca="false">IF(TRIB!P117="",0,(TRIB!P117*IF($D117="A",(INPUTS!$G$35/12*INPUTS!$B$12+INPUTS!$H$35),(INPUTS!$L$35/12*INPUTS!$B$12+INPUTS!$M$35))+IF(FACADE!P117="",0,FACADE!P117)*INPUTS!$B$15)/1000+ARCH_AG!P117/144*INPUTS!$B$12*INPUTS!$C$35/1000)</f>
        <v>0</v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9" t="n">
        <f aca="false">IF(TRIB!E118="",0,(TRIB!E118*IF($D118="A",(INPUTS!$G$24/12*INPUTS!$B$12+INPUTS!$H$24),(INPUTS!$L$24/12*INPUTS!$B$12+INPUTS!$M$24))+IF(FACADE!E118="",0,FACADE!E118)*INPUTS!$B$15)/1000+ARCH_AG!E118/144*INPUTS!$B$12*INPUTS!$C$24/1000)</f>
        <v>41.7825</v>
      </c>
      <c r="F118" s="9" t="n">
        <f aca="false">IF(TRIB!F118="",0,(TRIB!F118*IF($D118="A",(INPUTS!$G$25/12*INPUTS!$B$12+INPUTS!$H$25),(INPUTS!$L$25/12*INPUTS!$B$12+INPUTS!$M$25))+IF(FACADE!F118="",0,FACADE!F118)*INPUTS!$B$15)/1000+ARCH_AG!F118/144*INPUTS!$B$12*INPUTS!$C$25/1000)</f>
        <v>42.3075</v>
      </c>
      <c r="G118" s="9" t="n">
        <f aca="false">IF(TRIB!G118="",0,(TRIB!G118*IF($D118="A",(INPUTS!$G$26/12*INPUTS!$B$12+INPUTS!$H$26),(INPUTS!$L$26/12*INPUTS!$B$12+INPUTS!$M$26))+IF(FACADE!G118="",0,FACADE!G118)*INPUTS!$B$15)/1000+ARCH_AG!G118/144*INPUTS!$B$12*INPUTS!$C$26/1000)</f>
        <v>0</v>
      </c>
      <c r="H118" s="9" t="n">
        <f aca="false">IF(TRIB!H118="",0,(TRIB!H118*IF($D118="A",(INPUTS!$G$27/12*INPUTS!$B$12+INPUTS!$H$27),(INPUTS!$L$27/12*INPUTS!$B$12+INPUTS!$M$27))+IF(FACADE!H118="",0,FACADE!H118)*INPUTS!$B$15)/1000+ARCH_AG!H118/144*INPUTS!$B$12*INPUTS!$C$27/1000)</f>
        <v>0</v>
      </c>
      <c r="I118" s="9" t="n">
        <f aca="false">IF(TRIB!I118="",0,(TRIB!I118*IF($D118="A",(INPUTS!$G$28/12*INPUTS!$B$12+INPUTS!$H$28),(INPUTS!$L$28/12*INPUTS!$B$12+INPUTS!$M$28))+IF(FACADE!I118="",0,FACADE!I118)*INPUTS!$B$15)/1000+ARCH_AG!I118/144*INPUTS!$B$12*INPUTS!$C$28/1000)</f>
        <v>0</v>
      </c>
      <c r="J118" s="9" t="n">
        <f aca="false">IF(TRIB!J118="",0,(TRIB!J118*IF($D118="A",(INPUTS!$G$29/12*INPUTS!$B$12+INPUTS!$H$29),(INPUTS!$L$29/12*INPUTS!$B$12+INPUTS!$M$29))+IF(FACADE!J118="",0,FACADE!J118)*INPUTS!$B$15)/1000+ARCH_AG!J118/144*INPUTS!$B$12*INPUTS!$C$29/1000)</f>
        <v>0</v>
      </c>
      <c r="K118" s="9" t="n">
        <f aca="false">IF(TRIB!K118="",0,(TRIB!K118*IF($D118="A",(INPUTS!$G$30/12*INPUTS!$B$12+INPUTS!$H$30),(INPUTS!$L$30/12*INPUTS!$B$12+INPUTS!$M$30))+IF(FACADE!K118="",0,FACADE!K118)*INPUTS!$B$15)/1000+ARCH_AG!K118/144*INPUTS!$B$12*INPUTS!$C$30/1000)</f>
        <v>0</v>
      </c>
      <c r="L118" s="9" t="n">
        <f aca="false">IF(TRIB!L118="",0,(TRIB!L118*IF($D118="A",(INPUTS!$G$31/12*INPUTS!$B$12+INPUTS!$H$31),(INPUTS!$L$31/12*INPUTS!$B$12+INPUTS!$M$31))+IF(FACADE!L118="",0,FACADE!L118)*INPUTS!$B$15)/1000+ARCH_AG!L118/144*INPUTS!$B$12*INPUTS!$C$31/1000)</f>
        <v>0</v>
      </c>
      <c r="M118" s="9" t="n">
        <f aca="false">IF(TRIB!M118="",0,(TRIB!M118*IF($D118="A",(INPUTS!$G$32/12*INPUTS!$B$12+INPUTS!$H$32),(INPUTS!$L$32/12*INPUTS!$B$12+INPUTS!$M$32))+IF(FACADE!M118="",0,FACADE!M118)*INPUTS!$B$15)/1000+ARCH_AG!M118/144*INPUTS!$B$12*INPUTS!$C$32/1000)</f>
        <v>0</v>
      </c>
      <c r="N118" s="9" t="n">
        <f aca="false">IF(TRIB!N118="",0,(TRIB!N118*IF($D118="A",(INPUTS!$G$33/12*INPUTS!$B$12+INPUTS!$H$33),(INPUTS!$L$33/12*INPUTS!$B$12+INPUTS!$M$33))+IF(FACADE!N118="",0,FACADE!N118)*INPUTS!$B$15)/1000+ARCH_AG!N118/144*INPUTS!$B$12*INPUTS!$C$33/1000)</f>
        <v>0</v>
      </c>
      <c r="O118" s="9" t="n">
        <f aca="false">IF(TRIB!O118="",0,(TRIB!O118*IF($D118="A",(INPUTS!$G$34/12*INPUTS!$B$12+INPUTS!$H$34),(INPUTS!$L$34/12*INPUTS!$B$12+INPUTS!$M$34))+IF(FACADE!O118="",0,FACADE!O118)*INPUTS!$B$15)/1000+ARCH_AG!O118/144*INPUTS!$B$12*INPUTS!$C$34/1000)</f>
        <v>0</v>
      </c>
      <c r="P118" s="9" t="n">
        <f aca="false">IF(TRIB!P118="",0,(TRIB!P118*IF($D118="A",(INPUTS!$G$35/12*INPUTS!$B$12+INPUTS!$H$35),(INPUTS!$L$35/12*INPUTS!$B$12+INPUTS!$M$35))+IF(FACADE!P118="",0,FACADE!P118)*INPUTS!$B$15)/1000+ARCH_AG!P118/144*INPUTS!$B$12*INPUTS!$C$35/1000)</f>
        <v>0</v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9" t="n">
        <f aca="false">IF(TRIB!E119="",0,(TRIB!E119*IF($D119="A",(INPUTS!$G$24/12*INPUTS!$B$12+INPUTS!$H$24),(INPUTS!$L$24/12*INPUTS!$B$12+INPUTS!$M$24))+IF(FACADE!E119="",0,FACADE!E119)*INPUTS!$B$15)/1000+ARCH_AG!E119/144*INPUTS!$B$12*INPUTS!$C$24/1000)</f>
        <v>0</v>
      </c>
      <c r="F119" s="9" t="n">
        <f aca="false">IF(TRIB!F119="",0,(TRIB!F119*IF($D119="A",(INPUTS!$G$25/12*INPUTS!$B$12+INPUTS!$H$25),(INPUTS!$L$25/12*INPUTS!$B$12+INPUTS!$M$25))+IF(FACADE!F119="",0,FACADE!F119)*INPUTS!$B$15)/1000+ARCH_AG!F119/144*INPUTS!$B$12*INPUTS!$C$25/1000)</f>
        <v>0</v>
      </c>
      <c r="G119" s="9" t="n">
        <f aca="false">IF(TRIB!G119="",0,(TRIB!G119*IF($D119="A",(INPUTS!$G$26/12*INPUTS!$B$12+INPUTS!$H$26),(INPUTS!$L$26/12*INPUTS!$B$12+INPUTS!$M$26))+IF(FACADE!G119="",0,FACADE!G119)*INPUTS!$B$15)/1000+ARCH_AG!G119/144*INPUTS!$B$12*INPUTS!$C$26/1000)</f>
        <v>0</v>
      </c>
      <c r="H119" s="9" t="n">
        <f aca="false">IF(TRIB!H119="",0,(TRIB!H119*IF($D119="A",(INPUTS!$G$27/12*INPUTS!$B$12+INPUTS!$H$27),(INPUTS!$L$27/12*INPUTS!$B$12+INPUTS!$M$27))+IF(FACADE!H119="",0,FACADE!H119)*INPUTS!$B$15)/1000+ARCH_AG!H119/144*INPUTS!$B$12*INPUTS!$C$27/1000)</f>
        <v>0</v>
      </c>
      <c r="I119" s="9" t="n">
        <f aca="false">IF(TRIB!I119="",0,(TRIB!I119*IF($D119="A",(INPUTS!$G$28/12*INPUTS!$B$12+INPUTS!$H$28),(INPUTS!$L$28/12*INPUTS!$B$12+INPUTS!$M$28))+IF(FACADE!I119="",0,FACADE!I119)*INPUTS!$B$15)/1000+ARCH_AG!I119/144*INPUTS!$B$12*INPUTS!$C$28/1000)</f>
        <v>0</v>
      </c>
      <c r="J119" s="9" t="n">
        <f aca="false">IF(TRIB!J119="",0,(TRIB!J119*IF($D119="A",(INPUTS!$G$29/12*INPUTS!$B$12+INPUTS!$H$29),(INPUTS!$L$29/12*INPUTS!$B$12+INPUTS!$M$29))+IF(FACADE!J119="",0,FACADE!J119)*INPUTS!$B$15)/1000+ARCH_AG!J119/144*INPUTS!$B$12*INPUTS!$C$29/1000)</f>
        <v>5.5125</v>
      </c>
      <c r="K119" s="9" t="n">
        <f aca="false">IF(TRIB!K119="",0,(TRIB!K119*IF($D119="A",(INPUTS!$G$30/12*INPUTS!$B$12+INPUTS!$H$30),(INPUTS!$L$30/12*INPUTS!$B$12+INPUTS!$M$30))+IF(FACADE!K119="",0,FACADE!K119)*INPUTS!$B$15)/1000+ARCH_AG!K119/144*INPUTS!$B$12*INPUTS!$C$30/1000)</f>
        <v>0</v>
      </c>
      <c r="L119" s="9" t="n">
        <f aca="false">IF(TRIB!L119="",0,(TRIB!L119*IF($D119="A",(INPUTS!$G$31/12*INPUTS!$B$12+INPUTS!$H$31),(INPUTS!$L$31/12*INPUTS!$B$12+INPUTS!$M$31))+IF(FACADE!L119="",0,FACADE!L119)*INPUTS!$B$15)/1000+ARCH_AG!L119/144*INPUTS!$B$12*INPUTS!$C$31/1000)</f>
        <v>0</v>
      </c>
      <c r="M119" s="9" t="n">
        <f aca="false">IF(TRIB!M119="",0,(TRIB!M119*IF($D119="A",(INPUTS!$G$32/12*INPUTS!$B$12+INPUTS!$H$32),(INPUTS!$L$32/12*INPUTS!$B$12+INPUTS!$M$32))+IF(FACADE!M119="",0,FACADE!M119)*INPUTS!$B$15)/1000+ARCH_AG!M119/144*INPUTS!$B$12*INPUTS!$C$32/1000)</f>
        <v>0</v>
      </c>
      <c r="N119" s="9" t="n">
        <f aca="false">IF(TRIB!N119="",0,(TRIB!N119*IF($D119="A",(INPUTS!$G$33/12*INPUTS!$B$12+INPUTS!$H$33),(INPUTS!$L$33/12*INPUTS!$B$12+INPUTS!$M$33))+IF(FACADE!N119="",0,FACADE!N119)*INPUTS!$B$15)/1000+ARCH_AG!N119/144*INPUTS!$B$12*INPUTS!$C$33/1000)</f>
        <v>0</v>
      </c>
      <c r="O119" s="9" t="n">
        <f aca="false">IF(TRIB!O119="",0,(TRIB!O119*IF($D119="A",(INPUTS!$G$34/12*INPUTS!$B$12+INPUTS!$H$34),(INPUTS!$L$34/12*INPUTS!$B$12+INPUTS!$M$34))+IF(FACADE!O119="",0,FACADE!O119)*INPUTS!$B$15)/1000+ARCH_AG!O119/144*INPUTS!$B$12*INPUTS!$C$34/1000)</f>
        <v>0</v>
      </c>
      <c r="P119" s="9" t="n">
        <f aca="false">IF(TRIB!P119="",0,(TRIB!P119*IF($D119="A",(INPUTS!$G$35/12*INPUTS!$B$12+INPUTS!$H$35),(INPUTS!$L$35/12*INPUTS!$B$12+INPUTS!$M$35))+IF(FACADE!P119="",0,FACADE!P119)*INPUTS!$B$15)/1000+ARCH_AG!P119/144*INPUTS!$B$12*INPUTS!$C$35/1000)</f>
        <v>0</v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9" t="n">
        <f aca="false">IF(TRIB!E120="",0,(TRIB!E120*IF($D120="A",(INPUTS!$G$24/12*INPUTS!$B$12+INPUTS!$H$24),(INPUTS!$L$24/12*INPUTS!$B$12+INPUTS!$M$24))+IF(FACADE!E120="",0,FACADE!E120)*INPUTS!$B$15)/1000+ARCH_AG!E120/144*INPUTS!$B$12*INPUTS!$C$24/1000)</f>
        <v>0</v>
      </c>
      <c r="F120" s="9" t="n">
        <f aca="false">IF(TRIB!F120="",0,(TRIB!F120*IF($D120="A",(INPUTS!$G$25/12*INPUTS!$B$12+INPUTS!$H$25),(INPUTS!$L$25/12*INPUTS!$B$12+INPUTS!$M$25))+IF(FACADE!F120="",0,FACADE!F120)*INPUTS!$B$15)/1000+ARCH_AG!F120/144*INPUTS!$B$12*INPUTS!$C$25/1000)</f>
        <v>0</v>
      </c>
      <c r="G120" s="9" t="n">
        <f aca="false">IF(TRIB!G120="",0,(TRIB!G120*IF($D120="A",(INPUTS!$G$26/12*INPUTS!$B$12+INPUTS!$H$26),(INPUTS!$L$26/12*INPUTS!$B$12+INPUTS!$M$26))+IF(FACADE!G120="",0,FACADE!G120)*INPUTS!$B$15)/1000+ARCH_AG!G120/144*INPUTS!$B$12*INPUTS!$C$26/1000)</f>
        <v>0</v>
      </c>
      <c r="H120" s="9" t="n">
        <f aca="false">IF(TRIB!H120="",0,(TRIB!H120*IF($D120="A",(INPUTS!$G$27/12*INPUTS!$B$12+INPUTS!$H$27),(INPUTS!$L$27/12*INPUTS!$B$12+INPUTS!$M$27))+IF(FACADE!H120="",0,FACADE!H120)*INPUTS!$B$15)/1000+ARCH_AG!H120/144*INPUTS!$B$12*INPUTS!$C$27/1000)</f>
        <v>0</v>
      </c>
      <c r="I120" s="9" t="n">
        <f aca="false">IF(TRIB!I120="",0,(TRIB!I120*IF($D120="A",(INPUTS!$G$28/12*INPUTS!$B$12+INPUTS!$H$28),(INPUTS!$L$28/12*INPUTS!$B$12+INPUTS!$M$28))+IF(FACADE!I120="",0,FACADE!I120)*INPUTS!$B$15)/1000+ARCH_AG!I120/144*INPUTS!$B$12*INPUTS!$C$28/1000)</f>
        <v>0</v>
      </c>
      <c r="J120" s="9" t="n">
        <f aca="false">IF(TRIB!J120="",0,(TRIB!J120*IF($D120="A",(INPUTS!$G$29/12*INPUTS!$B$12+INPUTS!$H$29),(INPUTS!$L$29/12*INPUTS!$B$12+INPUTS!$M$29))+IF(FACADE!J120="",0,FACADE!J120)*INPUTS!$B$15)/1000+ARCH_AG!J120/144*INPUTS!$B$12*INPUTS!$C$29/1000)</f>
        <v>16.5225</v>
      </c>
      <c r="K120" s="9" t="n">
        <f aca="false">IF(TRIB!K120="",0,(TRIB!K120*IF($D120="A",(INPUTS!$G$30/12*INPUTS!$B$12+INPUTS!$H$30),(INPUTS!$L$30/12*INPUTS!$B$12+INPUTS!$M$30))+IF(FACADE!K120="",0,FACADE!K120)*INPUTS!$B$15)/1000+ARCH_AG!K120/144*INPUTS!$B$12*INPUTS!$C$30/1000)</f>
        <v>0</v>
      </c>
      <c r="L120" s="9" t="n">
        <f aca="false">IF(TRIB!L120="",0,(TRIB!L120*IF($D120="A",(INPUTS!$G$31/12*INPUTS!$B$12+INPUTS!$H$31),(INPUTS!$L$31/12*INPUTS!$B$12+INPUTS!$M$31))+IF(FACADE!L120="",0,FACADE!L120)*INPUTS!$B$15)/1000+ARCH_AG!L120/144*INPUTS!$B$12*INPUTS!$C$31/1000)</f>
        <v>0</v>
      </c>
      <c r="M120" s="9" t="n">
        <f aca="false">IF(TRIB!M120="",0,(TRIB!M120*IF($D120="A",(INPUTS!$G$32/12*INPUTS!$B$12+INPUTS!$H$32),(INPUTS!$L$32/12*INPUTS!$B$12+INPUTS!$M$32))+IF(FACADE!M120="",0,FACADE!M120)*INPUTS!$B$15)/1000+ARCH_AG!M120/144*INPUTS!$B$12*INPUTS!$C$32/1000)</f>
        <v>0</v>
      </c>
      <c r="N120" s="9" t="n">
        <f aca="false">IF(TRIB!N120="",0,(TRIB!N120*IF($D120="A",(INPUTS!$G$33/12*INPUTS!$B$12+INPUTS!$H$33),(INPUTS!$L$33/12*INPUTS!$B$12+INPUTS!$M$33))+IF(FACADE!N120="",0,FACADE!N120)*INPUTS!$B$15)/1000+ARCH_AG!N120/144*INPUTS!$B$12*INPUTS!$C$33/1000)</f>
        <v>0</v>
      </c>
      <c r="O120" s="9" t="n">
        <f aca="false">IF(TRIB!O120="",0,(TRIB!O120*IF($D120="A",(INPUTS!$G$34/12*INPUTS!$B$12+INPUTS!$H$34),(INPUTS!$L$34/12*INPUTS!$B$12+INPUTS!$M$34))+IF(FACADE!O120="",0,FACADE!O120)*INPUTS!$B$15)/1000+ARCH_AG!O120/144*INPUTS!$B$12*INPUTS!$C$34/1000)</f>
        <v>0</v>
      </c>
      <c r="P120" s="9" t="n">
        <f aca="false">IF(TRIB!P120="",0,(TRIB!P120*IF($D120="A",(INPUTS!$G$35/12*INPUTS!$B$12+INPUTS!$H$35),(INPUTS!$L$35/12*INPUTS!$B$12+INPUTS!$M$35))+IF(FACADE!P120="",0,FACADE!P120)*INPUTS!$B$15)/1000+ARCH_AG!P120/144*INPUTS!$B$12*INPUTS!$C$35/1000)</f>
        <v>0</v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9" t="n">
        <f aca="false">IF(TRIB!E121="",0,(TRIB!E121*IF($D121="A",(INPUTS!$G$24/12*INPUTS!$B$12+INPUTS!$H$24),(INPUTS!$L$24/12*INPUTS!$B$12+INPUTS!$M$24))+IF(FACADE!E121="",0,FACADE!E121)*INPUTS!$B$15)/1000+ARCH_AG!E121/144*INPUTS!$B$12*INPUTS!$C$24/1000)</f>
        <v>0</v>
      </c>
      <c r="F121" s="9" t="n">
        <f aca="false">IF(TRIB!F121="",0,(TRIB!F121*IF($D121="A",(INPUTS!$G$25/12*INPUTS!$B$12+INPUTS!$H$25),(INPUTS!$L$25/12*INPUTS!$B$12+INPUTS!$M$25))+IF(FACADE!F121="",0,FACADE!F121)*INPUTS!$B$15)/1000+ARCH_AG!F121/144*INPUTS!$B$12*INPUTS!$C$25/1000)</f>
        <v>0</v>
      </c>
      <c r="G121" s="9" t="n">
        <f aca="false">IF(TRIB!G121="",0,(TRIB!G121*IF($D121="A",(INPUTS!$G$26/12*INPUTS!$B$12+INPUTS!$H$26),(INPUTS!$L$26/12*INPUTS!$B$12+INPUTS!$M$26))+IF(FACADE!G121="",0,FACADE!G121)*INPUTS!$B$15)/1000+ARCH_AG!G121/144*INPUTS!$B$12*INPUTS!$C$26/1000)</f>
        <v>0</v>
      </c>
      <c r="H121" s="9" t="n">
        <f aca="false">IF(TRIB!H121="",0,(TRIB!H121*IF($D121="A",(INPUTS!$G$27/12*INPUTS!$B$12+INPUTS!$H$27),(INPUTS!$L$27/12*INPUTS!$B$12+INPUTS!$M$27))+IF(FACADE!H121="",0,FACADE!H121)*INPUTS!$B$15)/1000+ARCH_AG!H121/144*INPUTS!$B$12*INPUTS!$C$27/1000)</f>
        <v>0</v>
      </c>
      <c r="I121" s="9" t="n">
        <f aca="false">IF(TRIB!I121="",0,(TRIB!I121*IF($D121="A",(INPUTS!$G$28/12*INPUTS!$B$12+INPUTS!$H$28),(INPUTS!$L$28/12*INPUTS!$B$12+INPUTS!$M$28))+IF(FACADE!I121="",0,FACADE!I121)*INPUTS!$B$15)/1000+ARCH_AG!I121/144*INPUTS!$B$12*INPUTS!$C$28/1000)</f>
        <v>0</v>
      </c>
      <c r="J121" s="9" t="n">
        <f aca="false">IF(TRIB!J121="",0,(TRIB!J121*IF($D121="A",(INPUTS!$G$29/12*INPUTS!$B$12+INPUTS!$H$29),(INPUTS!$L$29/12*INPUTS!$B$12+INPUTS!$M$29))+IF(FACADE!J121="",0,FACADE!J121)*INPUTS!$B$15)/1000+ARCH_AG!J121/144*INPUTS!$B$12*INPUTS!$C$29/1000)</f>
        <v>5.5125</v>
      </c>
      <c r="K121" s="9" t="n">
        <f aca="false">IF(TRIB!K121="",0,(TRIB!K121*IF($D121="A",(INPUTS!$G$30/12*INPUTS!$B$12+INPUTS!$H$30),(INPUTS!$L$30/12*INPUTS!$B$12+INPUTS!$M$30))+IF(FACADE!K121="",0,FACADE!K121)*INPUTS!$B$15)/1000+ARCH_AG!K121/144*INPUTS!$B$12*INPUTS!$C$30/1000)</f>
        <v>0</v>
      </c>
      <c r="L121" s="9" t="n">
        <f aca="false">IF(TRIB!L121="",0,(TRIB!L121*IF($D121="A",(INPUTS!$G$31/12*INPUTS!$B$12+INPUTS!$H$31),(INPUTS!$L$31/12*INPUTS!$B$12+INPUTS!$M$31))+IF(FACADE!L121="",0,FACADE!L121)*INPUTS!$B$15)/1000+ARCH_AG!L121/144*INPUTS!$B$12*INPUTS!$C$31/1000)</f>
        <v>0</v>
      </c>
      <c r="M121" s="9" t="n">
        <f aca="false">IF(TRIB!M121="",0,(TRIB!M121*IF($D121="A",(INPUTS!$G$32/12*INPUTS!$B$12+INPUTS!$H$32),(INPUTS!$L$32/12*INPUTS!$B$12+INPUTS!$M$32))+IF(FACADE!M121="",0,FACADE!M121)*INPUTS!$B$15)/1000+ARCH_AG!M121/144*INPUTS!$B$12*INPUTS!$C$32/1000)</f>
        <v>0</v>
      </c>
      <c r="N121" s="9" t="n">
        <f aca="false">IF(TRIB!N121="",0,(TRIB!N121*IF($D121="A",(INPUTS!$G$33/12*INPUTS!$B$12+INPUTS!$H$33),(INPUTS!$L$33/12*INPUTS!$B$12+INPUTS!$M$33))+IF(FACADE!N121="",0,FACADE!N121)*INPUTS!$B$15)/1000+ARCH_AG!N121/144*INPUTS!$B$12*INPUTS!$C$33/1000)</f>
        <v>0</v>
      </c>
      <c r="O121" s="9" t="n">
        <f aca="false">IF(TRIB!O121="",0,(TRIB!O121*IF($D121="A",(INPUTS!$G$34/12*INPUTS!$B$12+INPUTS!$H$34),(INPUTS!$L$34/12*INPUTS!$B$12+INPUTS!$M$34))+IF(FACADE!O121="",0,FACADE!O121)*INPUTS!$B$15)/1000+ARCH_AG!O121/144*INPUTS!$B$12*INPUTS!$C$34/1000)</f>
        <v>0</v>
      </c>
      <c r="P121" s="9" t="n">
        <f aca="false">IF(TRIB!P121="",0,(TRIB!P121*IF($D121="A",(INPUTS!$G$35/12*INPUTS!$B$12+INPUTS!$H$35),(INPUTS!$L$35/12*INPUTS!$B$12+INPUTS!$M$35))+IF(FACADE!P121="",0,FACADE!P121)*INPUTS!$B$15)/1000+ARCH_AG!P121/144*INPUTS!$B$12*INPUTS!$C$35/1000)</f>
        <v>0</v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9" t="n">
        <f aca="false">IF(TRIB!E122="",0,(TRIB!E122*IF($D122="A",(INPUTS!$G$24/12*INPUTS!$B$12+INPUTS!$H$24),(INPUTS!$L$24/12*INPUTS!$B$12+INPUTS!$M$24))+IF(FACADE!E122="",0,FACADE!E122)*INPUTS!$B$15)/1000+ARCH_AG!E122/144*INPUTS!$B$12*INPUTS!$C$24/1000)</f>
        <v>0</v>
      </c>
      <c r="F122" s="9" t="n">
        <f aca="false">IF(TRIB!F122="",0,(TRIB!F122*IF($D122="A",(INPUTS!$G$25/12*INPUTS!$B$12+INPUTS!$H$25),(INPUTS!$L$25/12*INPUTS!$B$12+INPUTS!$M$25))+IF(FACADE!F122="",0,FACADE!F122)*INPUTS!$B$15)/1000+ARCH_AG!F122/144*INPUTS!$B$12*INPUTS!$C$25/1000)</f>
        <v>0</v>
      </c>
      <c r="G122" s="9" t="n">
        <f aca="false">IF(TRIB!G122="",0,(TRIB!G122*IF($D122="A",(INPUTS!$G$26/12*INPUTS!$B$12+INPUTS!$H$26),(INPUTS!$L$26/12*INPUTS!$B$12+INPUTS!$M$26))+IF(FACADE!G122="",0,FACADE!G122)*INPUTS!$B$15)/1000+ARCH_AG!G122/144*INPUTS!$B$12*INPUTS!$C$26/1000)</f>
        <v>0</v>
      </c>
      <c r="H122" s="9" t="n">
        <f aca="false">IF(TRIB!H122="",0,(TRIB!H122*IF($D122="A",(INPUTS!$G$27/12*INPUTS!$B$12+INPUTS!$H$27),(INPUTS!$L$27/12*INPUTS!$B$12+INPUTS!$M$27))+IF(FACADE!H122="",0,FACADE!H122)*INPUTS!$B$15)/1000+ARCH_AG!H122/144*INPUTS!$B$12*INPUTS!$C$27/1000)</f>
        <v>0</v>
      </c>
      <c r="I122" s="9" t="n">
        <f aca="false">IF(TRIB!I122="",0,(TRIB!I122*IF($D122="A",(INPUTS!$G$28/12*INPUTS!$B$12+INPUTS!$H$28),(INPUTS!$L$28/12*INPUTS!$B$12+INPUTS!$M$28))+IF(FACADE!I122="",0,FACADE!I122)*INPUTS!$B$15)/1000+ARCH_AG!I122/144*INPUTS!$B$12*INPUTS!$C$28/1000)</f>
        <v>0</v>
      </c>
      <c r="J122" s="9" t="n">
        <f aca="false">IF(TRIB!J122="",0,(TRIB!J122*IF($D122="A",(INPUTS!$G$29/12*INPUTS!$B$12+INPUTS!$H$29),(INPUTS!$L$29/12*INPUTS!$B$12+INPUTS!$M$29))+IF(FACADE!J122="",0,FACADE!J122)*INPUTS!$B$15)/1000+ARCH_AG!J122/144*INPUTS!$B$12*INPUTS!$C$29/1000)</f>
        <v>5.5125</v>
      </c>
      <c r="K122" s="9" t="n">
        <f aca="false">IF(TRIB!K122="",0,(TRIB!K122*IF($D122="A",(INPUTS!$G$30/12*INPUTS!$B$12+INPUTS!$H$30),(INPUTS!$L$30/12*INPUTS!$B$12+INPUTS!$M$30))+IF(FACADE!K122="",0,FACADE!K122)*INPUTS!$B$15)/1000+ARCH_AG!K122/144*INPUTS!$B$12*INPUTS!$C$30/1000)</f>
        <v>0</v>
      </c>
      <c r="L122" s="9" t="n">
        <f aca="false">IF(TRIB!L122="",0,(TRIB!L122*IF($D122="A",(INPUTS!$G$31/12*INPUTS!$B$12+INPUTS!$H$31),(INPUTS!$L$31/12*INPUTS!$B$12+INPUTS!$M$31))+IF(FACADE!L122="",0,FACADE!L122)*INPUTS!$B$15)/1000+ARCH_AG!L122/144*INPUTS!$B$12*INPUTS!$C$31/1000)</f>
        <v>0</v>
      </c>
      <c r="M122" s="9" t="n">
        <f aca="false">IF(TRIB!M122="",0,(TRIB!M122*IF($D122="A",(INPUTS!$G$32/12*INPUTS!$B$12+INPUTS!$H$32),(INPUTS!$L$32/12*INPUTS!$B$12+INPUTS!$M$32))+IF(FACADE!M122="",0,FACADE!M122)*INPUTS!$B$15)/1000+ARCH_AG!M122/144*INPUTS!$B$12*INPUTS!$C$32/1000)</f>
        <v>0</v>
      </c>
      <c r="N122" s="9" t="n">
        <f aca="false">IF(TRIB!N122="",0,(TRIB!N122*IF($D122="A",(INPUTS!$G$33/12*INPUTS!$B$12+INPUTS!$H$33),(INPUTS!$L$33/12*INPUTS!$B$12+INPUTS!$M$33))+IF(FACADE!N122="",0,FACADE!N122)*INPUTS!$B$15)/1000+ARCH_AG!N122/144*INPUTS!$B$12*INPUTS!$C$33/1000)</f>
        <v>0</v>
      </c>
      <c r="O122" s="9" t="n">
        <f aca="false">IF(TRIB!O122="",0,(TRIB!O122*IF($D122="A",(INPUTS!$G$34/12*INPUTS!$B$12+INPUTS!$H$34),(INPUTS!$L$34/12*INPUTS!$B$12+INPUTS!$M$34))+IF(FACADE!O122="",0,FACADE!O122)*INPUTS!$B$15)/1000+ARCH_AG!O122/144*INPUTS!$B$12*INPUTS!$C$34/1000)</f>
        <v>0</v>
      </c>
      <c r="P122" s="9" t="n">
        <f aca="false">IF(TRIB!P122="",0,(TRIB!P122*IF($D122="A",(INPUTS!$G$35/12*INPUTS!$B$12+INPUTS!$H$35),(INPUTS!$L$35/12*INPUTS!$B$12+INPUTS!$M$35))+IF(FACADE!P122="",0,FACADE!P122)*INPUTS!$B$15)/1000+ARCH_AG!P122/144*INPUTS!$B$12*INPUTS!$C$35/1000)</f>
        <v>0</v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9" t="n">
        <f aca="false">IF(TRIB!E123="",0,(TRIB!E123*IF($D123="A",(INPUTS!$G$24/12*INPUTS!$B$12+INPUTS!$H$24),(INPUTS!$L$24/12*INPUTS!$B$12+INPUTS!$M$24))+IF(FACADE!E123="",0,FACADE!E123)*INPUTS!$B$15)/1000+ARCH_AG!E123/144*INPUTS!$B$12*INPUTS!$C$24/1000)</f>
        <v>0</v>
      </c>
      <c r="F123" s="9" t="n">
        <f aca="false">IF(TRIB!F123="",0,(TRIB!F123*IF($D123="A",(INPUTS!$G$25/12*INPUTS!$B$12+INPUTS!$H$25),(INPUTS!$L$25/12*INPUTS!$B$12+INPUTS!$M$25))+IF(FACADE!F123="",0,FACADE!F123)*INPUTS!$B$15)/1000+ARCH_AG!F123/144*INPUTS!$B$12*INPUTS!$C$25/1000)</f>
        <v>0</v>
      </c>
      <c r="G123" s="9" t="n">
        <f aca="false">IF(TRIB!G123="",0,(TRIB!G123*IF($D123="A",(INPUTS!$G$26/12*INPUTS!$B$12+INPUTS!$H$26),(INPUTS!$L$26/12*INPUTS!$B$12+INPUTS!$M$26))+IF(FACADE!G123="",0,FACADE!G123)*INPUTS!$B$15)/1000+ARCH_AG!G123/144*INPUTS!$B$12*INPUTS!$C$26/1000)</f>
        <v>0</v>
      </c>
      <c r="H123" s="9" t="n">
        <f aca="false">IF(TRIB!H123="",0,(TRIB!H123*IF($D123="A",(INPUTS!$G$27/12*INPUTS!$B$12+INPUTS!$H$27),(INPUTS!$L$27/12*INPUTS!$B$12+INPUTS!$M$27))+IF(FACADE!H123="",0,FACADE!H123)*INPUTS!$B$15)/1000+ARCH_AG!H123/144*INPUTS!$B$12*INPUTS!$C$27/1000)</f>
        <v>0</v>
      </c>
      <c r="I123" s="9" t="n">
        <f aca="false">IF(TRIB!I123="",0,(TRIB!I123*IF($D123="A",(INPUTS!$G$28/12*INPUTS!$B$12+INPUTS!$H$28),(INPUTS!$L$28/12*INPUTS!$B$12+INPUTS!$M$28))+IF(FACADE!I123="",0,FACADE!I123)*INPUTS!$B$15)/1000+ARCH_AG!I123/144*INPUTS!$B$12*INPUTS!$C$28/1000)</f>
        <v>0</v>
      </c>
      <c r="J123" s="9" t="n">
        <f aca="false">IF(TRIB!J123="",0,(TRIB!J123*IF($D123="A",(INPUTS!$G$29/12*INPUTS!$B$12+INPUTS!$H$29),(INPUTS!$L$29/12*INPUTS!$B$12+INPUTS!$M$29))+IF(FACADE!J123="",0,FACADE!J123)*INPUTS!$B$15)/1000+ARCH_AG!J123/144*INPUTS!$B$12*INPUTS!$C$29/1000)</f>
        <v>5.5125</v>
      </c>
      <c r="K123" s="9" t="n">
        <f aca="false">IF(TRIB!K123="",0,(TRIB!K123*IF($D123="A",(INPUTS!$G$30/12*INPUTS!$B$12+INPUTS!$H$30),(INPUTS!$L$30/12*INPUTS!$B$12+INPUTS!$M$30))+IF(FACADE!K123="",0,FACADE!K123)*INPUTS!$B$15)/1000+ARCH_AG!K123/144*INPUTS!$B$12*INPUTS!$C$30/1000)</f>
        <v>0</v>
      </c>
      <c r="L123" s="9" t="n">
        <f aca="false">IF(TRIB!L123="",0,(TRIB!L123*IF($D123="A",(INPUTS!$G$31/12*INPUTS!$B$12+INPUTS!$H$31),(INPUTS!$L$31/12*INPUTS!$B$12+INPUTS!$M$31))+IF(FACADE!L123="",0,FACADE!L123)*INPUTS!$B$15)/1000+ARCH_AG!L123/144*INPUTS!$B$12*INPUTS!$C$31/1000)</f>
        <v>0</v>
      </c>
      <c r="M123" s="9" t="n">
        <f aca="false">IF(TRIB!M123="",0,(TRIB!M123*IF($D123="A",(INPUTS!$G$32/12*INPUTS!$B$12+INPUTS!$H$32),(INPUTS!$L$32/12*INPUTS!$B$12+INPUTS!$M$32))+IF(FACADE!M123="",0,FACADE!M123)*INPUTS!$B$15)/1000+ARCH_AG!M123/144*INPUTS!$B$12*INPUTS!$C$32/1000)</f>
        <v>0</v>
      </c>
      <c r="N123" s="9" t="n">
        <f aca="false">IF(TRIB!N123="",0,(TRIB!N123*IF($D123="A",(INPUTS!$G$33/12*INPUTS!$B$12+INPUTS!$H$33),(INPUTS!$L$33/12*INPUTS!$B$12+INPUTS!$M$33))+IF(FACADE!N123="",0,FACADE!N123)*INPUTS!$B$15)/1000+ARCH_AG!N123/144*INPUTS!$B$12*INPUTS!$C$33/1000)</f>
        <v>0</v>
      </c>
      <c r="O123" s="9" t="n">
        <f aca="false">IF(TRIB!O123="",0,(TRIB!O123*IF($D123="A",(INPUTS!$G$34/12*INPUTS!$B$12+INPUTS!$H$34),(INPUTS!$L$34/12*INPUTS!$B$12+INPUTS!$M$34))+IF(FACADE!O123="",0,FACADE!O123)*INPUTS!$B$15)/1000+ARCH_AG!O123/144*INPUTS!$B$12*INPUTS!$C$34/1000)</f>
        <v>0</v>
      </c>
      <c r="P123" s="9" t="n">
        <f aca="false">IF(TRIB!P123="",0,(TRIB!P123*IF($D123="A",(INPUTS!$G$35/12*INPUTS!$B$12+INPUTS!$H$35),(INPUTS!$L$35/12*INPUTS!$B$12+INPUTS!$M$35))+IF(FACADE!P123="",0,FACADE!P123)*INPUTS!$B$15)/1000+ARCH_AG!P123/144*INPUTS!$B$12*INPUTS!$C$35/1000)</f>
        <v>0</v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9" t="n">
        <f aca="false">IF(TRIB!E124="",0,(TRIB!E124*IF($D124="A",(INPUTS!$G$24/12*INPUTS!$B$12+INPUTS!$H$24),(INPUTS!$L$24/12*INPUTS!$B$12+INPUTS!$M$24))+IF(FACADE!E124="",0,FACADE!E124)*INPUTS!$B$15)/1000+ARCH_AG!E124/144*INPUTS!$B$12*INPUTS!$C$24/1000)</f>
        <v>0</v>
      </c>
      <c r="F124" s="9" t="n">
        <f aca="false">IF(TRIB!F124="",0,(TRIB!F124*IF($D124="A",(INPUTS!$G$25/12*INPUTS!$B$12+INPUTS!$H$25),(INPUTS!$L$25/12*INPUTS!$B$12+INPUTS!$M$25))+IF(FACADE!F124="",0,FACADE!F124)*INPUTS!$B$15)/1000+ARCH_AG!F124/144*INPUTS!$B$12*INPUTS!$C$25/1000)</f>
        <v>0</v>
      </c>
      <c r="G124" s="9" t="n">
        <f aca="false">IF(TRIB!G124="",0,(TRIB!G124*IF($D124="A",(INPUTS!$G$26/12*INPUTS!$B$12+INPUTS!$H$26),(INPUTS!$L$26/12*INPUTS!$B$12+INPUTS!$M$26))+IF(FACADE!G124="",0,FACADE!G124)*INPUTS!$B$15)/1000+ARCH_AG!G124/144*INPUTS!$B$12*INPUTS!$C$26/1000)</f>
        <v>0</v>
      </c>
      <c r="H124" s="9" t="n">
        <f aca="false">IF(TRIB!H124="",0,(TRIB!H124*IF($D124="A",(INPUTS!$G$27/12*INPUTS!$B$12+INPUTS!$H$27),(INPUTS!$L$27/12*INPUTS!$B$12+INPUTS!$M$27))+IF(FACADE!H124="",0,FACADE!H124)*INPUTS!$B$15)/1000+ARCH_AG!H124/144*INPUTS!$B$12*INPUTS!$C$27/1000)</f>
        <v>0</v>
      </c>
      <c r="I124" s="9" t="n">
        <f aca="false">IF(TRIB!I124="",0,(TRIB!I124*IF($D124="A",(INPUTS!$G$28/12*INPUTS!$B$12+INPUTS!$H$28),(INPUTS!$L$28/12*INPUTS!$B$12+INPUTS!$M$28))+IF(FACADE!I124="",0,FACADE!I124)*INPUTS!$B$15)/1000+ARCH_AG!I124/144*INPUTS!$B$12*INPUTS!$C$28/1000)</f>
        <v>0</v>
      </c>
      <c r="J124" s="9" t="n">
        <f aca="false">IF(TRIB!J124="",0,(TRIB!J124*IF($D124="A",(INPUTS!$G$29/12*INPUTS!$B$12+INPUTS!$H$29),(INPUTS!$L$29/12*INPUTS!$B$12+INPUTS!$M$29))+IF(FACADE!J124="",0,FACADE!J124)*INPUTS!$B$15)/1000+ARCH_AG!J124/144*INPUTS!$B$12*INPUTS!$C$29/1000)</f>
        <v>27.6825</v>
      </c>
      <c r="K124" s="9" t="n">
        <f aca="false">IF(TRIB!K124="",0,(TRIB!K124*IF($D124="A",(INPUTS!$G$30/12*INPUTS!$B$12+INPUTS!$H$30),(INPUTS!$L$30/12*INPUTS!$B$12+INPUTS!$M$30))+IF(FACADE!K124="",0,FACADE!K124)*INPUTS!$B$15)/1000+ARCH_AG!K124/144*INPUTS!$B$12*INPUTS!$C$30/1000)</f>
        <v>0</v>
      </c>
      <c r="L124" s="9" t="n">
        <f aca="false">IF(TRIB!L124="",0,(TRIB!L124*IF($D124="A",(INPUTS!$G$31/12*INPUTS!$B$12+INPUTS!$H$31),(INPUTS!$L$31/12*INPUTS!$B$12+INPUTS!$M$31))+IF(FACADE!L124="",0,FACADE!L124)*INPUTS!$B$15)/1000+ARCH_AG!L124/144*INPUTS!$B$12*INPUTS!$C$31/1000)</f>
        <v>0</v>
      </c>
      <c r="M124" s="9" t="n">
        <f aca="false">IF(TRIB!M124="",0,(TRIB!M124*IF($D124="A",(INPUTS!$G$32/12*INPUTS!$B$12+INPUTS!$H$32),(INPUTS!$L$32/12*INPUTS!$B$12+INPUTS!$M$32))+IF(FACADE!M124="",0,FACADE!M124)*INPUTS!$B$15)/1000+ARCH_AG!M124/144*INPUTS!$B$12*INPUTS!$C$32/1000)</f>
        <v>0</v>
      </c>
      <c r="N124" s="9" t="n">
        <f aca="false">IF(TRIB!N124="",0,(TRIB!N124*IF($D124="A",(INPUTS!$G$33/12*INPUTS!$B$12+INPUTS!$H$33),(INPUTS!$L$33/12*INPUTS!$B$12+INPUTS!$M$33))+IF(FACADE!N124="",0,FACADE!N124)*INPUTS!$B$15)/1000+ARCH_AG!N124/144*INPUTS!$B$12*INPUTS!$C$33/1000)</f>
        <v>0</v>
      </c>
      <c r="O124" s="9" t="n">
        <f aca="false">IF(TRIB!O124="",0,(TRIB!O124*IF($D124="A",(INPUTS!$G$34/12*INPUTS!$B$12+INPUTS!$H$34),(INPUTS!$L$34/12*INPUTS!$B$12+INPUTS!$M$34))+IF(FACADE!O124="",0,FACADE!O124)*INPUTS!$B$15)/1000+ARCH_AG!O124/144*INPUTS!$B$12*INPUTS!$C$34/1000)</f>
        <v>0</v>
      </c>
      <c r="P124" s="9" t="n">
        <f aca="false">IF(TRIB!P124="",0,(TRIB!P124*IF($D124="A",(INPUTS!$G$35/12*INPUTS!$B$12+INPUTS!$H$35),(INPUTS!$L$35/12*INPUTS!$B$12+INPUTS!$M$35))+IF(FACADE!P124="",0,FACADE!P124)*INPUTS!$B$15)/1000+ARCH_AG!P124/144*INPUTS!$B$12*INPUTS!$C$35/1000)</f>
        <v>0</v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9" t="n">
        <f aca="false">IF(TRIB!E125="",0,(TRIB!E125*IF($D125="A",(INPUTS!$G$24/12*INPUTS!$B$12+INPUTS!$H$24),(INPUTS!$L$24/12*INPUTS!$B$12+INPUTS!$M$24))+IF(FACADE!E125="",0,FACADE!E125)*INPUTS!$B$15)/1000+ARCH_AG!E125/144*INPUTS!$B$12*INPUTS!$C$24/1000)</f>
        <v>0</v>
      </c>
      <c r="F125" s="9" t="n">
        <f aca="false">IF(TRIB!F125="",0,(TRIB!F125*IF($D125="A",(INPUTS!$G$25/12*INPUTS!$B$12+INPUTS!$H$25),(INPUTS!$L$25/12*INPUTS!$B$12+INPUTS!$M$25))+IF(FACADE!F125="",0,FACADE!F125)*INPUTS!$B$15)/1000+ARCH_AG!F125/144*INPUTS!$B$12*INPUTS!$C$25/1000)</f>
        <v>0</v>
      </c>
      <c r="G125" s="9" t="n">
        <f aca="false">IF(TRIB!G125="",0,(TRIB!G125*IF($D125="A",(INPUTS!$G$26/12*INPUTS!$B$12+INPUTS!$H$26),(INPUTS!$L$26/12*INPUTS!$B$12+INPUTS!$M$26))+IF(FACADE!G125="",0,FACADE!G125)*INPUTS!$B$15)/1000+ARCH_AG!G125/144*INPUTS!$B$12*INPUTS!$C$26/1000)</f>
        <v>0</v>
      </c>
      <c r="H125" s="9" t="n">
        <f aca="false">IF(TRIB!H125="",0,(TRIB!H125*IF($D125="A",(INPUTS!$G$27/12*INPUTS!$B$12+INPUTS!$H$27),(INPUTS!$L$27/12*INPUTS!$B$12+INPUTS!$M$27))+IF(FACADE!H125="",0,FACADE!H125)*INPUTS!$B$15)/1000+ARCH_AG!H125/144*INPUTS!$B$12*INPUTS!$C$27/1000)</f>
        <v>0</v>
      </c>
      <c r="I125" s="9" t="n">
        <f aca="false">IF(TRIB!I125="",0,(TRIB!I125*IF($D125="A",(INPUTS!$G$28/12*INPUTS!$B$12+INPUTS!$H$28),(INPUTS!$L$28/12*INPUTS!$B$12+INPUTS!$M$28))+IF(FACADE!I125="",0,FACADE!I125)*INPUTS!$B$15)/1000+ARCH_AG!I125/144*INPUTS!$B$12*INPUTS!$C$28/1000)</f>
        <v>0</v>
      </c>
      <c r="J125" s="9" t="n">
        <f aca="false">IF(TRIB!J125="",0,(TRIB!J125*IF($D125="A",(INPUTS!$G$29/12*INPUTS!$B$12+INPUTS!$H$29),(INPUTS!$L$29/12*INPUTS!$B$12+INPUTS!$M$29))+IF(FACADE!J125="",0,FACADE!J125)*INPUTS!$B$15)/1000+ARCH_AG!J125/144*INPUTS!$B$12*INPUTS!$C$29/1000)</f>
        <v>5.5125</v>
      </c>
      <c r="K125" s="9" t="n">
        <f aca="false">IF(TRIB!K125="",0,(TRIB!K125*IF($D125="A",(INPUTS!$G$30/12*INPUTS!$B$12+INPUTS!$H$30),(INPUTS!$L$30/12*INPUTS!$B$12+INPUTS!$M$30))+IF(FACADE!K125="",0,FACADE!K125)*INPUTS!$B$15)/1000+ARCH_AG!K125/144*INPUTS!$B$12*INPUTS!$C$30/1000)</f>
        <v>0</v>
      </c>
      <c r="L125" s="9" t="n">
        <f aca="false">IF(TRIB!L125="",0,(TRIB!L125*IF($D125="A",(INPUTS!$G$31/12*INPUTS!$B$12+INPUTS!$H$31),(INPUTS!$L$31/12*INPUTS!$B$12+INPUTS!$M$31))+IF(FACADE!L125="",0,FACADE!L125)*INPUTS!$B$15)/1000+ARCH_AG!L125/144*INPUTS!$B$12*INPUTS!$C$31/1000)</f>
        <v>0</v>
      </c>
      <c r="M125" s="9" t="n">
        <f aca="false">IF(TRIB!M125="",0,(TRIB!M125*IF($D125="A",(INPUTS!$G$32/12*INPUTS!$B$12+INPUTS!$H$32),(INPUTS!$L$32/12*INPUTS!$B$12+INPUTS!$M$32))+IF(FACADE!M125="",0,FACADE!M125)*INPUTS!$B$15)/1000+ARCH_AG!M125/144*INPUTS!$B$12*INPUTS!$C$32/1000)</f>
        <v>0</v>
      </c>
      <c r="N125" s="9" t="n">
        <f aca="false">IF(TRIB!N125="",0,(TRIB!N125*IF($D125="A",(INPUTS!$G$33/12*INPUTS!$B$12+INPUTS!$H$33),(INPUTS!$L$33/12*INPUTS!$B$12+INPUTS!$M$33))+IF(FACADE!N125="",0,FACADE!N125)*INPUTS!$B$15)/1000+ARCH_AG!N125/144*INPUTS!$B$12*INPUTS!$C$33/1000)</f>
        <v>0</v>
      </c>
      <c r="O125" s="9" t="n">
        <f aca="false">IF(TRIB!O125="",0,(TRIB!O125*IF($D125="A",(INPUTS!$G$34/12*INPUTS!$B$12+INPUTS!$H$34),(INPUTS!$L$34/12*INPUTS!$B$12+INPUTS!$M$34))+IF(FACADE!O125="",0,FACADE!O125)*INPUTS!$B$15)/1000+ARCH_AG!O125/144*INPUTS!$B$12*INPUTS!$C$34/1000)</f>
        <v>0</v>
      </c>
      <c r="P125" s="9" t="n">
        <f aca="false">IF(TRIB!P125="",0,(TRIB!P125*IF($D125="A",(INPUTS!$G$35/12*INPUTS!$B$12+INPUTS!$H$35),(INPUTS!$L$35/12*INPUTS!$B$12+INPUTS!$M$35))+IF(FACADE!P125="",0,FACADE!P125)*INPUTS!$B$15)/1000+ARCH_AG!P125/144*INPUTS!$B$12*INPUTS!$C$35/1000)</f>
        <v>0</v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9" t="n">
        <f aca="false">IF(TRIB!E126="",0,(TRIB!E126*IF($D126="A",(INPUTS!$G$24/12*INPUTS!$B$12+INPUTS!$H$24),(INPUTS!$L$24/12*INPUTS!$B$12+INPUTS!$M$24))+IF(FACADE!E126="",0,FACADE!E126)*INPUTS!$B$15)/1000+ARCH_AG!E126/144*INPUTS!$B$12*INPUTS!$C$24/1000)</f>
        <v>0</v>
      </c>
      <c r="F126" s="9" t="n">
        <f aca="false">IF(TRIB!F126="",0,(TRIB!F126*IF($D126="A",(INPUTS!$G$25/12*INPUTS!$B$12+INPUTS!$H$25),(INPUTS!$L$25/12*INPUTS!$B$12+INPUTS!$M$25))+IF(FACADE!F126="",0,FACADE!F126)*INPUTS!$B$15)/1000+ARCH_AG!F126/144*INPUTS!$B$12*INPUTS!$C$25/1000)</f>
        <v>0</v>
      </c>
      <c r="G126" s="9" t="n">
        <f aca="false">IF(TRIB!G126="",0,(TRIB!G126*IF($D126="A",(INPUTS!$G$26/12*INPUTS!$B$12+INPUTS!$H$26),(INPUTS!$L$26/12*INPUTS!$B$12+INPUTS!$M$26))+IF(FACADE!G126="",0,FACADE!G126)*INPUTS!$B$15)/1000+ARCH_AG!G126/144*INPUTS!$B$12*INPUTS!$C$26/1000)</f>
        <v>0</v>
      </c>
      <c r="H126" s="9" t="n">
        <f aca="false">IF(TRIB!H126="",0,(TRIB!H126*IF($D126="A",(INPUTS!$G$27/12*INPUTS!$B$12+INPUTS!$H$27),(INPUTS!$L$27/12*INPUTS!$B$12+INPUTS!$M$27))+IF(FACADE!H126="",0,FACADE!H126)*INPUTS!$B$15)/1000+ARCH_AG!H126/144*INPUTS!$B$12*INPUTS!$C$27/1000)</f>
        <v>0</v>
      </c>
      <c r="I126" s="9" t="n">
        <f aca="false">IF(TRIB!I126="",0,(TRIB!I126*IF($D126="A",(INPUTS!$G$28/12*INPUTS!$B$12+INPUTS!$H$28),(INPUTS!$L$28/12*INPUTS!$B$12+INPUTS!$M$28))+IF(FACADE!I126="",0,FACADE!I126)*INPUTS!$B$15)/1000+ARCH_AG!I126/144*INPUTS!$B$12*INPUTS!$C$28/1000)</f>
        <v>0</v>
      </c>
      <c r="J126" s="9" t="n">
        <f aca="false">IF(TRIB!J126="",0,(TRIB!J126*IF($D126="A",(INPUTS!$G$29/12*INPUTS!$B$12+INPUTS!$H$29),(INPUTS!$L$29/12*INPUTS!$B$12+INPUTS!$M$29))+IF(FACADE!J126="",0,FACADE!J126)*INPUTS!$B$15)/1000+ARCH_AG!J126/144*INPUTS!$B$12*INPUTS!$C$29/1000)</f>
        <v>5.5125</v>
      </c>
      <c r="K126" s="9" t="n">
        <f aca="false">IF(TRIB!K126="",0,(TRIB!K126*IF($D126="A",(INPUTS!$G$30/12*INPUTS!$B$12+INPUTS!$H$30),(INPUTS!$L$30/12*INPUTS!$B$12+INPUTS!$M$30))+IF(FACADE!K126="",0,FACADE!K126)*INPUTS!$B$15)/1000+ARCH_AG!K126/144*INPUTS!$B$12*INPUTS!$C$30/1000)</f>
        <v>0</v>
      </c>
      <c r="L126" s="9" t="n">
        <f aca="false">IF(TRIB!L126="",0,(TRIB!L126*IF($D126="A",(INPUTS!$G$31/12*INPUTS!$B$12+INPUTS!$H$31),(INPUTS!$L$31/12*INPUTS!$B$12+INPUTS!$M$31))+IF(FACADE!L126="",0,FACADE!L126)*INPUTS!$B$15)/1000+ARCH_AG!L126/144*INPUTS!$B$12*INPUTS!$C$31/1000)</f>
        <v>0</v>
      </c>
      <c r="M126" s="9" t="n">
        <f aca="false">IF(TRIB!M126="",0,(TRIB!M126*IF($D126="A",(INPUTS!$G$32/12*INPUTS!$B$12+INPUTS!$H$32),(INPUTS!$L$32/12*INPUTS!$B$12+INPUTS!$M$32))+IF(FACADE!M126="",0,FACADE!M126)*INPUTS!$B$15)/1000+ARCH_AG!M126/144*INPUTS!$B$12*INPUTS!$C$32/1000)</f>
        <v>0</v>
      </c>
      <c r="N126" s="9" t="n">
        <f aca="false">IF(TRIB!N126="",0,(TRIB!N126*IF($D126="A",(INPUTS!$G$33/12*INPUTS!$B$12+INPUTS!$H$33),(INPUTS!$L$33/12*INPUTS!$B$12+INPUTS!$M$33))+IF(FACADE!N126="",0,FACADE!N126)*INPUTS!$B$15)/1000+ARCH_AG!N126/144*INPUTS!$B$12*INPUTS!$C$33/1000)</f>
        <v>0</v>
      </c>
      <c r="O126" s="9" t="n">
        <f aca="false">IF(TRIB!O126="",0,(TRIB!O126*IF($D126="A",(INPUTS!$G$34/12*INPUTS!$B$12+INPUTS!$H$34),(INPUTS!$L$34/12*INPUTS!$B$12+INPUTS!$M$34))+IF(FACADE!O126="",0,FACADE!O126)*INPUTS!$B$15)/1000+ARCH_AG!O126/144*INPUTS!$B$12*INPUTS!$C$34/1000)</f>
        <v>0</v>
      </c>
      <c r="P126" s="9" t="n">
        <f aca="false">IF(TRIB!P126="",0,(TRIB!P126*IF($D126="A",(INPUTS!$G$35/12*INPUTS!$B$12+INPUTS!$H$35),(INPUTS!$L$35/12*INPUTS!$B$12+INPUTS!$M$35))+IF(FACADE!P126="",0,FACADE!P126)*INPUTS!$B$15)/1000+ARCH_AG!P126/144*INPUTS!$B$12*INPUTS!$C$35/1000)</f>
        <v>0</v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9" t="n">
        <f aca="false">IF(TRIB!E127="",0,(TRIB!E127*IF($D127="A",(INPUTS!$G$24/12*INPUTS!$B$12+INPUTS!$H$24),(INPUTS!$L$24/12*INPUTS!$B$12+INPUTS!$M$24))+IF(FACADE!E127="",0,FACADE!E127)*INPUTS!$B$15)/1000+ARCH_AG!E127/144*INPUTS!$B$12*INPUTS!$C$24/1000)</f>
        <v>0</v>
      </c>
      <c r="F127" s="9" t="n">
        <f aca="false">IF(TRIB!F127="",0,(TRIB!F127*IF($D127="A",(INPUTS!$G$25/12*INPUTS!$B$12+INPUTS!$H$25),(INPUTS!$L$25/12*INPUTS!$B$12+INPUTS!$M$25))+IF(FACADE!F127="",0,FACADE!F127)*INPUTS!$B$15)/1000+ARCH_AG!F127/144*INPUTS!$B$12*INPUTS!$C$25/1000)</f>
        <v>0</v>
      </c>
      <c r="G127" s="9" t="n">
        <f aca="false">IF(TRIB!G127="",0,(TRIB!G127*IF($D127="A",(INPUTS!$G$26/12*INPUTS!$B$12+INPUTS!$H$26),(INPUTS!$L$26/12*INPUTS!$B$12+INPUTS!$M$26))+IF(FACADE!G127="",0,FACADE!G127)*INPUTS!$B$15)/1000+ARCH_AG!G127/144*INPUTS!$B$12*INPUTS!$C$26/1000)</f>
        <v>0</v>
      </c>
      <c r="H127" s="9" t="n">
        <f aca="false">IF(TRIB!H127="",0,(TRIB!H127*IF($D127="A",(INPUTS!$G$27/12*INPUTS!$B$12+INPUTS!$H$27),(INPUTS!$L$27/12*INPUTS!$B$12+INPUTS!$M$27))+IF(FACADE!H127="",0,FACADE!H127)*INPUTS!$B$15)/1000+ARCH_AG!H127/144*INPUTS!$B$12*INPUTS!$C$27/1000)</f>
        <v>0</v>
      </c>
      <c r="I127" s="9" t="n">
        <f aca="false">IF(TRIB!I127="",0,(TRIB!I127*IF($D127="A",(INPUTS!$G$28/12*INPUTS!$B$12+INPUTS!$H$28),(INPUTS!$L$28/12*INPUTS!$B$12+INPUTS!$M$28))+IF(FACADE!I127="",0,FACADE!I127)*INPUTS!$B$15)/1000+ARCH_AG!I127/144*INPUTS!$B$12*INPUTS!$C$28/1000)</f>
        <v>0</v>
      </c>
      <c r="J127" s="9" t="n">
        <f aca="false">IF(TRIB!J127="",0,(TRIB!J127*IF($D127="A",(INPUTS!$G$29/12*INPUTS!$B$12+INPUTS!$H$29),(INPUTS!$L$29/12*INPUTS!$B$12+INPUTS!$M$29))+IF(FACADE!J127="",0,FACADE!J127)*INPUTS!$B$15)/1000+ARCH_AG!J127/144*INPUTS!$B$12*INPUTS!$C$29/1000)</f>
        <v>19.3725</v>
      </c>
      <c r="K127" s="9" t="n">
        <f aca="false">IF(TRIB!K127="",0,(TRIB!K127*IF($D127="A",(INPUTS!$G$30/12*INPUTS!$B$12+INPUTS!$H$30),(INPUTS!$L$30/12*INPUTS!$B$12+INPUTS!$M$30))+IF(FACADE!K127="",0,FACADE!K127)*INPUTS!$B$15)/1000+ARCH_AG!K127/144*INPUTS!$B$12*INPUTS!$C$30/1000)</f>
        <v>0</v>
      </c>
      <c r="L127" s="9" t="n">
        <f aca="false">IF(TRIB!L127="",0,(TRIB!L127*IF($D127="A",(INPUTS!$G$31/12*INPUTS!$B$12+INPUTS!$H$31),(INPUTS!$L$31/12*INPUTS!$B$12+INPUTS!$M$31))+IF(FACADE!L127="",0,FACADE!L127)*INPUTS!$B$15)/1000+ARCH_AG!L127/144*INPUTS!$B$12*INPUTS!$C$31/1000)</f>
        <v>0</v>
      </c>
      <c r="M127" s="9" t="n">
        <f aca="false">IF(TRIB!M127="",0,(TRIB!M127*IF($D127="A",(INPUTS!$G$32/12*INPUTS!$B$12+INPUTS!$H$32),(INPUTS!$L$32/12*INPUTS!$B$12+INPUTS!$M$32))+IF(FACADE!M127="",0,FACADE!M127)*INPUTS!$B$15)/1000+ARCH_AG!M127/144*INPUTS!$B$12*INPUTS!$C$32/1000)</f>
        <v>0</v>
      </c>
      <c r="N127" s="9" t="n">
        <f aca="false">IF(TRIB!N127="",0,(TRIB!N127*IF($D127="A",(INPUTS!$G$33/12*INPUTS!$B$12+INPUTS!$H$33),(INPUTS!$L$33/12*INPUTS!$B$12+INPUTS!$M$33))+IF(FACADE!N127="",0,FACADE!N127)*INPUTS!$B$15)/1000+ARCH_AG!N127/144*INPUTS!$B$12*INPUTS!$C$33/1000)</f>
        <v>0</v>
      </c>
      <c r="O127" s="9" t="n">
        <f aca="false">IF(TRIB!O127="",0,(TRIB!O127*IF($D127="A",(INPUTS!$G$34/12*INPUTS!$B$12+INPUTS!$H$34),(INPUTS!$L$34/12*INPUTS!$B$12+INPUTS!$M$34))+IF(FACADE!O127="",0,FACADE!O127)*INPUTS!$B$15)/1000+ARCH_AG!O127/144*INPUTS!$B$12*INPUTS!$C$34/1000)</f>
        <v>0</v>
      </c>
      <c r="P127" s="9" t="n">
        <f aca="false">IF(TRIB!P127="",0,(TRIB!P127*IF($D127="A",(INPUTS!$G$35/12*INPUTS!$B$12+INPUTS!$H$35),(INPUTS!$L$35/12*INPUTS!$B$12+INPUTS!$M$35))+IF(FACADE!P127="",0,FACADE!P127)*INPUTS!$B$15)/1000+ARCH_AG!P127/144*INPUTS!$B$12*INPUTS!$C$35/1000)</f>
        <v>0</v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9" t="n">
        <f aca="false">IF(TRIB!E128="",0,(TRIB!E128*IF($D128="A",(INPUTS!$G$24/12*INPUTS!$B$12+INPUTS!$H$24),(INPUTS!$L$24/12*INPUTS!$B$12+INPUTS!$M$24))+IF(FACADE!E128="",0,FACADE!E128)*INPUTS!$B$15)/1000+ARCH_AG!E128/144*INPUTS!$B$12*INPUTS!$C$24/1000)</f>
        <v>0</v>
      </c>
      <c r="F128" s="9" t="n">
        <f aca="false">IF(TRIB!F128="",0,(TRIB!F128*IF($D128="A",(INPUTS!$G$25/12*INPUTS!$B$12+INPUTS!$H$25),(INPUTS!$L$25/12*INPUTS!$B$12+INPUTS!$M$25))+IF(FACADE!F128="",0,FACADE!F128)*INPUTS!$B$15)/1000+ARCH_AG!F128/144*INPUTS!$B$12*INPUTS!$C$25/1000)</f>
        <v>0</v>
      </c>
      <c r="G128" s="9" t="n">
        <f aca="false">IF(TRIB!G128="",0,(TRIB!G128*IF($D128="A",(INPUTS!$G$26/12*INPUTS!$B$12+INPUTS!$H$26),(INPUTS!$L$26/12*INPUTS!$B$12+INPUTS!$M$26))+IF(FACADE!G128="",0,FACADE!G128)*INPUTS!$B$15)/1000+ARCH_AG!G128/144*INPUTS!$B$12*INPUTS!$C$26/1000)</f>
        <v>0</v>
      </c>
      <c r="H128" s="9" t="n">
        <f aca="false">IF(TRIB!H128="",0,(TRIB!H128*IF($D128="A",(INPUTS!$G$27/12*INPUTS!$B$12+INPUTS!$H$27),(INPUTS!$L$27/12*INPUTS!$B$12+INPUTS!$M$27))+IF(FACADE!H128="",0,FACADE!H128)*INPUTS!$B$15)/1000+ARCH_AG!H128/144*INPUTS!$B$12*INPUTS!$C$27/1000)</f>
        <v>0</v>
      </c>
      <c r="I128" s="9" t="n">
        <f aca="false">IF(TRIB!I128="",0,(TRIB!I128*IF($D128="A",(INPUTS!$G$28/12*INPUTS!$B$12+INPUTS!$H$28),(INPUTS!$L$28/12*INPUTS!$B$12+INPUTS!$M$28))+IF(FACADE!I128="",0,FACADE!I128)*INPUTS!$B$15)/1000+ARCH_AG!I128/144*INPUTS!$B$12*INPUTS!$C$28/1000)</f>
        <v>0</v>
      </c>
      <c r="J128" s="9" t="n">
        <f aca="false">IF(TRIB!J128="",0,(TRIB!J128*IF($D128="A",(INPUTS!$G$29/12*INPUTS!$B$12+INPUTS!$H$29),(INPUTS!$L$29/12*INPUTS!$B$12+INPUTS!$M$29))+IF(FACADE!J128="",0,FACADE!J128)*INPUTS!$B$15)/1000+ARCH_AG!J128/144*INPUTS!$B$12*INPUTS!$C$29/1000)</f>
        <v>5.5125</v>
      </c>
      <c r="K128" s="9" t="n">
        <f aca="false">IF(TRIB!K128="",0,(TRIB!K128*IF($D128="A",(INPUTS!$G$30/12*INPUTS!$B$12+INPUTS!$H$30),(INPUTS!$L$30/12*INPUTS!$B$12+INPUTS!$M$30))+IF(FACADE!K128="",0,FACADE!K128)*INPUTS!$B$15)/1000+ARCH_AG!K128/144*INPUTS!$B$12*INPUTS!$C$30/1000)</f>
        <v>0</v>
      </c>
      <c r="L128" s="9" t="n">
        <f aca="false">IF(TRIB!L128="",0,(TRIB!L128*IF($D128="A",(INPUTS!$G$31/12*INPUTS!$B$12+INPUTS!$H$31),(INPUTS!$L$31/12*INPUTS!$B$12+INPUTS!$M$31))+IF(FACADE!L128="",0,FACADE!L128)*INPUTS!$B$15)/1000+ARCH_AG!L128/144*INPUTS!$B$12*INPUTS!$C$31/1000)</f>
        <v>0</v>
      </c>
      <c r="M128" s="9" t="n">
        <f aca="false">IF(TRIB!M128="",0,(TRIB!M128*IF($D128="A",(INPUTS!$G$32/12*INPUTS!$B$12+INPUTS!$H$32),(INPUTS!$L$32/12*INPUTS!$B$12+INPUTS!$M$32))+IF(FACADE!M128="",0,FACADE!M128)*INPUTS!$B$15)/1000+ARCH_AG!M128/144*INPUTS!$B$12*INPUTS!$C$32/1000)</f>
        <v>0</v>
      </c>
      <c r="N128" s="9" t="n">
        <f aca="false">IF(TRIB!N128="",0,(TRIB!N128*IF($D128="A",(INPUTS!$G$33/12*INPUTS!$B$12+INPUTS!$H$33),(INPUTS!$L$33/12*INPUTS!$B$12+INPUTS!$M$33))+IF(FACADE!N128="",0,FACADE!N128)*INPUTS!$B$15)/1000+ARCH_AG!N128/144*INPUTS!$B$12*INPUTS!$C$33/1000)</f>
        <v>0</v>
      </c>
      <c r="O128" s="9" t="n">
        <f aca="false">IF(TRIB!O128="",0,(TRIB!O128*IF($D128="A",(INPUTS!$G$34/12*INPUTS!$B$12+INPUTS!$H$34),(INPUTS!$L$34/12*INPUTS!$B$12+INPUTS!$M$34))+IF(FACADE!O128="",0,FACADE!O128)*INPUTS!$B$15)/1000+ARCH_AG!O128/144*INPUTS!$B$12*INPUTS!$C$34/1000)</f>
        <v>0</v>
      </c>
      <c r="P128" s="9" t="n">
        <f aca="false">IF(TRIB!P128="",0,(TRIB!P128*IF($D128="A",(INPUTS!$G$35/12*INPUTS!$B$12+INPUTS!$H$35),(INPUTS!$L$35/12*INPUTS!$B$12+INPUTS!$M$35))+IF(FACADE!P128="",0,FACADE!P128)*INPUTS!$B$15)/1000+ARCH_AG!P128/144*INPUTS!$B$12*INPUTS!$C$35/1000)</f>
        <v>0</v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9" t="n">
        <f aca="false">IF(TRIB!E129="",0,(TRIB!E129*IF($D129="A",(INPUTS!$G$24/12*INPUTS!$B$12+INPUTS!$H$24),(INPUTS!$L$24/12*INPUTS!$B$12+INPUTS!$M$24))+IF(FACADE!E129="",0,FACADE!E129)*INPUTS!$B$15)/1000+ARCH_AG!E129/144*INPUTS!$B$12*INPUTS!$C$24/1000)</f>
        <v>0</v>
      </c>
      <c r="F129" s="9" t="n">
        <f aca="false">IF(TRIB!F129="",0,(TRIB!F129*IF($D129="A",(INPUTS!$G$25/12*INPUTS!$B$12+INPUTS!$H$25),(INPUTS!$L$25/12*INPUTS!$B$12+INPUTS!$M$25))+IF(FACADE!F129="",0,FACADE!F129)*INPUTS!$B$15)/1000+ARCH_AG!F129/144*INPUTS!$B$12*INPUTS!$C$25/1000)</f>
        <v>0</v>
      </c>
      <c r="G129" s="9" t="n">
        <f aca="false">IF(TRIB!G129="",0,(TRIB!G129*IF($D129="A",(INPUTS!$G$26/12*INPUTS!$B$12+INPUTS!$H$26),(INPUTS!$L$26/12*INPUTS!$B$12+INPUTS!$M$26))+IF(FACADE!G129="",0,FACADE!G129)*INPUTS!$B$15)/1000+ARCH_AG!G129/144*INPUTS!$B$12*INPUTS!$C$26/1000)</f>
        <v>0</v>
      </c>
      <c r="H129" s="9" t="n">
        <f aca="false">IF(TRIB!H129="",0,(TRIB!H129*IF($D129="A",(INPUTS!$G$27/12*INPUTS!$B$12+INPUTS!$H$27),(INPUTS!$L$27/12*INPUTS!$B$12+INPUTS!$M$27))+IF(FACADE!H129="",0,FACADE!H129)*INPUTS!$B$15)/1000+ARCH_AG!H129/144*INPUTS!$B$12*INPUTS!$C$27/1000)</f>
        <v>0</v>
      </c>
      <c r="I129" s="9" t="n">
        <f aca="false">IF(TRIB!I129="",0,(TRIB!I129*IF($D129="A",(INPUTS!$G$28/12*INPUTS!$B$12+INPUTS!$H$28),(INPUTS!$L$28/12*INPUTS!$B$12+INPUTS!$M$28))+IF(FACADE!I129="",0,FACADE!I129)*INPUTS!$B$15)/1000+ARCH_AG!I129/144*INPUTS!$B$12*INPUTS!$C$28/1000)</f>
        <v>0</v>
      </c>
      <c r="J129" s="9" t="n">
        <f aca="false">IF(TRIB!J129="",0,(TRIB!J129*IF($D129="A",(INPUTS!$G$29/12*INPUTS!$B$12+INPUTS!$H$29),(INPUTS!$L$29/12*INPUTS!$B$12+INPUTS!$M$29))+IF(FACADE!J129="",0,FACADE!J129)*INPUTS!$B$15)/1000+ARCH_AG!J129/144*INPUTS!$B$12*INPUTS!$C$29/1000)</f>
        <v>5.5125</v>
      </c>
      <c r="K129" s="9" t="n">
        <f aca="false">IF(TRIB!K129="",0,(TRIB!K129*IF($D129="A",(INPUTS!$G$30/12*INPUTS!$B$12+INPUTS!$H$30),(INPUTS!$L$30/12*INPUTS!$B$12+INPUTS!$M$30))+IF(FACADE!K129="",0,FACADE!K129)*INPUTS!$B$15)/1000+ARCH_AG!K129/144*INPUTS!$B$12*INPUTS!$C$30/1000)</f>
        <v>0</v>
      </c>
      <c r="L129" s="9" t="n">
        <f aca="false">IF(TRIB!L129="",0,(TRIB!L129*IF($D129="A",(INPUTS!$G$31/12*INPUTS!$B$12+INPUTS!$H$31),(INPUTS!$L$31/12*INPUTS!$B$12+INPUTS!$M$31))+IF(FACADE!L129="",0,FACADE!L129)*INPUTS!$B$15)/1000+ARCH_AG!L129/144*INPUTS!$B$12*INPUTS!$C$31/1000)</f>
        <v>0</v>
      </c>
      <c r="M129" s="9" t="n">
        <f aca="false">IF(TRIB!M129="",0,(TRIB!M129*IF($D129="A",(INPUTS!$G$32/12*INPUTS!$B$12+INPUTS!$H$32),(INPUTS!$L$32/12*INPUTS!$B$12+INPUTS!$M$32))+IF(FACADE!M129="",0,FACADE!M129)*INPUTS!$B$15)/1000+ARCH_AG!M129/144*INPUTS!$B$12*INPUTS!$C$32/1000)</f>
        <v>0</v>
      </c>
      <c r="N129" s="9" t="n">
        <f aca="false">IF(TRIB!N129="",0,(TRIB!N129*IF($D129="A",(INPUTS!$G$33/12*INPUTS!$B$12+INPUTS!$H$33),(INPUTS!$L$33/12*INPUTS!$B$12+INPUTS!$M$33))+IF(FACADE!N129="",0,FACADE!N129)*INPUTS!$B$15)/1000+ARCH_AG!N129/144*INPUTS!$B$12*INPUTS!$C$33/1000)</f>
        <v>0</v>
      </c>
      <c r="O129" s="9" t="n">
        <f aca="false">IF(TRIB!O129="",0,(TRIB!O129*IF($D129="A",(INPUTS!$G$34/12*INPUTS!$B$12+INPUTS!$H$34),(INPUTS!$L$34/12*INPUTS!$B$12+INPUTS!$M$34))+IF(FACADE!O129="",0,FACADE!O129)*INPUTS!$B$15)/1000+ARCH_AG!O129/144*INPUTS!$B$12*INPUTS!$C$34/1000)</f>
        <v>0</v>
      </c>
      <c r="P129" s="9" t="n">
        <f aca="false">IF(TRIB!P129="",0,(TRIB!P129*IF($D129="A",(INPUTS!$G$35/12*INPUTS!$B$12+INPUTS!$H$35),(INPUTS!$L$35/12*INPUTS!$B$12+INPUTS!$M$35))+IF(FACADE!P129="",0,FACADE!P129)*INPUTS!$B$15)/1000+ARCH_AG!P129/144*INPUTS!$B$12*INPUTS!$C$35/1000)</f>
        <v>0</v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9" t="n">
        <f aca="false">IF(TRIB!E130="",0,(TRIB!E130*IF($D130="A",(INPUTS!$G$24/12*INPUTS!$B$12+INPUTS!$H$24),(INPUTS!$L$24/12*INPUTS!$B$12+INPUTS!$M$24))+IF(FACADE!E130="",0,FACADE!E130)*INPUTS!$B$15)/1000+ARCH_AG!E130/144*INPUTS!$B$12*INPUTS!$C$24/1000)</f>
        <v>0</v>
      </c>
      <c r="F130" s="9" t="n">
        <f aca="false">IF(TRIB!F130="",0,(TRIB!F130*IF($D130="A",(INPUTS!$G$25/12*INPUTS!$B$12+INPUTS!$H$25),(INPUTS!$L$25/12*INPUTS!$B$12+INPUTS!$M$25))+IF(FACADE!F130="",0,FACADE!F130)*INPUTS!$B$15)/1000+ARCH_AG!F130/144*INPUTS!$B$12*INPUTS!$C$25/1000)</f>
        <v>0</v>
      </c>
      <c r="G130" s="9" t="n">
        <f aca="false">IF(TRIB!G130="",0,(TRIB!G130*IF($D130="A",(INPUTS!$G$26/12*INPUTS!$B$12+INPUTS!$H$26),(INPUTS!$L$26/12*INPUTS!$B$12+INPUTS!$M$26))+IF(FACADE!G130="",0,FACADE!G130)*INPUTS!$B$15)/1000+ARCH_AG!G130/144*INPUTS!$B$12*INPUTS!$C$26/1000)</f>
        <v>0</v>
      </c>
      <c r="H130" s="9" t="n">
        <f aca="false">IF(TRIB!H130="",0,(TRIB!H130*IF($D130="A",(INPUTS!$G$27/12*INPUTS!$B$12+INPUTS!$H$27),(INPUTS!$L$27/12*INPUTS!$B$12+INPUTS!$M$27))+IF(FACADE!H130="",0,FACADE!H130)*INPUTS!$B$15)/1000+ARCH_AG!H130/144*INPUTS!$B$12*INPUTS!$C$27/1000)</f>
        <v>0</v>
      </c>
      <c r="I130" s="9" t="n">
        <f aca="false">IF(TRIB!I130="",0,(TRIB!I130*IF($D130="A",(INPUTS!$G$28/12*INPUTS!$B$12+INPUTS!$H$28),(INPUTS!$L$28/12*INPUTS!$B$12+INPUTS!$M$28))+IF(FACADE!I130="",0,FACADE!I130)*INPUTS!$B$15)/1000+ARCH_AG!I130/144*INPUTS!$B$12*INPUTS!$C$28/1000)</f>
        <v>0</v>
      </c>
      <c r="J130" s="9" t="n">
        <f aca="false">IF(TRIB!J130="",0,(TRIB!J130*IF($D130="A",(INPUTS!$G$29/12*INPUTS!$B$12+INPUTS!$H$29),(INPUTS!$L$29/12*INPUTS!$B$12+INPUTS!$M$29))+IF(FACADE!J130="",0,FACADE!J130)*INPUTS!$B$15)/1000+ARCH_AG!J130/144*INPUTS!$B$12*INPUTS!$C$29/1000)</f>
        <v>25.5225</v>
      </c>
      <c r="K130" s="9" t="n">
        <f aca="false">IF(TRIB!K130="",0,(TRIB!K130*IF($D130="A",(INPUTS!$G$30/12*INPUTS!$B$12+INPUTS!$H$30),(INPUTS!$L$30/12*INPUTS!$B$12+INPUTS!$M$30))+IF(FACADE!K130="",0,FACADE!K130)*INPUTS!$B$15)/1000+ARCH_AG!K130/144*INPUTS!$B$12*INPUTS!$C$30/1000)</f>
        <v>0</v>
      </c>
      <c r="L130" s="9" t="n">
        <f aca="false">IF(TRIB!L130="",0,(TRIB!L130*IF($D130="A",(INPUTS!$G$31/12*INPUTS!$B$12+INPUTS!$H$31),(INPUTS!$L$31/12*INPUTS!$B$12+INPUTS!$M$31))+IF(FACADE!L130="",0,FACADE!L130)*INPUTS!$B$15)/1000+ARCH_AG!L130/144*INPUTS!$B$12*INPUTS!$C$31/1000)</f>
        <v>0</v>
      </c>
      <c r="M130" s="9" t="n">
        <f aca="false">IF(TRIB!M130="",0,(TRIB!M130*IF($D130="A",(INPUTS!$G$32/12*INPUTS!$B$12+INPUTS!$H$32),(INPUTS!$L$32/12*INPUTS!$B$12+INPUTS!$M$32))+IF(FACADE!M130="",0,FACADE!M130)*INPUTS!$B$15)/1000+ARCH_AG!M130/144*INPUTS!$B$12*INPUTS!$C$32/1000)</f>
        <v>0</v>
      </c>
      <c r="N130" s="9" t="n">
        <f aca="false">IF(TRIB!N130="",0,(TRIB!N130*IF($D130="A",(INPUTS!$G$33/12*INPUTS!$B$12+INPUTS!$H$33),(INPUTS!$L$33/12*INPUTS!$B$12+INPUTS!$M$33))+IF(FACADE!N130="",0,FACADE!N130)*INPUTS!$B$15)/1000+ARCH_AG!N130/144*INPUTS!$B$12*INPUTS!$C$33/1000)</f>
        <v>0</v>
      </c>
      <c r="O130" s="9" t="n">
        <f aca="false">IF(TRIB!O130="",0,(TRIB!O130*IF($D130="A",(INPUTS!$G$34/12*INPUTS!$B$12+INPUTS!$H$34),(INPUTS!$L$34/12*INPUTS!$B$12+INPUTS!$M$34))+IF(FACADE!O130="",0,FACADE!O130)*INPUTS!$B$15)/1000+ARCH_AG!O130/144*INPUTS!$B$12*INPUTS!$C$34/1000)</f>
        <v>0</v>
      </c>
      <c r="P130" s="9" t="n">
        <f aca="false">IF(TRIB!P130="",0,(TRIB!P130*IF($D130="A",(INPUTS!$G$35/12*INPUTS!$B$12+INPUTS!$H$35),(INPUTS!$L$35/12*INPUTS!$B$12+INPUTS!$M$35))+IF(FACADE!P130="",0,FACADE!P130)*INPUTS!$B$15)/1000+ARCH_AG!P130/144*INPUTS!$B$12*INPUTS!$C$35/1000)</f>
        <v>0</v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9" t="n">
        <f aca="false">IF(TRIB!E131="",0,(TRIB!E131*IF($D131="A",(INPUTS!$G$24/12*INPUTS!$B$12+INPUTS!$H$24),(INPUTS!$L$24/12*INPUTS!$B$12+INPUTS!$M$24))+IF(FACADE!E131="",0,FACADE!E131)*INPUTS!$B$15)/1000+ARCH_AG!E131/144*INPUTS!$B$12*INPUTS!$C$24/1000)</f>
        <v>0</v>
      </c>
      <c r="F131" s="9" t="n">
        <f aca="false">IF(TRIB!F131="",0,(TRIB!F131*IF($D131="A",(INPUTS!$G$25/12*INPUTS!$B$12+INPUTS!$H$25),(INPUTS!$L$25/12*INPUTS!$B$12+INPUTS!$M$25))+IF(FACADE!F131="",0,FACADE!F131)*INPUTS!$B$15)/1000+ARCH_AG!F131/144*INPUTS!$B$12*INPUTS!$C$25/1000)</f>
        <v>0</v>
      </c>
      <c r="G131" s="9" t="n">
        <f aca="false">IF(TRIB!G131="",0,(TRIB!G131*IF($D131="A",(INPUTS!$G$26/12*INPUTS!$B$12+INPUTS!$H$26),(INPUTS!$L$26/12*INPUTS!$B$12+INPUTS!$M$26))+IF(FACADE!G131="",0,FACADE!G131)*INPUTS!$B$15)/1000+ARCH_AG!G131/144*INPUTS!$B$12*INPUTS!$C$26/1000)</f>
        <v>0</v>
      </c>
      <c r="H131" s="9" t="n">
        <f aca="false">IF(TRIB!H131="",0,(TRIB!H131*IF($D131="A",(INPUTS!$G$27/12*INPUTS!$B$12+INPUTS!$H$27),(INPUTS!$L$27/12*INPUTS!$B$12+INPUTS!$M$27))+IF(FACADE!H131="",0,FACADE!H131)*INPUTS!$B$15)/1000+ARCH_AG!H131/144*INPUTS!$B$12*INPUTS!$C$27/1000)</f>
        <v>0</v>
      </c>
      <c r="I131" s="9" t="n">
        <f aca="false">IF(TRIB!I131="",0,(TRIB!I131*IF($D131="A",(INPUTS!$G$28/12*INPUTS!$B$12+INPUTS!$H$28),(INPUTS!$L$28/12*INPUTS!$B$12+INPUTS!$M$28))+IF(FACADE!I131="",0,FACADE!I131)*INPUTS!$B$15)/1000+ARCH_AG!I131/144*INPUTS!$B$12*INPUTS!$C$28/1000)</f>
        <v>0</v>
      </c>
      <c r="J131" s="9" t="n">
        <f aca="false">IF(TRIB!J131="",0,(TRIB!J131*IF($D131="A",(INPUTS!$G$29/12*INPUTS!$B$12+INPUTS!$H$29),(INPUTS!$L$29/12*INPUTS!$B$12+INPUTS!$M$29))+IF(FACADE!J131="",0,FACADE!J131)*INPUTS!$B$15)/1000+ARCH_AG!J131/144*INPUTS!$B$12*INPUTS!$C$29/1000)</f>
        <v>5.5125</v>
      </c>
      <c r="K131" s="9" t="n">
        <f aca="false">IF(TRIB!K131="",0,(TRIB!K131*IF($D131="A",(INPUTS!$G$30/12*INPUTS!$B$12+INPUTS!$H$30),(INPUTS!$L$30/12*INPUTS!$B$12+INPUTS!$M$30))+IF(FACADE!K131="",0,FACADE!K131)*INPUTS!$B$15)/1000+ARCH_AG!K131/144*INPUTS!$B$12*INPUTS!$C$30/1000)</f>
        <v>0</v>
      </c>
      <c r="L131" s="9" t="n">
        <f aca="false">IF(TRIB!L131="",0,(TRIB!L131*IF($D131="A",(INPUTS!$G$31/12*INPUTS!$B$12+INPUTS!$H$31),(INPUTS!$L$31/12*INPUTS!$B$12+INPUTS!$M$31))+IF(FACADE!L131="",0,FACADE!L131)*INPUTS!$B$15)/1000+ARCH_AG!L131/144*INPUTS!$B$12*INPUTS!$C$31/1000)</f>
        <v>0</v>
      </c>
      <c r="M131" s="9" t="n">
        <f aca="false">IF(TRIB!M131="",0,(TRIB!M131*IF($D131="A",(INPUTS!$G$32/12*INPUTS!$B$12+INPUTS!$H$32),(INPUTS!$L$32/12*INPUTS!$B$12+INPUTS!$M$32))+IF(FACADE!M131="",0,FACADE!M131)*INPUTS!$B$15)/1000+ARCH_AG!M131/144*INPUTS!$B$12*INPUTS!$C$32/1000)</f>
        <v>0</v>
      </c>
      <c r="N131" s="9" t="n">
        <f aca="false">IF(TRIB!N131="",0,(TRIB!N131*IF($D131="A",(INPUTS!$G$33/12*INPUTS!$B$12+INPUTS!$H$33),(INPUTS!$L$33/12*INPUTS!$B$12+INPUTS!$M$33))+IF(FACADE!N131="",0,FACADE!N131)*INPUTS!$B$15)/1000+ARCH_AG!N131/144*INPUTS!$B$12*INPUTS!$C$33/1000)</f>
        <v>0</v>
      </c>
      <c r="O131" s="9" t="n">
        <f aca="false">IF(TRIB!O131="",0,(TRIB!O131*IF($D131="A",(INPUTS!$G$34/12*INPUTS!$B$12+INPUTS!$H$34),(INPUTS!$L$34/12*INPUTS!$B$12+INPUTS!$M$34))+IF(FACADE!O131="",0,FACADE!O131)*INPUTS!$B$15)/1000+ARCH_AG!O131/144*INPUTS!$B$12*INPUTS!$C$34/1000)</f>
        <v>0</v>
      </c>
      <c r="P131" s="9" t="n">
        <f aca="false">IF(TRIB!P131="",0,(TRIB!P131*IF($D131="A",(INPUTS!$G$35/12*INPUTS!$B$12+INPUTS!$H$35),(INPUTS!$L$35/12*INPUTS!$B$12+INPUTS!$M$35))+IF(FACADE!P131="",0,FACADE!P131)*INPUTS!$B$15)/1000+ARCH_AG!P131/144*INPUTS!$B$12*INPUTS!$C$35/1000)</f>
        <v>0</v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9" t="n">
        <f aca="false">IF(TRIB!E132="",0,(TRIB!E132*IF($D132="A",(INPUTS!$G$24/12*INPUTS!$B$12+INPUTS!$H$24),(INPUTS!$L$24/12*INPUTS!$B$12+INPUTS!$M$24))+IF(FACADE!E132="",0,FACADE!E132)*INPUTS!$B$15)/1000+ARCH_AG!E132/144*INPUTS!$B$12*INPUTS!$C$24/1000)</f>
        <v>0</v>
      </c>
      <c r="F132" s="9" t="n">
        <f aca="false">IF(TRIB!F132="",0,(TRIB!F132*IF($D132="A",(INPUTS!$G$25/12*INPUTS!$B$12+INPUTS!$H$25),(INPUTS!$L$25/12*INPUTS!$B$12+INPUTS!$M$25))+IF(FACADE!F132="",0,FACADE!F132)*INPUTS!$B$15)/1000+ARCH_AG!F132/144*INPUTS!$B$12*INPUTS!$C$25/1000)</f>
        <v>0</v>
      </c>
      <c r="G132" s="9" t="n">
        <f aca="false">IF(TRIB!G132="",0,(TRIB!G132*IF($D132="A",(INPUTS!$G$26/12*INPUTS!$B$12+INPUTS!$H$26),(INPUTS!$L$26/12*INPUTS!$B$12+INPUTS!$M$26))+IF(FACADE!G132="",0,FACADE!G132)*INPUTS!$B$15)/1000+ARCH_AG!G132/144*INPUTS!$B$12*INPUTS!$C$26/1000)</f>
        <v>0</v>
      </c>
      <c r="H132" s="9" t="n">
        <f aca="false">IF(TRIB!H132="",0,(TRIB!H132*IF($D132="A",(INPUTS!$G$27/12*INPUTS!$B$12+INPUTS!$H$27),(INPUTS!$L$27/12*INPUTS!$B$12+INPUTS!$M$27))+IF(FACADE!H132="",0,FACADE!H132)*INPUTS!$B$15)/1000+ARCH_AG!H132/144*INPUTS!$B$12*INPUTS!$C$27/1000)</f>
        <v>0</v>
      </c>
      <c r="I132" s="9" t="n">
        <f aca="false">IF(TRIB!I132="",0,(TRIB!I132*IF($D132="A",(INPUTS!$G$28/12*INPUTS!$B$12+INPUTS!$H$28),(INPUTS!$L$28/12*INPUTS!$B$12+INPUTS!$M$28))+IF(FACADE!I132="",0,FACADE!I132)*INPUTS!$B$15)/1000+ARCH_AG!I132/144*INPUTS!$B$12*INPUTS!$C$28/1000)</f>
        <v>0</v>
      </c>
      <c r="J132" s="9" t="n">
        <f aca="false">IF(TRIB!J132="",0,(TRIB!J132*IF($D132="A",(INPUTS!$G$29/12*INPUTS!$B$12+INPUTS!$H$29),(INPUTS!$L$29/12*INPUTS!$B$12+INPUTS!$M$29))+IF(FACADE!J132="",0,FACADE!J132)*INPUTS!$B$15)/1000+ARCH_AG!J132/144*INPUTS!$B$12*INPUTS!$C$29/1000)</f>
        <v>5.5125</v>
      </c>
      <c r="K132" s="9" t="n">
        <f aca="false">IF(TRIB!K132="",0,(TRIB!K132*IF($D132="A",(INPUTS!$G$30/12*INPUTS!$B$12+INPUTS!$H$30),(INPUTS!$L$30/12*INPUTS!$B$12+INPUTS!$M$30))+IF(FACADE!K132="",0,FACADE!K132)*INPUTS!$B$15)/1000+ARCH_AG!K132/144*INPUTS!$B$12*INPUTS!$C$30/1000)</f>
        <v>0</v>
      </c>
      <c r="L132" s="9" t="n">
        <f aca="false">IF(TRIB!L132="",0,(TRIB!L132*IF($D132="A",(INPUTS!$G$31/12*INPUTS!$B$12+INPUTS!$H$31),(INPUTS!$L$31/12*INPUTS!$B$12+INPUTS!$M$31))+IF(FACADE!L132="",0,FACADE!L132)*INPUTS!$B$15)/1000+ARCH_AG!L132/144*INPUTS!$B$12*INPUTS!$C$31/1000)</f>
        <v>0</v>
      </c>
      <c r="M132" s="9" t="n">
        <f aca="false">IF(TRIB!M132="",0,(TRIB!M132*IF($D132="A",(INPUTS!$G$32/12*INPUTS!$B$12+INPUTS!$H$32),(INPUTS!$L$32/12*INPUTS!$B$12+INPUTS!$M$32))+IF(FACADE!M132="",0,FACADE!M132)*INPUTS!$B$15)/1000+ARCH_AG!M132/144*INPUTS!$B$12*INPUTS!$C$32/1000)</f>
        <v>0</v>
      </c>
      <c r="N132" s="9" t="n">
        <f aca="false">IF(TRIB!N132="",0,(TRIB!N132*IF($D132="A",(INPUTS!$G$33/12*INPUTS!$B$12+INPUTS!$H$33),(INPUTS!$L$33/12*INPUTS!$B$12+INPUTS!$M$33))+IF(FACADE!N132="",0,FACADE!N132)*INPUTS!$B$15)/1000+ARCH_AG!N132/144*INPUTS!$B$12*INPUTS!$C$33/1000)</f>
        <v>0</v>
      </c>
      <c r="O132" s="9" t="n">
        <f aca="false">IF(TRIB!O132="",0,(TRIB!O132*IF($D132="A",(INPUTS!$G$34/12*INPUTS!$B$12+INPUTS!$H$34),(INPUTS!$L$34/12*INPUTS!$B$12+INPUTS!$M$34))+IF(FACADE!O132="",0,FACADE!O132)*INPUTS!$B$15)/1000+ARCH_AG!O132/144*INPUTS!$B$12*INPUTS!$C$34/1000)</f>
        <v>0</v>
      </c>
      <c r="P132" s="9" t="n">
        <f aca="false">IF(TRIB!P132="",0,(TRIB!P132*IF($D132="A",(INPUTS!$G$35/12*INPUTS!$B$12+INPUTS!$H$35),(INPUTS!$L$35/12*INPUTS!$B$12+INPUTS!$M$35))+IF(FACADE!P132="",0,FACADE!P132)*INPUTS!$B$15)/1000+ARCH_AG!P132/144*INPUTS!$B$12*INPUTS!$C$35/1000)</f>
        <v>0</v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9" t="n">
        <f aca="false">IF(TRIB!E133="",0,(TRIB!E133*IF($D133="A",(INPUTS!$G$24/12*INPUTS!$B$12+INPUTS!$H$24),(INPUTS!$L$24/12*INPUTS!$B$12+INPUTS!$M$24))+IF(FACADE!E133="",0,FACADE!E133)*INPUTS!$B$15)/1000+ARCH_AG!E133/144*INPUTS!$B$12*INPUTS!$C$24/1000)</f>
        <v>0</v>
      </c>
      <c r="F133" s="9" t="n">
        <f aca="false">IF(TRIB!F133="",0,(TRIB!F133*IF($D133="A",(INPUTS!$G$25/12*INPUTS!$B$12+INPUTS!$H$25),(INPUTS!$L$25/12*INPUTS!$B$12+INPUTS!$M$25))+IF(FACADE!F133="",0,FACADE!F133)*INPUTS!$B$15)/1000+ARCH_AG!F133/144*INPUTS!$B$12*INPUTS!$C$25/1000)</f>
        <v>0</v>
      </c>
      <c r="G133" s="9" t="n">
        <f aca="false">IF(TRIB!G133="",0,(TRIB!G133*IF($D133="A",(INPUTS!$G$26/12*INPUTS!$B$12+INPUTS!$H$26),(INPUTS!$L$26/12*INPUTS!$B$12+INPUTS!$M$26))+IF(FACADE!G133="",0,FACADE!G133)*INPUTS!$B$15)/1000+ARCH_AG!G133/144*INPUTS!$B$12*INPUTS!$C$26/1000)</f>
        <v>0</v>
      </c>
      <c r="H133" s="9" t="n">
        <f aca="false">IF(TRIB!H133="",0,(TRIB!H133*IF($D133="A",(INPUTS!$G$27/12*INPUTS!$B$12+INPUTS!$H$27),(INPUTS!$L$27/12*INPUTS!$B$12+INPUTS!$M$27))+IF(FACADE!H133="",0,FACADE!H133)*INPUTS!$B$15)/1000+ARCH_AG!H133/144*INPUTS!$B$12*INPUTS!$C$27/1000)</f>
        <v>0</v>
      </c>
      <c r="I133" s="9" t="n">
        <f aca="false">IF(TRIB!I133="",0,(TRIB!I133*IF($D133="A",(INPUTS!$G$28/12*INPUTS!$B$12+INPUTS!$H$28),(INPUTS!$L$28/12*INPUTS!$B$12+INPUTS!$M$28))+IF(FACADE!I133="",0,FACADE!I133)*INPUTS!$B$15)/1000+ARCH_AG!I133/144*INPUTS!$B$12*INPUTS!$C$28/1000)</f>
        <v>21.5925</v>
      </c>
      <c r="J133" s="9" t="n">
        <f aca="false">IF(TRIB!J133="",0,(TRIB!J133*IF($D133="A",(INPUTS!$G$29/12*INPUTS!$B$12+INPUTS!$H$29),(INPUTS!$L$29/12*INPUTS!$B$12+INPUTS!$M$29))+IF(FACADE!J133="",0,FACADE!J133)*INPUTS!$B$15)/1000+ARCH_AG!J133/144*INPUTS!$B$12*INPUTS!$C$29/1000)</f>
        <v>0</v>
      </c>
      <c r="K133" s="9" t="n">
        <f aca="false">IF(TRIB!K133="",0,(TRIB!K133*IF($D133="A",(INPUTS!$G$30/12*INPUTS!$B$12+INPUTS!$H$30),(INPUTS!$L$30/12*INPUTS!$B$12+INPUTS!$M$30))+IF(FACADE!K133="",0,FACADE!K133)*INPUTS!$B$15)/1000+ARCH_AG!K133/144*INPUTS!$B$12*INPUTS!$C$30/1000)</f>
        <v>0</v>
      </c>
      <c r="L133" s="9" t="n">
        <f aca="false">IF(TRIB!L133="",0,(TRIB!L133*IF($D133="A",(INPUTS!$G$31/12*INPUTS!$B$12+INPUTS!$H$31),(INPUTS!$L$31/12*INPUTS!$B$12+INPUTS!$M$31))+IF(FACADE!L133="",0,FACADE!L133)*INPUTS!$B$15)/1000+ARCH_AG!L133/144*INPUTS!$B$12*INPUTS!$C$31/1000)</f>
        <v>0</v>
      </c>
      <c r="M133" s="9" t="n">
        <f aca="false">IF(TRIB!M133="",0,(TRIB!M133*IF($D133="A",(INPUTS!$G$32/12*INPUTS!$B$12+INPUTS!$H$32),(INPUTS!$L$32/12*INPUTS!$B$12+INPUTS!$M$32))+IF(FACADE!M133="",0,FACADE!M133)*INPUTS!$B$15)/1000+ARCH_AG!M133/144*INPUTS!$B$12*INPUTS!$C$32/1000)</f>
        <v>0</v>
      </c>
      <c r="N133" s="9" t="n">
        <f aca="false">IF(TRIB!N133="",0,(TRIB!N133*IF($D133="A",(INPUTS!$G$33/12*INPUTS!$B$12+INPUTS!$H$33),(INPUTS!$L$33/12*INPUTS!$B$12+INPUTS!$M$33))+IF(FACADE!N133="",0,FACADE!N133)*INPUTS!$B$15)/1000+ARCH_AG!N133/144*INPUTS!$B$12*INPUTS!$C$33/1000)</f>
        <v>0</v>
      </c>
      <c r="O133" s="9" t="n">
        <f aca="false">IF(TRIB!O133="",0,(TRIB!O133*IF($D133="A",(INPUTS!$G$34/12*INPUTS!$B$12+INPUTS!$H$34),(INPUTS!$L$34/12*INPUTS!$B$12+INPUTS!$M$34))+IF(FACADE!O133="",0,FACADE!O133)*INPUTS!$B$15)/1000+ARCH_AG!O133/144*INPUTS!$B$12*INPUTS!$C$34/1000)</f>
        <v>0</v>
      </c>
      <c r="P133" s="9" t="n">
        <f aca="false">IF(TRIB!P133="",0,(TRIB!P133*IF($D133="A",(INPUTS!$G$35/12*INPUTS!$B$12+INPUTS!$H$35),(INPUTS!$L$35/12*INPUTS!$B$12+INPUTS!$M$35))+IF(FACADE!P133="",0,FACADE!P133)*INPUTS!$B$15)/1000+ARCH_AG!P133/144*INPUTS!$B$12*INPUTS!$C$35/1000)</f>
        <v>0</v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9" t="n">
        <f aca="false">IF(TRIB!E134="",0,(TRIB!E134*IF($D134="A",(INPUTS!$G$24/12*INPUTS!$B$12+INPUTS!$H$24),(INPUTS!$L$24/12*INPUTS!$B$12+INPUTS!$M$24))+IF(FACADE!E134="",0,FACADE!E134)*INPUTS!$B$15)/1000+ARCH_AG!E134/144*INPUTS!$B$12*INPUTS!$C$24/1000)</f>
        <v>0</v>
      </c>
      <c r="F134" s="9" t="n">
        <f aca="false">IF(TRIB!F134="",0,(TRIB!F134*IF($D134="A",(INPUTS!$G$25/12*INPUTS!$B$12+INPUTS!$H$25),(INPUTS!$L$25/12*INPUTS!$B$12+INPUTS!$M$25))+IF(FACADE!F134="",0,FACADE!F134)*INPUTS!$B$15)/1000+ARCH_AG!F134/144*INPUTS!$B$12*INPUTS!$C$25/1000)</f>
        <v>0</v>
      </c>
      <c r="G134" s="9" t="n">
        <f aca="false">IF(TRIB!G134="",0,(TRIB!G134*IF($D134="A",(INPUTS!$G$26/12*INPUTS!$B$12+INPUTS!$H$26),(INPUTS!$L$26/12*INPUTS!$B$12+INPUTS!$M$26))+IF(FACADE!G134="",0,FACADE!G134)*INPUTS!$B$15)/1000+ARCH_AG!G134/144*INPUTS!$B$12*INPUTS!$C$26/1000)</f>
        <v>0</v>
      </c>
      <c r="H134" s="9" t="n">
        <f aca="false">IF(TRIB!H134="",0,(TRIB!H134*IF($D134="A",(INPUTS!$G$27/12*INPUTS!$B$12+INPUTS!$H$27),(INPUTS!$L$27/12*INPUTS!$B$12+INPUTS!$M$27))+IF(FACADE!H134="",0,FACADE!H134)*INPUTS!$B$15)/1000+ARCH_AG!H134/144*INPUTS!$B$12*INPUTS!$C$27/1000)</f>
        <v>0</v>
      </c>
      <c r="I134" s="9" t="n">
        <f aca="false">IF(TRIB!I134="",0,(TRIB!I134*IF($D134="A",(INPUTS!$G$28/12*INPUTS!$B$12+INPUTS!$H$28),(INPUTS!$L$28/12*INPUTS!$B$12+INPUTS!$M$28))+IF(FACADE!I134="",0,FACADE!I134)*INPUTS!$B$15)/1000+ARCH_AG!I134/144*INPUTS!$B$12*INPUTS!$C$28/1000)</f>
        <v>21.7425</v>
      </c>
      <c r="J134" s="9" t="n">
        <f aca="false">IF(TRIB!J134="",0,(TRIB!J134*IF($D134="A",(INPUTS!$G$29/12*INPUTS!$B$12+INPUTS!$H$29),(INPUTS!$L$29/12*INPUTS!$B$12+INPUTS!$M$29))+IF(FACADE!J134="",0,FACADE!J134)*INPUTS!$B$15)/1000+ARCH_AG!J134/144*INPUTS!$B$12*INPUTS!$C$29/1000)</f>
        <v>0</v>
      </c>
      <c r="K134" s="9" t="n">
        <f aca="false">IF(TRIB!K134="",0,(TRIB!K134*IF($D134="A",(INPUTS!$G$30/12*INPUTS!$B$12+INPUTS!$H$30),(INPUTS!$L$30/12*INPUTS!$B$12+INPUTS!$M$30))+IF(FACADE!K134="",0,FACADE!K134)*INPUTS!$B$15)/1000+ARCH_AG!K134/144*INPUTS!$B$12*INPUTS!$C$30/1000)</f>
        <v>0</v>
      </c>
      <c r="L134" s="9" t="n">
        <f aca="false">IF(TRIB!L134="",0,(TRIB!L134*IF($D134="A",(INPUTS!$G$31/12*INPUTS!$B$12+INPUTS!$H$31),(INPUTS!$L$31/12*INPUTS!$B$12+INPUTS!$M$31))+IF(FACADE!L134="",0,FACADE!L134)*INPUTS!$B$15)/1000+ARCH_AG!L134/144*INPUTS!$B$12*INPUTS!$C$31/1000)</f>
        <v>0</v>
      </c>
      <c r="M134" s="9" t="n">
        <f aca="false">IF(TRIB!M134="",0,(TRIB!M134*IF($D134="A",(INPUTS!$G$32/12*INPUTS!$B$12+INPUTS!$H$32),(INPUTS!$L$32/12*INPUTS!$B$12+INPUTS!$M$32))+IF(FACADE!M134="",0,FACADE!M134)*INPUTS!$B$15)/1000+ARCH_AG!M134/144*INPUTS!$B$12*INPUTS!$C$32/1000)</f>
        <v>0</v>
      </c>
      <c r="N134" s="9" t="n">
        <f aca="false">IF(TRIB!N134="",0,(TRIB!N134*IF($D134="A",(INPUTS!$G$33/12*INPUTS!$B$12+INPUTS!$H$33),(INPUTS!$L$33/12*INPUTS!$B$12+INPUTS!$M$33))+IF(FACADE!N134="",0,FACADE!N134)*INPUTS!$B$15)/1000+ARCH_AG!N134/144*INPUTS!$B$12*INPUTS!$C$33/1000)</f>
        <v>0</v>
      </c>
      <c r="O134" s="9" t="n">
        <f aca="false">IF(TRIB!O134="",0,(TRIB!O134*IF($D134="A",(INPUTS!$G$34/12*INPUTS!$B$12+INPUTS!$H$34),(INPUTS!$L$34/12*INPUTS!$B$12+INPUTS!$M$34))+IF(FACADE!O134="",0,FACADE!O134)*INPUTS!$B$15)/1000+ARCH_AG!O134/144*INPUTS!$B$12*INPUTS!$C$34/1000)</f>
        <v>0</v>
      </c>
      <c r="P134" s="9" t="n">
        <f aca="false">IF(TRIB!P134="",0,(TRIB!P134*IF($D134="A",(INPUTS!$G$35/12*INPUTS!$B$12+INPUTS!$H$35),(INPUTS!$L$35/12*INPUTS!$B$12+INPUTS!$M$35))+IF(FACADE!P134="",0,FACADE!P134)*INPUTS!$B$15)/1000+ARCH_AG!P134/144*INPUTS!$B$12*INPUTS!$C$35/1000)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267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9" t="n">
        <f aca="false">IF(TRIB!E2="",0,TRIB!E2*IF($D2="A",INPUTS!$I$24,INPUTS!$N$24)/1000)</f>
        <v>0</v>
      </c>
      <c r="F2" s="9" t="n">
        <f aca="false">IF(TRIB!F2="",0,TRIB!F2*IF($D2="A",INPUTS!$I$25,INPUTS!$N$25)/1000)</f>
        <v>32.8</v>
      </c>
      <c r="G2" s="9" t="n">
        <f aca="false">IF(TRIB!G2="",0,TRIB!G2*IF($D2="A",INPUTS!$I$26,INPUTS!$N$26)/1000)</f>
        <v>6.52</v>
      </c>
      <c r="H2" s="9" t="n">
        <f aca="false">IF(TRIB!H2="",0,TRIB!H2*IF($D2="A",INPUTS!$I$27,INPUTS!$N$27)/1000)</f>
        <v>6.48</v>
      </c>
      <c r="I2" s="9" t="n">
        <f aca="false">IF(TRIB!I2="",0,TRIB!I2*IF($D2="A",INPUTS!$I$28,INPUTS!$N$28)/1000)</f>
        <v>6.48</v>
      </c>
      <c r="J2" s="9" t="n">
        <f aca="false">IF(TRIB!J2="",0,TRIB!J2*IF($D2="A",INPUTS!$I$29,INPUTS!$N$29)/1000)</f>
        <v>6.52</v>
      </c>
      <c r="K2" s="9" t="n">
        <f aca="false">IF(TRIB!K2="",0,TRIB!K2*IF($D2="A",INPUTS!$I$30,INPUTS!$N$30)/1000)</f>
        <v>6.16</v>
      </c>
      <c r="L2" s="9" t="n">
        <f aca="false">IF(TRIB!L2="",0,TRIB!L2*IF($D2="A",INPUTS!$I$31,INPUTS!$N$31)/1000)</f>
        <v>6.16</v>
      </c>
      <c r="M2" s="9" t="n">
        <f aca="false">IF(TRIB!M2="",0,TRIB!M2*IF($D2="A",INPUTS!$I$32,INPUTS!$N$32)/1000)</f>
        <v>6.16</v>
      </c>
      <c r="N2" s="9" t="n">
        <f aca="false">IF(TRIB!N2="",0,TRIB!N2*IF($D2="A",INPUTS!$I$33,INPUTS!$N$33)/1000)</f>
        <v>6.16</v>
      </c>
      <c r="O2" s="9" t="n">
        <f aca="false">IF(TRIB!O2="",0,TRIB!O2*IF($D2="A",INPUTS!$I$34,INPUTS!$N$34)/1000)</f>
        <v>6.16</v>
      </c>
      <c r="P2" s="9" t="n">
        <f aca="false">IF(TRIB!P2="",0,TRIB!P2*IF($D2="A",INPUTS!$I$35,INPUTS!$N$35)/1000)</f>
        <v>6.16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9" t="n">
        <f aca="false">IF(TRIB!E3="",0,TRIB!E3*IF($D3="A",INPUTS!$I$24,INPUTS!$N$24)/1000)</f>
        <v>0</v>
      </c>
      <c r="F3" s="9" t="n">
        <f aca="false">IF(TRIB!F3="",0,TRIB!F3*IF($D3="A",INPUTS!$I$25,INPUTS!$N$25)/1000)</f>
        <v>0</v>
      </c>
      <c r="G3" s="9" t="n">
        <f aca="false">IF(TRIB!G3="",0,TRIB!G3*IF($D3="A",INPUTS!$I$26,INPUTS!$N$26)/1000)</f>
        <v>12</v>
      </c>
      <c r="H3" s="9" t="n">
        <f aca="false">IF(TRIB!H3="",0,TRIB!H3*IF($D3="A",INPUTS!$I$27,INPUTS!$N$27)/1000)</f>
        <v>11.96</v>
      </c>
      <c r="I3" s="9" t="n">
        <f aca="false">IF(TRIB!I3="",0,TRIB!I3*IF($D3="A",INPUTS!$I$28,INPUTS!$N$28)/1000)</f>
        <v>11.96</v>
      </c>
      <c r="J3" s="9" t="n">
        <f aca="false">IF(TRIB!J3="",0,TRIB!J3*IF($D3="A",INPUTS!$I$29,INPUTS!$N$29)/1000)</f>
        <v>11.96</v>
      </c>
      <c r="K3" s="9" t="n">
        <f aca="false">IF(TRIB!K3="",0,TRIB!K3*IF($D3="A",INPUTS!$I$30,INPUTS!$N$30)/1000)</f>
        <v>11.96</v>
      </c>
      <c r="L3" s="9" t="n">
        <f aca="false">IF(TRIB!L3="",0,TRIB!L3*IF($D3="A",INPUTS!$I$31,INPUTS!$N$31)/1000)</f>
        <v>11.96</v>
      </c>
      <c r="M3" s="9" t="n">
        <f aca="false">IF(TRIB!M3="",0,TRIB!M3*IF($D3="A",INPUTS!$I$32,INPUTS!$N$32)/1000)</f>
        <v>11.96</v>
      </c>
      <c r="N3" s="9" t="n">
        <f aca="false">IF(TRIB!N3="",0,TRIB!N3*IF($D3="A",INPUTS!$I$33,INPUTS!$N$33)/1000)</f>
        <v>11.96</v>
      </c>
      <c r="O3" s="9" t="n">
        <f aca="false">IF(TRIB!O3="",0,TRIB!O3*IF($D3="A",INPUTS!$I$34,INPUTS!$N$34)/1000)</f>
        <v>11.96</v>
      </c>
      <c r="P3" s="9" t="n">
        <f aca="false">IF(TRIB!P3="",0,TRIB!P3*IF($D3="A",INPUTS!$I$35,INPUTS!$N$35)/1000)</f>
        <v>11.96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9" t="n">
        <f aca="false">IF(TRIB!E4="",0,TRIB!E4*IF($D4="A",INPUTS!$I$24,INPUTS!$N$24)/1000)</f>
        <v>0</v>
      </c>
      <c r="F4" s="9" t="n">
        <f aca="false">IF(TRIB!F4="",0,TRIB!F4*IF($D4="A",INPUTS!$I$25,INPUTS!$N$25)/1000)</f>
        <v>29.4</v>
      </c>
      <c r="G4" s="9" t="n">
        <f aca="false">IF(TRIB!G4="",0,TRIB!G4*IF($D4="A",INPUTS!$I$26,INPUTS!$N$26)/1000)</f>
        <v>11.48</v>
      </c>
      <c r="H4" s="9" t="n">
        <f aca="false">IF(TRIB!H4="",0,TRIB!H4*IF($D4="A",INPUTS!$I$27,INPUTS!$N$27)/1000)</f>
        <v>11</v>
      </c>
      <c r="I4" s="9" t="n">
        <f aca="false">IF(TRIB!I4="",0,TRIB!I4*IF($D4="A",INPUTS!$I$28,INPUTS!$N$28)/1000)</f>
        <v>11</v>
      </c>
      <c r="J4" s="9" t="n">
        <f aca="false">IF(TRIB!J4="",0,TRIB!J4*IF($D4="A",INPUTS!$I$29,INPUTS!$N$29)/1000)</f>
        <v>11</v>
      </c>
      <c r="K4" s="9" t="n">
        <f aca="false">IF(TRIB!K4="",0,TRIB!K4*IF($D4="A",INPUTS!$I$30,INPUTS!$N$30)/1000)</f>
        <v>11</v>
      </c>
      <c r="L4" s="9" t="n">
        <f aca="false">IF(TRIB!L4="",0,TRIB!L4*IF($D4="A",INPUTS!$I$31,INPUTS!$N$31)/1000)</f>
        <v>11.08</v>
      </c>
      <c r="M4" s="9" t="n">
        <f aca="false">IF(TRIB!M4="",0,TRIB!M4*IF($D4="A",INPUTS!$I$32,INPUTS!$N$32)/1000)</f>
        <v>11.08</v>
      </c>
      <c r="N4" s="9" t="n">
        <f aca="false">IF(TRIB!N4="",0,TRIB!N4*IF($D4="A",INPUTS!$I$33,INPUTS!$N$33)/1000)</f>
        <v>11.08</v>
      </c>
      <c r="O4" s="9" t="n">
        <f aca="false">IF(TRIB!O4="",0,TRIB!O4*IF($D4="A",INPUTS!$I$34,INPUTS!$N$34)/1000)</f>
        <v>11.08</v>
      </c>
      <c r="P4" s="9" t="n">
        <f aca="false">IF(TRIB!P4="",0,TRIB!P4*IF($D4="A",INPUTS!$I$35,INPUTS!$N$35)/1000)</f>
        <v>11.08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9" t="n">
        <f aca="false">IF(TRIB!E5="",0,TRIB!E5*IF($D5="A",INPUTS!$I$24,INPUTS!$N$24)/1000)</f>
        <v>0</v>
      </c>
      <c r="F5" s="9" t="n">
        <f aca="false">IF(TRIB!F5="",0,TRIB!F5*IF($D5="A",INPUTS!$I$25,INPUTS!$N$25)/1000)</f>
        <v>35.1</v>
      </c>
      <c r="G5" s="9" t="n">
        <f aca="false">IF(TRIB!G5="",0,TRIB!G5*IF($D5="A",INPUTS!$I$26,INPUTS!$N$26)/1000)</f>
        <v>11.28</v>
      </c>
      <c r="H5" s="9" t="n">
        <f aca="false">IF(TRIB!H5="",0,TRIB!H5*IF($D5="A",INPUTS!$I$27,INPUTS!$N$27)/1000)</f>
        <v>11.28</v>
      </c>
      <c r="I5" s="9" t="n">
        <f aca="false">IF(TRIB!I5="",0,TRIB!I5*IF($D5="A",INPUTS!$I$28,INPUTS!$N$28)/1000)</f>
        <v>11.28</v>
      </c>
      <c r="J5" s="9" t="n">
        <f aca="false">IF(TRIB!J5="",0,TRIB!J5*IF($D5="A",INPUTS!$I$29,INPUTS!$N$29)/1000)</f>
        <v>11.28</v>
      </c>
      <c r="K5" s="9" t="n">
        <f aca="false">IF(TRIB!K5="",0,TRIB!K5*IF($D5="A",INPUTS!$I$30,INPUTS!$N$30)/1000)</f>
        <v>11.28</v>
      </c>
      <c r="L5" s="9" t="n">
        <f aca="false">IF(TRIB!L5="",0,TRIB!L5*IF($D5="A",INPUTS!$I$31,INPUTS!$N$31)/1000)</f>
        <v>11.28</v>
      </c>
      <c r="M5" s="9" t="n">
        <f aca="false">IF(TRIB!M5="",0,TRIB!M5*IF($D5="A",INPUTS!$I$32,INPUTS!$N$32)/1000)</f>
        <v>11.28</v>
      </c>
      <c r="N5" s="9" t="n">
        <f aca="false">IF(TRIB!N5="",0,TRIB!N5*IF($D5="A",INPUTS!$I$33,INPUTS!$N$33)/1000)</f>
        <v>11.28</v>
      </c>
      <c r="O5" s="9" t="n">
        <f aca="false">IF(TRIB!O5="",0,TRIB!O5*IF($D5="A",INPUTS!$I$34,INPUTS!$N$34)/1000)</f>
        <v>11.28</v>
      </c>
      <c r="P5" s="9" t="n">
        <f aca="false">IF(TRIB!P5="",0,TRIB!P5*IF($D5="A",INPUTS!$I$35,INPUTS!$N$35)/1000)</f>
        <v>11.28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9" t="n">
        <f aca="false">IF(TRIB!E6="",0,TRIB!E6*IF($D6="A",INPUTS!$I$24,INPUTS!$N$24)/1000)</f>
        <v>0</v>
      </c>
      <c r="F6" s="9" t="n">
        <f aca="false">IF(TRIB!F6="",0,TRIB!F6*IF($D6="A",INPUTS!$I$25,INPUTS!$N$25)/1000)</f>
        <v>9.6</v>
      </c>
      <c r="G6" s="9" t="n">
        <f aca="false">IF(TRIB!G6="",0,TRIB!G6*IF($D6="A",INPUTS!$I$26,INPUTS!$N$26)/1000)</f>
        <v>4.16</v>
      </c>
      <c r="H6" s="9" t="n">
        <f aca="false">IF(TRIB!H6="",0,TRIB!H6*IF($D6="A",INPUTS!$I$27,INPUTS!$N$27)/1000)</f>
        <v>4.16</v>
      </c>
      <c r="I6" s="9" t="n">
        <f aca="false">IF(TRIB!I6="",0,TRIB!I6*IF($D6="A",INPUTS!$I$28,INPUTS!$N$28)/1000)</f>
        <v>4.16</v>
      </c>
      <c r="J6" s="9" t="n">
        <f aca="false">IF(TRIB!J6="",0,TRIB!J6*IF($D6="A",INPUTS!$I$29,INPUTS!$N$29)/1000)</f>
        <v>4.16</v>
      </c>
      <c r="K6" s="9" t="n">
        <f aca="false">IF(TRIB!K6="",0,TRIB!K6*IF($D6="A",INPUTS!$I$30,INPUTS!$N$30)/1000)</f>
        <v>3.96</v>
      </c>
      <c r="L6" s="9" t="n">
        <f aca="false">IF(TRIB!L6="",0,TRIB!L6*IF($D6="A",INPUTS!$I$31,INPUTS!$N$31)/1000)</f>
        <v>3.96</v>
      </c>
      <c r="M6" s="9" t="n">
        <f aca="false">IF(TRIB!M6="",0,TRIB!M6*IF($D6="A",INPUTS!$I$32,INPUTS!$N$32)/1000)</f>
        <v>3.96</v>
      </c>
      <c r="N6" s="9" t="n">
        <f aca="false">IF(TRIB!N6="",0,TRIB!N6*IF($D6="A",INPUTS!$I$33,INPUTS!$N$33)/1000)</f>
        <v>3.96</v>
      </c>
      <c r="O6" s="9" t="n">
        <f aca="false">IF(TRIB!O6="",0,TRIB!O6*IF($D6="A",INPUTS!$I$34,INPUTS!$N$34)/1000)</f>
        <v>3.96</v>
      </c>
      <c r="P6" s="9" t="n">
        <f aca="false">IF(TRIB!P6="",0,TRIB!P6*IF($D6="A",INPUTS!$I$35,INPUTS!$N$35)/1000)</f>
        <v>3.96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9" t="n">
        <f aca="false">IF(TRIB!E7="",0,TRIB!E7*IF($D7="A",INPUTS!$I$24,INPUTS!$N$24)/1000)</f>
        <v>0</v>
      </c>
      <c r="F7" s="9" t="n">
        <f aca="false">IF(TRIB!F7="",0,TRIB!F7*IF($D7="A",INPUTS!$I$25,INPUTS!$N$25)/1000)</f>
        <v>21.6</v>
      </c>
      <c r="G7" s="9" t="n">
        <f aca="false">IF(TRIB!G7="",0,TRIB!G7*IF($D7="A",INPUTS!$I$26,INPUTS!$N$26)/1000)</f>
        <v>8.64</v>
      </c>
      <c r="H7" s="9" t="n">
        <f aca="false">IF(TRIB!H7="",0,TRIB!H7*IF($D7="A",INPUTS!$I$27,INPUTS!$N$27)/1000)</f>
        <v>8.64</v>
      </c>
      <c r="I7" s="9" t="n">
        <f aca="false">IF(TRIB!I7="",0,TRIB!I7*IF($D7="A",INPUTS!$I$28,INPUTS!$N$28)/1000)</f>
        <v>8.64</v>
      </c>
      <c r="J7" s="9" t="n">
        <f aca="false">IF(TRIB!J7="",0,TRIB!J7*IF($D7="A",INPUTS!$I$29,INPUTS!$N$29)/1000)</f>
        <v>8.64</v>
      </c>
      <c r="K7" s="9" t="n">
        <f aca="false">IF(TRIB!K7="",0,TRIB!K7*IF($D7="A",INPUTS!$I$30,INPUTS!$N$30)/1000)</f>
        <v>8.6</v>
      </c>
      <c r="L7" s="9" t="n">
        <f aca="false">IF(TRIB!L7="",0,TRIB!L7*IF($D7="A",INPUTS!$I$31,INPUTS!$N$31)/1000)</f>
        <v>8.6</v>
      </c>
      <c r="M7" s="9" t="n">
        <f aca="false">IF(TRIB!M7="",0,TRIB!M7*IF($D7="A",INPUTS!$I$32,INPUTS!$N$32)/1000)</f>
        <v>8.6</v>
      </c>
      <c r="N7" s="9" t="n">
        <f aca="false">IF(TRIB!N7="",0,TRIB!N7*IF($D7="A",INPUTS!$I$33,INPUTS!$N$33)/1000)</f>
        <v>8.6</v>
      </c>
      <c r="O7" s="9" t="n">
        <f aca="false">IF(TRIB!O7="",0,TRIB!O7*IF($D7="A",INPUTS!$I$34,INPUTS!$N$34)/1000)</f>
        <v>8.6</v>
      </c>
      <c r="P7" s="9" t="n">
        <f aca="false">IF(TRIB!P7="",0,TRIB!P7*IF($D7="A",INPUTS!$I$35,INPUTS!$N$35)/1000)</f>
        <v>8.6</v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9" t="n">
        <f aca="false">IF(TRIB!E8="",0,TRIB!E8*IF($D8="A",INPUTS!$I$24,INPUTS!$N$24)/1000)</f>
        <v>0</v>
      </c>
      <c r="F8" s="9" t="n">
        <f aca="false">IF(TRIB!F8="",0,TRIB!F8*IF($D8="A",INPUTS!$I$25,INPUTS!$N$25)/1000)</f>
        <v>38.1</v>
      </c>
      <c r="G8" s="9" t="n">
        <f aca="false">IF(TRIB!G8="",0,TRIB!G8*IF($D8="A",INPUTS!$I$26,INPUTS!$N$26)/1000)</f>
        <v>16.28</v>
      </c>
      <c r="H8" s="9" t="n">
        <f aca="false">IF(TRIB!H8="",0,TRIB!H8*IF($D8="A",INPUTS!$I$27,INPUTS!$N$27)/1000)</f>
        <v>16.28</v>
      </c>
      <c r="I8" s="9" t="n">
        <f aca="false">IF(TRIB!I8="",0,TRIB!I8*IF($D8="A",INPUTS!$I$28,INPUTS!$N$28)/1000)</f>
        <v>16.28</v>
      </c>
      <c r="J8" s="9" t="n">
        <f aca="false">IF(TRIB!J8="",0,TRIB!J8*IF($D8="A",INPUTS!$I$29,INPUTS!$N$29)/1000)</f>
        <v>16.28</v>
      </c>
      <c r="K8" s="9" t="n">
        <f aca="false">IF(TRIB!K8="",0,TRIB!K8*IF($D8="A",INPUTS!$I$30,INPUTS!$N$30)/1000)</f>
        <v>16.28</v>
      </c>
      <c r="L8" s="9" t="n">
        <f aca="false">IF(TRIB!L8="",0,TRIB!L8*IF($D8="A",INPUTS!$I$31,INPUTS!$N$31)/1000)</f>
        <v>16.28</v>
      </c>
      <c r="M8" s="9" t="n">
        <f aca="false">IF(TRIB!M8="",0,TRIB!M8*IF($D8="A",INPUTS!$I$32,INPUTS!$N$32)/1000)</f>
        <v>16.28</v>
      </c>
      <c r="N8" s="9" t="n">
        <f aca="false">IF(TRIB!N8="",0,TRIB!N8*IF($D8="A",INPUTS!$I$33,INPUTS!$N$33)/1000)</f>
        <v>16.28</v>
      </c>
      <c r="O8" s="9" t="n">
        <f aca="false">IF(TRIB!O8="",0,TRIB!O8*IF($D8="A",INPUTS!$I$34,INPUTS!$N$34)/1000)</f>
        <v>16.28</v>
      </c>
      <c r="P8" s="9" t="n">
        <f aca="false">IF(TRIB!P8="",0,TRIB!P8*IF($D8="A",INPUTS!$I$35,INPUTS!$N$35)/1000)</f>
        <v>16.28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9" t="n">
        <f aca="false">IF(TRIB!E9="",0,TRIB!E9*IF($D9="A",INPUTS!$I$24,INPUTS!$N$24)/1000)</f>
        <v>0</v>
      </c>
      <c r="F9" s="9" t="n">
        <f aca="false">IF(TRIB!F9="",0,TRIB!F9*IF($D9="A",INPUTS!$I$25,INPUTS!$N$25)/1000)</f>
        <v>43.8</v>
      </c>
      <c r="G9" s="9" t="n">
        <f aca="false">IF(TRIB!G9="",0,TRIB!G9*IF($D9="A",INPUTS!$I$26,INPUTS!$N$26)/1000)</f>
        <v>17.52</v>
      </c>
      <c r="H9" s="9" t="n">
        <f aca="false">IF(TRIB!H9="",0,TRIB!H9*IF($D9="A",INPUTS!$I$27,INPUTS!$N$27)/1000)</f>
        <v>17.52</v>
      </c>
      <c r="I9" s="9" t="n">
        <f aca="false">IF(TRIB!I9="",0,TRIB!I9*IF($D9="A",INPUTS!$I$28,INPUTS!$N$28)/1000)</f>
        <v>17.52</v>
      </c>
      <c r="J9" s="9" t="n">
        <f aca="false">IF(TRIB!J9="",0,TRIB!J9*IF($D9="A",INPUTS!$I$29,INPUTS!$N$29)/1000)</f>
        <v>17.52</v>
      </c>
      <c r="K9" s="9" t="n">
        <f aca="false">IF(TRIB!K9="",0,TRIB!K9*IF($D9="A",INPUTS!$I$30,INPUTS!$N$30)/1000)</f>
        <v>17.52</v>
      </c>
      <c r="L9" s="9" t="n">
        <f aca="false">IF(TRIB!L9="",0,TRIB!L9*IF($D9="A",INPUTS!$I$31,INPUTS!$N$31)/1000)</f>
        <v>17.52</v>
      </c>
      <c r="M9" s="9" t="n">
        <f aca="false">IF(TRIB!M9="",0,TRIB!M9*IF($D9="A",INPUTS!$I$32,INPUTS!$N$32)/1000)</f>
        <v>17.52</v>
      </c>
      <c r="N9" s="9" t="n">
        <f aca="false">IF(TRIB!N9="",0,TRIB!N9*IF($D9="A",INPUTS!$I$33,INPUTS!$N$33)/1000)</f>
        <v>17.52</v>
      </c>
      <c r="O9" s="9" t="n">
        <f aca="false">IF(TRIB!O9="",0,TRIB!O9*IF($D9="A",INPUTS!$I$34,INPUTS!$N$34)/1000)</f>
        <v>17.52</v>
      </c>
      <c r="P9" s="9" t="n">
        <f aca="false">IF(TRIB!P9="",0,TRIB!P9*IF($D9="A",INPUTS!$I$35,INPUTS!$N$35)/1000)</f>
        <v>17.52</v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9" t="n">
        <f aca="false">IF(TRIB!E10="",0,TRIB!E10*IF($D10="A",INPUTS!$I$24,INPUTS!$N$24)/1000)</f>
        <v>0</v>
      </c>
      <c r="F10" s="9" t="n">
        <f aca="false">IF(TRIB!F10="",0,TRIB!F10*IF($D10="A",INPUTS!$I$25,INPUTS!$N$25)/1000)</f>
        <v>46.8</v>
      </c>
      <c r="G10" s="9" t="n">
        <f aca="false">IF(TRIB!G10="",0,TRIB!G10*IF($D10="A",INPUTS!$I$26,INPUTS!$N$26)/1000)</f>
        <v>18.72</v>
      </c>
      <c r="H10" s="9" t="n">
        <f aca="false">IF(TRIB!H10="",0,TRIB!H10*IF($D10="A",INPUTS!$I$27,INPUTS!$N$27)/1000)</f>
        <v>18.72</v>
      </c>
      <c r="I10" s="9" t="n">
        <f aca="false">IF(TRIB!I10="",0,TRIB!I10*IF($D10="A",INPUTS!$I$28,INPUTS!$N$28)/1000)</f>
        <v>18.72</v>
      </c>
      <c r="J10" s="9" t="n">
        <f aca="false">IF(TRIB!J10="",0,TRIB!J10*IF($D10="A",INPUTS!$I$29,INPUTS!$N$29)/1000)</f>
        <v>18.72</v>
      </c>
      <c r="K10" s="9" t="n">
        <f aca="false">IF(TRIB!K10="",0,TRIB!K10*IF($D10="A",INPUTS!$I$30,INPUTS!$N$30)/1000)</f>
        <v>18.72</v>
      </c>
      <c r="L10" s="9" t="n">
        <f aca="false">IF(TRIB!L10="",0,TRIB!L10*IF($D10="A",INPUTS!$I$31,INPUTS!$N$31)/1000)</f>
        <v>18.72</v>
      </c>
      <c r="M10" s="9" t="n">
        <f aca="false">IF(TRIB!M10="",0,TRIB!M10*IF($D10="A",INPUTS!$I$32,INPUTS!$N$32)/1000)</f>
        <v>18.72</v>
      </c>
      <c r="N10" s="9" t="n">
        <f aca="false">IF(TRIB!N10="",0,TRIB!N10*IF($D10="A",INPUTS!$I$33,INPUTS!$N$33)/1000)</f>
        <v>18.72</v>
      </c>
      <c r="O10" s="9" t="n">
        <f aca="false">IF(TRIB!O10="",0,TRIB!O10*IF($D10="A",INPUTS!$I$34,INPUTS!$N$34)/1000)</f>
        <v>18.72</v>
      </c>
      <c r="P10" s="9" t="n">
        <f aca="false">IF(TRIB!P10="",0,TRIB!P10*IF($D10="A",INPUTS!$I$35,INPUTS!$N$35)/1000)</f>
        <v>18.72</v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9" t="n">
        <f aca="false">IF(TRIB!E11="",0,TRIB!E11*IF($D11="A",INPUTS!$I$24,INPUTS!$N$24)/1000)</f>
        <v>0</v>
      </c>
      <c r="F11" s="9" t="n">
        <f aca="false">IF(TRIB!F11="",0,TRIB!F11*IF($D11="A",INPUTS!$I$25,INPUTS!$N$25)/1000)</f>
        <v>39</v>
      </c>
      <c r="G11" s="9" t="n">
        <f aca="false">IF(TRIB!G11="",0,TRIB!G11*IF($D11="A",INPUTS!$I$26,INPUTS!$N$26)/1000)</f>
        <v>16.72</v>
      </c>
      <c r="H11" s="9" t="n">
        <f aca="false">IF(TRIB!H11="",0,TRIB!H11*IF($D11="A",INPUTS!$I$27,INPUTS!$N$27)/1000)</f>
        <v>16.72</v>
      </c>
      <c r="I11" s="9" t="n">
        <f aca="false">IF(TRIB!I11="",0,TRIB!I11*IF($D11="A",INPUTS!$I$28,INPUTS!$N$28)/1000)</f>
        <v>16.72</v>
      </c>
      <c r="J11" s="9" t="n">
        <f aca="false">IF(TRIB!J11="",0,TRIB!J11*IF($D11="A",INPUTS!$I$29,INPUTS!$N$29)/1000)</f>
        <v>16.72</v>
      </c>
      <c r="K11" s="9" t="n">
        <f aca="false">IF(TRIB!K11="",0,TRIB!K11*IF($D11="A",INPUTS!$I$30,INPUTS!$N$30)/1000)</f>
        <v>16.72</v>
      </c>
      <c r="L11" s="9" t="n">
        <f aca="false">IF(TRIB!L11="",0,TRIB!L11*IF($D11="A",INPUTS!$I$31,INPUTS!$N$31)/1000)</f>
        <v>16.72</v>
      </c>
      <c r="M11" s="9" t="n">
        <f aca="false">IF(TRIB!M11="",0,TRIB!M11*IF($D11="A",INPUTS!$I$32,INPUTS!$N$32)/1000)</f>
        <v>16.72</v>
      </c>
      <c r="N11" s="9" t="n">
        <f aca="false">IF(TRIB!N11="",0,TRIB!N11*IF($D11="A",INPUTS!$I$33,INPUTS!$N$33)/1000)</f>
        <v>16.72</v>
      </c>
      <c r="O11" s="9" t="n">
        <f aca="false">IF(TRIB!O11="",0,TRIB!O11*IF($D11="A",INPUTS!$I$34,INPUTS!$N$34)/1000)</f>
        <v>16.72</v>
      </c>
      <c r="P11" s="9" t="n">
        <f aca="false">IF(TRIB!P11="",0,TRIB!P11*IF($D11="A",INPUTS!$I$35,INPUTS!$N$35)/1000)</f>
        <v>16.72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9" t="n">
        <f aca="false">IF(TRIB!E12="",0,TRIB!E12*IF($D12="A",INPUTS!$I$24,INPUTS!$N$24)/1000)</f>
        <v>0</v>
      </c>
      <c r="F12" s="9" t="n">
        <f aca="false">IF(TRIB!F12="",0,TRIB!F12*IF($D12="A",INPUTS!$I$25,INPUTS!$N$25)/1000)</f>
        <v>11.5</v>
      </c>
      <c r="G12" s="9" t="n">
        <f aca="false">IF(TRIB!G12="",0,TRIB!G12*IF($D12="A",INPUTS!$I$26,INPUTS!$N$26)/1000)</f>
        <v>4.6</v>
      </c>
      <c r="H12" s="9" t="n">
        <f aca="false">IF(TRIB!H12="",0,TRIB!H12*IF($D12="A",INPUTS!$I$27,INPUTS!$N$27)/1000)</f>
        <v>4.6</v>
      </c>
      <c r="I12" s="9" t="n">
        <f aca="false">IF(TRIB!I12="",0,TRIB!I12*IF($D12="A",INPUTS!$I$28,INPUTS!$N$28)/1000)</f>
        <v>4.6</v>
      </c>
      <c r="J12" s="9" t="n">
        <f aca="false">IF(TRIB!J12="",0,TRIB!J12*IF($D12="A",INPUTS!$I$29,INPUTS!$N$29)/1000)</f>
        <v>4.6</v>
      </c>
      <c r="K12" s="9" t="n">
        <f aca="false">IF(TRIB!K12="",0,TRIB!K12*IF($D12="A",INPUTS!$I$30,INPUTS!$N$30)/1000)</f>
        <v>4.16</v>
      </c>
      <c r="L12" s="9" t="n">
        <f aca="false">IF(TRIB!L12="",0,TRIB!L12*IF($D12="A",INPUTS!$I$31,INPUTS!$N$31)/1000)</f>
        <v>4.16</v>
      </c>
      <c r="M12" s="9" t="n">
        <f aca="false">IF(TRIB!M12="",0,TRIB!M12*IF($D12="A",INPUTS!$I$32,INPUTS!$N$32)/1000)</f>
        <v>4.16</v>
      </c>
      <c r="N12" s="9" t="n">
        <f aca="false">IF(TRIB!N12="",0,TRIB!N12*IF($D12="A",INPUTS!$I$33,INPUTS!$N$33)/1000)</f>
        <v>4.16</v>
      </c>
      <c r="O12" s="9" t="n">
        <f aca="false">IF(TRIB!O12="",0,TRIB!O12*IF($D12="A",INPUTS!$I$34,INPUTS!$N$34)/1000)</f>
        <v>4.16</v>
      </c>
      <c r="P12" s="9" t="n">
        <f aca="false">IF(TRIB!P12="",0,TRIB!P12*IF($D12="A",INPUTS!$I$35,INPUTS!$N$35)/1000)</f>
        <v>4.16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9" t="n">
        <f aca="false">IF(TRIB!E13="",0,TRIB!E13*IF($D13="A",INPUTS!$I$24,INPUTS!$N$24)/1000)</f>
        <v>0</v>
      </c>
      <c r="F13" s="9" t="n">
        <f aca="false">IF(TRIB!F13="",0,TRIB!F13*IF($D13="A",INPUTS!$I$25,INPUTS!$N$25)/1000)</f>
        <v>47.4</v>
      </c>
      <c r="G13" s="9" t="n">
        <f aca="false">IF(TRIB!G13="",0,TRIB!G13*IF($D13="A",INPUTS!$I$26,INPUTS!$N$26)/1000)</f>
        <v>18.96</v>
      </c>
      <c r="H13" s="9" t="n">
        <f aca="false">IF(TRIB!H13="",0,TRIB!H13*IF($D13="A",INPUTS!$I$27,INPUTS!$N$27)/1000)</f>
        <v>18.96</v>
      </c>
      <c r="I13" s="9" t="n">
        <f aca="false">IF(TRIB!I13="",0,TRIB!I13*IF($D13="A",INPUTS!$I$28,INPUTS!$N$28)/1000)</f>
        <v>18.96</v>
      </c>
      <c r="J13" s="9" t="n">
        <f aca="false">IF(TRIB!J13="",0,TRIB!J13*IF($D13="A",INPUTS!$I$29,INPUTS!$N$29)/1000)</f>
        <v>18.96</v>
      </c>
      <c r="K13" s="9" t="n">
        <f aca="false">IF(TRIB!K13="",0,TRIB!K13*IF($D13="A",INPUTS!$I$30,INPUTS!$N$30)/1000)</f>
        <v>18.96</v>
      </c>
      <c r="L13" s="9" t="n">
        <f aca="false">IF(TRIB!L13="",0,TRIB!L13*IF($D13="A",INPUTS!$I$31,INPUTS!$N$31)/1000)</f>
        <v>18.96</v>
      </c>
      <c r="M13" s="9" t="n">
        <f aca="false">IF(TRIB!M13="",0,TRIB!M13*IF($D13="A",INPUTS!$I$32,INPUTS!$N$32)/1000)</f>
        <v>18.96</v>
      </c>
      <c r="N13" s="9" t="n">
        <f aca="false">IF(TRIB!N13="",0,TRIB!N13*IF($D13="A",INPUTS!$I$33,INPUTS!$N$33)/1000)</f>
        <v>18.96</v>
      </c>
      <c r="O13" s="9" t="n">
        <f aca="false">IF(TRIB!O13="",0,TRIB!O13*IF($D13="A",INPUTS!$I$34,INPUTS!$N$34)/1000)</f>
        <v>18.96</v>
      </c>
      <c r="P13" s="9" t="n">
        <f aca="false">IF(TRIB!P13="",0,TRIB!P13*IF($D13="A",INPUTS!$I$35,INPUTS!$N$35)/1000)</f>
        <v>18.96</v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9" t="n">
        <f aca="false">IF(TRIB!E14="",0,TRIB!E14*IF($D14="A",INPUTS!$I$24,INPUTS!$N$24)/1000)</f>
        <v>0</v>
      </c>
      <c r="F14" s="9" t="n">
        <f aca="false">IF(TRIB!F14="",0,TRIB!F14*IF($D14="A",INPUTS!$I$25,INPUTS!$N$25)/1000)</f>
        <v>29.2</v>
      </c>
      <c r="G14" s="9" t="n">
        <f aca="false">IF(TRIB!G14="",0,TRIB!G14*IF($D14="A",INPUTS!$I$26,INPUTS!$N$26)/1000)</f>
        <v>11.68</v>
      </c>
      <c r="H14" s="9" t="n">
        <f aca="false">IF(TRIB!H14="",0,TRIB!H14*IF($D14="A",INPUTS!$I$27,INPUTS!$N$27)/1000)</f>
        <v>11.68</v>
      </c>
      <c r="I14" s="9" t="n">
        <f aca="false">IF(TRIB!I14="",0,TRIB!I14*IF($D14="A",INPUTS!$I$28,INPUTS!$N$28)/1000)</f>
        <v>11.68</v>
      </c>
      <c r="J14" s="9" t="n">
        <f aca="false">IF(TRIB!J14="",0,TRIB!J14*IF($D14="A",INPUTS!$I$29,INPUTS!$N$29)/1000)</f>
        <v>11.68</v>
      </c>
      <c r="K14" s="9" t="n">
        <f aca="false">IF(TRIB!K14="",0,TRIB!K14*IF($D14="A",INPUTS!$I$30,INPUTS!$N$30)/1000)</f>
        <v>11.28</v>
      </c>
      <c r="L14" s="9" t="n">
        <f aca="false">IF(TRIB!L14="",0,TRIB!L14*IF($D14="A",INPUTS!$I$31,INPUTS!$N$31)/1000)</f>
        <v>11.28</v>
      </c>
      <c r="M14" s="9" t="n">
        <f aca="false">IF(TRIB!M14="",0,TRIB!M14*IF($D14="A",INPUTS!$I$32,INPUTS!$N$32)/1000)</f>
        <v>11.28</v>
      </c>
      <c r="N14" s="9" t="n">
        <f aca="false">IF(TRIB!N14="",0,TRIB!N14*IF($D14="A",INPUTS!$I$33,INPUTS!$N$33)/1000)</f>
        <v>11.28</v>
      </c>
      <c r="O14" s="9" t="n">
        <f aca="false">IF(TRIB!O14="",0,TRIB!O14*IF($D14="A",INPUTS!$I$34,INPUTS!$N$34)/1000)</f>
        <v>11.28</v>
      </c>
      <c r="P14" s="9" t="n">
        <f aca="false">IF(TRIB!P14="",0,TRIB!P14*IF($D14="A",INPUTS!$I$35,INPUTS!$N$35)/1000)</f>
        <v>11.28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9" t="n">
        <f aca="false">IF(TRIB!E15="",0,TRIB!E15*IF($D15="A",INPUTS!$I$24,INPUTS!$N$24)/1000)</f>
        <v>0</v>
      </c>
      <c r="F15" s="9" t="n">
        <f aca="false">IF(TRIB!F15="",0,TRIB!F15*IF($D15="A",INPUTS!$I$25,INPUTS!$N$25)/1000)</f>
        <v>28.4</v>
      </c>
      <c r="G15" s="9" t="n">
        <f aca="false">IF(TRIB!G15="",0,TRIB!G15*IF($D15="A",INPUTS!$I$26,INPUTS!$N$26)/1000)</f>
        <v>10.52</v>
      </c>
      <c r="H15" s="9" t="n">
        <f aca="false">IF(TRIB!H15="",0,TRIB!H15*IF($D15="A",INPUTS!$I$27,INPUTS!$N$27)/1000)</f>
        <v>10.52</v>
      </c>
      <c r="I15" s="9" t="n">
        <f aca="false">IF(TRIB!I15="",0,TRIB!I15*IF($D15="A",INPUTS!$I$28,INPUTS!$N$28)/1000)</f>
        <v>10.52</v>
      </c>
      <c r="J15" s="9" t="n">
        <f aca="false">IF(TRIB!J15="",0,TRIB!J15*IF($D15="A",INPUTS!$I$29,INPUTS!$N$29)/1000)</f>
        <v>10.52</v>
      </c>
      <c r="K15" s="9" t="n">
        <f aca="false">IF(TRIB!K15="",0,TRIB!K15*IF($D15="A",INPUTS!$I$30,INPUTS!$N$30)/1000)</f>
        <v>10.52</v>
      </c>
      <c r="L15" s="9" t="n">
        <f aca="false">IF(TRIB!L15="",0,TRIB!L15*IF($D15="A",INPUTS!$I$31,INPUTS!$N$31)/1000)</f>
        <v>10.52</v>
      </c>
      <c r="M15" s="9" t="n">
        <f aca="false">IF(TRIB!M15="",0,TRIB!M15*IF($D15="A",INPUTS!$I$32,INPUTS!$N$32)/1000)</f>
        <v>10.52</v>
      </c>
      <c r="N15" s="9" t="n">
        <f aca="false">IF(TRIB!N15="",0,TRIB!N15*IF($D15="A",INPUTS!$I$33,INPUTS!$N$33)/1000)</f>
        <v>10.52</v>
      </c>
      <c r="O15" s="9" t="n">
        <f aca="false">IF(TRIB!O15="",0,TRIB!O15*IF($D15="A",INPUTS!$I$34,INPUTS!$N$34)/1000)</f>
        <v>10.52</v>
      </c>
      <c r="P15" s="9" t="n">
        <f aca="false">IF(TRIB!P15="",0,TRIB!P15*IF($D15="A",INPUTS!$I$35,INPUTS!$N$35)/1000)</f>
        <v>10.52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9" t="n">
        <f aca="false">IF(TRIB!E16="",0,TRIB!E16*IF($D16="A",INPUTS!$I$24,INPUTS!$N$24)/1000)</f>
        <v>0</v>
      </c>
      <c r="F16" s="9" t="n">
        <f aca="false">IF(TRIB!F16="",0,TRIB!F16*IF($D16="A",INPUTS!$I$25,INPUTS!$N$25)/1000)</f>
        <v>35.5</v>
      </c>
      <c r="G16" s="9" t="n">
        <f aca="false">IF(TRIB!G16="",0,TRIB!G16*IF($D16="A",INPUTS!$I$26,INPUTS!$N$26)/1000)</f>
        <v>14.2</v>
      </c>
      <c r="H16" s="9" t="n">
        <f aca="false">IF(TRIB!H16="",0,TRIB!H16*IF($D16="A",INPUTS!$I$27,INPUTS!$N$27)/1000)</f>
        <v>14.2</v>
      </c>
      <c r="I16" s="9" t="n">
        <f aca="false">IF(TRIB!I16="",0,TRIB!I16*IF($D16="A",INPUTS!$I$28,INPUTS!$N$28)/1000)</f>
        <v>14.2</v>
      </c>
      <c r="J16" s="9" t="n">
        <f aca="false">IF(TRIB!J16="",0,TRIB!J16*IF($D16="A",INPUTS!$I$29,INPUTS!$N$29)/1000)</f>
        <v>14.2</v>
      </c>
      <c r="K16" s="9" t="n">
        <f aca="false">IF(TRIB!K16="",0,TRIB!K16*IF($D16="A",INPUTS!$I$30,INPUTS!$N$30)/1000)</f>
        <v>14.2</v>
      </c>
      <c r="L16" s="9" t="n">
        <f aca="false">IF(TRIB!L16="",0,TRIB!L16*IF($D16="A",INPUTS!$I$31,INPUTS!$N$31)/1000)</f>
        <v>14.2</v>
      </c>
      <c r="M16" s="9" t="n">
        <f aca="false">IF(TRIB!M16="",0,TRIB!M16*IF($D16="A",INPUTS!$I$32,INPUTS!$N$32)/1000)</f>
        <v>14.2</v>
      </c>
      <c r="N16" s="9" t="n">
        <f aca="false">IF(TRIB!N16="",0,TRIB!N16*IF($D16="A",INPUTS!$I$33,INPUTS!$N$33)/1000)</f>
        <v>14.2</v>
      </c>
      <c r="O16" s="9" t="n">
        <f aca="false">IF(TRIB!O16="",0,TRIB!O16*IF($D16="A",INPUTS!$I$34,INPUTS!$N$34)/1000)</f>
        <v>14.2</v>
      </c>
      <c r="P16" s="9" t="n">
        <f aca="false">IF(TRIB!P16="",0,TRIB!P16*IF($D16="A",INPUTS!$I$35,INPUTS!$N$35)/1000)</f>
        <v>14.2</v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9" t="n">
        <f aca="false">IF(TRIB!E17="",0,TRIB!E17*IF($D17="A",INPUTS!$I$24,INPUTS!$N$24)/1000)</f>
        <v>0</v>
      </c>
      <c r="F17" s="9" t="n">
        <f aca="false">IF(TRIB!F17="",0,TRIB!F17*IF($D17="A",INPUTS!$I$25,INPUTS!$N$25)/1000)</f>
        <v>25.3</v>
      </c>
      <c r="G17" s="9" t="n">
        <f aca="false">IF(TRIB!G17="",0,TRIB!G17*IF($D17="A",INPUTS!$I$26,INPUTS!$N$26)/1000)</f>
        <v>12.32</v>
      </c>
      <c r="H17" s="9" t="n">
        <f aca="false">IF(TRIB!H17="",0,TRIB!H17*IF($D17="A",INPUTS!$I$27,INPUTS!$N$27)/1000)</f>
        <v>12.32</v>
      </c>
      <c r="I17" s="9" t="n">
        <f aca="false">IF(TRIB!I17="",0,TRIB!I17*IF($D17="A",INPUTS!$I$28,INPUTS!$N$28)/1000)</f>
        <v>12.32</v>
      </c>
      <c r="J17" s="9" t="n">
        <f aca="false">IF(TRIB!J17="",0,TRIB!J17*IF($D17="A",INPUTS!$I$29,INPUTS!$N$29)/1000)</f>
        <v>12.32</v>
      </c>
      <c r="K17" s="9" t="n">
        <f aca="false">IF(TRIB!K17="",0,TRIB!K17*IF($D17="A",INPUTS!$I$30,INPUTS!$N$30)/1000)</f>
        <v>12.32</v>
      </c>
      <c r="L17" s="9" t="n">
        <f aca="false">IF(TRIB!L17="",0,TRIB!L17*IF($D17="A",INPUTS!$I$31,INPUTS!$N$31)/1000)</f>
        <v>12.32</v>
      </c>
      <c r="M17" s="9" t="n">
        <f aca="false">IF(TRIB!M17="",0,TRIB!M17*IF($D17="A",INPUTS!$I$32,INPUTS!$N$32)/1000)</f>
        <v>12.32</v>
      </c>
      <c r="N17" s="9" t="n">
        <f aca="false">IF(TRIB!N17="",0,TRIB!N17*IF($D17="A",INPUTS!$I$33,INPUTS!$N$33)/1000)</f>
        <v>12.32</v>
      </c>
      <c r="O17" s="9" t="n">
        <f aca="false">IF(TRIB!O17="",0,TRIB!O17*IF($D17="A",INPUTS!$I$34,INPUTS!$N$34)/1000)</f>
        <v>12.32</v>
      </c>
      <c r="P17" s="9" t="n">
        <f aca="false">IF(TRIB!P17="",0,TRIB!P17*IF($D17="A",INPUTS!$I$35,INPUTS!$N$35)/1000)</f>
        <v>12.32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9" t="n">
        <f aca="false">IF(TRIB!E18="",0,TRIB!E18*IF($D18="A",INPUTS!$I$24,INPUTS!$N$24)/1000)</f>
        <v>0</v>
      </c>
      <c r="F18" s="9" t="n">
        <f aca="false">IF(TRIB!F18="",0,TRIB!F18*IF($D18="A",INPUTS!$I$25,INPUTS!$N$25)/1000)</f>
        <v>36.8</v>
      </c>
      <c r="G18" s="9" t="n">
        <f aca="false">IF(TRIB!G18="",0,TRIB!G18*IF($D18="A",INPUTS!$I$26,INPUTS!$N$26)/1000)</f>
        <v>14.72</v>
      </c>
      <c r="H18" s="9" t="n">
        <f aca="false">IF(TRIB!H18="",0,TRIB!H18*IF($D18="A",INPUTS!$I$27,INPUTS!$N$27)/1000)</f>
        <v>14.72</v>
      </c>
      <c r="I18" s="9" t="n">
        <f aca="false">IF(TRIB!I18="",0,TRIB!I18*IF($D18="A",INPUTS!$I$28,INPUTS!$N$28)/1000)</f>
        <v>14.72</v>
      </c>
      <c r="J18" s="9" t="n">
        <f aca="false">IF(TRIB!J18="",0,TRIB!J18*IF($D18="A",INPUTS!$I$29,INPUTS!$N$29)/1000)</f>
        <v>14.72</v>
      </c>
      <c r="K18" s="9" t="n">
        <f aca="false">IF(TRIB!K18="",0,TRIB!K18*IF($D18="A",INPUTS!$I$30,INPUTS!$N$30)/1000)</f>
        <v>14.72</v>
      </c>
      <c r="L18" s="9" t="n">
        <f aca="false">IF(TRIB!L18="",0,TRIB!L18*IF($D18="A",INPUTS!$I$31,INPUTS!$N$31)/1000)</f>
        <v>14.72</v>
      </c>
      <c r="M18" s="9" t="n">
        <f aca="false">IF(TRIB!M18="",0,TRIB!M18*IF($D18="A",INPUTS!$I$32,INPUTS!$N$32)/1000)</f>
        <v>14.72</v>
      </c>
      <c r="N18" s="9" t="n">
        <f aca="false">IF(TRIB!N18="",0,TRIB!N18*IF($D18="A",INPUTS!$I$33,INPUTS!$N$33)/1000)</f>
        <v>14.72</v>
      </c>
      <c r="O18" s="9" t="n">
        <f aca="false">IF(TRIB!O18="",0,TRIB!O18*IF($D18="A",INPUTS!$I$34,INPUTS!$N$34)/1000)</f>
        <v>14.72</v>
      </c>
      <c r="P18" s="9" t="n">
        <f aca="false">IF(TRIB!P18="",0,TRIB!P18*IF($D18="A",INPUTS!$I$35,INPUTS!$N$35)/1000)</f>
        <v>14.72</v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9" t="n">
        <f aca="false">IF(TRIB!E19="",0,TRIB!E19*IF($D19="A",INPUTS!$I$24,INPUTS!$N$24)/1000)</f>
        <v>0</v>
      </c>
      <c r="F19" s="9" t="n">
        <f aca="false">IF(TRIB!F19="",0,TRIB!F19*IF($D19="A",INPUTS!$I$25,INPUTS!$N$25)/1000)</f>
        <v>56.2</v>
      </c>
      <c r="G19" s="9" t="n">
        <f aca="false">IF(TRIB!G19="",0,TRIB!G19*IF($D19="A",INPUTS!$I$26,INPUTS!$N$26)/1000)</f>
        <v>22.48</v>
      </c>
      <c r="H19" s="9" t="n">
        <f aca="false">IF(TRIB!H19="",0,TRIB!H19*IF($D19="A",INPUTS!$I$27,INPUTS!$N$27)/1000)</f>
        <v>22.48</v>
      </c>
      <c r="I19" s="9" t="n">
        <f aca="false">IF(TRIB!I19="",0,TRIB!I19*IF($D19="A",INPUTS!$I$28,INPUTS!$N$28)/1000)</f>
        <v>22.48</v>
      </c>
      <c r="J19" s="9" t="n">
        <f aca="false">IF(TRIB!J19="",0,TRIB!J19*IF($D19="A",INPUTS!$I$29,INPUTS!$N$29)/1000)</f>
        <v>22.48</v>
      </c>
      <c r="K19" s="9" t="n">
        <f aca="false">IF(TRIB!K19="",0,TRIB!K19*IF($D19="A",INPUTS!$I$30,INPUTS!$N$30)/1000)</f>
        <v>22.48</v>
      </c>
      <c r="L19" s="9" t="n">
        <f aca="false">IF(TRIB!L19="",0,TRIB!L19*IF($D19="A",INPUTS!$I$31,INPUTS!$N$31)/1000)</f>
        <v>22.48</v>
      </c>
      <c r="M19" s="9" t="n">
        <f aca="false">IF(TRIB!M19="",0,TRIB!M19*IF($D19="A",INPUTS!$I$32,INPUTS!$N$32)/1000)</f>
        <v>22.48</v>
      </c>
      <c r="N19" s="9" t="n">
        <f aca="false">IF(TRIB!N19="",0,TRIB!N19*IF($D19="A",INPUTS!$I$33,INPUTS!$N$33)/1000)</f>
        <v>22.48</v>
      </c>
      <c r="O19" s="9" t="n">
        <f aca="false">IF(TRIB!O19="",0,TRIB!O19*IF($D19="A",INPUTS!$I$34,INPUTS!$N$34)/1000)</f>
        <v>22.48</v>
      </c>
      <c r="P19" s="9" t="n">
        <f aca="false">IF(TRIB!P19="",0,TRIB!P19*IF($D19="A",INPUTS!$I$35,INPUTS!$N$35)/1000)</f>
        <v>22.48</v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9" t="n">
        <f aca="false">IF(TRIB!E20="",0,TRIB!E20*IF($D20="A",INPUTS!$I$24,INPUTS!$N$24)/1000)</f>
        <v>0</v>
      </c>
      <c r="F20" s="9" t="n">
        <f aca="false">IF(TRIB!F20="",0,TRIB!F20*IF($D20="A",INPUTS!$I$25,INPUTS!$N$25)/1000)</f>
        <v>13.3</v>
      </c>
      <c r="G20" s="9" t="n">
        <f aca="false">IF(TRIB!G20="",0,TRIB!G20*IF($D20="A",INPUTS!$I$26,INPUTS!$N$26)/1000)</f>
        <v>5.64</v>
      </c>
      <c r="H20" s="9" t="n">
        <f aca="false">IF(TRIB!H20="",0,TRIB!H20*IF($D20="A",INPUTS!$I$27,INPUTS!$N$27)/1000)</f>
        <v>5.64</v>
      </c>
      <c r="I20" s="9" t="n">
        <f aca="false">IF(TRIB!I20="",0,TRIB!I20*IF($D20="A",INPUTS!$I$28,INPUTS!$N$28)/1000)</f>
        <v>5.64</v>
      </c>
      <c r="J20" s="9" t="n">
        <f aca="false">IF(TRIB!J20="",0,TRIB!J20*IF($D20="A",INPUTS!$I$29,INPUTS!$N$29)/1000)</f>
        <v>5.64</v>
      </c>
      <c r="K20" s="9" t="n">
        <f aca="false">IF(TRIB!K20="",0,TRIB!K20*IF($D20="A",INPUTS!$I$30,INPUTS!$N$30)/1000)</f>
        <v>5.4</v>
      </c>
      <c r="L20" s="9" t="n">
        <f aca="false">IF(TRIB!L20="",0,TRIB!L20*IF($D20="A",INPUTS!$I$31,INPUTS!$N$31)/1000)</f>
        <v>5.4</v>
      </c>
      <c r="M20" s="9" t="n">
        <f aca="false">IF(TRIB!M20="",0,TRIB!M20*IF($D20="A",INPUTS!$I$32,INPUTS!$N$32)/1000)</f>
        <v>5.4</v>
      </c>
      <c r="N20" s="9" t="n">
        <f aca="false">IF(TRIB!N20="",0,TRIB!N20*IF($D20="A",INPUTS!$I$33,INPUTS!$N$33)/1000)</f>
        <v>5.4</v>
      </c>
      <c r="O20" s="9" t="n">
        <f aca="false">IF(TRIB!O20="",0,TRIB!O20*IF($D20="A",INPUTS!$I$34,INPUTS!$N$34)/1000)</f>
        <v>5.4</v>
      </c>
      <c r="P20" s="9" t="n">
        <f aca="false">IF(TRIB!P20="",0,TRIB!P20*IF($D20="A",INPUTS!$I$35,INPUTS!$N$35)/1000)</f>
        <v>5.4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9" t="n">
        <f aca="false">IF(TRIB!E21="",0,TRIB!E21*IF($D21="A",INPUTS!$I$24,INPUTS!$N$24)/1000)</f>
        <v>0</v>
      </c>
      <c r="F21" s="9" t="n">
        <f aca="false">IF(TRIB!F21="",0,TRIB!F21*IF($D21="A",INPUTS!$I$25,INPUTS!$N$25)/1000)</f>
        <v>41.7</v>
      </c>
      <c r="G21" s="9" t="n">
        <f aca="false">IF(TRIB!G21="",0,TRIB!G21*IF($D21="A",INPUTS!$I$26,INPUTS!$N$26)/1000)</f>
        <v>16.8</v>
      </c>
      <c r="H21" s="9" t="n">
        <f aca="false">IF(TRIB!H21="",0,TRIB!H21*IF($D21="A",INPUTS!$I$27,INPUTS!$N$27)/1000)</f>
        <v>16.8</v>
      </c>
      <c r="I21" s="9" t="n">
        <f aca="false">IF(TRIB!I21="",0,TRIB!I21*IF($D21="A",INPUTS!$I$28,INPUTS!$N$28)/1000)</f>
        <v>16.8</v>
      </c>
      <c r="J21" s="9" t="n">
        <f aca="false">IF(TRIB!J21="",0,TRIB!J21*IF($D21="A",INPUTS!$I$29,INPUTS!$N$29)/1000)</f>
        <v>16.8</v>
      </c>
      <c r="K21" s="9" t="n">
        <f aca="false">IF(TRIB!K21="",0,TRIB!K21*IF($D21="A",INPUTS!$I$30,INPUTS!$N$30)/1000)</f>
        <v>16.64</v>
      </c>
      <c r="L21" s="9" t="n">
        <f aca="false">IF(TRIB!L21="",0,TRIB!L21*IF($D21="A",INPUTS!$I$31,INPUTS!$N$31)/1000)</f>
        <v>16.64</v>
      </c>
      <c r="M21" s="9" t="n">
        <f aca="false">IF(TRIB!M21="",0,TRIB!M21*IF($D21="A",INPUTS!$I$32,INPUTS!$N$32)/1000)</f>
        <v>16.64</v>
      </c>
      <c r="N21" s="9" t="n">
        <f aca="false">IF(TRIB!N21="",0,TRIB!N21*IF($D21="A",INPUTS!$I$33,INPUTS!$N$33)/1000)</f>
        <v>16.64</v>
      </c>
      <c r="O21" s="9" t="n">
        <f aca="false">IF(TRIB!O21="",0,TRIB!O21*IF($D21="A",INPUTS!$I$34,INPUTS!$N$34)/1000)</f>
        <v>16.64</v>
      </c>
      <c r="P21" s="9" t="n">
        <f aca="false">IF(TRIB!P21="",0,TRIB!P21*IF($D21="A",INPUTS!$I$35,INPUTS!$N$35)/1000)</f>
        <v>16.64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9" t="n">
        <f aca="false">IF(TRIB!E22="",0,TRIB!E22*IF($D22="A",INPUTS!$I$24,INPUTS!$N$24)/1000)</f>
        <v>0</v>
      </c>
      <c r="F22" s="9" t="n">
        <f aca="false">IF(TRIB!F22="",0,TRIB!F22*IF($D22="A",INPUTS!$I$25,INPUTS!$N$25)/1000)</f>
        <v>37.7</v>
      </c>
      <c r="G22" s="9" t="n">
        <f aca="false">IF(TRIB!G22="",0,TRIB!G22*IF($D22="A",INPUTS!$I$26,INPUTS!$N$26)/1000)</f>
        <v>16.8</v>
      </c>
      <c r="H22" s="9" t="n">
        <f aca="false">IF(TRIB!H22="",0,TRIB!H22*IF($D22="A",INPUTS!$I$27,INPUTS!$N$27)/1000)</f>
        <v>16.8</v>
      </c>
      <c r="I22" s="9" t="n">
        <f aca="false">IF(TRIB!I22="",0,TRIB!I22*IF($D22="A",INPUTS!$I$28,INPUTS!$N$28)/1000)</f>
        <v>16.8</v>
      </c>
      <c r="J22" s="9" t="n">
        <f aca="false">IF(TRIB!J22="",0,TRIB!J22*IF($D22="A",INPUTS!$I$29,INPUTS!$N$29)/1000)</f>
        <v>16.8</v>
      </c>
      <c r="K22" s="9" t="n">
        <f aca="false">IF(TRIB!K22="",0,TRIB!K22*IF($D22="A",INPUTS!$I$30,INPUTS!$N$30)/1000)</f>
        <v>16.8</v>
      </c>
      <c r="L22" s="9" t="n">
        <f aca="false">IF(TRIB!L22="",0,TRIB!L22*IF($D22="A",INPUTS!$I$31,INPUTS!$N$31)/1000)</f>
        <v>16.8</v>
      </c>
      <c r="M22" s="9" t="n">
        <f aca="false">IF(TRIB!M22="",0,TRIB!M22*IF($D22="A",INPUTS!$I$32,INPUTS!$N$32)/1000)</f>
        <v>16.8</v>
      </c>
      <c r="N22" s="9" t="n">
        <f aca="false">IF(TRIB!N22="",0,TRIB!N22*IF($D22="A",INPUTS!$I$33,INPUTS!$N$33)/1000)</f>
        <v>16.8</v>
      </c>
      <c r="O22" s="9" t="n">
        <f aca="false">IF(TRIB!O22="",0,TRIB!O22*IF($D22="A",INPUTS!$I$34,INPUTS!$N$34)/1000)</f>
        <v>16.8</v>
      </c>
      <c r="P22" s="9" t="n">
        <f aca="false">IF(TRIB!P22="",0,TRIB!P22*IF($D22="A",INPUTS!$I$35,INPUTS!$N$35)/1000)</f>
        <v>16.8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9" t="n">
        <f aca="false">IF(TRIB!E23="",0,TRIB!E23*IF($D23="A",INPUTS!$I$24,INPUTS!$N$24)/1000)</f>
        <v>0</v>
      </c>
      <c r="F23" s="9" t="n">
        <f aca="false">IF(TRIB!F23="",0,TRIB!F23*IF($D23="A",INPUTS!$I$25,INPUTS!$N$25)/1000)</f>
        <v>44.9</v>
      </c>
      <c r="G23" s="9" t="n">
        <f aca="false">IF(TRIB!G23="",0,TRIB!G23*IF($D23="A",INPUTS!$I$26,INPUTS!$N$26)/1000)</f>
        <v>17.96</v>
      </c>
      <c r="H23" s="9" t="n">
        <f aca="false">IF(TRIB!H23="",0,TRIB!H23*IF($D23="A",INPUTS!$I$27,INPUTS!$N$27)/1000)</f>
        <v>17.96</v>
      </c>
      <c r="I23" s="9" t="n">
        <f aca="false">IF(TRIB!I23="",0,TRIB!I23*IF($D23="A",INPUTS!$I$28,INPUTS!$N$28)/1000)</f>
        <v>17.96</v>
      </c>
      <c r="J23" s="9" t="n">
        <f aca="false">IF(TRIB!J23="",0,TRIB!J23*IF($D23="A",INPUTS!$I$29,INPUTS!$N$29)/1000)</f>
        <v>17.96</v>
      </c>
      <c r="K23" s="9" t="n">
        <f aca="false">IF(TRIB!K23="",0,TRIB!K23*IF($D23="A",INPUTS!$I$30,INPUTS!$N$30)/1000)</f>
        <v>17.96</v>
      </c>
      <c r="L23" s="9" t="n">
        <f aca="false">IF(TRIB!L23="",0,TRIB!L23*IF($D23="A",INPUTS!$I$31,INPUTS!$N$31)/1000)</f>
        <v>17.96</v>
      </c>
      <c r="M23" s="9" t="n">
        <f aca="false">IF(TRIB!M23="",0,TRIB!M23*IF($D23="A",INPUTS!$I$32,INPUTS!$N$32)/1000)</f>
        <v>17.96</v>
      </c>
      <c r="N23" s="9" t="n">
        <f aca="false">IF(TRIB!N23="",0,TRIB!N23*IF($D23="A",INPUTS!$I$33,INPUTS!$N$33)/1000)</f>
        <v>17.96</v>
      </c>
      <c r="O23" s="9" t="n">
        <f aca="false">IF(TRIB!O23="",0,TRIB!O23*IF($D23="A",INPUTS!$I$34,INPUTS!$N$34)/1000)</f>
        <v>17.96</v>
      </c>
      <c r="P23" s="9" t="n">
        <f aca="false">IF(TRIB!P23="",0,TRIB!P23*IF($D23="A",INPUTS!$I$35,INPUTS!$N$35)/1000)</f>
        <v>17.96</v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9" t="n">
        <f aca="false">IF(TRIB!E24="",0,TRIB!E24*IF($D24="A",INPUTS!$I$24,INPUTS!$N$24)/1000)</f>
        <v>0</v>
      </c>
      <c r="F24" s="9" t="n">
        <f aca="false">IF(TRIB!F24="",0,TRIB!F24*IF($D24="A",INPUTS!$I$25,INPUTS!$N$25)/1000)</f>
        <v>33.3</v>
      </c>
      <c r="G24" s="9" t="n">
        <f aca="false">IF(TRIB!G24="",0,TRIB!G24*IF($D24="A",INPUTS!$I$26,INPUTS!$N$26)/1000)</f>
        <v>13.32</v>
      </c>
      <c r="H24" s="9" t="n">
        <f aca="false">IF(TRIB!H24="",0,TRIB!H24*IF($D24="A",INPUTS!$I$27,INPUTS!$N$27)/1000)</f>
        <v>13.32</v>
      </c>
      <c r="I24" s="9" t="n">
        <f aca="false">IF(TRIB!I24="",0,TRIB!I24*IF($D24="A",INPUTS!$I$28,INPUTS!$N$28)/1000)</f>
        <v>13.32</v>
      </c>
      <c r="J24" s="9" t="n">
        <f aca="false">IF(TRIB!J24="",0,TRIB!J24*IF($D24="A",INPUTS!$I$29,INPUTS!$N$29)/1000)</f>
        <v>13.32</v>
      </c>
      <c r="K24" s="9" t="n">
        <f aca="false">IF(TRIB!K24="",0,TRIB!K24*IF($D24="A",INPUTS!$I$30,INPUTS!$N$30)/1000)</f>
        <v>13.32</v>
      </c>
      <c r="L24" s="9" t="n">
        <f aca="false">IF(TRIB!L24="",0,TRIB!L24*IF($D24="A",INPUTS!$I$31,INPUTS!$N$31)/1000)</f>
        <v>13.32</v>
      </c>
      <c r="M24" s="9" t="n">
        <f aca="false">IF(TRIB!M24="",0,TRIB!M24*IF($D24="A",INPUTS!$I$32,INPUTS!$N$32)/1000)</f>
        <v>13.32</v>
      </c>
      <c r="N24" s="9" t="n">
        <f aca="false">IF(TRIB!N24="",0,TRIB!N24*IF($D24="A",INPUTS!$I$33,INPUTS!$N$33)/1000)</f>
        <v>13.32</v>
      </c>
      <c r="O24" s="9" t="n">
        <f aca="false">IF(TRIB!O24="",0,TRIB!O24*IF($D24="A",INPUTS!$I$34,INPUTS!$N$34)/1000)</f>
        <v>13.32</v>
      </c>
      <c r="P24" s="9" t="n">
        <f aca="false">IF(TRIB!P24="",0,TRIB!P24*IF($D24="A",INPUTS!$I$35,INPUTS!$N$35)/1000)</f>
        <v>13.32</v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9" t="n">
        <f aca="false">IF(TRIB!E25="",0,TRIB!E25*IF($D25="A",INPUTS!$I$24,INPUTS!$N$24)/1000)</f>
        <v>0</v>
      </c>
      <c r="F25" s="9" t="n">
        <f aca="false">IF(TRIB!F25="",0,TRIB!F25*IF($D25="A",INPUTS!$I$25,INPUTS!$N$25)/1000)</f>
        <v>30.9</v>
      </c>
      <c r="G25" s="9" t="n">
        <f aca="false">IF(TRIB!G25="",0,TRIB!G25*IF($D25="A",INPUTS!$I$26,INPUTS!$N$26)/1000)</f>
        <v>12.36</v>
      </c>
      <c r="H25" s="9" t="n">
        <f aca="false">IF(TRIB!H25="",0,TRIB!H25*IF($D25="A",INPUTS!$I$27,INPUTS!$N$27)/1000)</f>
        <v>12.36</v>
      </c>
      <c r="I25" s="9" t="n">
        <f aca="false">IF(TRIB!I25="",0,TRIB!I25*IF($D25="A",INPUTS!$I$28,INPUTS!$N$28)/1000)</f>
        <v>12.36</v>
      </c>
      <c r="J25" s="9" t="n">
        <f aca="false">IF(TRIB!J25="",0,TRIB!J25*IF($D25="A",INPUTS!$I$29,INPUTS!$N$29)/1000)</f>
        <v>12.36</v>
      </c>
      <c r="K25" s="9" t="n">
        <f aca="false">IF(TRIB!K25="",0,TRIB!K25*IF($D25="A",INPUTS!$I$30,INPUTS!$N$30)/1000)</f>
        <v>12.36</v>
      </c>
      <c r="L25" s="9" t="n">
        <f aca="false">IF(TRIB!L25="",0,TRIB!L25*IF($D25="A",INPUTS!$I$31,INPUTS!$N$31)/1000)</f>
        <v>12.36</v>
      </c>
      <c r="M25" s="9" t="n">
        <f aca="false">IF(TRIB!M25="",0,TRIB!M25*IF($D25="A",INPUTS!$I$32,INPUTS!$N$32)/1000)</f>
        <v>12.36</v>
      </c>
      <c r="N25" s="9" t="n">
        <f aca="false">IF(TRIB!N25="",0,TRIB!N25*IF($D25="A",INPUTS!$I$33,INPUTS!$N$33)/1000)</f>
        <v>12.36</v>
      </c>
      <c r="O25" s="9" t="n">
        <f aca="false">IF(TRIB!O25="",0,TRIB!O25*IF($D25="A",INPUTS!$I$34,INPUTS!$N$34)/1000)</f>
        <v>12.36</v>
      </c>
      <c r="P25" s="9" t="n">
        <f aca="false">IF(TRIB!P25="",0,TRIB!P25*IF($D25="A",INPUTS!$I$35,INPUTS!$N$35)/1000)</f>
        <v>12.36</v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9" t="n">
        <f aca="false">IF(TRIB!E26="",0,TRIB!E26*IF($D26="A",INPUTS!$I$24,INPUTS!$N$24)/1000)</f>
        <v>0</v>
      </c>
      <c r="F26" s="9" t="n">
        <f aca="false">IF(TRIB!F26="",0,TRIB!F26*IF($D26="A",INPUTS!$I$25,INPUTS!$N$25)/1000)</f>
        <v>35.8</v>
      </c>
      <c r="G26" s="9" t="n">
        <f aca="false">IF(TRIB!G26="",0,TRIB!G26*IF($D26="A",INPUTS!$I$26,INPUTS!$N$26)/1000)</f>
        <v>16.8</v>
      </c>
      <c r="H26" s="9" t="n">
        <f aca="false">IF(TRIB!H26="",0,TRIB!H26*IF($D26="A",INPUTS!$I$27,INPUTS!$N$27)/1000)</f>
        <v>16.8</v>
      </c>
      <c r="I26" s="9" t="n">
        <f aca="false">IF(TRIB!I26="",0,TRIB!I26*IF($D26="A",INPUTS!$I$28,INPUTS!$N$28)/1000)</f>
        <v>16.8</v>
      </c>
      <c r="J26" s="9" t="n">
        <f aca="false">IF(TRIB!J26="",0,TRIB!J26*IF($D26="A",INPUTS!$I$29,INPUTS!$N$29)/1000)</f>
        <v>16.8</v>
      </c>
      <c r="K26" s="9" t="n">
        <f aca="false">IF(TRIB!K26="",0,TRIB!K26*IF($D26="A",INPUTS!$I$30,INPUTS!$N$30)/1000)</f>
        <v>16.8</v>
      </c>
      <c r="L26" s="9" t="n">
        <f aca="false">IF(TRIB!L26="",0,TRIB!L26*IF($D26="A",INPUTS!$I$31,INPUTS!$N$31)/1000)</f>
        <v>16.8</v>
      </c>
      <c r="M26" s="9" t="n">
        <f aca="false">IF(TRIB!M26="",0,TRIB!M26*IF($D26="A",INPUTS!$I$32,INPUTS!$N$32)/1000)</f>
        <v>16.8</v>
      </c>
      <c r="N26" s="9" t="n">
        <f aca="false">IF(TRIB!N26="",0,TRIB!N26*IF($D26="A",INPUTS!$I$33,INPUTS!$N$33)/1000)</f>
        <v>16.8</v>
      </c>
      <c r="O26" s="9" t="n">
        <f aca="false">IF(TRIB!O26="",0,TRIB!O26*IF($D26="A",INPUTS!$I$34,INPUTS!$N$34)/1000)</f>
        <v>16.8</v>
      </c>
      <c r="P26" s="9" t="n">
        <f aca="false">IF(TRIB!P26="",0,TRIB!P26*IF($D26="A",INPUTS!$I$35,INPUTS!$N$35)/1000)</f>
        <v>16.8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9" t="n">
        <f aca="false">IF(TRIB!E27="",0,TRIB!E27*IF($D27="A",INPUTS!$I$24,INPUTS!$N$24)/1000)</f>
        <v>0</v>
      </c>
      <c r="F27" s="9" t="n">
        <f aca="false">IF(TRIB!F27="",0,TRIB!F27*IF($D27="A",INPUTS!$I$25,INPUTS!$N$25)/1000)</f>
        <v>18.8</v>
      </c>
      <c r="G27" s="9" t="n">
        <f aca="false">IF(TRIB!G27="",0,TRIB!G27*IF($D27="A",INPUTS!$I$26,INPUTS!$N$26)/1000)</f>
        <v>7.52</v>
      </c>
      <c r="H27" s="9" t="n">
        <f aca="false">IF(TRIB!H27="",0,TRIB!H27*IF($D27="A",INPUTS!$I$27,INPUTS!$N$27)/1000)</f>
        <v>7.52</v>
      </c>
      <c r="I27" s="9" t="n">
        <f aca="false">IF(TRIB!I27="",0,TRIB!I27*IF($D27="A",INPUTS!$I$28,INPUTS!$N$28)/1000)</f>
        <v>7.52</v>
      </c>
      <c r="J27" s="9" t="n">
        <f aca="false">IF(TRIB!J27="",0,TRIB!J27*IF($D27="A",INPUTS!$I$29,INPUTS!$N$29)/1000)</f>
        <v>7.52</v>
      </c>
      <c r="K27" s="9" t="n">
        <f aca="false">IF(TRIB!K27="",0,TRIB!K27*IF($D27="A",INPUTS!$I$30,INPUTS!$N$30)/1000)</f>
        <v>6.92</v>
      </c>
      <c r="L27" s="9" t="n">
        <f aca="false">IF(TRIB!L27="",0,TRIB!L27*IF($D27="A",INPUTS!$I$31,INPUTS!$N$31)/1000)</f>
        <v>6.92</v>
      </c>
      <c r="M27" s="9" t="n">
        <f aca="false">IF(TRIB!M27="",0,TRIB!M27*IF($D27="A",INPUTS!$I$32,INPUTS!$N$32)/1000)</f>
        <v>6.92</v>
      </c>
      <c r="N27" s="9" t="n">
        <f aca="false">IF(TRIB!N27="",0,TRIB!N27*IF($D27="A",INPUTS!$I$33,INPUTS!$N$33)/1000)</f>
        <v>6.92</v>
      </c>
      <c r="O27" s="9" t="n">
        <f aca="false">IF(TRIB!O27="",0,TRIB!O27*IF($D27="A",INPUTS!$I$34,INPUTS!$N$34)/1000)</f>
        <v>6.92</v>
      </c>
      <c r="P27" s="9" t="n">
        <f aca="false">IF(TRIB!P27="",0,TRIB!P27*IF($D27="A",INPUTS!$I$35,INPUTS!$N$35)/1000)</f>
        <v>6.92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9" t="n">
        <f aca="false">IF(TRIB!E28="",0,TRIB!E28*IF($D28="A",INPUTS!$I$24,INPUTS!$N$24)/1000)</f>
        <v>0</v>
      </c>
      <c r="F28" s="9" t="n">
        <f aca="false">IF(TRIB!F28="",0,TRIB!F28*IF($D28="A",INPUTS!$I$25,INPUTS!$N$25)/1000)</f>
        <v>32.2</v>
      </c>
      <c r="G28" s="9" t="n">
        <f aca="false">IF(TRIB!G28="",0,TRIB!G28*IF($D28="A",INPUTS!$I$26,INPUTS!$N$26)/1000)</f>
        <v>12.88</v>
      </c>
      <c r="H28" s="9" t="n">
        <f aca="false">IF(TRIB!H28="",0,TRIB!H28*IF($D28="A",INPUTS!$I$27,INPUTS!$N$27)/1000)</f>
        <v>12.88</v>
      </c>
      <c r="I28" s="9" t="n">
        <f aca="false">IF(TRIB!I28="",0,TRIB!I28*IF($D28="A",INPUTS!$I$28,INPUTS!$N$28)/1000)</f>
        <v>12.88</v>
      </c>
      <c r="J28" s="9" t="n">
        <f aca="false">IF(TRIB!J28="",0,TRIB!J28*IF($D28="A",INPUTS!$I$29,INPUTS!$N$29)/1000)</f>
        <v>12.88</v>
      </c>
      <c r="K28" s="9" t="n">
        <f aca="false">IF(TRIB!K28="",0,TRIB!K28*IF($D28="A",INPUTS!$I$30,INPUTS!$N$30)/1000)</f>
        <v>12.88</v>
      </c>
      <c r="L28" s="9" t="n">
        <f aca="false">IF(TRIB!L28="",0,TRIB!L28*IF($D28="A",INPUTS!$I$31,INPUTS!$N$31)/1000)</f>
        <v>12.88</v>
      </c>
      <c r="M28" s="9" t="n">
        <f aca="false">IF(TRIB!M28="",0,TRIB!M28*IF($D28="A",INPUTS!$I$32,INPUTS!$N$32)/1000)</f>
        <v>12.88</v>
      </c>
      <c r="N28" s="9" t="n">
        <f aca="false">IF(TRIB!N28="",0,TRIB!N28*IF($D28="A",INPUTS!$I$33,INPUTS!$N$33)/1000)</f>
        <v>12.88</v>
      </c>
      <c r="O28" s="9" t="n">
        <f aca="false">IF(TRIB!O28="",0,TRIB!O28*IF($D28="A",INPUTS!$I$34,INPUTS!$N$34)/1000)</f>
        <v>12.88</v>
      </c>
      <c r="P28" s="9" t="n">
        <f aca="false">IF(TRIB!P28="",0,TRIB!P28*IF($D28="A",INPUTS!$I$35,INPUTS!$N$35)/1000)</f>
        <v>12.88</v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9" t="n">
        <f aca="false">IF(TRIB!E29="",0,TRIB!E29*IF($D29="A",INPUTS!$I$24,INPUTS!$N$24)/1000)</f>
        <v>0</v>
      </c>
      <c r="F29" s="9" t="n">
        <f aca="false">IF(TRIB!F29="",0,TRIB!F29*IF($D29="A",INPUTS!$I$25,INPUTS!$N$25)/1000)</f>
        <v>46.6</v>
      </c>
      <c r="G29" s="9" t="n">
        <f aca="false">IF(TRIB!G29="",0,TRIB!G29*IF($D29="A",INPUTS!$I$26,INPUTS!$N$26)/1000)</f>
        <v>18.8</v>
      </c>
      <c r="H29" s="9" t="n">
        <f aca="false">IF(TRIB!H29="",0,TRIB!H29*IF($D29="A",INPUTS!$I$27,INPUTS!$N$27)/1000)</f>
        <v>18.8</v>
      </c>
      <c r="I29" s="9" t="n">
        <f aca="false">IF(TRIB!I29="",0,TRIB!I29*IF($D29="A",INPUTS!$I$28,INPUTS!$N$28)/1000)</f>
        <v>18.8</v>
      </c>
      <c r="J29" s="9" t="n">
        <f aca="false">IF(TRIB!J29="",0,TRIB!J29*IF($D29="A",INPUTS!$I$29,INPUTS!$N$29)/1000)</f>
        <v>18.8</v>
      </c>
      <c r="K29" s="9" t="n">
        <f aca="false">IF(TRIB!K29="",0,TRIB!K29*IF($D29="A",INPUTS!$I$30,INPUTS!$N$30)/1000)</f>
        <v>18.8</v>
      </c>
      <c r="L29" s="9" t="n">
        <f aca="false">IF(TRIB!L29="",0,TRIB!L29*IF($D29="A",INPUTS!$I$31,INPUTS!$N$31)/1000)</f>
        <v>18.8</v>
      </c>
      <c r="M29" s="9" t="n">
        <f aca="false">IF(TRIB!M29="",0,TRIB!M29*IF($D29="A",INPUTS!$I$32,INPUTS!$N$32)/1000)</f>
        <v>18.8</v>
      </c>
      <c r="N29" s="9" t="n">
        <f aca="false">IF(TRIB!N29="",0,TRIB!N29*IF($D29="A",INPUTS!$I$33,INPUTS!$N$33)/1000)</f>
        <v>18.8</v>
      </c>
      <c r="O29" s="9" t="n">
        <f aca="false">IF(TRIB!O29="",0,TRIB!O29*IF($D29="A",INPUTS!$I$34,INPUTS!$N$34)/1000)</f>
        <v>18.8</v>
      </c>
      <c r="P29" s="9" t="n">
        <f aca="false">IF(TRIB!P29="",0,TRIB!P29*IF($D29="A",INPUTS!$I$35,INPUTS!$N$35)/1000)</f>
        <v>18.8</v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9" t="n">
        <f aca="false">IF(TRIB!E30="",0,TRIB!E30*IF($D30="A",INPUTS!$I$24,INPUTS!$N$24)/1000)</f>
        <v>0</v>
      </c>
      <c r="F30" s="9" t="n">
        <f aca="false">IF(TRIB!F30="",0,TRIB!F30*IF($D30="A",INPUTS!$I$25,INPUTS!$N$25)/1000)</f>
        <v>27.4</v>
      </c>
      <c r="G30" s="9" t="n">
        <f aca="false">IF(TRIB!G30="",0,TRIB!G30*IF($D30="A",INPUTS!$I$26,INPUTS!$N$26)/1000)</f>
        <v>10.96</v>
      </c>
      <c r="H30" s="9" t="n">
        <f aca="false">IF(TRIB!H30="",0,TRIB!H30*IF($D30="A",INPUTS!$I$27,INPUTS!$N$27)/1000)</f>
        <v>10.96</v>
      </c>
      <c r="I30" s="9" t="n">
        <f aca="false">IF(TRIB!I30="",0,TRIB!I30*IF($D30="A",INPUTS!$I$28,INPUTS!$N$28)/1000)</f>
        <v>10.96</v>
      </c>
      <c r="J30" s="9" t="n">
        <f aca="false">IF(TRIB!J30="",0,TRIB!J30*IF($D30="A",INPUTS!$I$29,INPUTS!$N$29)/1000)</f>
        <v>10.96</v>
      </c>
      <c r="K30" s="9" t="n">
        <f aca="false">IF(TRIB!K30="",0,TRIB!K30*IF($D30="A",INPUTS!$I$30,INPUTS!$N$30)/1000)</f>
        <v>10.96</v>
      </c>
      <c r="L30" s="9" t="n">
        <f aca="false">IF(TRIB!L30="",0,TRIB!L30*IF($D30="A",INPUTS!$I$31,INPUTS!$N$31)/1000)</f>
        <v>10.96</v>
      </c>
      <c r="M30" s="9" t="n">
        <f aca="false">IF(TRIB!M30="",0,TRIB!M30*IF($D30="A",INPUTS!$I$32,INPUTS!$N$32)/1000)</f>
        <v>10.96</v>
      </c>
      <c r="N30" s="9" t="n">
        <f aca="false">IF(TRIB!N30="",0,TRIB!N30*IF($D30="A",INPUTS!$I$33,INPUTS!$N$33)/1000)</f>
        <v>10.96</v>
      </c>
      <c r="O30" s="9" t="n">
        <f aca="false">IF(TRIB!O30="",0,TRIB!O30*IF($D30="A",INPUTS!$I$34,INPUTS!$N$34)/1000)</f>
        <v>10.96</v>
      </c>
      <c r="P30" s="9" t="n">
        <f aca="false">IF(TRIB!P30="",0,TRIB!P30*IF($D30="A",INPUTS!$I$35,INPUTS!$N$35)/1000)</f>
        <v>10.96</v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9" t="n">
        <f aca="false">IF(TRIB!E31="",0,TRIB!E31*IF($D31="A",INPUTS!$I$24,INPUTS!$N$24)/1000)</f>
        <v>0</v>
      </c>
      <c r="F31" s="9" t="n">
        <f aca="false">IF(TRIB!F31="",0,TRIB!F31*IF($D31="A",INPUTS!$I$25,INPUTS!$N$25)/1000)</f>
        <v>17.3</v>
      </c>
      <c r="G31" s="9" t="n">
        <f aca="false">IF(TRIB!G31="",0,TRIB!G31*IF($D31="A",INPUTS!$I$26,INPUTS!$N$26)/1000)</f>
        <v>6.92</v>
      </c>
      <c r="H31" s="9" t="n">
        <f aca="false">IF(TRIB!H31="",0,TRIB!H31*IF($D31="A",INPUTS!$I$27,INPUTS!$N$27)/1000)</f>
        <v>6.92</v>
      </c>
      <c r="I31" s="9" t="n">
        <f aca="false">IF(TRIB!I31="",0,TRIB!I31*IF($D31="A",INPUTS!$I$28,INPUTS!$N$28)/1000)</f>
        <v>6.92</v>
      </c>
      <c r="J31" s="9" t="n">
        <f aca="false">IF(TRIB!J31="",0,TRIB!J31*IF($D31="A",INPUTS!$I$29,INPUTS!$N$29)/1000)</f>
        <v>6.92</v>
      </c>
      <c r="K31" s="9" t="n">
        <f aca="false">IF(TRIB!K31="",0,TRIB!K31*IF($D31="A",INPUTS!$I$30,INPUTS!$N$30)/1000)</f>
        <v>6.36</v>
      </c>
      <c r="L31" s="9" t="n">
        <f aca="false">IF(TRIB!L31="",0,TRIB!L31*IF($D31="A",INPUTS!$I$31,INPUTS!$N$31)/1000)</f>
        <v>6.36</v>
      </c>
      <c r="M31" s="9" t="n">
        <f aca="false">IF(TRIB!M31="",0,TRIB!M31*IF($D31="A",INPUTS!$I$32,INPUTS!$N$32)/1000)</f>
        <v>6.36</v>
      </c>
      <c r="N31" s="9" t="n">
        <f aca="false">IF(TRIB!N31="",0,TRIB!N31*IF($D31="A",INPUTS!$I$33,INPUTS!$N$33)/1000)</f>
        <v>6.36</v>
      </c>
      <c r="O31" s="9" t="n">
        <f aca="false">IF(TRIB!O31="",0,TRIB!O31*IF($D31="A",INPUTS!$I$34,INPUTS!$N$34)/1000)</f>
        <v>6.36</v>
      </c>
      <c r="P31" s="9" t="n">
        <f aca="false">IF(TRIB!P31="",0,TRIB!P31*IF($D31="A",INPUTS!$I$35,INPUTS!$N$35)/1000)</f>
        <v>6.36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9" t="n">
        <f aca="false">IF(TRIB!E32="",0,TRIB!E32*IF($D32="A",INPUTS!$I$24,INPUTS!$N$24)/1000)</f>
        <v>0</v>
      </c>
      <c r="F32" s="9" t="n">
        <f aca="false">IF(TRIB!F32="",0,TRIB!F32*IF($D32="A",INPUTS!$I$25,INPUTS!$N$25)/1000)</f>
        <v>24.7</v>
      </c>
      <c r="G32" s="9" t="n">
        <f aca="false">IF(TRIB!G32="",0,TRIB!G32*IF($D32="A",INPUTS!$I$26,INPUTS!$N$26)/1000)</f>
        <v>17.4</v>
      </c>
      <c r="H32" s="9" t="n">
        <f aca="false">IF(TRIB!H32="",0,TRIB!H32*IF($D32="A",INPUTS!$I$27,INPUTS!$N$27)/1000)</f>
        <v>17.4</v>
      </c>
      <c r="I32" s="9" t="n">
        <f aca="false">IF(TRIB!I32="",0,TRIB!I32*IF($D32="A",INPUTS!$I$28,INPUTS!$N$28)/1000)</f>
        <v>17.4</v>
      </c>
      <c r="J32" s="9" t="n">
        <f aca="false">IF(TRIB!J32="",0,TRIB!J32*IF($D32="A",INPUTS!$I$29,INPUTS!$N$29)/1000)</f>
        <v>17.4</v>
      </c>
      <c r="K32" s="9" t="n">
        <f aca="false">IF(TRIB!K32="",0,TRIB!K32*IF($D32="A",INPUTS!$I$30,INPUTS!$N$30)/1000)</f>
        <v>17.4</v>
      </c>
      <c r="L32" s="9" t="n">
        <f aca="false">IF(TRIB!L32="",0,TRIB!L32*IF($D32="A",INPUTS!$I$31,INPUTS!$N$31)/1000)</f>
        <v>17.4</v>
      </c>
      <c r="M32" s="9" t="n">
        <f aca="false">IF(TRIB!M32="",0,TRIB!M32*IF($D32="A",INPUTS!$I$32,INPUTS!$N$32)/1000)</f>
        <v>17.4</v>
      </c>
      <c r="N32" s="9" t="n">
        <f aca="false">IF(TRIB!N32="",0,TRIB!N32*IF($D32="A",INPUTS!$I$33,INPUTS!$N$33)/1000)</f>
        <v>17.4</v>
      </c>
      <c r="O32" s="9" t="n">
        <f aca="false">IF(TRIB!O32="",0,TRIB!O32*IF($D32="A",INPUTS!$I$34,INPUTS!$N$34)/1000)</f>
        <v>17.4</v>
      </c>
      <c r="P32" s="9" t="n">
        <f aca="false">IF(TRIB!P32="",0,TRIB!P32*IF($D32="A",INPUTS!$I$35,INPUTS!$N$35)/1000)</f>
        <v>17.4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9" t="n">
        <f aca="false">IF(TRIB!E33="",0,TRIB!E33*IF($D33="A",INPUTS!$I$24,INPUTS!$N$24)/1000)</f>
        <v>0</v>
      </c>
      <c r="F33" s="9" t="n">
        <f aca="false">IF(TRIB!F33="",0,TRIB!F33*IF($D33="A",INPUTS!$I$25,INPUTS!$N$25)/1000)</f>
        <v>23.1</v>
      </c>
      <c r="G33" s="9" t="n">
        <f aca="false">IF(TRIB!G33="",0,TRIB!G33*IF($D33="A",INPUTS!$I$26,INPUTS!$N$26)/1000)</f>
        <v>17.76</v>
      </c>
      <c r="H33" s="9" t="n">
        <f aca="false">IF(TRIB!H33="",0,TRIB!H33*IF($D33="A",INPUTS!$I$27,INPUTS!$N$27)/1000)</f>
        <v>17.76</v>
      </c>
      <c r="I33" s="9" t="n">
        <f aca="false">IF(TRIB!I33="",0,TRIB!I33*IF($D33="A",INPUTS!$I$28,INPUTS!$N$28)/1000)</f>
        <v>17.76</v>
      </c>
      <c r="J33" s="9" t="n">
        <f aca="false">IF(TRIB!J33="",0,TRIB!J33*IF($D33="A",INPUTS!$I$29,INPUTS!$N$29)/1000)</f>
        <v>17.76</v>
      </c>
      <c r="K33" s="9" t="n">
        <f aca="false">IF(TRIB!K33="",0,TRIB!K33*IF($D33="A",INPUTS!$I$30,INPUTS!$N$30)/1000)</f>
        <v>17.76</v>
      </c>
      <c r="L33" s="9" t="n">
        <f aca="false">IF(TRIB!L33="",0,TRIB!L33*IF($D33="A",INPUTS!$I$31,INPUTS!$N$31)/1000)</f>
        <v>17.76</v>
      </c>
      <c r="M33" s="9" t="n">
        <f aca="false">IF(TRIB!M33="",0,TRIB!M33*IF($D33="A",INPUTS!$I$32,INPUTS!$N$32)/1000)</f>
        <v>17.76</v>
      </c>
      <c r="N33" s="9" t="n">
        <f aca="false">IF(TRIB!N33="",0,TRIB!N33*IF($D33="A",INPUTS!$I$33,INPUTS!$N$33)/1000)</f>
        <v>17.76</v>
      </c>
      <c r="O33" s="9" t="n">
        <f aca="false">IF(TRIB!O33="",0,TRIB!O33*IF($D33="A",INPUTS!$I$34,INPUTS!$N$34)/1000)</f>
        <v>17.76</v>
      </c>
      <c r="P33" s="9" t="n">
        <f aca="false">IF(TRIB!P33="",0,TRIB!P33*IF($D33="A",INPUTS!$I$35,INPUTS!$N$35)/1000)</f>
        <v>17.76</v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9" t="n">
        <f aca="false">IF(TRIB!E34="",0,TRIB!E34*IF($D34="A",INPUTS!$I$24,INPUTS!$N$24)/1000)</f>
        <v>0</v>
      </c>
      <c r="F34" s="9" t="n">
        <f aca="false">IF(TRIB!F34="",0,TRIB!F34*IF($D34="A",INPUTS!$I$25,INPUTS!$N$25)/1000)</f>
        <v>19.9</v>
      </c>
      <c r="G34" s="9" t="n">
        <f aca="false">IF(TRIB!G34="",0,TRIB!G34*IF($D34="A",INPUTS!$I$26,INPUTS!$N$26)/1000)</f>
        <v>12.32</v>
      </c>
      <c r="H34" s="9" t="n">
        <f aca="false">IF(TRIB!H34="",0,TRIB!H34*IF($D34="A",INPUTS!$I$27,INPUTS!$N$27)/1000)</f>
        <v>10.84</v>
      </c>
      <c r="I34" s="9" t="n">
        <f aca="false">IF(TRIB!I34="",0,TRIB!I34*IF($D34="A",INPUTS!$I$28,INPUTS!$N$28)/1000)</f>
        <v>10.84</v>
      </c>
      <c r="J34" s="9" t="n">
        <f aca="false">IF(TRIB!J34="",0,TRIB!J34*IF($D34="A",INPUTS!$I$29,INPUTS!$N$29)/1000)</f>
        <v>10.84</v>
      </c>
      <c r="K34" s="9" t="n">
        <f aca="false">IF(TRIB!K34="",0,TRIB!K34*IF($D34="A",INPUTS!$I$30,INPUTS!$N$30)/1000)</f>
        <v>10.84</v>
      </c>
      <c r="L34" s="9" t="n">
        <f aca="false">IF(TRIB!L34="",0,TRIB!L34*IF($D34="A",INPUTS!$I$31,INPUTS!$N$31)/1000)</f>
        <v>10.84</v>
      </c>
      <c r="M34" s="9" t="n">
        <f aca="false">IF(TRIB!M34="",0,TRIB!M34*IF($D34="A",INPUTS!$I$32,INPUTS!$N$32)/1000)</f>
        <v>10.84</v>
      </c>
      <c r="N34" s="9" t="n">
        <f aca="false">IF(TRIB!N34="",0,TRIB!N34*IF($D34="A",INPUTS!$I$33,INPUTS!$N$33)/1000)</f>
        <v>10.84</v>
      </c>
      <c r="O34" s="9" t="n">
        <f aca="false">IF(TRIB!O34="",0,TRIB!O34*IF($D34="A",INPUTS!$I$34,INPUTS!$N$34)/1000)</f>
        <v>10.84</v>
      </c>
      <c r="P34" s="9" t="n">
        <f aca="false">IF(TRIB!P34="",0,TRIB!P34*IF($D34="A",INPUTS!$I$35,INPUTS!$N$35)/1000)</f>
        <v>10.84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9" t="n">
        <f aca="false">IF(TRIB!E35="",0,TRIB!E35*IF($D35="A",INPUTS!$I$24,INPUTS!$N$24)/1000)</f>
        <v>0</v>
      </c>
      <c r="F35" s="9" t="n">
        <f aca="false">IF(TRIB!F35="",0,TRIB!F35*IF($D35="A",INPUTS!$I$25,INPUTS!$N$25)/1000)</f>
        <v>0</v>
      </c>
      <c r="G35" s="9" t="n">
        <f aca="false">IF(TRIB!G35="",0,TRIB!G35*IF($D35="A",INPUTS!$I$26,INPUTS!$N$26)/1000)</f>
        <v>16.6</v>
      </c>
      <c r="H35" s="9" t="n">
        <f aca="false">IF(TRIB!H35="",0,TRIB!H35*IF($D35="A",INPUTS!$I$27,INPUTS!$N$27)/1000)</f>
        <v>16.6</v>
      </c>
      <c r="I35" s="9" t="n">
        <f aca="false">IF(TRIB!I35="",0,TRIB!I35*IF($D35="A",INPUTS!$I$28,INPUTS!$N$28)/1000)</f>
        <v>16.6</v>
      </c>
      <c r="J35" s="9" t="n">
        <f aca="false">IF(TRIB!J35="",0,TRIB!J35*IF($D35="A",INPUTS!$I$29,INPUTS!$N$29)/1000)</f>
        <v>16.6</v>
      </c>
      <c r="K35" s="9" t="n">
        <f aca="false">IF(TRIB!K35="",0,TRIB!K35*IF($D35="A",INPUTS!$I$30,INPUTS!$N$30)/1000)</f>
        <v>16.6</v>
      </c>
      <c r="L35" s="9" t="n">
        <f aca="false">IF(TRIB!L35="",0,TRIB!L35*IF($D35="A",INPUTS!$I$31,INPUTS!$N$31)/1000)</f>
        <v>16.6</v>
      </c>
      <c r="M35" s="9" t="n">
        <f aca="false">IF(TRIB!M35="",0,TRIB!M35*IF($D35="A",INPUTS!$I$32,INPUTS!$N$32)/1000)</f>
        <v>16.6</v>
      </c>
      <c r="N35" s="9" t="n">
        <f aca="false">IF(TRIB!N35="",0,TRIB!N35*IF($D35="A",INPUTS!$I$33,INPUTS!$N$33)/1000)</f>
        <v>16.6</v>
      </c>
      <c r="O35" s="9" t="n">
        <f aca="false">IF(TRIB!O35="",0,TRIB!O35*IF($D35="A",INPUTS!$I$34,INPUTS!$N$34)/1000)</f>
        <v>16.6</v>
      </c>
      <c r="P35" s="9" t="n">
        <f aca="false">IF(TRIB!P35="",0,TRIB!P35*IF($D35="A",INPUTS!$I$35,INPUTS!$N$35)/1000)</f>
        <v>16.6</v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9" t="n">
        <f aca="false">IF(TRIB!E36="",0,TRIB!E36*IF($D36="A",INPUTS!$I$24,INPUTS!$N$24)/1000)</f>
        <v>0</v>
      </c>
      <c r="F36" s="9" t="n">
        <f aca="false">IF(TRIB!F36="",0,TRIB!F36*IF($D36="A",INPUTS!$I$25,INPUTS!$N$25)/1000)</f>
        <v>61.2</v>
      </c>
      <c r="G36" s="9" t="n">
        <f aca="false">IF(TRIB!G36="",0,TRIB!G36*IF($D36="A",INPUTS!$I$26,INPUTS!$N$26)/1000)</f>
        <v>24.4</v>
      </c>
      <c r="H36" s="9" t="n">
        <f aca="false">IF(TRIB!H36="",0,TRIB!H36*IF($D36="A",INPUTS!$I$27,INPUTS!$N$27)/1000)</f>
        <v>24.4</v>
      </c>
      <c r="I36" s="9" t="n">
        <f aca="false">IF(TRIB!I36="",0,TRIB!I36*IF($D36="A",INPUTS!$I$28,INPUTS!$N$28)/1000)</f>
        <v>24.4</v>
      </c>
      <c r="J36" s="9" t="n">
        <f aca="false">IF(TRIB!J36="",0,TRIB!J36*IF($D36="A",INPUTS!$I$29,INPUTS!$N$29)/1000)</f>
        <v>24.4</v>
      </c>
      <c r="K36" s="9" t="n">
        <f aca="false">IF(TRIB!K36="",0,TRIB!K36*IF($D36="A",INPUTS!$I$30,INPUTS!$N$30)/1000)</f>
        <v>24.4</v>
      </c>
      <c r="L36" s="9" t="n">
        <f aca="false">IF(TRIB!L36="",0,TRIB!L36*IF($D36="A",INPUTS!$I$31,INPUTS!$N$31)/1000)</f>
        <v>24.4</v>
      </c>
      <c r="M36" s="9" t="n">
        <f aca="false">IF(TRIB!M36="",0,TRIB!M36*IF($D36="A",INPUTS!$I$32,INPUTS!$N$32)/1000)</f>
        <v>24.4</v>
      </c>
      <c r="N36" s="9" t="n">
        <f aca="false">IF(TRIB!N36="",0,TRIB!N36*IF($D36="A",INPUTS!$I$33,INPUTS!$N$33)/1000)</f>
        <v>24.4</v>
      </c>
      <c r="O36" s="9" t="n">
        <f aca="false">IF(TRIB!O36="",0,TRIB!O36*IF($D36="A",INPUTS!$I$34,INPUTS!$N$34)/1000)</f>
        <v>24.4</v>
      </c>
      <c r="P36" s="9" t="n">
        <f aca="false">IF(TRIB!P36="",0,TRIB!P36*IF($D36="A",INPUTS!$I$35,INPUTS!$N$35)/1000)</f>
        <v>24.4</v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9" t="n">
        <f aca="false">IF(TRIB!E37="",0,TRIB!E37*IF($D37="A",INPUTS!$I$24,INPUTS!$N$24)/1000)</f>
        <v>0</v>
      </c>
      <c r="F37" s="9" t="n">
        <f aca="false">IF(TRIB!F37="",0,TRIB!F37*IF($D37="A",INPUTS!$I$25,INPUTS!$N$25)/1000)</f>
        <v>27.6</v>
      </c>
      <c r="G37" s="9" t="n">
        <f aca="false">IF(TRIB!G37="",0,TRIB!G37*IF($D37="A",INPUTS!$I$26,INPUTS!$N$26)/1000)</f>
        <v>11.4</v>
      </c>
      <c r="H37" s="9" t="n">
        <f aca="false">IF(TRIB!H37="",0,TRIB!H37*IF($D37="A",INPUTS!$I$27,INPUTS!$N$27)/1000)</f>
        <v>11.4</v>
      </c>
      <c r="I37" s="9" t="n">
        <f aca="false">IF(TRIB!I37="",0,TRIB!I37*IF($D37="A",INPUTS!$I$28,INPUTS!$N$28)/1000)</f>
        <v>11.4</v>
      </c>
      <c r="J37" s="9" t="n">
        <f aca="false">IF(TRIB!J37="",0,TRIB!J37*IF($D37="A",INPUTS!$I$29,INPUTS!$N$29)/1000)</f>
        <v>11.4</v>
      </c>
      <c r="K37" s="9" t="n">
        <f aca="false">IF(TRIB!K37="",0,TRIB!K37*IF($D37="A",INPUTS!$I$30,INPUTS!$N$30)/1000)</f>
        <v>11.04</v>
      </c>
      <c r="L37" s="9" t="n">
        <f aca="false">IF(TRIB!L37="",0,TRIB!L37*IF($D37="A",INPUTS!$I$31,INPUTS!$N$31)/1000)</f>
        <v>11.04</v>
      </c>
      <c r="M37" s="9" t="n">
        <f aca="false">IF(TRIB!M37="",0,TRIB!M37*IF($D37="A",INPUTS!$I$32,INPUTS!$N$32)/1000)</f>
        <v>11.04</v>
      </c>
      <c r="N37" s="9" t="n">
        <f aca="false">IF(TRIB!N37="",0,TRIB!N37*IF($D37="A",INPUTS!$I$33,INPUTS!$N$33)/1000)</f>
        <v>11.04</v>
      </c>
      <c r="O37" s="9" t="n">
        <f aca="false">IF(TRIB!O37="",0,TRIB!O37*IF($D37="A",INPUTS!$I$34,INPUTS!$N$34)/1000)</f>
        <v>11.04</v>
      </c>
      <c r="P37" s="9" t="n">
        <f aca="false">IF(TRIB!P37="",0,TRIB!P37*IF($D37="A",INPUTS!$I$35,INPUTS!$N$35)/1000)</f>
        <v>11.04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9" t="n">
        <f aca="false">IF(TRIB!E38="",0,TRIB!E38*IF($D38="A",INPUTS!$I$24,INPUTS!$N$24)/1000)</f>
        <v>0</v>
      </c>
      <c r="F38" s="9" t="n">
        <f aca="false">IF(TRIB!F38="",0,TRIB!F38*IF($D38="A",INPUTS!$I$25,INPUTS!$N$25)/1000)</f>
        <v>15.8</v>
      </c>
      <c r="G38" s="9" t="n">
        <f aca="false">IF(TRIB!G38="",0,TRIB!G38*IF($D38="A",INPUTS!$I$26,INPUTS!$N$26)/1000)</f>
        <v>10.56</v>
      </c>
      <c r="H38" s="9" t="n">
        <f aca="false">IF(TRIB!H38="",0,TRIB!H38*IF($D38="A",INPUTS!$I$27,INPUTS!$N$27)/1000)</f>
        <v>9.44</v>
      </c>
      <c r="I38" s="9" t="n">
        <f aca="false">IF(TRIB!I38="",0,TRIB!I38*IF($D38="A",INPUTS!$I$28,INPUTS!$N$28)/1000)</f>
        <v>9.44</v>
      </c>
      <c r="J38" s="9" t="n">
        <f aca="false">IF(TRIB!J38="",0,TRIB!J38*IF($D38="A",INPUTS!$I$29,INPUTS!$N$29)/1000)</f>
        <v>9.44</v>
      </c>
      <c r="K38" s="9" t="n">
        <f aca="false">IF(TRIB!K38="",0,TRIB!K38*IF($D38="A",INPUTS!$I$30,INPUTS!$N$30)/1000)</f>
        <v>9.44</v>
      </c>
      <c r="L38" s="9" t="n">
        <f aca="false">IF(TRIB!L38="",0,TRIB!L38*IF($D38="A",INPUTS!$I$31,INPUTS!$N$31)/1000)</f>
        <v>9.44</v>
      </c>
      <c r="M38" s="9" t="n">
        <f aca="false">IF(TRIB!M38="",0,TRIB!M38*IF($D38="A",INPUTS!$I$32,INPUTS!$N$32)/1000)</f>
        <v>9.44</v>
      </c>
      <c r="N38" s="9" t="n">
        <f aca="false">IF(TRIB!N38="",0,TRIB!N38*IF($D38="A",INPUTS!$I$33,INPUTS!$N$33)/1000)</f>
        <v>9.44</v>
      </c>
      <c r="O38" s="9" t="n">
        <f aca="false">IF(TRIB!O38="",0,TRIB!O38*IF($D38="A",INPUTS!$I$34,INPUTS!$N$34)/1000)</f>
        <v>9.44</v>
      </c>
      <c r="P38" s="9" t="n">
        <f aca="false">IF(TRIB!P38="",0,TRIB!P38*IF($D38="A",INPUTS!$I$35,INPUTS!$N$35)/1000)</f>
        <v>9.44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9" t="n">
        <f aca="false">IF(TRIB!E39="",0,TRIB!E39*IF($D39="A",INPUTS!$I$24,INPUTS!$N$24)/1000)</f>
        <v>0</v>
      </c>
      <c r="F39" s="9" t="n">
        <f aca="false">IF(TRIB!F39="",0,TRIB!F39*IF($D39="A",INPUTS!$I$25,INPUTS!$N$25)/1000)</f>
        <v>35.7</v>
      </c>
      <c r="G39" s="9" t="n">
        <f aca="false">IF(TRIB!G39="",0,TRIB!G39*IF($D39="A",INPUTS!$I$26,INPUTS!$N$26)/1000)</f>
        <v>14.4</v>
      </c>
      <c r="H39" s="9" t="n">
        <f aca="false">IF(TRIB!H39="",0,TRIB!H39*IF($D39="A",INPUTS!$I$27,INPUTS!$N$27)/1000)</f>
        <v>14.4</v>
      </c>
      <c r="I39" s="9" t="n">
        <f aca="false">IF(TRIB!I39="",0,TRIB!I39*IF($D39="A",INPUTS!$I$28,INPUTS!$N$28)/1000)</f>
        <v>14.4</v>
      </c>
      <c r="J39" s="9" t="n">
        <f aca="false">IF(TRIB!J39="",0,TRIB!J39*IF($D39="A",INPUTS!$I$29,INPUTS!$N$29)/1000)</f>
        <v>14.4</v>
      </c>
      <c r="K39" s="9" t="n">
        <f aca="false">IF(TRIB!K39="",0,TRIB!K39*IF($D39="A",INPUTS!$I$30,INPUTS!$N$30)/1000)</f>
        <v>14.4</v>
      </c>
      <c r="L39" s="9" t="n">
        <f aca="false">IF(TRIB!L39="",0,TRIB!L39*IF($D39="A",INPUTS!$I$31,INPUTS!$N$31)/1000)</f>
        <v>14.4</v>
      </c>
      <c r="M39" s="9" t="n">
        <f aca="false">IF(TRIB!M39="",0,TRIB!M39*IF($D39="A",INPUTS!$I$32,INPUTS!$N$32)/1000)</f>
        <v>14.4</v>
      </c>
      <c r="N39" s="9" t="n">
        <f aca="false">IF(TRIB!N39="",0,TRIB!N39*IF($D39="A",INPUTS!$I$33,INPUTS!$N$33)/1000)</f>
        <v>14.4</v>
      </c>
      <c r="O39" s="9" t="n">
        <f aca="false">IF(TRIB!O39="",0,TRIB!O39*IF($D39="A",INPUTS!$I$34,INPUTS!$N$34)/1000)</f>
        <v>14.4</v>
      </c>
      <c r="P39" s="9" t="n">
        <f aca="false">IF(TRIB!P39="",0,TRIB!P39*IF($D39="A",INPUTS!$I$35,INPUTS!$N$35)/1000)</f>
        <v>14.4</v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9" t="n">
        <f aca="false">IF(TRIB!E40="",0,TRIB!E40*IF($D40="A",INPUTS!$I$24,INPUTS!$N$24)/1000)</f>
        <v>0</v>
      </c>
      <c r="F40" s="9" t="n">
        <f aca="false">IF(TRIB!F40="",0,TRIB!F40*IF($D40="A",INPUTS!$I$25,INPUTS!$N$25)/1000)</f>
        <v>11.2</v>
      </c>
      <c r="G40" s="9" t="n">
        <f aca="false">IF(TRIB!G40="",0,TRIB!G40*IF($D40="A",INPUTS!$I$26,INPUTS!$N$26)/1000)</f>
        <v>5.04</v>
      </c>
      <c r="H40" s="9" t="n">
        <f aca="false">IF(TRIB!H40="",0,TRIB!H40*IF($D40="A",INPUTS!$I$27,INPUTS!$N$27)/1000)</f>
        <v>5.04</v>
      </c>
      <c r="I40" s="9" t="n">
        <f aca="false">IF(TRIB!I40="",0,TRIB!I40*IF($D40="A",INPUTS!$I$28,INPUTS!$N$28)/1000)</f>
        <v>5.04</v>
      </c>
      <c r="J40" s="9" t="n">
        <f aca="false">IF(TRIB!J40="",0,TRIB!J40*IF($D40="A",INPUTS!$I$29,INPUTS!$N$29)/1000)</f>
        <v>5.04</v>
      </c>
      <c r="K40" s="9" t="n">
        <f aca="false">IF(TRIB!K40="",0,TRIB!K40*IF($D40="A",INPUTS!$I$30,INPUTS!$N$30)/1000)</f>
        <v>4.48</v>
      </c>
      <c r="L40" s="9" t="n">
        <f aca="false">IF(TRIB!L40="",0,TRIB!L40*IF($D40="A",INPUTS!$I$31,INPUTS!$N$31)/1000)</f>
        <v>4.44</v>
      </c>
      <c r="M40" s="9" t="n">
        <f aca="false">IF(TRIB!M40="",0,TRIB!M40*IF($D40="A",INPUTS!$I$32,INPUTS!$N$32)/1000)</f>
        <v>4.44</v>
      </c>
      <c r="N40" s="9" t="n">
        <f aca="false">IF(TRIB!N40="",0,TRIB!N40*IF($D40="A",INPUTS!$I$33,INPUTS!$N$33)/1000)</f>
        <v>4.44</v>
      </c>
      <c r="O40" s="9" t="n">
        <f aca="false">IF(TRIB!O40="",0,TRIB!O40*IF($D40="A",INPUTS!$I$34,INPUTS!$N$34)/1000)</f>
        <v>4.44</v>
      </c>
      <c r="P40" s="9" t="n">
        <f aca="false">IF(TRIB!P40="",0,TRIB!P40*IF($D40="A",INPUTS!$I$35,INPUTS!$N$35)/1000)</f>
        <v>4.44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9" t="n">
        <f aca="false">IF(TRIB!E41="",0,TRIB!E41*IF($D41="A",INPUTS!$I$24,INPUTS!$N$24)/1000)</f>
        <v>0</v>
      </c>
      <c r="F41" s="9" t="n">
        <f aca="false">IF(TRIB!F41="",0,TRIB!F41*IF($D41="A",INPUTS!$I$25,INPUTS!$N$25)/1000)</f>
        <v>11.6</v>
      </c>
      <c r="G41" s="9" t="n">
        <f aca="false">IF(TRIB!G41="",0,TRIB!G41*IF($D41="A",INPUTS!$I$26,INPUTS!$N$26)/1000)</f>
        <v>5.16</v>
      </c>
      <c r="H41" s="9" t="n">
        <f aca="false">IF(TRIB!H41="",0,TRIB!H41*IF($D41="A",INPUTS!$I$27,INPUTS!$N$27)/1000)</f>
        <v>15.92</v>
      </c>
      <c r="I41" s="9" t="n">
        <f aca="false">IF(TRIB!I41="",0,TRIB!I41*IF($D41="A",INPUTS!$I$28,INPUTS!$N$28)/1000)</f>
        <v>5.24</v>
      </c>
      <c r="J41" s="9" t="n">
        <f aca="false">IF(TRIB!J41="",0,TRIB!J41*IF($D41="A",INPUTS!$I$29,INPUTS!$N$29)/1000)</f>
        <v>5.2</v>
      </c>
      <c r="K41" s="9" t="n">
        <f aca="false">IF(TRIB!K41="",0,TRIB!K41*IF($D41="A",INPUTS!$I$30,INPUTS!$N$30)/1000)</f>
        <v>4.56</v>
      </c>
      <c r="L41" s="9" t="n">
        <f aca="false">IF(TRIB!L41="",0,TRIB!L41*IF($D41="A",INPUTS!$I$31,INPUTS!$N$31)/1000)</f>
        <v>4.6</v>
      </c>
      <c r="M41" s="9" t="n">
        <f aca="false">IF(TRIB!M41="",0,TRIB!M41*IF($D41="A",INPUTS!$I$32,INPUTS!$N$32)/1000)</f>
        <v>4.6</v>
      </c>
      <c r="N41" s="9" t="n">
        <f aca="false">IF(TRIB!N41="",0,TRIB!N41*IF($D41="A",INPUTS!$I$33,INPUTS!$N$33)/1000)</f>
        <v>4.6</v>
      </c>
      <c r="O41" s="9" t="n">
        <f aca="false">IF(TRIB!O41="",0,TRIB!O41*IF($D41="A",INPUTS!$I$34,INPUTS!$N$34)/1000)</f>
        <v>4.6</v>
      </c>
      <c r="P41" s="9" t="n">
        <f aca="false">IF(TRIB!P41="",0,TRIB!P41*IF($D41="A",INPUTS!$I$35,INPUTS!$N$35)/1000)</f>
        <v>4.6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9" t="n">
        <f aca="false">IF(TRIB!E42="",0,TRIB!E42*IF($D42="A",INPUTS!$I$24,INPUTS!$N$24)/1000)</f>
        <v>0</v>
      </c>
      <c r="F42" s="9" t="n">
        <f aca="false">IF(TRIB!F42="",0,TRIB!F42*IF($D42="A",INPUTS!$I$25,INPUTS!$N$25)/1000)</f>
        <v>19.2</v>
      </c>
      <c r="G42" s="9" t="n">
        <f aca="false">IF(TRIB!G42="",0,TRIB!G42*IF($D42="A",INPUTS!$I$26,INPUTS!$N$26)/1000)</f>
        <v>7.68</v>
      </c>
      <c r="H42" s="9" t="n">
        <f aca="false">IF(TRIB!H42="",0,TRIB!H42*IF($D42="A",INPUTS!$I$27,INPUTS!$N$27)/1000)</f>
        <v>7.68</v>
      </c>
      <c r="I42" s="9" t="n">
        <f aca="false">IF(TRIB!I42="",0,TRIB!I42*IF($D42="A",INPUTS!$I$28,INPUTS!$N$28)/1000)</f>
        <v>7.68</v>
      </c>
      <c r="J42" s="9" t="n">
        <f aca="false">IF(TRIB!J42="",0,TRIB!J42*IF($D42="A",INPUTS!$I$29,INPUTS!$N$29)/1000)</f>
        <v>7.68</v>
      </c>
      <c r="K42" s="9" t="n">
        <f aca="false">IF(TRIB!K42="",0,TRIB!K42*IF($D42="A",INPUTS!$I$30,INPUTS!$N$30)/1000)</f>
        <v>7.72</v>
      </c>
      <c r="L42" s="9" t="n">
        <f aca="false">IF(TRIB!L42="",0,TRIB!L42*IF($D42="A",INPUTS!$I$31,INPUTS!$N$31)/1000)</f>
        <v>7.72</v>
      </c>
      <c r="M42" s="9" t="n">
        <f aca="false">IF(TRIB!M42="",0,TRIB!M42*IF($D42="A",INPUTS!$I$32,INPUTS!$N$32)/1000)</f>
        <v>7.72</v>
      </c>
      <c r="N42" s="9" t="n">
        <f aca="false">IF(TRIB!N42="",0,TRIB!N42*IF($D42="A",INPUTS!$I$33,INPUTS!$N$33)/1000)</f>
        <v>7.72</v>
      </c>
      <c r="O42" s="9" t="n">
        <f aca="false">IF(TRIB!O42="",0,TRIB!O42*IF($D42="A",INPUTS!$I$34,INPUTS!$N$34)/1000)</f>
        <v>7.72</v>
      </c>
      <c r="P42" s="9" t="n">
        <f aca="false">IF(TRIB!P42="",0,TRIB!P42*IF($D42="A",INPUTS!$I$35,INPUTS!$N$35)/1000)</f>
        <v>7.72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9" t="n">
        <f aca="false">IF(TRIB!E43="",0,TRIB!E43*IF($D43="A",INPUTS!$I$24,INPUTS!$N$24)/1000)</f>
        <v>0</v>
      </c>
      <c r="F43" s="9" t="n">
        <f aca="false">IF(TRIB!F43="",0,TRIB!F43*IF($D43="A",INPUTS!$I$25,INPUTS!$N$25)/1000)</f>
        <v>16.9</v>
      </c>
      <c r="G43" s="9" t="n">
        <f aca="false">IF(TRIB!G43="",0,TRIB!G43*IF($D43="A",INPUTS!$I$26,INPUTS!$N$26)/1000)</f>
        <v>7</v>
      </c>
      <c r="H43" s="9" t="n">
        <f aca="false">IF(TRIB!H43="",0,TRIB!H43*IF($D43="A",INPUTS!$I$27,INPUTS!$N$27)/1000)</f>
        <v>7</v>
      </c>
      <c r="I43" s="9" t="n">
        <f aca="false">IF(TRIB!I43="",0,TRIB!I43*IF($D43="A",INPUTS!$I$28,INPUTS!$N$28)/1000)</f>
        <v>7</v>
      </c>
      <c r="J43" s="9" t="n">
        <f aca="false">IF(TRIB!J43="",0,TRIB!J43*IF($D43="A",INPUTS!$I$29,INPUTS!$N$29)/1000)</f>
        <v>7</v>
      </c>
      <c r="K43" s="9" t="n">
        <f aca="false">IF(TRIB!K43="",0,TRIB!K43*IF($D43="A",INPUTS!$I$30,INPUTS!$N$30)/1000)</f>
        <v>6.72</v>
      </c>
      <c r="L43" s="9" t="n">
        <f aca="false">IF(TRIB!L43="",0,TRIB!L43*IF($D43="A",INPUTS!$I$31,INPUTS!$N$31)/1000)</f>
        <v>6.72</v>
      </c>
      <c r="M43" s="9" t="n">
        <f aca="false">IF(TRIB!M43="",0,TRIB!M43*IF($D43="A",INPUTS!$I$32,INPUTS!$N$32)/1000)</f>
        <v>6.72</v>
      </c>
      <c r="N43" s="9" t="n">
        <f aca="false">IF(TRIB!N43="",0,TRIB!N43*IF($D43="A",INPUTS!$I$33,INPUTS!$N$33)/1000)</f>
        <v>6.72</v>
      </c>
      <c r="O43" s="9" t="n">
        <f aca="false">IF(TRIB!O43="",0,TRIB!O43*IF($D43="A",INPUTS!$I$34,INPUTS!$N$34)/1000)</f>
        <v>6.72</v>
      </c>
      <c r="P43" s="9" t="n">
        <f aca="false">IF(TRIB!P43="",0,TRIB!P43*IF($D43="A",INPUTS!$I$35,INPUTS!$N$35)/1000)</f>
        <v>6.72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9" t="n">
        <f aca="false">IF(TRIB!E44="",0,TRIB!E44*IF($D44="A",INPUTS!$I$24,INPUTS!$N$24)/1000)</f>
        <v>0</v>
      </c>
      <c r="F44" s="9" t="n">
        <f aca="false">IF(TRIB!F44="",0,TRIB!F44*IF($D44="A",INPUTS!$I$25,INPUTS!$N$25)/1000)</f>
        <v>48.5</v>
      </c>
      <c r="G44" s="9" t="n">
        <f aca="false">IF(TRIB!G44="",0,TRIB!G44*IF($D44="A",INPUTS!$I$26,INPUTS!$N$26)/1000)</f>
        <v>19.4</v>
      </c>
      <c r="H44" s="9" t="n">
        <f aca="false">IF(TRIB!H44="",0,TRIB!H44*IF($D44="A",INPUTS!$I$27,INPUTS!$N$27)/1000)</f>
        <v>19.4</v>
      </c>
      <c r="I44" s="9" t="n">
        <f aca="false">IF(TRIB!I44="",0,TRIB!I44*IF($D44="A",INPUTS!$I$28,INPUTS!$N$28)/1000)</f>
        <v>19.4</v>
      </c>
      <c r="J44" s="9" t="n">
        <f aca="false">IF(TRIB!J44="",0,TRIB!J44*IF($D44="A",INPUTS!$I$29,INPUTS!$N$29)/1000)</f>
        <v>19.44</v>
      </c>
      <c r="K44" s="9" t="n">
        <f aca="false">IF(TRIB!K44="",0,TRIB!K44*IF($D44="A",INPUTS!$I$30,INPUTS!$N$30)/1000)</f>
        <v>19.44</v>
      </c>
      <c r="L44" s="9" t="n">
        <f aca="false">IF(TRIB!L44="",0,TRIB!L44*IF($D44="A",INPUTS!$I$31,INPUTS!$N$31)/1000)</f>
        <v>19.44</v>
      </c>
      <c r="M44" s="9" t="n">
        <f aca="false">IF(TRIB!M44="",0,TRIB!M44*IF($D44="A",INPUTS!$I$32,INPUTS!$N$32)/1000)</f>
        <v>19.44</v>
      </c>
      <c r="N44" s="9" t="n">
        <f aca="false">IF(TRIB!N44="",0,TRIB!N44*IF($D44="A",INPUTS!$I$33,INPUTS!$N$33)/1000)</f>
        <v>19.44</v>
      </c>
      <c r="O44" s="9" t="n">
        <f aca="false">IF(TRIB!O44="",0,TRIB!O44*IF($D44="A",INPUTS!$I$34,INPUTS!$N$34)/1000)</f>
        <v>19.44</v>
      </c>
      <c r="P44" s="9" t="n">
        <f aca="false">IF(TRIB!P44="",0,TRIB!P44*IF($D44="A",INPUTS!$I$35,INPUTS!$N$35)/1000)</f>
        <v>19.44</v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9" t="n">
        <f aca="false">IF(TRIB!E45="",0,TRIB!E45*IF($D45="A",INPUTS!$I$24,INPUTS!$N$24)/1000)</f>
        <v>0</v>
      </c>
      <c r="F45" s="9" t="n">
        <f aca="false">IF(TRIB!F45="",0,TRIB!F45*IF($D45="A",INPUTS!$I$25,INPUTS!$N$25)/1000)</f>
        <v>22.4</v>
      </c>
      <c r="G45" s="9" t="n">
        <f aca="false">IF(TRIB!G45="",0,TRIB!G45*IF($D45="A",INPUTS!$I$26,INPUTS!$N$26)/1000)</f>
        <v>8.96</v>
      </c>
      <c r="H45" s="9" t="n">
        <f aca="false">IF(TRIB!H45="",0,TRIB!H45*IF($D45="A",INPUTS!$I$27,INPUTS!$N$27)/1000)</f>
        <v>8.96</v>
      </c>
      <c r="I45" s="9" t="n">
        <f aca="false">IF(TRIB!I45="",0,TRIB!I45*IF($D45="A",INPUTS!$I$28,INPUTS!$N$28)/1000)</f>
        <v>8.96</v>
      </c>
      <c r="J45" s="9" t="n">
        <f aca="false">IF(TRIB!J45="",0,TRIB!J45*IF($D45="A",INPUTS!$I$29,INPUTS!$N$29)/1000)</f>
        <v>8.96</v>
      </c>
      <c r="K45" s="9" t="n">
        <f aca="false">IF(TRIB!K45="",0,TRIB!K45*IF($D45="A",INPUTS!$I$30,INPUTS!$N$30)/1000)</f>
        <v>8.96</v>
      </c>
      <c r="L45" s="9" t="n">
        <f aca="false">IF(TRIB!L45="",0,TRIB!L45*IF($D45="A",INPUTS!$I$31,INPUTS!$N$31)/1000)</f>
        <v>8.96</v>
      </c>
      <c r="M45" s="9" t="n">
        <f aca="false">IF(TRIB!M45="",0,TRIB!M45*IF($D45="A",INPUTS!$I$32,INPUTS!$N$32)/1000)</f>
        <v>8.96</v>
      </c>
      <c r="N45" s="9" t="n">
        <f aca="false">IF(TRIB!N45="",0,TRIB!N45*IF($D45="A",INPUTS!$I$33,INPUTS!$N$33)/1000)</f>
        <v>8.96</v>
      </c>
      <c r="O45" s="9" t="n">
        <f aca="false">IF(TRIB!O45="",0,TRIB!O45*IF($D45="A",INPUTS!$I$34,INPUTS!$N$34)/1000)</f>
        <v>8.96</v>
      </c>
      <c r="P45" s="9" t="n">
        <f aca="false">IF(TRIB!P45="",0,TRIB!P45*IF($D45="A",INPUTS!$I$35,INPUTS!$N$35)/1000)</f>
        <v>8.96</v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9" t="n">
        <f aca="false">IF(TRIB!E46="",0,TRIB!E46*IF($D46="A",INPUTS!$I$24,INPUTS!$N$24)/1000)</f>
        <v>0</v>
      </c>
      <c r="F46" s="9" t="n">
        <f aca="false">IF(TRIB!F46="",0,TRIB!F46*IF($D46="A",INPUTS!$I$25,INPUTS!$N$25)/1000)</f>
        <v>13.9</v>
      </c>
      <c r="G46" s="9" t="n">
        <f aca="false">IF(TRIB!G46="",0,TRIB!G46*IF($D46="A",INPUTS!$I$26,INPUTS!$N$26)/1000)</f>
        <v>9.8</v>
      </c>
      <c r="H46" s="9" t="n">
        <f aca="false">IF(TRIB!H46="",0,TRIB!H46*IF($D46="A",INPUTS!$I$27,INPUTS!$N$27)/1000)</f>
        <v>9.76</v>
      </c>
      <c r="I46" s="9" t="n">
        <f aca="false">IF(TRIB!I46="",0,TRIB!I46*IF($D46="A",INPUTS!$I$28,INPUTS!$N$28)/1000)</f>
        <v>9.76</v>
      </c>
      <c r="J46" s="9" t="n">
        <f aca="false">IF(TRIB!J46="",0,TRIB!J46*IF($D46="A",INPUTS!$I$29,INPUTS!$N$29)/1000)</f>
        <v>9.76</v>
      </c>
      <c r="K46" s="9" t="n">
        <f aca="false">IF(TRIB!K46="",0,TRIB!K46*IF($D46="A",INPUTS!$I$30,INPUTS!$N$30)/1000)</f>
        <v>9.76</v>
      </c>
      <c r="L46" s="9" t="n">
        <f aca="false">IF(TRIB!L46="",0,TRIB!L46*IF($D46="A",INPUTS!$I$31,INPUTS!$N$31)/1000)</f>
        <v>9.76</v>
      </c>
      <c r="M46" s="9" t="n">
        <f aca="false">IF(TRIB!M46="",0,TRIB!M46*IF($D46="A",INPUTS!$I$32,INPUTS!$N$32)/1000)</f>
        <v>9.76</v>
      </c>
      <c r="N46" s="9" t="n">
        <f aca="false">IF(TRIB!N46="",0,TRIB!N46*IF($D46="A",INPUTS!$I$33,INPUTS!$N$33)/1000)</f>
        <v>9.76</v>
      </c>
      <c r="O46" s="9" t="n">
        <f aca="false">IF(TRIB!O46="",0,TRIB!O46*IF($D46="A",INPUTS!$I$34,INPUTS!$N$34)/1000)</f>
        <v>9.76</v>
      </c>
      <c r="P46" s="9" t="n">
        <f aca="false">IF(TRIB!P46="",0,TRIB!P46*IF($D46="A",INPUTS!$I$35,INPUTS!$N$35)/1000)</f>
        <v>9.76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9" t="n">
        <f aca="false">IF(TRIB!E47="",0,TRIB!E47*IF($D47="A",INPUTS!$I$24,INPUTS!$N$24)/1000)</f>
        <v>0</v>
      </c>
      <c r="F47" s="9" t="n">
        <f aca="false">IF(TRIB!F47="",0,TRIB!F47*IF($D47="A",INPUTS!$I$25,INPUTS!$N$25)/1000)</f>
        <v>47.4</v>
      </c>
      <c r="G47" s="9" t="n">
        <f aca="false">IF(TRIB!G47="",0,TRIB!G47*IF($D47="A",INPUTS!$I$26,INPUTS!$N$26)/1000)</f>
        <v>18.96</v>
      </c>
      <c r="H47" s="9" t="n">
        <f aca="false">IF(TRIB!H47="",0,TRIB!H47*IF($D47="A",INPUTS!$I$27,INPUTS!$N$27)/1000)</f>
        <v>18.96</v>
      </c>
      <c r="I47" s="9" t="n">
        <f aca="false">IF(TRIB!I47="",0,TRIB!I47*IF($D47="A",INPUTS!$I$28,INPUTS!$N$28)/1000)</f>
        <v>18.96</v>
      </c>
      <c r="J47" s="9" t="n">
        <f aca="false">IF(TRIB!J47="",0,TRIB!J47*IF($D47="A",INPUTS!$I$29,INPUTS!$N$29)/1000)</f>
        <v>19</v>
      </c>
      <c r="K47" s="9" t="n">
        <f aca="false">IF(TRIB!K47="",0,TRIB!K47*IF($D47="A",INPUTS!$I$30,INPUTS!$N$30)/1000)</f>
        <v>19</v>
      </c>
      <c r="L47" s="9" t="n">
        <f aca="false">IF(TRIB!L47="",0,TRIB!L47*IF($D47="A",INPUTS!$I$31,INPUTS!$N$31)/1000)</f>
        <v>19</v>
      </c>
      <c r="M47" s="9" t="n">
        <f aca="false">IF(TRIB!M47="",0,TRIB!M47*IF($D47="A",INPUTS!$I$32,INPUTS!$N$32)/1000)</f>
        <v>19</v>
      </c>
      <c r="N47" s="9" t="n">
        <f aca="false">IF(TRIB!N47="",0,TRIB!N47*IF($D47="A",INPUTS!$I$33,INPUTS!$N$33)/1000)</f>
        <v>19</v>
      </c>
      <c r="O47" s="9" t="n">
        <f aca="false">IF(TRIB!O47="",0,TRIB!O47*IF($D47="A",INPUTS!$I$34,INPUTS!$N$34)/1000)</f>
        <v>19</v>
      </c>
      <c r="P47" s="9" t="n">
        <f aca="false">IF(TRIB!P47="",0,TRIB!P47*IF($D47="A",INPUTS!$I$35,INPUTS!$N$35)/1000)</f>
        <v>19</v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9" t="n">
        <f aca="false">IF(TRIB!E48="",0,TRIB!E48*IF($D48="A",INPUTS!$I$24,INPUTS!$N$24)/1000)</f>
        <v>0</v>
      </c>
      <c r="F48" s="9" t="n">
        <f aca="false">IF(TRIB!F48="",0,TRIB!F48*IF($D48="A",INPUTS!$I$25,INPUTS!$N$25)/1000)</f>
        <v>20.8</v>
      </c>
      <c r="G48" s="9" t="n">
        <f aca="false">IF(TRIB!G48="",0,TRIB!G48*IF($D48="A",INPUTS!$I$26,INPUTS!$N$26)/1000)</f>
        <v>8.32</v>
      </c>
      <c r="H48" s="9" t="n">
        <f aca="false">IF(TRIB!H48="",0,TRIB!H48*IF($D48="A",INPUTS!$I$27,INPUTS!$N$27)/1000)</f>
        <v>8.32</v>
      </c>
      <c r="I48" s="9" t="n">
        <f aca="false">IF(TRIB!I48="",0,TRIB!I48*IF($D48="A",INPUTS!$I$28,INPUTS!$N$28)/1000)</f>
        <v>8.32</v>
      </c>
      <c r="J48" s="9" t="n">
        <f aca="false">IF(TRIB!J48="",0,TRIB!J48*IF($D48="A",INPUTS!$I$29,INPUTS!$N$29)/1000)</f>
        <v>8.32</v>
      </c>
      <c r="K48" s="9" t="n">
        <f aca="false">IF(TRIB!K48="",0,TRIB!K48*IF($D48="A",INPUTS!$I$30,INPUTS!$N$30)/1000)</f>
        <v>8.32</v>
      </c>
      <c r="L48" s="9" t="n">
        <f aca="false">IF(TRIB!L48="",0,TRIB!L48*IF($D48="A",INPUTS!$I$31,INPUTS!$N$31)/1000)</f>
        <v>8.32</v>
      </c>
      <c r="M48" s="9" t="n">
        <f aca="false">IF(TRIB!M48="",0,TRIB!M48*IF($D48="A",INPUTS!$I$32,INPUTS!$N$32)/1000)</f>
        <v>8.32</v>
      </c>
      <c r="N48" s="9" t="n">
        <f aca="false">IF(TRIB!N48="",0,TRIB!N48*IF($D48="A",INPUTS!$I$33,INPUTS!$N$33)/1000)</f>
        <v>8.32</v>
      </c>
      <c r="O48" s="9" t="n">
        <f aca="false">IF(TRIB!O48="",0,TRIB!O48*IF($D48="A",INPUTS!$I$34,INPUTS!$N$34)/1000)</f>
        <v>8.32</v>
      </c>
      <c r="P48" s="9" t="n">
        <f aca="false">IF(TRIB!P48="",0,TRIB!P48*IF($D48="A",INPUTS!$I$35,INPUTS!$N$35)/1000)</f>
        <v>8.32</v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9" t="n">
        <f aca="false">IF(TRIB!E49="",0,TRIB!E49*IF($D49="A",INPUTS!$I$24,INPUTS!$N$24)/1000)</f>
        <v>0</v>
      </c>
      <c r="F49" s="9" t="n">
        <f aca="false">IF(TRIB!F49="",0,TRIB!F49*IF($D49="A",INPUTS!$I$25,INPUTS!$N$25)/1000)</f>
        <v>27.3</v>
      </c>
      <c r="G49" s="9" t="n">
        <f aca="false">IF(TRIB!G49="",0,TRIB!G49*IF($D49="A",INPUTS!$I$26,INPUTS!$N$26)/1000)</f>
        <v>10.92</v>
      </c>
      <c r="H49" s="9" t="n">
        <f aca="false">IF(TRIB!H49="",0,TRIB!H49*IF($D49="A",INPUTS!$I$27,INPUTS!$N$27)/1000)</f>
        <v>10.92</v>
      </c>
      <c r="I49" s="9" t="n">
        <f aca="false">IF(TRIB!I49="",0,TRIB!I49*IF($D49="A",INPUTS!$I$28,INPUTS!$N$28)/1000)</f>
        <v>10.92</v>
      </c>
      <c r="J49" s="9" t="n">
        <f aca="false">IF(TRIB!J49="",0,TRIB!J49*IF($D49="A",INPUTS!$I$29,INPUTS!$N$29)/1000)</f>
        <v>10.96</v>
      </c>
      <c r="K49" s="9" t="n">
        <f aca="false">IF(TRIB!K49="",0,TRIB!K49*IF($D49="A",INPUTS!$I$30,INPUTS!$N$30)/1000)</f>
        <v>10.96</v>
      </c>
      <c r="L49" s="9" t="n">
        <f aca="false">IF(TRIB!L49="",0,TRIB!L49*IF($D49="A",INPUTS!$I$31,INPUTS!$N$31)/1000)</f>
        <v>10.96</v>
      </c>
      <c r="M49" s="9" t="n">
        <f aca="false">IF(TRIB!M49="",0,TRIB!M49*IF($D49="A",INPUTS!$I$32,INPUTS!$N$32)/1000)</f>
        <v>10.96</v>
      </c>
      <c r="N49" s="9" t="n">
        <f aca="false">IF(TRIB!N49="",0,TRIB!N49*IF($D49="A",INPUTS!$I$33,INPUTS!$N$33)/1000)</f>
        <v>10.96</v>
      </c>
      <c r="O49" s="9" t="n">
        <f aca="false">IF(TRIB!O49="",0,TRIB!O49*IF($D49="A",INPUTS!$I$34,INPUTS!$N$34)/1000)</f>
        <v>10.96</v>
      </c>
      <c r="P49" s="9" t="n">
        <f aca="false">IF(TRIB!P49="",0,TRIB!P49*IF($D49="A",INPUTS!$I$35,INPUTS!$N$35)/1000)</f>
        <v>10.96</v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9" t="n">
        <f aca="false">IF(TRIB!E50="",0,TRIB!E50*IF($D50="A",INPUTS!$I$24,INPUTS!$N$24)/1000)</f>
        <v>0</v>
      </c>
      <c r="F50" s="9" t="n">
        <f aca="false">IF(TRIB!F50="",0,TRIB!F50*IF($D50="A",INPUTS!$I$25,INPUTS!$N$25)/1000)</f>
        <v>18.4</v>
      </c>
      <c r="G50" s="9" t="n">
        <f aca="false">IF(TRIB!G50="",0,TRIB!G50*IF($D50="A",INPUTS!$I$26,INPUTS!$N$26)/1000)</f>
        <v>7.28</v>
      </c>
      <c r="H50" s="9" t="n">
        <f aca="false">IF(TRIB!H50="",0,TRIB!H50*IF($D50="A",INPUTS!$I$27,INPUTS!$N$27)/1000)</f>
        <v>32.76</v>
      </c>
      <c r="I50" s="9" t="n">
        <f aca="false">IF(TRIB!I50="",0,TRIB!I50*IF($D50="A",INPUTS!$I$28,INPUTS!$N$28)/1000)</f>
        <v>7.24</v>
      </c>
      <c r="J50" s="9" t="n">
        <f aca="false">IF(TRIB!J50="",0,TRIB!J50*IF($D50="A",INPUTS!$I$29,INPUTS!$N$29)/1000)</f>
        <v>7.2</v>
      </c>
      <c r="K50" s="9" t="n">
        <f aca="false">IF(TRIB!K50="",0,TRIB!K50*IF($D50="A",INPUTS!$I$30,INPUTS!$N$30)/1000)</f>
        <v>7.08</v>
      </c>
      <c r="L50" s="9" t="n">
        <f aca="false">IF(TRIB!L50="",0,TRIB!L50*IF($D50="A",INPUTS!$I$31,INPUTS!$N$31)/1000)</f>
        <v>7.16</v>
      </c>
      <c r="M50" s="9" t="n">
        <f aca="false">IF(TRIB!M50="",0,TRIB!M50*IF($D50="A",INPUTS!$I$32,INPUTS!$N$32)/1000)</f>
        <v>7.16</v>
      </c>
      <c r="N50" s="9" t="n">
        <f aca="false">IF(TRIB!N50="",0,TRIB!N50*IF($D50="A",INPUTS!$I$33,INPUTS!$N$33)/1000)</f>
        <v>7.16</v>
      </c>
      <c r="O50" s="9" t="n">
        <f aca="false">IF(TRIB!O50="",0,TRIB!O50*IF($D50="A",INPUTS!$I$34,INPUTS!$N$34)/1000)</f>
        <v>7.16</v>
      </c>
      <c r="P50" s="9" t="n">
        <f aca="false">IF(TRIB!P50="",0,TRIB!P50*IF($D50="A",INPUTS!$I$35,INPUTS!$N$35)/1000)</f>
        <v>7.16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9" t="n">
        <f aca="false">IF(TRIB!E51="",0,TRIB!E51*IF($D51="A",INPUTS!$I$24,INPUTS!$N$24)/1000)</f>
        <v>0</v>
      </c>
      <c r="F51" s="9" t="n">
        <f aca="false">IF(TRIB!F51="",0,TRIB!F51*IF($D51="A",INPUTS!$I$25,INPUTS!$N$25)/1000)</f>
        <v>8.8</v>
      </c>
      <c r="G51" s="9" t="n">
        <f aca="false">IF(TRIB!G51="",0,TRIB!G51*IF($D51="A",INPUTS!$I$26,INPUTS!$N$26)/1000)</f>
        <v>3.52</v>
      </c>
      <c r="H51" s="9" t="n">
        <f aca="false">IF(TRIB!H51="",0,TRIB!H51*IF($D51="A",INPUTS!$I$27,INPUTS!$N$27)/1000)</f>
        <v>3.52</v>
      </c>
      <c r="I51" s="9" t="n">
        <f aca="false">IF(TRIB!I51="",0,TRIB!I51*IF($D51="A",INPUTS!$I$28,INPUTS!$N$28)/1000)</f>
        <v>3.52</v>
      </c>
      <c r="J51" s="9" t="n">
        <f aca="false">IF(TRIB!J51="",0,TRIB!J51*IF($D51="A",INPUTS!$I$29,INPUTS!$N$29)/1000)</f>
        <v>3.4</v>
      </c>
      <c r="K51" s="9" t="n">
        <f aca="false">IF(TRIB!K51="",0,TRIB!K51*IF($D51="A",INPUTS!$I$30,INPUTS!$N$30)/1000)</f>
        <v>3.4</v>
      </c>
      <c r="L51" s="9" t="n">
        <f aca="false">IF(TRIB!L51="",0,TRIB!L51*IF($D51="A",INPUTS!$I$31,INPUTS!$N$31)/1000)</f>
        <v>3.4</v>
      </c>
      <c r="M51" s="9" t="n">
        <f aca="false">IF(TRIB!M51="",0,TRIB!M51*IF($D51="A",INPUTS!$I$32,INPUTS!$N$32)/1000)</f>
        <v>3.4</v>
      </c>
      <c r="N51" s="9" t="n">
        <f aca="false">IF(TRIB!N51="",0,TRIB!N51*IF($D51="A",INPUTS!$I$33,INPUTS!$N$33)/1000)</f>
        <v>3.4</v>
      </c>
      <c r="O51" s="9" t="n">
        <f aca="false">IF(TRIB!O51="",0,TRIB!O51*IF($D51="A",INPUTS!$I$34,INPUTS!$N$34)/1000)</f>
        <v>3.4</v>
      </c>
      <c r="P51" s="9" t="n">
        <f aca="false">IF(TRIB!P51="",0,TRIB!P51*IF($D51="A",INPUTS!$I$35,INPUTS!$N$35)/1000)</f>
        <v>3.4</v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9" t="n">
        <f aca="false">IF(TRIB!E52="",0,TRIB!E52*IF($D52="A",INPUTS!$I$24,INPUTS!$N$24)/1000)</f>
        <v>0</v>
      </c>
      <c r="F52" s="9" t="n">
        <f aca="false">IF(TRIB!F52="",0,TRIB!F52*IF($D52="A",INPUTS!$I$25,INPUTS!$N$25)/1000)</f>
        <v>15.6</v>
      </c>
      <c r="G52" s="9" t="n">
        <f aca="false">IF(TRIB!G52="",0,TRIB!G52*IF($D52="A",INPUTS!$I$26,INPUTS!$N$26)/1000)</f>
        <v>9.4</v>
      </c>
      <c r="H52" s="9" t="n">
        <f aca="false">IF(TRIB!H52="",0,TRIB!H52*IF($D52="A",INPUTS!$I$27,INPUTS!$N$27)/1000)</f>
        <v>9.4</v>
      </c>
      <c r="I52" s="9" t="n">
        <f aca="false">IF(TRIB!I52="",0,TRIB!I52*IF($D52="A",INPUTS!$I$28,INPUTS!$N$28)/1000)</f>
        <v>9.4</v>
      </c>
      <c r="J52" s="9" t="n">
        <f aca="false">IF(TRIB!J52="",0,TRIB!J52*IF($D52="A",INPUTS!$I$29,INPUTS!$N$29)/1000)</f>
        <v>9.4</v>
      </c>
      <c r="K52" s="9" t="n">
        <f aca="false">IF(TRIB!K52="",0,TRIB!K52*IF($D52="A",INPUTS!$I$30,INPUTS!$N$30)/1000)</f>
        <v>9.4</v>
      </c>
      <c r="L52" s="9" t="n">
        <f aca="false">IF(TRIB!L52="",0,TRIB!L52*IF($D52="A",INPUTS!$I$31,INPUTS!$N$31)/1000)</f>
        <v>9.4</v>
      </c>
      <c r="M52" s="9" t="n">
        <f aca="false">IF(TRIB!M52="",0,TRIB!M52*IF($D52="A",INPUTS!$I$32,INPUTS!$N$32)/1000)</f>
        <v>9.4</v>
      </c>
      <c r="N52" s="9" t="n">
        <f aca="false">IF(TRIB!N52="",0,TRIB!N52*IF($D52="A",INPUTS!$I$33,INPUTS!$N$33)/1000)</f>
        <v>9.4</v>
      </c>
      <c r="O52" s="9" t="n">
        <f aca="false">IF(TRIB!O52="",0,TRIB!O52*IF($D52="A",INPUTS!$I$34,INPUTS!$N$34)/1000)</f>
        <v>9.4</v>
      </c>
      <c r="P52" s="9" t="n">
        <f aca="false">IF(TRIB!P52="",0,TRIB!P52*IF($D52="A",INPUTS!$I$35,INPUTS!$N$35)/1000)</f>
        <v>9.4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9" t="n">
        <f aca="false">IF(TRIB!E53="",0,TRIB!E53*IF($D53="A",INPUTS!$I$24,INPUTS!$N$24)/1000)</f>
        <v>13.5</v>
      </c>
      <c r="F53" s="9" t="n">
        <f aca="false">IF(TRIB!F53="",0,TRIB!F53*IF($D53="A",INPUTS!$I$25,INPUTS!$N$25)/1000)</f>
        <v>45</v>
      </c>
      <c r="G53" s="9" t="n">
        <f aca="false">IF(TRIB!G53="",0,TRIB!G53*IF($D53="A",INPUTS!$I$26,INPUTS!$N$26)/1000)</f>
        <v>36.1</v>
      </c>
      <c r="H53" s="9" t="n">
        <f aca="false">IF(TRIB!H53="",0,TRIB!H53*IF($D53="A",INPUTS!$I$27,INPUTS!$N$27)/1000)</f>
        <v>14.44</v>
      </c>
      <c r="I53" s="9" t="n">
        <f aca="false">IF(TRIB!I53="",0,TRIB!I53*IF($D53="A",INPUTS!$I$28,INPUTS!$N$28)/1000)</f>
        <v>14.44</v>
      </c>
      <c r="J53" s="9" t="n">
        <f aca="false">IF(TRIB!J53="",0,TRIB!J53*IF($D53="A",INPUTS!$I$29,INPUTS!$N$29)/1000)</f>
        <v>14.2</v>
      </c>
      <c r="K53" s="9" t="n">
        <f aca="false">IF(TRIB!K53="",0,TRIB!K53*IF($D53="A",INPUTS!$I$30,INPUTS!$N$30)/1000)</f>
        <v>14.2</v>
      </c>
      <c r="L53" s="9" t="n">
        <f aca="false">IF(TRIB!L53="",0,TRIB!L53*IF($D53="A",INPUTS!$I$31,INPUTS!$N$31)/1000)</f>
        <v>14.2</v>
      </c>
      <c r="M53" s="9" t="n">
        <f aca="false">IF(TRIB!M53="",0,TRIB!M53*IF($D53="A",INPUTS!$I$32,INPUTS!$N$32)/1000)</f>
        <v>14.2</v>
      </c>
      <c r="N53" s="9" t="n">
        <f aca="false">IF(TRIB!N53="",0,TRIB!N53*IF($D53="A",INPUTS!$I$33,INPUTS!$N$33)/1000)</f>
        <v>14.2</v>
      </c>
      <c r="O53" s="9" t="n">
        <f aca="false">IF(TRIB!O53="",0,TRIB!O53*IF($D53="A",INPUTS!$I$34,INPUTS!$N$34)/1000)</f>
        <v>14.2</v>
      </c>
      <c r="P53" s="9" t="n">
        <f aca="false">IF(TRIB!P53="",0,TRIB!P53*IF($D53="A",INPUTS!$I$35,INPUTS!$N$35)/1000)</f>
        <v>14.2</v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9" t="n">
        <f aca="false">IF(TRIB!E54="",0,TRIB!E54*IF($D54="A",INPUTS!$I$24,INPUTS!$N$24)/1000)</f>
        <v>3.63</v>
      </c>
      <c r="F54" s="9" t="n">
        <f aca="false">IF(TRIB!F54="",0,TRIB!F54*IF($D54="A",INPUTS!$I$25,INPUTS!$N$25)/1000)</f>
        <v>12.1</v>
      </c>
      <c r="G54" s="9" t="n">
        <f aca="false">IF(TRIB!G54="",0,TRIB!G54*IF($D54="A",INPUTS!$I$26,INPUTS!$N$26)/1000)</f>
        <v>19.9</v>
      </c>
      <c r="H54" s="9" t="n">
        <f aca="false">IF(TRIB!H54="",0,TRIB!H54*IF($D54="A",INPUTS!$I$27,INPUTS!$N$27)/1000)</f>
        <v>7.96</v>
      </c>
      <c r="I54" s="9" t="n">
        <f aca="false">IF(TRIB!I54="",0,TRIB!I54*IF($D54="A",INPUTS!$I$28,INPUTS!$N$28)/1000)</f>
        <v>7.96</v>
      </c>
      <c r="J54" s="9" t="n">
        <f aca="false">IF(TRIB!J54="",0,TRIB!J54*IF($D54="A",INPUTS!$I$29,INPUTS!$N$29)/1000)</f>
        <v>7.96</v>
      </c>
      <c r="K54" s="9" t="n">
        <f aca="false">IF(TRIB!K54="",0,TRIB!K54*IF($D54="A",INPUTS!$I$30,INPUTS!$N$30)/1000)</f>
        <v>7.96</v>
      </c>
      <c r="L54" s="9" t="n">
        <f aca="false">IF(TRIB!L54="",0,TRIB!L54*IF($D54="A",INPUTS!$I$31,INPUTS!$N$31)/1000)</f>
        <v>7.96</v>
      </c>
      <c r="M54" s="9" t="n">
        <f aca="false">IF(TRIB!M54="",0,TRIB!M54*IF($D54="A",INPUTS!$I$32,INPUTS!$N$32)/1000)</f>
        <v>7.96</v>
      </c>
      <c r="N54" s="9" t="n">
        <f aca="false">IF(TRIB!N54="",0,TRIB!N54*IF($D54="A",INPUTS!$I$33,INPUTS!$N$33)/1000)</f>
        <v>7.96</v>
      </c>
      <c r="O54" s="9" t="n">
        <f aca="false">IF(TRIB!O54="",0,TRIB!O54*IF($D54="A",INPUTS!$I$34,INPUTS!$N$34)/1000)</f>
        <v>7.96</v>
      </c>
      <c r="P54" s="9" t="n">
        <f aca="false">IF(TRIB!P54="",0,TRIB!P54*IF($D54="A",INPUTS!$I$35,INPUTS!$N$35)/1000)</f>
        <v>7.96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9" t="n">
        <f aca="false">IF(TRIB!E55="",0,TRIB!E55*IF($D55="A",INPUTS!$I$24,INPUTS!$N$24)/1000)</f>
        <v>12.48</v>
      </c>
      <c r="F55" s="9" t="n">
        <f aca="false">IF(TRIB!F55="",0,TRIB!F55*IF($D55="A",INPUTS!$I$25,INPUTS!$N$25)/1000)</f>
        <v>41.6</v>
      </c>
      <c r="G55" s="9" t="n">
        <f aca="false">IF(TRIB!G55="",0,TRIB!G55*IF($D55="A",INPUTS!$I$26,INPUTS!$N$26)/1000)</f>
        <v>41.4</v>
      </c>
      <c r="H55" s="9" t="n">
        <f aca="false">IF(TRIB!H55="",0,TRIB!H55*IF($D55="A",INPUTS!$I$27,INPUTS!$N$27)/1000)</f>
        <v>16.56</v>
      </c>
      <c r="I55" s="9" t="n">
        <f aca="false">IF(TRIB!I55="",0,TRIB!I55*IF($D55="A",INPUTS!$I$28,INPUTS!$N$28)/1000)</f>
        <v>16.56</v>
      </c>
      <c r="J55" s="9" t="n">
        <f aca="false">IF(TRIB!J55="",0,TRIB!J55*IF($D55="A",INPUTS!$I$29,INPUTS!$N$29)/1000)</f>
        <v>16.56</v>
      </c>
      <c r="K55" s="9" t="n">
        <f aca="false">IF(TRIB!K55="",0,TRIB!K55*IF($D55="A",INPUTS!$I$30,INPUTS!$N$30)/1000)</f>
        <v>16.56</v>
      </c>
      <c r="L55" s="9" t="n">
        <f aca="false">IF(TRIB!L55="",0,TRIB!L55*IF($D55="A",INPUTS!$I$31,INPUTS!$N$31)/1000)</f>
        <v>16.56</v>
      </c>
      <c r="M55" s="9" t="n">
        <f aca="false">IF(TRIB!M55="",0,TRIB!M55*IF($D55="A",INPUTS!$I$32,INPUTS!$N$32)/1000)</f>
        <v>16.56</v>
      </c>
      <c r="N55" s="9" t="n">
        <f aca="false">IF(TRIB!N55="",0,TRIB!N55*IF($D55="A",INPUTS!$I$33,INPUTS!$N$33)/1000)</f>
        <v>16.56</v>
      </c>
      <c r="O55" s="9" t="n">
        <f aca="false">IF(TRIB!O55="",0,TRIB!O55*IF($D55="A",INPUTS!$I$34,INPUTS!$N$34)/1000)</f>
        <v>16.56</v>
      </c>
      <c r="P55" s="9" t="n">
        <f aca="false">IF(TRIB!P55="",0,TRIB!P55*IF($D55="A",INPUTS!$I$35,INPUTS!$N$35)/1000)</f>
        <v>16.56</v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9" t="n">
        <f aca="false">IF(TRIB!E56="",0,TRIB!E56*IF($D56="A",INPUTS!$I$24,INPUTS!$N$24)/1000)</f>
        <v>6.78</v>
      </c>
      <c r="F56" s="9" t="n">
        <f aca="false">IF(TRIB!F56="",0,TRIB!F56*IF($D56="A",INPUTS!$I$25,INPUTS!$N$25)/1000)</f>
        <v>22.6</v>
      </c>
      <c r="G56" s="9" t="n">
        <f aca="false">IF(TRIB!G56="",0,TRIB!G56*IF($D56="A",INPUTS!$I$26,INPUTS!$N$26)/1000)</f>
        <v>17.6</v>
      </c>
      <c r="H56" s="9" t="n">
        <f aca="false">IF(TRIB!H56="",0,TRIB!H56*IF($D56="A",INPUTS!$I$27,INPUTS!$N$27)/1000)</f>
        <v>8.96</v>
      </c>
      <c r="I56" s="9" t="n">
        <f aca="false">IF(TRIB!I56="",0,TRIB!I56*IF($D56="A",INPUTS!$I$28,INPUTS!$N$28)/1000)</f>
        <v>3.12</v>
      </c>
      <c r="J56" s="9" t="n">
        <f aca="false">IF(TRIB!J56="",0,TRIB!J56*IF($D56="A",INPUTS!$I$29,INPUTS!$N$29)/1000)</f>
        <v>3.08</v>
      </c>
      <c r="K56" s="9" t="n">
        <f aca="false">IF(TRIB!K56="",0,TRIB!K56*IF($D56="A",INPUTS!$I$30,INPUTS!$N$30)/1000)</f>
        <v>2.84</v>
      </c>
      <c r="L56" s="9" t="n">
        <f aca="false">IF(TRIB!L56="",0,TRIB!L56*IF($D56="A",INPUTS!$I$31,INPUTS!$N$31)/1000)</f>
        <v>2.92</v>
      </c>
      <c r="M56" s="9" t="n">
        <f aca="false">IF(TRIB!M56="",0,TRIB!M56*IF($D56="A",INPUTS!$I$32,INPUTS!$N$32)/1000)</f>
        <v>2.92</v>
      </c>
      <c r="N56" s="9" t="n">
        <f aca="false">IF(TRIB!N56="",0,TRIB!N56*IF($D56="A",INPUTS!$I$33,INPUTS!$N$33)/1000)</f>
        <v>2.92</v>
      </c>
      <c r="O56" s="9" t="n">
        <f aca="false">IF(TRIB!O56="",0,TRIB!O56*IF($D56="A",INPUTS!$I$34,INPUTS!$N$34)/1000)</f>
        <v>2.92</v>
      </c>
      <c r="P56" s="9" t="n">
        <f aca="false">IF(TRIB!P56="",0,TRIB!P56*IF($D56="A",INPUTS!$I$35,INPUTS!$N$35)/1000)</f>
        <v>2.92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9" t="n">
        <f aca="false">IF(TRIB!E57="",0,TRIB!E57*IF($D57="A",INPUTS!$I$24,INPUTS!$N$24)/1000)</f>
        <v>9.66</v>
      </c>
      <c r="F57" s="9" t="n">
        <f aca="false">IF(TRIB!F57="",0,TRIB!F57*IF($D57="A",INPUTS!$I$25,INPUTS!$N$25)/1000)</f>
        <v>32.2</v>
      </c>
      <c r="G57" s="9" t="n">
        <f aca="false">IF(TRIB!G57="",0,TRIB!G57*IF($D57="A",INPUTS!$I$26,INPUTS!$N$26)/1000)</f>
        <v>2.5</v>
      </c>
      <c r="H57" s="9" t="n">
        <f aca="false">IF(TRIB!H57="",0,TRIB!H57*IF($D57="A",INPUTS!$I$27,INPUTS!$N$27)/1000)</f>
        <v>0.96</v>
      </c>
      <c r="I57" s="9" t="n">
        <f aca="false">IF(TRIB!I57="",0,TRIB!I57*IF($D57="A",INPUTS!$I$28,INPUTS!$N$28)/1000)</f>
        <v>0.96</v>
      </c>
      <c r="J57" s="9" t="n">
        <f aca="false">IF(TRIB!J57="",0,TRIB!J57*IF($D57="A",INPUTS!$I$29,INPUTS!$N$29)/1000)</f>
        <v>4.96</v>
      </c>
      <c r="K57" s="9" t="n">
        <f aca="false">IF(TRIB!K57="",0,TRIB!K57*IF($D57="A",INPUTS!$I$30,INPUTS!$N$30)/1000)</f>
        <v>0.96</v>
      </c>
      <c r="L57" s="9" t="n">
        <f aca="false">IF(TRIB!L57="",0,TRIB!L57*IF($D57="A",INPUTS!$I$31,INPUTS!$N$31)/1000)</f>
        <v>0.96</v>
      </c>
      <c r="M57" s="9" t="n">
        <f aca="false">IF(TRIB!M57="",0,TRIB!M57*IF($D57="A",INPUTS!$I$32,INPUTS!$N$32)/1000)</f>
        <v>0.96</v>
      </c>
      <c r="N57" s="9" t="n">
        <f aca="false">IF(TRIB!N57="",0,TRIB!N57*IF($D57="A",INPUTS!$I$33,INPUTS!$N$33)/1000)</f>
        <v>0.96</v>
      </c>
      <c r="O57" s="9" t="n">
        <f aca="false">IF(TRIB!O57="",0,TRIB!O57*IF($D57="A",INPUTS!$I$34,INPUTS!$N$34)/1000)</f>
        <v>0.96</v>
      </c>
      <c r="P57" s="9" t="n">
        <f aca="false">IF(TRIB!P57="",0,TRIB!P57*IF($D57="A",INPUTS!$I$35,INPUTS!$N$35)/1000)</f>
        <v>0.96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9" t="n">
        <f aca="false">IF(TRIB!E58="",0,TRIB!E58*IF($D58="A",INPUTS!$I$24,INPUTS!$N$24)/1000)</f>
        <v>7.08</v>
      </c>
      <c r="F58" s="9" t="n">
        <f aca="false">IF(TRIB!F58="",0,TRIB!F58*IF($D58="A",INPUTS!$I$25,INPUTS!$N$25)/1000)</f>
        <v>23.6</v>
      </c>
      <c r="G58" s="9" t="n">
        <f aca="false">IF(TRIB!G58="",0,TRIB!G58*IF($D58="A",INPUTS!$I$26,INPUTS!$N$26)/1000)</f>
        <v>25.4</v>
      </c>
      <c r="H58" s="9" t="n">
        <f aca="false">IF(TRIB!H58="",0,TRIB!H58*IF($D58="A",INPUTS!$I$27,INPUTS!$N$27)/1000)</f>
        <v>12.48</v>
      </c>
      <c r="I58" s="9" t="n">
        <f aca="false">IF(TRIB!I58="",0,TRIB!I58*IF($D58="A",INPUTS!$I$28,INPUTS!$N$28)/1000)</f>
        <v>12.48</v>
      </c>
      <c r="J58" s="9" t="n">
        <f aca="false">IF(TRIB!J58="",0,TRIB!J58*IF($D58="A",INPUTS!$I$29,INPUTS!$N$29)/1000)</f>
        <v>12.44</v>
      </c>
      <c r="K58" s="9" t="n">
        <f aca="false">IF(TRIB!K58="",0,TRIB!K58*IF($D58="A",INPUTS!$I$30,INPUTS!$N$30)/1000)</f>
        <v>12.44</v>
      </c>
      <c r="L58" s="9" t="n">
        <f aca="false">IF(TRIB!L58="",0,TRIB!L58*IF($D58="A",INPUTS!$I$31,INPUTS!$N$31)/1000)</f>
        <v>12.44</v>
      </c>
      <c r="M58" s="9" t="n">
        <f aca="false">IF(TRIB!M58="",0,TRIB!M58*IF($D58="A",INPUTS!$I$32,INPUTS!$N$32)/1000)</f>
        <v>12.44</v>
      </c>
      <c r="N58" s="9" t="n">
        <f aca="false">IF(TRIB!N58="",0,TRIB!N58*IF($D58="A",INPUTS!$I$33,INPUTS!$N$33)/1000)</f>
        <v>12.44</v>
      </c>
      <c r="O58" s="9" t="n">
        <f aca="false">IF(TRIB!O58="",0,TRIB!O58*IF($D58="A",INPUTS!$I$34,INPUTS!$N$34)/1000)</f>
        <v>12.44</v>
      </c>
      <c r="P58" s="9" t="n">
        <f aca="false">IF(TRIB!P58="",0,TRIB!P58*IF($D58="A",INPUTS!$I$35,INPUTS!$N$35)/1000)</f>
        <v>12.44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9" t="n">
        <f aca="false">IF(TRIB!E59="",0,TRIB!E59*IF($D59="A",INPUTS!$I$24,INPUTS!$N$24)/1000)</f>
        <v>10.59</v>
      </c>
      <c r="F59" s="9" t="n">
        <f aca="false">IF(TRIB!F59="",0,TRIB!F59*IF($D59="A",INPUTS!$I$25,INPUTS!$N$25)/1000)</f>
        <v>35.3</v>
      </c>
      <c r="G59" s="9" t="n">
        <f aca="false">IF(TRIB!G59="",0,TRIB!G59*IF($D59="A",INPUTS!$I$26,INPUTS!$N$26)/1000)</f>
        <v>18.8</v>
      </c>
      <c r="H59" s="9" t="n">
        <f aca="false">IF(TRIB!H59="",0,TRIB!H59*IF($D59="A",INPUTS!$I$27,INPUTS!$N$27)/1000)</f>
        <v>7.52</v>
      </c>
      <c r="I59" s="9" t="n">
        <f aca="false">IF(TRIB!I59="",0,TRIB!I59*IF($D59="A",INPUTS!$I$28,INPUTS!$N$28)/1000)</f>
        <v>7.52</v>
      </c>
      <c r="J59" s="9" t="n">
        <f aca="false">IF(TRIB!J59="",0,TRIB!J59*IF($D59="A",INPUTS!$I$29,INPUTS!$N$29)/1000)</f>
        <v>7.24</v>
      </c>
      <c r="K59" s="9" t="n">
        <f aca="false">IF(TRIB!K59="",0,TRIB!K59*IF($D59="A",INPUTS!$I$30,INPUTS!$N$30)/1000)</f>
        <v>7.24</v>
      </c>
      <c r="L59" s="9" t="n">
        <f aca="false">IF(TRIB!L59="",0,TRIB!L59*IF($D59="A",INPUTS!$I$31,INPUTS!$N$31)/1000)</f>
        <v>7.24</v>
      </c>
      <c r="M59" s="9" t="n">
        <f aca="false">IF(TRIB!M59="",0,TRIB!M59*IF($D59="A",INPUTS!$I$32,INPUTS!$N$32)/1000)</f>
        <v>7.24</v>
      </c>
      <c r="N59" s="9" t="n">
        <f aca="false">IF(TRIB!N59="",0,TRIB!N59*IF($D59="A",INPUTS!$I$33,INPUTS!$N$33)/1000)</f>
        <v>7.24</v>
      </c>
      <c r="O59" s="9" t="n">
        <f aca="false">IF(TRIB!O59="",0,TRIB!O59*IF($D59="A",INPUTS!$I$34,INPUTS!$N$34)/1000)</f>
        <v>7.24</v>
      </c>
      <c r="P59" s="9" t="n">
        <f aca="false">IF(TRIB!P59="",0,TRIB!P59*IF($D59="A",INPUTS!$I$35,INPUTS!$N$35)/1000)</f>
        <v>7.24</v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9" t="n">
        <f aca="false">IF(TRIB!E60="",0,TRIB!E60*IF($D60="A",INPUTS!$I$24,INPUTS!$N$24)/1000)</f>
        <v>10.8</v>
      </c>
      <c r="F60" s="9" t="n">
        <f aca="false">IF(TRIB!F60="",0,TRIB!F60*IF($D60="A",INPUTS!$I$25,INPUTS!$N$25)/1000)</f>
        <v>36</v>
      </c>
      <c r="G60" s="9" t="n">
        <f aca="false">IF(TRIB!G60="",0,TRIB!G60*IF($D60="A",INPUTS!$I$26,INPUTS!$N$26)/1000)</f>
        <v>1.8</v>
      </c>
      <c r="H60" s="9" t="n">
        <f aca="false">IF(TRIB!H60="",0,TRIB!H60*IF($D60="A",INPUTS!$I$27,INPUTS!$N$27)/1000)</f>
        <v>0.72</v>
      </c>
      <c r="I60" s="9" t="n">
        <f aca="false">IF(TRIB!I60="",0,TRIB!I60*IF($D60="A",INPUTS!$I$28,INPUTS!$N$28)/1000)</f>
        <v>0.72</v>
      </c>
      <c r="J60" s="9" t="n">
        <f aca="false">IF(TRIB!J60="",0,TRIB!J60*IF($D60="A",INPUTS!$I$29,INPUTS!$N$29)/1000)</f>
        <v>0.52</v>
      </c>
      <c r="K60" s="9" t="n">
        <f aca="false">IF(TRIB!K60="",0,TRIB!K60*IF($D60="A",INPUTS!$I$30,INPUTS!$N$30)/1000)</f>
        <v>0.48</v>
      </c>
      <c r="L60" s="9" t="n">
        <f aca="false">IF(TRIB!L60="",0,TRIB!L60*IF($D60="A",INPUTS!$I$31,INPUTS!$N$31)/1000)</f>
        <v>0.48</v>
      </c>
      <c r="M60" s="9" t="n">
        <f aca="false">IF(TRIB!M60="",0,TRIB!M60*IF($D60="A",INPUTS!$I$32,INPUTS!$N$32)/1000)</f>
        <v>0.48</v>
      </c>
      <c r="N60" s="9" t="n">
        <f aca="false">IF(TRIB!N60="",0,TRIB!N60*IF($D60="A",INPUTS!$I$33,INPUTS!$N$33)/1000)</f>
        <v>0.48</v>
      </c>
      <c r="O60" s="9" t="n">
        <f aca="false">IF(TRIB!O60="",0,TRIB!O60*IF($D60="A",INPUTS!$I$34,INPUTS!$N$34)/1000)</f>
        <v>0.48</v>
      </c>
      <c r="P60" s="9" t="n">
        <f aca="false">IF(TRIB!P60="",0,TRIB!P60*IF($D60="A",INPUTS!$I$35,INPUTS!$N$35)/1000)</f>
        <v>0.48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9" t="n">
        <f aca="false">IF(TRIB!E61="",0,TRIB!E61*IF($D61="A",INPUTS!$I$24,INPUTS!$N$24)/1000)</f>
        <v>11.04</v>
      </c>
      <c r="F61" s="9" t="n">
        <f aca="false">IF(TRIB!F61="",0,TRIB!F61*IF($D61="A",INPUTS!$I$25,INPUTS!$N$25)/1000)</f>
        <v>36.8</v>
      </c>
      <c r="G61" s="9" t="n">
        <f aca="false">IF(TRIB!G61="",0,TRIB!G61*IF($D61="A",INPUTS!$I$26,INPUTS!$N$26)/1000)</f>
        <v>34.4</v>
      </c>
      <c r="H61" s="9" t="n">
        <f aca="false">IF(TRIB!H61="",0,TRIB!H61*IF($D61="A",INPUTS!$I$27,INPUTS!$N$27)/1000)</f>
        <v>16.2</v>
      </c>
      <c r="I61" s="9" t="n">
        <f aca="false">IF(TRIB!I61="",0,TRIB!I61*IF($D61="A",INPUTS!$I$28,INPUTS!$N$28)/1000)</f>
        <v>16.2</v>
      </c>
      <c r="J61" s="9" t="n">
        <f aca="false">IF(TRIB!J61="",0,TRIB!J61*IF($D61="A",INPUTS!$I$29,INPUTS!$N$29)/1000)</f>
        <v>16.2</v>
      </c>
      <c r="K61" s="9" t="n">
        <f aca="false">IF(TRIB!K61="",0,TRIB!K61*IF($D61="A",INPUTS!$I$30,INPUTS!$N$30)/1000)</f>
        <v>16.2</v>
      </c>
      <c r="L61" s="9" t="n">
        <f aca="false">IF(TRIB!L61="",0,TRIB!L61*IF($D61="A",INPUTS!$I$31,INPUTS!$N$31)/1000)</f>
        <v>16.2</v>
      </c>
      <c r="M61" s="9" t="n">
        <f aca="false">IF(TRIB!M61="",0,TRIB!M61*IF($D61="A",INPUTS!$I$32,INPUTS!$N$32)/1000)</f>
        <v>16.2</v>
      </c>
      <c r="N61" s="9" t="n">
        <f aca="false">IF(TRIB!N61="",0,TRIB!N61*IF($D61="A",INPUTS!$I$33,INPUTS!$N$33)/1000)</f>
        <v>16.2</v>
      </c>
      <c r="O61" s="9" t="n">
        <f aca="false">IF(TRIB!O61="",0,TRIB!O61*IF($D61="A",INPUTS!$I$34,INPUTS!$N$34)/1000)</f>
        <v>16.2</v>
      </c>
      <c r="P61" s="9" t="n">
        <f aca="false">IF(TRIB!P61="",0,TRIB!P61*IF($D61="A",INPUTS!$I$35,INPUTS!$N$35)/1000)</f>
        <v>16.2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9" t="n">
        <f aca="false">IF(TRIB!E62="",0,TRIB!E62*IF($D62="A",INPUTS!$I$24,INPUTS!$N$24)/1000)</f>
        <v>11.19</v>
      </c>
      <c r="F62" s="9" t="n">
        <f aca="false">IF(TRIB!F62="",0,TRIB!F62*IF($D62="A",INPUTS!$I$25,INPUTS!$N$25)/1000)</f>
        <v>37.3</v>
      </c>
      <c r="G62" s="9" t="n">
        <f aca="false">IF(TRIB!G62="",0,TRIB!G62*IF($D62="A",INPUTS!$I$26,INPUTS!$N$26)/1000)</f>
        <v>34.9</v>
      </c>
      <c r="H62" s="9" t="n">
        <f aca="false">IF(TRIB!H62="",0,TRIB!H62*IF($D62="A",INPUTS!$I$27,INPUTS!$N$27)/1000)</f>
        <v>16.28</v>
      </c>
      <c r="I62" s="9" t="n">
        <f aca="false">IF(TRIB!I62="",0,TRIB!I62*IF($D62="A",INPUTS!$I$28,INPUTS!$N$28)/1000)</f>
        <v>16.28</v>
      </c>
      <c r="J62" s="9" t="n">
        <f aca="false">IF(TRIB!J62="",0,TRIB!J62*IF($D62="A",INPUTS!$I$29,INPUTS!$N$29)/1000)</f>
        <v>16.28</v>
      </c>
      <c r="K62" s="9" t="n">
        <f aca="false">IF(TRIB!K62="",0,TRIB!K62*IF($D62="A",INPUTS!$I$30,INPUTS!$N$30)/1000)</f>
        <v>16</v>
      </c>
      <c r="L62" s="9" t="n">
        <f aca="false">IF(TRIB!L62="",0,TRIB!L62*IF($D62="A",INPUTS!$I$31,INPUTS!$N$31)/1000)</f>
        <v>19.04</v>
      </c>
      <c r="M62" s="9" t="n">
        <f aca="false">IF(TRIB!M62="",0,TRIB!M62*IF($D62="A",INPUTS!$I$32,INPUTS!$N$32)/1000)</f>
        <v>19.04</v>
      </c>
      <c r="N62" s="9" t="n">
        <f aca="false">IF(TRIB!N62="",0,TRIB!N62*IF($D62="A",INPUTS!$I$33,INPUTS!$N$33)/1000)</f>
        <v>19.04</v>
      </c>
      <c r="O62" s="9" t="n">
        <f aca="false">IF(TRIB!O62="",0,TRIB!O62*IF($D62="A",INPUTS!$I$34,INPUTS!$N$34)/1000)</f>
        <v>19.04</v>
      </c>
      <c r="P62" s="9" t="n">
        <f aca="false">IF(TRIB!P62="",0,TRIB!P62*IF($D62="A",INPUTS!$I$35,INPUTS!$N$35)/1000)</f>
        <v>19.04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9" t="n">
        <f aca="false">IF(TRIB!E63="",0,TRIB!E63*IF($D63="A",INPUTS!$I$24,INPUTS!$N$24)/1000)</f>
        <v>7.71</v>
      </c>
      <c r="F63" s="9" t="n">
        <f aca="false">IF(TRIB!F63="",0,TRIB!F63*IF($D63="A",INPUTS!$I$25,INPUTS!$N$25)/1000)</f>
        <v>25.7</v>
      </c>
      <c r="G63" s="9" t="n">
        <f aca="false">IF(TRIB!G63="",0,TRIB!G63*IF($D63="A",INPUTS!$I$26,INPUTS!$N$26)/1000)</f>
        <v>24.7</v>
      </c>
      <c r="H63" s="9" t="n">
        <f aca="false">IF(TRIB!H63="",0,TRIB!H63*IF($D63="A",INPUTS!$I$27,INPUTS!$N$27)/1000)</f>
        <v>13.68</v>
      </c>
      <c r="I63" s="9" t="n">
        <f aca="false">IF(TRIB!I63="",0,TRIB!I63*IF($D63="A",INPUTS!$I$28,INPUTS!$N$28)/1000)</f>
        <v>13.68</v>
      </c>
      <c r="J63" s="9" t="n">
        <f aca="false">IF(TRIB!J63="",0,TRIB!J63*IF($D63="A",INPUTS!$I$29,INPUTS!$N$29)/1000)</f>
        <v>13.68</v>
      </c>
      <c r="K63" s="9" t="n">
        <f aca="false">IF(TRIB!K63="",0,TRIB!K63*IF($D63="A",INPUTS!$I$30,INPUTS!$N$30)/1000)</f>
        <v>12.68</v>
      </c>
      <c r="L63" s="9" t="n">
        <f aca="false">IF(TRIB!L63="",0,TRIB!L63*IF($D63="A",INPUTS!$I$31,INPUTS!$N$31)/1000)</f>
        <v>3.56</v>
      </c>
      <c r="M63" s="9" t="n">
        <f aca="false">IF(TRIB!M63="",0,TRIB!M63*IF($D63="A",INPUTS!$I$32,INPUTS!$N$32)/1000)</f>
        <v>3.56</v>
      </c>
      <c r="N63" s="9" t="n">
        <f aca="false">IF(TRIB!N63="",0,TRIB!N63*IF($D63="A",INPUTS!$I$33,INPUTS!$N$33)/1000)</f>
        <v>3.56</v>
      </c>
      <c r="O63" s="9" t="n">
        <f aca="false">IF(TRIB!O63="",0,TRIB!O63*IF($D63="A",INPUTS!$I$34,INPUTS!$N$34)/1000)</f>
        <v>3.56</v>
      </c>
      <c r="P63" s="9" t="n">
        <f aca="false">IF(TRIB!P63="",0,TRIB!P63*IF($D63="A",INPUTS!$I$35,INPUTS!$N$35)/1000)</f>
        <v>3.56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9" t="n">
        <f aca="false">IF(TRIB!E64="",0,TRIB!E64*IF($D64="A",INPUTS!$I$24,INPUTS!$N$24)/1000)</f>
        <v>23.1</v>
      </c>
      <c r="F64" s="9" t="n">
        <f aca="false">IF(TRIB!F64="",0,TRIB!F64*IF($D64="A",INPUTS!$I$25,INPUTS!$N$25)/1000)</f>
        <v>77</v>
      </c>
      <c r="G64" s="9" t="n">
        <f aca="false">IF(TRIB!G64="",0,TRIB!G64*IF($D64="A",INPUTS!$I$26,INPUTS!$N$26)/1000)</f>
        <v>53.9</v>
      </c>
      <c r="H64" s="9" t="n">
        <f aca="false">IF(TRIB!H64="",0,TRIB!H64*IF($D64="A",INPUTS!$I$27,INPUTS!$N$27)/1000)</f>
        <v>21.56</v>
      </c>
      <c r="I64" s="9" t="n">
        <f aca="false">IF(TRIB!I64="",0,TRIB!I64*IF($D64="A",INPUTS!$I$28,INPUTS!$N$28)/1000)</f>
        <v>21.56</v>
      </c>
      <c r="J64" s="9" t="n">
        <f aca="false">IF(TRIB!J64="",0,TRIB!J64*IF($D64="A",INPUTS!$I$29,INPUTS!$N$29)/1000)</f>
        <v>22.12</v>
      </c>
      <c r="K64" s="9" t="n">
        <f aca="false">IF(TRIB!K64="",0,TRIB!K64*IF($D64="A",INPUTS!$I$30,INPUTS!$N$30)/1000)</f>
        <v>0</v>
      </c>
      <c r="L64" s="9" t="n">
        <f aca="false">IF(TRIB!L64="",0,TRIB!L64*IF($D64="A",INPUTS!$I$31,INPUTS!$N$31)/1000)</f>
        <v>0</v>
      </c>
      <c r="M64" s="9" t="n">
        <f aca="false">IF(TRIB!M64="",0,TRIB!M64*IF($D64="A",INPUTS!$I$32,INPUTS!$N$32)/1000)</f>
        <v>0</v>
      </c>
      <c r="N64" s="9" t="n">
        <f aca="false">IF(TRIB!N64="",0,TRIB!N64*IF($D64="A",INPUTS!$I$33,INPUTS!$N$33)/1000)</f>
        <v>0</v>
      </c>
      <c r="O64" s="9" t="n">
        <f aca="false">IF(TRIB!O64="",0,TRIB!O64*IF($D64="A",INPUTS!$I$34,INPUTS!$N$34)/1000)</f>
        <v>0</v>
      </c>
      <c r="P64" s="9" t="n">
        <f aca="false">IF(TRIB!P64="",0,TRIB!P64*IF($D64="A",INPUTS!$I$35,INPUTS!$N$35)/1000)</f>
        <v>0</v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9" t="n">
        <f aca="false">IF(TRIB!E65="",0,TRIB!E65*IF($D65="A",INPUTS!$I$24,INPUTS!$N$24)/1000)</f>
        <v>18.33</v>
      </c>
      <c r="F65" s="9" t="n">
        <f aca="false">IF(TRIB!F65="",0,TRIB!F65*IF($D65="A",INPUTS!$I$25,INPUTS!$N$25)/1000)</f>
        <v>61.1</v>
      </c>
      <c r="G65" s="9" t="n">
        <f aca="false">IF(TRIB!G65="",0,TRIB!G65*IF($D65="A",INPUTS!$I$26,INPUTS!$N$26)/1000)</f>
        <v>55</v>
      </c>
      <c r="H65" s="9" t="n">
        <f aca="false">IF(TRIB!H65="",0,TRIB!H65*IF($D65="A",INPUTS!$I$27,INPUTS!$N$27)/1000)</f>
        <v>22.04</v>
      </c>
      <c r="I65" s="9" t="n">
        <f aca="false">IF(TRIB!I65="",0,TRIB!I65*IF($D65="A",INPUTS!$I$28,INPUTS!$N$28)/1000)</f>
        <v>22.04</v>
      </c>
      <c r="J65" s="9" t="n">
        <f aca="false">IF(TRIB!J65="",0,TRIB!J65*IF($D65="A",INPUTS!$I$29,INPUTS!$N$29)/1000)</f>
        <v>22.76</v>
      </c>
      <c r="K65" s="9" t="n">
        <f aca="false">IF(TRIB!K65="",0,TRIB!K65*IF($D65="A",INPUTS!$I$30,INPUTS!$N$30)/1000)</f>
        <v>0</v>
      </c>
      <c r="L65" s="9" t="n">
        <f aca="false">IF(TRIB!L65="",0,TRIB!L65*IF($D65="A",INPUTS!$I$31,INPUTS!$N$31)/1000)</f>
        <v>0</v>
      </c>
      <c r="M65" s="9" t="n">
        <f aca="false">IF(TRIB!M65="",0,TRIB!M65*IF($D65="A",INPUTS!$I$32,INPUTS!$N$32)/1000)</f>
        <v>0</v>
      </c>
      <c r="N65" s="9" t="n">
        <f aca="false">IF(TRIB!N65="",0,TRIB!N65*IF($D65="A",INPUTS!$I$33,INPUTS!$N$33)/1000)</f>
        <v>0</v>
      </c>
      <c r="O65" s="9" t="n">
        <f aca="false">IF(TRIB!O65="",0,TRIB!O65*IF($D65="A",INPUTS!$I$34,INPUTS!$N$34)/1000)</f>
        <v>0</v>
      </c>
      <c r="P65" s="9" t="n">
        <f aca="false">IF(TRIB!P65="",0,TRIB!P65*IF($D65="A",INPUTS!$I$35,INPUTS!$N$35)/1000)</f>
        <v>0</v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9" t="n">
        <f aca="false">IF(TRIB!E66="",0,TRIB!E66*IF($D66="A",INPUTS!$I$24,INPUTS!$N$24)/1000)</f>
        <v>11.97</v>
      </c>
      <c r="F66" s="9" t="n">
        <f aca="false">IF(TRIB!F66="",0,TRIB!F66*IF($D66="A",INPUTS!$I$25,INPUTS!$N$25)/1000)</f>
        <v>39.9</v>
      </c>
      <c r="G66" s="9" t="n">
        <f aca="false">IF(TRIB!G66="",0,TRIB!G66*IF($D66="A",INPUTS!$I$26,INPUTS!$N$26)/1000)</f>
        <v>33.9</v>
      </c>
      <c r="H66" s="9" t="n">
        <f aca="false">IF(TRIB!H66="",0,TRIB!H66*IF($D66="A",INPUTS!$I$27,INPUTS!$N$27)/1000)</f>
        <v>13.88</v>
      </c>
      <c r="I66" s="9" t="n">
        <f aca="false">IF(TRIB!I66="",0,TRIB!I66*IF($D66="A",INPUTS!$I$28,INPUTS!$N$28)/1000)</f>
        <v>13.88</v>
      </c>
      <c r="J66" s="9" t="n">
        <f aca="false">IF(TRIB!J66="",0,TRIB!J66*IF($D66="A",INPUTS!$I$29,INPUTS!$N$29)/1000)</f>
        <v>28.12</v>
      </c>
      <c r="K66" s="9" t="n">
        <f aca="false">IF(TRIB!K66="",0,TRIB!K66*IF($D66="A",INPUTS!$I$30,INPUTS!$N$30)/1000)</f>
        <v>0</v>
      </c>
      <c r="L66" s="9" t="n">
        <f aca="false">IF(TRIB!L66="",0,TRIB!L66*IF($D66="A",INPUTS!$I$31,INPUTS!$N$31)/1000)</f>
        <v>0</v>
      </c>
      <c r="M66" s="9" t="n">
        <f aca="false">IF(TRIB!M66="",0,TRIB!M66*IF($D66="A",INPUTS!$I$32,INPUTS!$N$32)/1000)</f>
        <v>0</v>
      </c>
      <c r="N66" s="9" t="n">
        <f aca="false">IF(TRIB!N66="",0,TRIB!N66*IF($D66="A",INPUTS!$I$33,INPUTS!$N$33)/1000)</f>
        <v>0</v>
      </c>
      <c r="O66" s="9" t="n">
        <f aca="false">IF(TRIB!O66="",0,TRIB!O66*IF($D66="A",INPUTS!$I$34,INPUTS!$N$34)/1000)</f>
        <v>0</v>
      </c>
      <c r="P66" s="9" t="n">
        <f aca="false">IF(TRIB!P66="",0,TRIB!P66*IF($D66="A",INPUTS!$I$35,INPUTS!$N$35)/1000)</f>
        <v>0</v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9" t="n">
        <f aca="false">IF(TRIB!E67="",0,TRIB!E67*IF($D67="A",INPUTS!$I$24,INPUTS!$N$24)/1000)</f>
        <v>17.01</v>
      </c>
      <c r="F67" s="9" t="n">
        <f aca="false">IF(TRIB!F67="",0,TRIB!F67*IF($D67="A",INPUTS!$I$25,INPUTS!$N$25)/1000)</f>
        <v>56.7</v>
      </c>
      <c r="G67" s="9" t="n">
        <f aca="false">IF(TRIB!G67="",0,TRIB!G67*IF($D67="A",INPUTS!$I$26,INPUTS!$N$26)/1000)</f>
        <v>40.2</v>
      </c>
      <c r="H67" s="9" t="n">
        <f aca="false">IF(TRIB!H67="",0,TRIB!H67*IF($D67="A",INPUTS!$I$27,INPUTS!$N$27)/1000)</f>
        <v>16.08</v>
      </c>
      <c r="I67" s="9" t="n">
        <f aca="false">IF(TRIB!I67="",0,TRIB!I67*IF($D67="A",INPUTS!$I$28,INPUTS!$N$28)/1000)</f>
        <v>16.08</v>
      </c>
      <c r="J67" s="9" t="n">
        <f aca="false">IF(TRIB!J67="",0,TRIB!J67*IF($D67="A",INPUTS!$I$29,INPUTS!$N$29)/1000)</f>
        <v>15.84</v>
      </c>
      <c r="K67" s="9" t="n">
        <f aca="false">IF(TRIB!K67="",0,TRIB!K67*IF($D67="A",INPUTS!$I$30,INPUTS!$N$30)/1000)</f>
        <v>0</v>
      </c>
      <c r="L67" s="9" t="n">
        <f aca="false">IF(TRIB!L67="",0,TRIB!L67*IF($D67="A",INPUTS!$I$31,INPUTS!$N$31)/1000)</f>
        <v>0</v>
      </c>
      <c r="M67" s="9" t="n">
        <f aca="false">IF(TRIB!M67="",0,TRIB!M67*IF($D67="A",INPUTS!$I$32,INPUTS!$N$32)/1000)</f>
        <v>0</v>
      </c>
      <c r="N67" s="9" t="n">
        <f aca="false">IF(TRIB!N67="",0,TRIB!N67*IF($D67="A",INPUTS!$I$33,INPUTS!$N$33)/1000)</f>
        <v>0</v>
      </c>
      <c r="O67" s="9" t="n">
        <f aca="false">IF(TRIB!O67="",0,TRIB!O67*IF($D67="A",INPUTS!$I$34,INPUTS!$N$34)/1000)</f>
        <v>0</v>
      </c>
      <c r="P67" s="9" t="n">
        <f aca="false">IF(TRIB!P67="",0,TRIB!P67*IF($D67="A",INPUTS!$I$35,INPUTS!$N$35)/1000)</f>
        <v>0</v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9" t="n">
        <f aca="false">IF(TRIB!E68="",0,TRIB!E68*IF($D68="A",INPUTS!$I$24,INPUTS!$N$24)/1000)</f>
        <v>22.14</v>
      </c>
      <c r="F68" s="9" t="n">
        <f aca="false">IF(TRIB!F68="",0,TRIB!F68*IF($D68="A",INPUTS!$I$25,INPUTS!$N$25)/1000)</f>
        <v>73.8</v>
      </c>
      <c r="G68" s="9" t="n">
        <f aca="false">IF(TRIB!G68="",0,TRIB!G68*IF($D68="A",INPUTS!$I$26,INPUTS!$N$26)/1000)</f>
        <v>52</v>
      </c>
      <c r="H68" s="9" t="n">
        <f aca="false">IF(TRIB!H68="",0,TRIB!H68*IF($D68="A",INPUTS!$I$27,INPUTS!$N$27)/1000)</f>
        <v>20.8</v>
      </c>
      <c r="I68" s="9" t="n">
        <f aca="false">IF(TRIB!I68="",0,TRIB!I68*IF($D68="A",INPUTS!$I$28,INPUTS!$N$28)/1000)</f>
        <v>20.8</v>
      </c>
      <c r="J68" s="9" t="n">
        <f aca="false">IF(TRIB!J68="",0,TRIB!J68*IF($D68="A",INPUTS!$I$29,INPUTS!$N$29)/1000)</f>
        <v>30.8</v>
      </c>
      <c r="K68" s="9" t="n">
        <f aca="false">IF(TRIB!K68="",0,TRIB!K68*IF($D68="A",INPUTS!$I$30,INPUTS!$N$30)/1000)</f>
        <v>0</v>
      </c>
      <c r="L68" s="9" t="n">
        <f aca="false">IF(TRIB!L68="",0,TRIB!L68*IF($D68="A",INPUTS!$I$31,INPUTS!$N$31)/1000)</f>
        <v>0</v>
      </c>
      <c r="M68" s="9" t="n">
        <f aca="false">IF(TRIB!M68="",0,TRIB!M68*IF($D68="A",INPUTS!$I$32,INPUTS!$N$32)/1000)</f>
        <v>0</v>
      </c>
      <c r="N68" s="9" t="n">
        <f aca="false">IF(TRIB!N68="",0,TRIB!N68*IF($D68="A",INPUTS!$I$33,INPUTS!$N$33)/1000)</f>
        <v>0</v>
      </c>
      <c r="O68" s="9" t="n">
        <f aca="false">IF(TRIB!O68="",0,TRIB!O68*IF($D68="A",INPUTS!$I$34,INPUTS!$N$34)/1000)</f>
        <v>0</v>
      </c>
      <c r="P68" s="9" t="n">
        <f aca="false">IF(TRIB!P68="",0,TRIB!P68*IF($D68="A",INPUTS!$I$35,INPUTS!$N$35)/1000)</f>
        <v>0</v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9" t="n">
        <f aca="false">IF(TRIB!E69="",0,TRIB!E69*IF($D69="A",INPUTS!$I$24,INPUTS!$N$24)/1000)</f>
        <v>22.5</v>
      </c>
      <c r="F69" s="9" t="n">
        <f aca="false">IF(TRIB!F69="",0,TRIB!F69*IF($D69="A",INPUTS!$I$25,INPUTS!$N$25)/1000)</f>
        <v>75</v>
      </c>
      <c r="G69" s="9" t="n">
        <f aca="false">IF(TRIB!G69="",0,TRIB!G69*IF($D69="A",INPUTS!$I$26,INPUTS!$N$26)/1000)</f>
        <v>55.5</v>
      </c>
      <c r="H69" s="9" t="n">
        <f aca="false">IF(TRIB!H69="",0,TRIB!H69*IF($D69="A",INPUTS!$I$27,INPUTS!$N$27)/1000)</f>
        <v>22.2</v>
      </c>
      <c r="I69" s="9" t="n">
        <f aca="false">IF(TRIB!I69="",0,TRIB!I69*IF($D69="A",INPUTS!$I$28,INPUTS!$N$28)/1000)</f>
        <v>22.2</v>
      </c>
      <c r="J69" s="9" t="n">
        <f aca="false">IF(TRIB!J69="",0,TRIB!J69*IF($D69="A",INPUTS!$I$29,INPUTS!$N$29)/1000)</f>
        <v>30.28</v>
      </c>
      <c r="K69" s="9" t="n">
        <f aca="false">IF(TRIB!K69="",0,TRIB!K69*IF($D69="A",INPUTS!$I$30,INPUTS!$N$30)/1000)</f>
        <v>0</v>
      </c>
      <c r="L69" s="9" t="n">
        <f aca="false">IF(TRIB!L69="",0,TRIB!L69*IF($D69="A",INPUTS!$I$31,INPUTS!$N$31)/1000)</f>
        <v>0</v>
      </c>
      <c r="M69" s="9" t="n">
        <f aca="false">IF(TRIB!M69="",0,TRIB!M69*IF($D69="A",INPUTS!$I$32,INPUTS!$N$32)/1000)</f>
        <v>0</v>
      </c>
      <c r="N69" s="9" t="n">
        <f aca="false">IF(TRIB!N69="",0,TRIB!N69*IF($D69="A",INPUTS!$I$33,INPUTS!$N$33)/1000)</f>
        <v>0</v>
      </c>
      <c r="O69" s="9" t="n">
        <f aca="false">IF(TRIB!O69="",0,TRIB!O69*IF($D69="A",INPUTS!$I$34,INPUTS!$N$34)/1000)</f>
        <v>0</v>
      </c>
      <c r="P69" s="9" t="n">
        <f aca="false">IF(TRIB!P69="",0,TRIB!P69*IF($D69="A",INPUTS!$I$35,INPUTS!$N$35)/1000)</f>
        <v>0</v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9" t="n">
        <f aca="false">IF(TRIB!E70="",0,TRIB!E70*IF($D70="A",INPUTS!$I$24,INPUTS!$N$24)/1000)</f>
        <v>11.19</v>
      </c>
      <c r="F70" s="9" t="n">
        <f aca="false">IF(TRIB!F70="",0,TRIB!F70*IF($D70="A",INPUTS!$I$25,INPUTS!$N$25)/1000)</f>
        <v>37.3</v>
      </c>
      <c r="G70" s="9" t="n">
        <f aca="false">IF(TRIB!G70="",0,TRIB!G70*IF($D70="A",INPUTS!$I$26,INPUTS!$N$26)/1000)</f>
        <v>37.3</v>
      </c>
      <c r="H70" s="9" t="n">
        <f aca="false">IF(TRIB!H70="",0,TRIB!H70*IF($D70="A",INPUTS!$I$27,INPUTS!$N$27)/1000)</f>
        <v>14.92</v>
      </c>
      <c r="I70" s="9" t="n">
        <f aca="false">IF(TRIB!I70="",0,TRIB!I70*IF($D70="A",INPUTS!$I$28,INPUTS!$N$28)/1000)</f>
        <v>14.92</v>
      </c>
      <c r="J70" s="9" t="n">
        <f aca="false">IF(TRIB!J70="",0,TRIB!J70*IF($D70="A",INPUTS!$I$29,INPUTS!$N$29)/1000)</f>
        <v>26.88</v>
      </c>
      <c r="K70" s="9" t="n">
        <f aca="false">IF(TRIB!K70="",0,TRIB!K70*IF($D70="A",INPUTS!$I$30,INPUTS!$N$30)/1000)</f>
        <v>0</v>
      </c>
      <c r="L70" s="9" t="n">
        <f aca="false">IF(TRIB!L70="",0,TRIB!L70*IF($D70="A",INPUTS!$I$31,INPUTS!$N$31)/1000)</f>
        <v>0</v>
      </c>
      <c r="M70" s="9" t="n">
        <f aca="false">IF(TRIB!M70="",0,TRIB!M70*IF($D70="A",INPUTS!$I$32,INPUTS!$N$32)/1000)</f>
        <v>0</v>
      </c>
      <c r="N70" s="9" t="n">
        <f aca="false">IF(TRIB!N70="",0,TRIB!N70*IF($D70="A",INPUTS!$I$33,INPUTS!$N$33)/1000)</f>
        <v>0</v>
      </c>
      <c r="O70" s="9" t="n">
        <f aca="false">IF(TRIB!O70="",0,TRIB!O70*IF($D70="A",INPUTS!$I$34,INPUTS!$N$34)/1000)</f>
        <v>0</v>
      </c>
      <c r="P70" s="9" t="n">
        <f aca="false">IF(TRIB!P70="",0,TRIB!P70*IF($D70="A",INPUTS!$I$35,INPUTS!$N$35)/1000)</f>
        <v>0</v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9" t="n">
        <f aca="false">IF(TRIB!E71="",0,TRIB!E71*IF($D71="A",INPUTS!$I$24,INPUTS!$N$24)/1000)</f>
        <v>16.44</v>
      </c>
      <c r="F71" s="9" t="n">
        <f aca="false">IF(TRIB!F71="",0,TRIB!F71*IF($D71="A",INPUTS!$I$25,INPUTS!$N$25)/1000)</f>
        <v>54.8</v>
      </c>
      <c r="G71" s="9" t="n">
        <f aca="false">IF(TRIB!G71="",0,TRIB!G71*IF($D71="A",INPUTS!$I$26,INPUTS!$N$26)/1000)</f>
        <v>50.8</v>
      </c>
      <c r="H71" s="9" t="n">
        <f aca="false">IF(TRIB!H71="",0,TRIB!H71*IF($D71="A",INPUTS!$I$27,INPUTS!$N$27)/1000)</f>
        <v>20.32</v>
      </c>
      <c r="I71" s="9" t="n">
        <f aca="false">IF(TRIB!I71="",0,TRIB!I71*IF($D71="A",INPUTS!$I$28,INPUTS!$N$28)/1000)</f>
        <v>20.32</v>
      </c>
      <c r="J71" s="9" t="n">
        <f aca="false">IF(TRIB!J71="",0,TRIB!J71*IF($D71="A",INPUTS!$I$29,INPUTS!$N$29)/1000)</f>
        <v>20.12</v>
      </c>
      <c r="K71" s="9" t="n">
        <f aca="false">IF(TRIB!K71="",0,TRIB!K71*IF($D71="A",INPUTS!$I$30,INPUTS!$N$30)/1000)</f>
        <v>0</v>
      </c>
      <c r="L71" s="9" t="n">
        <f aca="false">IF(TRIB!L71="",0,TRIB!L71*IF($D71="A",INPUTS!$I$31,INPUTS!$N$31)/1000)</f>
        <v>0</v>
      </c>
      <c r="M71" s="9" t="n">
        <f aca="false">IF(TRIB!M71="",0,TRIB!M71*IF($D71="A",INPUTS!$I$32,INPUTS!$N$32)/1000)</f>
        <v>0</v>
      </c>
      <c r="N71" s="9" t="n">
        <f aca="false">IF(TRIB!N71="",0,TRIB!N71*IF($D71="A",INPUTS!$I$33,INPUTS!$N$33)/1000)</f>
        <v>0</v>
      </c>
      <c r="O71" s="9" t="n">
        <f aca="false">IF(TRIB!O71="",0,TRIB!O71*IF($D71="A",INPUTS!$I$34,INPUTS!$N$34)/1000)</f>
        <v>0</v>
      </c>
      <c r="P71" s="9" t="n">
        <f aca="false">IF(TRIB!P71="",0,TRIB!P71*IF($D71="A",INPUTS!$I$35,INPUTS!$N$35)/1000)</f>
        <v>0</v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9" t="n">
        <f aca="false">IF(TRIB!E72="",0,TRIB!E72*IF($D72="A",INPUTS!$I$24,INPUTS!$N$24)/1000)</f>
        <v>15.45</v>
      </c>
      <c r="F72" s="9" t="n">
        <f aca="false">IF(TRIB!F72="",0,TRIB!F72*IF($D72="A",INPUTS!$I$25,INPUTS!$N$25)/1000)</f>
        <v>51.5</v>
      </c>
      <c r="G72" s="9" t="n">
        <f aca="false">IF(TRIB!G72="",0,TRIB!G72*IF($D72="A",INPUTS!$I$26,INPUTS!$N$26)/1000)</f>
        <v>50.6</v>
      </c>
      <c r="H72" s="9" t="n">
        <f aca="false">IF(TRIB!H72="",0,TRIB!H72*IF($D72="A",INPUTS!$I$27,INPUTS!$N$27)/1000)</f>
        <v>20.24</v>
      </c>
      <c r="I72" s="9" t="n">
        <f aca="false">IF(TRIB!I72="",0,TRIB!I72*IF($D72="A",INPUTS!$I$28,INPUTS!$N$28)/1000)</f>
        <v>20.24</v>
      </c>
      <c r="J72" s="9" t="n">
        <f aca="false">IF(TRIB!J72="",0,TRIB!J72*IF($D72="A",INPUTS!$I$29,INPUTS!$N$29)/1000)</f>
        <v>20</v>
      </c>
      <c r="K72" s="9" t="n">
        <f aca="false">IF(TRIB!K72="",0,TRIB!K72*IF($D72="A",INPUTS!$I$30,INPUTS!$N$30)/1000)</f>
        <v>0</v>
      </c>
      <c r="L72" s="9" t="n">
        <f aca="false">IF(TRIB!L72="",0,TRIB!L72*IF($D72="A",INPUTS!$I$31,INPUTS!$N$31)/1000)</f>
        <v>0</v>
      </c>
      <c r="M72" s="9" t="n">
        <f aca="false">IF(TRIB!M72="",0,TRIB!M72*IF($D72="A",INPUTS!$I$32,INPUTS!$N$32)/1000)</f>
        <v>0</v>
      </c>
      <c r="N72" s="9" t="n">
        <f aca="false">IF(TRIB!N72="",0,TRIB!N72*IF($D72="A",INPUTS!$I$33,INPUTS!$N$33)/1000)</f>
        <v>0</v>
      </c>
      <c r="O72" s="9" t="n">
        <f aca="false">IF(TRIB!O72="",0,TRIB!O72*IF($D72="A",INPUTS!$I$34,INPUTS!$N$34)/1000)</f>
        <v>0</v>
      </c>
      <c r="P72" s="9" t="n">
        <f aca="false">IF(TRIB!P72="",0,TRIB!P72*IF($D72="A",INPUTS!$I$35,INPUTS!$N$35)/1000)</f>
        <v>0</v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9" t="n">
        <f aca="false">IF(TRIB!E73="",0,TRIB!E73*IF($D73="A",INPUTS!$I$24,INPUTS!$N$24)/1000)</f>
        <v>2.25</v>
      </c>
      <c r="F73" s="9" t="n">
        <f aca="false">IF(TRIB!F73="",0,TRIB!F73*IF($D73="A",INPUTS!$I$25,INPUTS!$N$25)/1000)</f>
        <v>7.5</v>
      </c>
      <c r="G73" s="9" t="n">
        <f aca="false">IF(TRIB!G73="",0,TRIB!G73*IF($D73="A",INPUTS!$I$26,INPUTS!$N$26)/1000)</f>
        <v>50.1</v>
      </c>
      <c r="H73" s="9" t="n">
        <f aca="false">IF(TRIB!H73="",0,TRIB!H73*IF($D73="A",INPUTS!$I$27,INPUTS!$N$27)/1000)</f>
        <v>20.04</v>
      </c>
      <c r="I73" s="9" t="n">
        <f aca="false">IF(TRIB!I73="",0,TRIB!I73*IF($D73="A",INPUTS!$I$28,INPUTS!$N$28)/1000)</f>
        <v>20.04</v>
      </c>
      <c r="J73" s="9" t="n">
        <f aca="false">IF(TRIB!J73="",0,TRIB!J73*IF($D73="A",INPUTS!$I$29,INPUTS!$N$29)/1000)</f>
        <v>22.32</v>
      </c>
      <c r="K73" s="9" t="n">
        <f aca="false">IF(TRIB!K73="",0,TRIB!K73*IF($D73="A",INPUTS!$I$30,INPUTS!$N$30)/1000)</f>
        <v>0</v>
      </c>
      <c r="L73" s="9" t="n">
        <f aca="false">IF(TRIB!L73="",0,TRIB!L73*IF($D73="A",INPUTS!$I$31,INPUTS!$N$31)/1000)</f>
        <v>0</v>
      </c>
      <c r="M73" s="9" t="n">
        <f aca="false">IF(TRIB!M73="",0,TRIB!M73*IF($D73="A",INPUTS!$I$32,INPUTS!$N$32)/1000)</f>
        <v>0</v>
      </c>
      <c r="N73" s="9" t="n">
        <f aca="false">IF(TRIB!N73="",0,TRIB!N73*IF($D73="A",INPUTS!$I$33,INPUTS!$N$33)/1000)</f>
        <v>0</v>
      </c>
      <c r="O73" s="9" t="n">
        <f aca="false">IF(TRIB!O73="",0,TRIB!O73*IF($D73="A",INPUTS!$I$34,INPUTS!$N$34)/1000)</f>
        <v>0</v>
      </c>
      <c r="P73" s="9" t="n">
        <f aca="false">IF(TRIB!P73="",0,TRIB!P73*IF($D73="A",INPUTS!$I$35,INPUTS!$N$35)/1000)</f>
        <v>0</v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9" t="n">
        <f aca="false">IF(TRIB!E74="",0,TRIB!E74*IF($D74="A",INPUTS!$I$24,INPUTS!$N$24)/1000)</f>
        <v>16.83</v>
      </c>
      <c r="F74" s="9" t="n">
        <f aca="false">IF(TRIB!F74="",0,TRIB!F74*IF($D74="A",INPUTS!$I$25,INPUTS!$N$25)/1000)</f>
        <v>56.1</v>
      </c>
      <c r="G74" s="9" t="n">
        <f aca="false">IF(TRIB!G74="",0,TRIB!G74*IF($D74="A",INPUTS!$I$26,INPUTS!$N$26)/1000)</f>
        <v>53.3</v>
      </c>
      <c r="H74" s="9" t="n">
        <f aca="false">IF(TRIB!H74="",0,TRIB!H74*IF($D74="A",INPUTS!$I$27,INPUTS!$N$27)/1000)</f>
        <v>21.32</v>
      </c>
      <c r="I74" s="9" t="n">
        <f aca="false">IF(TRIB!I74="",0,TRIB!I74*IF($D74="A",INPUTS!$I$28,INPUTS!$N$28)/1000)</f>
        <v>21.32</v>
      </c>
      <c r="J74" s="9" t="n">
        <f aca="false">IF(TRIB!J74="",0,TRIB!J74*IF($D74="A",INPUTS!$I$29,INPUTS!$N$29)/1000)</f>
        <v>23.52</v>
      </c>
      <c r="K74" s="9" t="n">
        <f aca="false">IF(TRIB!K74="",0,TRIB!K74*IF($D74="A",INPUTS!$I$30,INPUTS!$N$30)/1000)</f>
        <v>0</v>
      </c>
      <c r="L74" s="9" t="n">
        <f aca="false">IF(TRIB!L74="",0,TRIB!L74*IF($D74="A",INPUTS!$I$31,INPUTS!$N$31)/1000)</f>
        <v>0</v>
      </c>
      <c r="M74" s="9" t="n">
        <f aca="false">IF(TRIB!M74="",0,TRIB!M74*IF($D74="A",INPUTS!$I$32,INPUTS!$N$32)/1000)</f>
        <v>0</v>
      </c>
      <c r="N74" s="9" t="n">
        <f aca="false">IF(TRIB!N74="",0,TRIB!N74*IF($D74="A",INPUTS!$I$33,INPUTS!$N$33)/1000)</f>
        <v>0</v>
      </c>
      <c r="O74" s="9" t="n">
        <f aca="false">IF(TRIB!O74="",0,TRIB!O74*IF($D74="A",INPUTS!$I$34,INPUTS!$N$34)/1000)</f>
        <v>0</v>
      </c>
      <c r="P74" s="9" t="n">
        <f aca="false">IF(TRIB!P74="",0,TRIB!P74*IF($D74="A",INPUTS!$I$35,INPUTS!$N$35)/1000)</f>
        <v>0</v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9" t="n">
        <f aca="false">IF(TRIB!E75="",0,TRIB!E75*IF($D75="A",INPUTS!$I$24,INPUTS!$N$24)/1000)</f>
        <v>15.36</v>
      </c>
      <c r="F75" s="9" t="n">
        <f aca="false">IF(TRIB!F75="",0,TRIB!F75*IF($D75="A",INPUTS!$I$25,INPUTS!$N$25)/1000)</f>
        <v>51.2</v>
      </c>
      <c r="G75" s="9" t="n">
        <f aca="false">IF(TRIB!G75="",0,TRIB!G75*IF($D75="A",INPUTS!$I$26,INPUTS!$N$26)/1000)</f>
        <v>51.2</v>
      </c>
      <c r="H75" s="9" t="n">
        <f aca="false">IF(TRIB!H75="",0,TRIB!H75*IF($D75="A",INPUTS!$I$27,INPUTS!$N$27)/1000)</f>
        <v>20.48</v>
      </c>
      <c r="I75" s="9" t="n">
        <f aca="false">IF(TRIB!I75="",0,TRIB!I75*IF($D75="A",INPUTS!$I$28,INPUTS!$N$28)/1000)</f>
        <v>20.48</v>
      </c>
      <c r="J75" s="9" t="n">
        <f aca="false">IF(TRIB!J75="",0,TRIB!J75*IF($D75="A",INPUTS!$I$29,INPUTS!$N$29)/1000)</f>
        <v>32.88</v>
      </c>
      <c r="K75" s="9" t="n">
        <f aca="false">IF(TRIB!K75="",0,TRIB!K75*IF($D75="A",INPUTS!$I$30,INPUTS!$N$30)/1000)</f>
        <v>0</v>
      </c>
      <c r="L75" s="9" t="n">
        <f aca="false">IF(TRIB!L75="",0,TRIB!L75*IF($D75="A",INPUTS!$I$31,INPUTS!$N$31)/1000)</f>
        <v>0</v>
      </c>
      <c r="M75" s="9" t="n">
        <f aca="false">IF(TRIB!M75="",0,TRIB!M75*IF($D75="A",INPUTS!$I$32,INPUTS!$N$32)/1000)</f>
        <v>0</v>
      </c>
      <c r="N75" s="9" t="n">
        <f aca="false">IF(TRIB!N75="",0,TRIB!N75*IF($D75="A",INPUTS!$I$33,INPUTS!$N$33)/1000)</f>
        <v>0</v>
      </c>
      <c r="O75" s="9" t="n">
        <f aca="false">IF(TRIB!O75="",0,TRIB!O75*IF($D75="A",INPUTS!$I$34,INPUTS!$N$34)/1000)</f>
        <v>0</v>
      </c>
      <c r="P75" s="9" t="n">
        <f aca="false">IF(TRIB!P75="",0,TRIB!P75*IF($D75="A",INPUTS!$I$35,INPUTS!$N$35)/1000)</f>
        <v>0</v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9" t="n">
        <f aca="false">IF(TRIB!E76="",0,TRIB!E76*IF($D76="A",INPUTS!$I$24,INPUTS!$N$24)/1000)</f>
        <v>1.17</v>
      </c>
      <c r="F76" s="9" t="n">
        <f aca="false">IF(TRIB!F76="",0,TRIB!F76*IF($D76="A",INPUTS!$I$25,INPUTS!$N$25)/1000)</f>
        <v>3.9</v>
      </c>
      <c r="G76" s="9" t="n">
        <f aca="false">IF(TRIB!G76="",0,TRIB!G76*IF($D76="A",INPUTS!$I$26,INPUTS!$N$26)/1000)</f>
        <v>2.5</v>
      </c>
      <c r="H76" s="9" t="n">
        <f aca="false">IF(TRIB!H76="",0,TRIB!H76*IF($D76="A",INPUTS!$I$27,INPUTS!$N$27)/1000)</f>
        <v>1</v>
      </c>
      <c r="I76" s="9" t="n">
        <f aca="false">IF(TRIB!I76="",0,TRIB!I76*IF($D76="A",INPUTS!$I$28,INPUTS!$N$28)/1000)</f>
        <v>1</v>
      </c>
      <c r="J76" s="9" t="n">
        <f aca="false">IF(TRIB!J76="",0,TRIB!J76*IF($D76="A",INPUTS!$I$29,INPUTS!$N$29)/1000)</f>
        <v>18.12</v>
      </c>
      <c r="K76" s="9" t="n">
        <f aca="false">IF(TRIB!K76="",0,TRIB!K76*IF($D76="A",INPUTS!$I$30,INPUTS!$N$30)/1000)</f>
        <v>0</v>
      </c>
      <c r="L76" s="9" t="n">
        <f aca="false">IF(TRIB!L76="",0,TRIB!L76*IF($D76="A",INPUTS!$I$31,INPUTS!$N$31)/1000)</f>
        <v>0</v>
      </c>
      <c r="M76" s="9" t="n">
        <f aca="false">IF(TRIB!M76="",0,TRIB!M76*IF($D76="A",INPUTS!$I$32,INPUTS!$N$32)/1000)</f>
        <v>0</v>
      </c>
      <c r="N76" s="9" t="n">
        <f aca="false">IF(TRIB!N76="",0,TRIB!N76*IF($D76="A",INPUTS!$I$33,INPUTS!$N$33)/1000)</f>
        <v>0</v>
      </c>
      <c r="O76" s="9" t="n">
        <f aca="false">IF(TRIB!O76="",0,TRIB!O76*IF($D76="A",INPUTS!$I$34,INPUTS!$N$34)/1000)</f>
        <v>0</v>
      </c>
      <c r="P76" s="9" t="n">
        <f aca="false">IF(TRIB!P76="",0,TRIB!P76*IF($D76="A",INPUTS!$I$35,INPUTS!$N$35)/1000)</f>
        <v>0</v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9" t="n">
        <f aca="false">IF(TRIB!E77="",0,TRIB!E77*IF($D77="A",INPUTS!$I$24,INPUTS!$N$24)/1000)</f>
        <v>9.18</v>
      </c>
      <c r="F77" s="9" t="n">
        <f aca="false">IF(TRIB!F77="",0,TRIB!F77*IF($D77="A",INPUTS!$I$25,INPUTS!$N$25)/1000)</f>
        <v>30.6</v>
      </c>
      <c r="G77" s="9" t="n">
        <f aca="false">IF(TRIB!G77="",0,TRIB!G77*IF($D77="A",INPUTS!$I$26,INPUTS!$N$26)/1000)</f>
        <v>25.2</v>
      </c>
      <c r="H77" s="9" t="n">
        <f aca="false">IF(TRIB!H77="",0,TRIB!H77*IF($D77="A",INPUTS!$I$27,INPUTS!$N$27)/1000)</f>
        <v>13.96</v>
      </c>
      <c r="I77" s="9" t="n">
        <f aca="false">IF(TRIB!I77="",0,TRIB!I77*IF($D77="A",INPUTS!$I$28,INPUTS!$N$28)/1000)</f>
        <v>13.96</v>
      </c>
      <c r="J77" s="9" t="n">
        <f aca="false">IF(TRIB!J77="",0,TRIB!J77*IF($D77="A",INPUTS!$I$29,INPUTS!$N$29)/1000)</f>
        <v>13.92</v>
      </c>
      <c r="K77" s="9" t="n">
        <f aca="false">IF(TRIB!K77="",0,TRIB!K77*IF($D77="A",INPUTS!$I$30,INPUTS!$N$30)/1000)</f>
        <v>0</v>
      </c>
      <c r="L77" s="9" t="n">
        <f aca="false">IF(TRIB!L77="",0,TRIB!L77*IF($D77="A",INPUTS!$I$31,INPUTS!$N$31)/1000)</f>
        <v>0</v>
      </c>
      <c r="M77" s="9" t="n">
        <f aca="false">IF(TRIB!M77="",0,TRIB!M77*IF($D77="A",INPUTS!$I$32,INPUTS!$N$32)/1000)</f>
        <v>0</v>
      </c>
      <c r="N77" s="9" t="n">
        <f aca="false">IF(TRIB!N77="",0,TRIB!N77*IF($D77="A",INPUTS!$I$33,INPUTS!$N$33)/1000)</f>
        <v>0</v>
      </c>
      <c r="O77" s="9" t="n">
        <f aca="false">IF(TRIB!O77="",0,TRIB!O77*IF($D77="A",INPUTS!$I$34,INPUTS!$N$34)/1000)</f>
        <v>0</v>
      </c>
      <c r="P77" s="9" t="n">
        <f aca="false">IF(TRIB!P77="",0,TRIB!P77*IF($D77="A",INPUTS!$I$35,INPUTS!$N$35)/1000)</f>
        <v>0</v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9" t="n">
        <f aca="false">IF(TRIB!E78="",0,TRIB!E78*IF($D78="A",INPUTS!$I$24,INPUTS!$N$24)/1000)</f>
        <v>18.87</v>
      </c>
      <c r="F78" s="9" t="n">
        <f aca="false">IF(TRIB!F78="",0,TRIB!F78*IF($D78="A",INPUTS!$I$25,INPUTS!$N$25)/1000)</f>
        <v>62.9</v>
      </c>
      <c r="G78" s="9" t="n">
        <f aca="false">IF(TRIB!G78="",0,TRIB!G78*IF($D78="A",INPUTS!$I$26,INPUTS!$N$26)/1000)</f>
        <v>54.5</v>
      </c>
      <c r="H78" s="9" t="n">
        <f aca="false">IF(TRIB!H78="",0,TRIB!H78*IF($D78="A",INPUTS!$I$27,INPUTS!$N$27)/1000)</f>
        <v>21.8</v>
      </c>
      <c r="I78" s="9" t="n">
        <f aca="false">IF(TRIB!I78="",0,TRIB!I78*IF($D78="A",INPUTS!$I$28,INPUTS!$N$28)/1000)</f>
        <v>21.8</v>
      </c>
      <c r="J78" s="9" t="n">
        <f aca="false">IF(TRIB!J78="",0,TRIB!J78*IF($D78="A",INPUTS!$I$29,INPUTS!$N$29)/1000)</f>
        <v>21.56</v>
      </c>
      <c r="K78" s="9" t="n">
        <f aca="false">IF(TRIB!K78="",0,TRIB!K78*IF($D78="A",INPUTS!$I$30,INPUTS!$N$30)/1000)</f>
        <v>0</v>
      </c>
      <c r="L78" s="9" t="n">
        <f aca="false">IF(TRIB!L78="",0,TRIB!L78*IF($D78="A",INPUTS!$I$31,INPUTS!$N$31)/1000)</f>
        <v>0</v>
      </c>
      <c r="M78" s="9" t="n">
        <f aca="false">IF(TRIB!M78="",0,TRIB!M78*IF($D78="A",INPUTS!$I$32,INPUTS!$N$32)/1000)</f>
        <v>0</v>
      </c>
      <c r="N78" s="9" t="n">
        <f aca="false">IF(TRIB!N78="",0,TRIB!N78*IF($D78="A",INPUTS!$I$33,INPUTS!$N$33)/1000)</f>
        <v>0</v>
      </c>
      <c r="O78" s="9" t="n">
        <f aca="false">IF(TRIB!O78="",0,TRIB!O78*IF($D78="A",INPUTS!$I$34,INPUTS!$N$34)/1000)</f>
        <v>0</v>
      </c>
      <c r="P78" s="9" t="n">
        <f aca="false">IF(TRIB!P78="",0,TRIB!P78*IF($D78="A",INPUTS!$I$35,INPUTS!$N$35)/1000)</f>
        <v>0</v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9" t="n">
        <f aca="false">IF(TRIB!E79="",0,TRIB!E79*IF($D79="A",INPUTS!$I$24,INPUTS!$N$24)/1000)</f>
        <v>15.18</v>
      </c>
      <c r="F79" s="9" t="n">
        <f aca="false">IF(TRIB!F79="",0,TRIB!F79*IF($D79="A",INPUTS!$I$25,INPUTS!$N$25)/1000)</f>
        <v>50.6</v>
      </c>
      <c r="G79" s="9" t="n">
        <f aca="false">IF(TRIB!G79="",0,TRIB!G79*IF($D79="A",INPUTS!$I$26,INPUTS!$N$26)/1000)</f>
        <v>51.1</v>
      </c>
      <c r="H79" s="9" t="n">
        <f aca="false">IF(TRIB!H79="",0,TRIB!H79*IF($D79="A",INPUTS!$I$27,INPUTS!$N$27)/1000)</f>
        <v>20.44</v>
      </c>
      <c r="I79" s="9" t="n">
        <f aca="false">IF(TRIB!I79="",0,TRIB!I79*IF($D79="A",INPUTS!$I$28,INPUTS!$N$28)/1000)</f>
        <v>20.44</v>
      </c>
      <c r="J79" s="9" t="n">
        <f aca="false">IF(TRIB!J79="",0,TRIB!J79*IF($D79="A",INPUTS!$I$29,INPUTS!$N$29)/1000)</f>
        <v>22.32</v>
      </c>
      <c r="K79" s="9" t="n">
        <f aca="false">IF(TRIB!K79="",0,TRIB!K79*IF($D79="A",INPUTS!$I$30,INPUTS!$N$30)/1000)</f>
        <v>0</v>
      </c>
      <c r="L79" s="9" t="n">
        <f aca="false">IF(TRIB!L79="",0,TRIB!L79*IF($D79="A",INPUTS!$I$31,INPUTS!$N$31)/1000)</f>
        <v>0</v>
      </c>
      <c r="M79" s="9" t="n">
        <f aca="false">IF(TRIB!M79="",0,TRIB!M79*IF($D79="A",INPUTS!$I$32,INPUTS!$N$32)/1000)</f>
        <v>0</v>
      </c>
      <c r="N79" s="9" t="n">
        <f aca="false">IF(TRIB!N79="",0,TRIB!N79*IF($D79="A",INPUTS!$I$33,INPUTS!$N$33)/1000)</f>
        <v>0</v>
      </c>
      <c r="O79" s="9" t="n">
        <f aca="false">IF(TRIB!O79="",0,TRIB!O79*IF($D79="A",INPUTS!$I$34,INPUTS!$N$34)/1000)</f>
        <v>0</v>
      </c>
      <c r="P79" s="9" t="n">
        <f aca="false">IF(TRIB!P79="",0,TRIB!P79*IF($D79="A",INPUTS!$I$35,INPUTS!$N$35)/1000)</f>
        <v>0</v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9" t="n">
        <f aca="false">IF(TRIB!E80="",0,TRIB!E80*IF($D80="A",INPUTS!$I$24,INPUTS!$N$24)/1000)</f>
        <v>15.96</v>
      </c>
      <c r="F80" s="9" t="n">
        <f aca="false">IF(TRIB!F80="",0,TRIB!F80*IF($D80="A",INPUTS!$I$25,INPUTS!$N$25)/1000)</f>
        <v>53.2</v>
      </c>
      <c r="G80" s="9" t="n">
        <f aca="false">IF(TRIB!G80="",0,TRIB!G80*IF($D80="A",INPUTS!$I$26,INPUTS!$N$26)/1000)</f>
        <v>53.2</v>
      </c>
      <c r="H80" s="9" t="n">
        <f aca="false">IF(TRIB!H80="",0,TRIB!H80*IF($D80="A",INPUTS!$I$27,INPUTS!$N$27)/1000)</f>
        <v>21.28</v>
      </c>
      <c r="I80" s="9" t="n">
        <f aca="false">IF(TRIB!I80="",0,TRIB!I80*IF($D80="A",INPUTS!$I$28,INPUTS!$N$28)/1000)</f>
        <v>21.28</v>
      </c>
      <c r="J80" s="9" t="n">
        <f aca="false">IF(TRIB!J80="",0,TRIB!J80*IF($D80="A",INPUTS!$I$29,INPUTS!$N$29)/1000)</f>
        <v>23.48</v>
      </c>
      <c r="K80" s="9" t="n">
        <f aca="false">IF(TRIB!K80="",0,TRIB!K80*IF($D80="A",INPUTS!$I$30,INPUTS!$N$30)/1000)</f>
        <v>0</v>
      </c>
      <c r="L80" s="9" t="n">
        <f aca="false">IF(TRIB!L80="",0,TRIB!L80*IF($D80="A",INPUTS!$I$31,INPUTS!$N$31)/1000)</f>
        <v>0</v>
      </c>
      <c r="M80" s="9" t="n">
        <f aca="false">IF(TRIB!M80="",0,TRIB!M80*IF($D80="A",INPUTS!$I$32,INPUTS!$N$32)/1000)</f>
        <v>0</v>
      </c>
      <c r="N80" s="9" t="n">
        <f aca="false">IF(TRIB!N80="",0,TRIB!N80*IF($D80="A",INPUTS!$I$33,INPUTS!$N$33)/1000)</f>
        <v>0</v>
      </c>
      <c r="O80" s="9" t="n">
        <f aca="false">IF(TRIB!O80="",0,TRIB!O80*IF($D80="A",INPUTS!$I$34,INPUTS!$N$34)/1000)</f>
        <v>0</v>
      </c>
      <c r="P80" s="9" t="n">
        <f aca="false">IF(TRIB!P80="",0,TRIB!P80*IF($D80="A",INPUTS!$I$35,INPUTS!$N$35)/1000)</f>
        <v>0</v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9" t="n">
        <f aca="false">IF(TRIB!E81="",0,TRIB!E81*IF($D81="A",INPUTS!$I$24,INPUTS!$N$24)/1000)</f>
        <v>15.96</v>
      </c>
      <c r="F81" s="9" t="n">
        <f aca="false">IF(TRIB!F81="",0,TRIB!F81*IF($D81="A",INPUTS!$I$25,INPUTS!$N$25)/1000)</f>
        <v>53.2</v>
      </c>
      <c r="G81" s="9" t="n">
        <f aca="false">IF(TRIB!G81="",0,TRIB!G81*IF($D81="A",INPUTS!$I$26,INPUTS!$N$26)/1000)</f>
        <v>53.2</v>
      </c>
      <c r="H81" s="9" t="n">
        <f aca="false">IF(TRIB!H81="",0,TRIB!H81*IF($D81="A",INPUTS!$I$27,INPUTS!$N$27)/1000)</f>
        <v>21.28</v>
      </c>
      <c r="I81" s="9" t="n">
        <f aca="false">IF(TRIB!I81="",0,TRIB!I81*IF($D81="A",INPUTS!$I$28,INPUTS!$N$28)/1000)</f>
        <v>21.28</v>
      </c>
      <c r="J81" s="9" t="n">
        <f aca="false">IF(TRIB!J81="",0,TRIB!J81*IF($D81="A",INPUTS!$I$29,INPUTS!$N$29)/1000)</f>
        <v>32.84</v>
      </c>
      <c r="K81" s="9" t="n">
        <f aca="false">IF(TRIB!K81="",0,TRIB!K81*IF($D81="A",INPUTS!$I$30,INPUTS!$N$30)/1000)</f>
        <v>0</v>
      </c>
      <c r="L81" s="9" t="n">
        <f aca="false">IF(TRIB!L81="",0,TRIB!L81*IF($D81="A",INPUTS!$I$31,INPUTS!$N$31)/1000)</f>
        <v>0</v>
      </c>
      <c r="M81" s="9" t="n">
        <f aca="false">IF(TRIB!M81="",0,TRIB!M81*IF($D81="A",INPUTS!$I$32,INPUTS!$N$32)/1000)</f>
        <v>0</v>
      </c>
      <c r="N81" s="9" t="n">
        <f aca="false">IF(TRIB!N81="",0,TRIB!N81*IF($D81="A",INPUTS!$I$33,INPUTS!$N$33)/1000)</f>
        <v>0</v>
      </c>
      <c r="O81" s="9" t="n">
        <f aca="false">IF(TRIB!O81="",0,TRIB!O81*IF($D81="A",INPUTS!$I$34,INPUTS!$N$34)/1000)</f>
        <v>0</v>
      </c>
      <c r="P81" s="9" t="n">
        <f aca="false">IF(TRIB!P81="",0,TRIB!P81*IF($D81="A",INPUTS!$I$35,INPUTS!$N$35)/1000)</f>
        <v>0</v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9" t="n">
        <f aca="false">IF(TRIB!E82="",0,TRIB!E82*IF($D82="A",INPUTS!$I$24,INPUTS!$N$24)/1000)</f>
        <v>1.08</v>
      </c>
      <c r="F82" s="9" t="n">
        <f aca="false">IF(TRIB!F82="",0,TRIB!F82*IF($D82="A",INPUTS!$I$25,INPUTS!$N$25)/1000)</f>
        <v>3.6</v>
      </c>
      <c r="G82" s="9" t="n">
        <f aca="false">IF(TRIB!G82="",0,TRIB!G82*IF($D82="A",INPUTS!$I$26,INPUTS!$N$26)/1000)</f>
        <v>3.6</v>
      </c>
      <c r="H82" s="9" t="n">
        <f aca="false">IF(TRIB!H82="",0,TRIB!H82*IF($D82="A",INPUTS!$I$27,INPUTS!$N$27)/1000)</f>
        <v>1.44</v>
      </c>
      <c r="I82" s="9" t="n">
        <f aca="false">IF(TRIB!I82="",0,TRIB!I82*IF($D82="A",INPUTS!$I$28,INPUTS!$N$28)/1000)</f>
        <v>1.44</v>
      </c>
      <c r="J82" s="9" t="n">
        <f aca="false">IF(TRIB!J82="",0,TRIB!J82*IF($D82="A",INPUTS!$I$29,INPUTS!$N$29)/1000)</f>
        <v>16.24</v>
      </c>
      <c r="K82" s="9" t="n">
        <f aca="false">IF(TRIB!K82="",0,TRIB!K82*IF($D82="A",INPUTS!$I$30,INPUTS!$N$30)/1000)</f>
        <v>0</v>
      </c>
      <c r="L82" s="9" t="n">
        <f aca="false">IF(TRIB!L82="",0,TRIB!L82*IF($D82="A",INPUTS!$I$31,INPUTS!$N$31)/1000)</f>
        <v>0</v>
      </c>
      <c r="M82" s="9" t="n">
        <f aca="false">IF(TRIB!M82="",0,TRIB!M82*IF($D82="A",INPUTS!$I$32,INPUTS!$N$32)/1000)</f>
        <v>0</v>
      </c>
      <c r="N82" s="9" t="n">
        <f aca="false">IF(TRIB!N82="",0,TRIB!N82*IF($D82="A",INPUTS!$I$33,INPUTS!$N$33)/1000)</f>
        <v>0</v>
      </c>
      <c r="O82" s="9" t="n">
        <f aca="false">IF(TRIB!O82="",0,TRIB!O82*IF($D82="A",INPUTS!$I$34,INPUTS!$N$34)/1000)</f>
        <v>0</v>
      </c>
      <c r="P82" s="9" t="n">
        <f aca="false">IF(TRIB!P82="",0,TRIB!P82*IF($D82="A",INPUTS!$I$35,INPUTS!$N$35)/1000)</f>
        <v>0</v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9" t="n">
        <f aca="false">IF(TRIB!E83="",0,TRIB!E83*IF($D83="A",INPUTS!$I$24,INPUTS!$N$24)/1000)</f>
        <v>11.64</v>
      </c>
      <c r="F83" s="9" t="n">
        <f aca="false">IF(TRIB!F83="",0,TRIB!F83*IF($D83="A",INPUTS!$I$25,INPUTS!$N$25)/1000)</f>
        <v>38.8</v>
      </c>
      <c r="G83" s="9" t="n">
        <f aca="false">IF(TRIB!G83="",0,TRIB!G83*IF($D83="A",INPUTS!$I$26,INPUTS!$N$26)/1000)</f>
        <v>35.6</v>
      </c>
      <c r="H83" s="9" t="n">
        <f aca="false">IF(TRIB!H83="",0,TRIB!H83*IF($D83="A",INPUTS!$I$27,INPUTS!$N$27)/1000)</f>
        <v>16.88</v>
      </c>
      <c r="I83" s="9" t="n">
        <f aca="false">IF(TRIB!I83="",0,TRIB!I83*IF($D83="A",INPUTS!$I$28,INPUTS!$N$28)/1000)</f>
        <v>16.88</v>
      </c>
      <c r="J83" s="9" t="n">
        <f aca="false">IF(TRIB!J83="",0,TRIB!J83*IF($D83="A",INPUTS!$I$29,INPUTS!$N$29)/1000)</f>
        <v>13.36</v>
      </c>
      <c r="K83" s="9" t="n">
        <f aca="false">IF(TRIB!K83="",0,TRIB!K83*IF($D83="A",INPUTS!$I$30,INPUTS!$N$30)/1000)</f>
        <v>0</v>
      </c>
      <c r="L83" s="9" t="n">
        <f aca="false">IF(TRIB!L83="",0,TRIB!L83*IF($D83="A",INPUTS!$I$31,INPUTS!$N$31)/1000)</f>
        <v>0</v>
      </c>
      <c r="M83" s="9" t="n">
        <f aca="false">IF(TRIB!M83="",0,TRIB!M83*IF($D83="A",INPUTS!$I$32,INPUTS!$N$32)/1000)</f>
        <v>0</v>
      </c>
      <c r="N83" s="9" t="n">
        <f aca="false">IF(TRIB!N83="",0,TRIB!N83*IF($D83="A",INPUTS!$I$33,INPUTS!$N$33)/1000)</f>
        <v>0</v>
      </c>
      <c r="O83" s="9" t="n">
        <f aca="false">IF(TRIB!O83="",0,TRIB!O83*IF($D83="A",INPUTS!$I$34,INPUTS!$N$34)/1000)</f>
        <v>0</v>
      </c>
      <c r="P83" s="9" t="n">
        <f aca="false">IF(TRIB!P83="",0,TRIB!P83*IF($D83="A",INPUTS!$I$35,INPUTS!$N$35)/1000)</f>
        <v>0</v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9" t="n">
        <f aca="false">IF(TRIB!E84="",0,TRIB!E84*IF($D84="A",INPUTS!$I$24,INPUTS!$N$24)/1000)</f>
        <v>2.13</v>
      </c>
      <c r="F84" s="9" t="n">
        <f aca="false">IF(TRIB!F84="",0,TRIB!F84*IF($D84="A",INPUTS!$I$25,INPUTS!$N$25)/1000)</f>
        <v>7.1</v>
      </c>
      <c r="G84" s="9" t="n">
        <f aca="false">IF(TRIB!G84="",0,TRIB!G84*IF($D84="A",INPUTS!$I$26,INPUTS!$N$26)/1000)</f>
        <v>54.8</v>
      </c>
      <c r="H84" s="9" t="n">
        <f aca="false">IF(TRIB!H84="",0,TRIB!H84*IF($D84="A",INPUTS!$I$27,INPUTS!$N$27)/1000)</f>
        <v>21.92</v>
      </c>
      <c r="I84" s="9" t="n">
        <f aca="false">IF(TRIB!I84="",0,TRIB!I84*IF($D84="A",INPUTS!$I$28,INPUTS!$N$28)/1000)</f>
        <v>21.96</v>
      </c>
      <c r="J84" s="9" t="n">
        <f aca="false">IF(TRIB!J84="",0,TRIB!J84*IF($D84="A",INPUTS!$I$29,INPUTS!$N$29)/1000)</f>
        <v>24.28</v>
      </c>
      <c r="K84" s="9" t="n">
        <f aca="false">IF(TRIB!K84="",0,TRIB!K84*IF($D84="A",INPUTS!$I$30,INPUTS!$N$30)/1000)</f>
        <v>0</v>
      </c>
      <c r="L84" s="9" t="n">
        <f aca="false">IF(TRIB!L84="",0,TRIB!L84*IF($D84="A",INPUTS!$I$31,INPUTS!$N$31)/1000)</f>
        <v>0</v>
      </c>
      <c r="M84" s="9" t="n">
        <f aca="false">IF(TRIB!M84="",0,TRIB!M84*IF($D84="A",INPUTS!$I$32,INPUTS!$N$32)/1000)</f>
        <v>0</v>
      </c>
      <c r="N84" s="9" t="n">
        <f aca="false">IF(TRIB!N84="",0,TRIB!N84*IF($D84="A",INPUTS!$I$33,INPUTS!$N$33)/1000)</f>
        <v>0</v>
      </c>
      <c r="O84" s="9" t="n">
        <f aca="false">IF(TRIB!O84="",0,TRIB!O84*IF($D84="A",INPUTS!$I$34,INPUTS!$N$34)/1000)</f>
        <v>0</v>
      </c>
      <c r="P84" s="9" t="n">
        <f aca="false">IF(TRIB!P84="",0,TRIB!P84*IF($D84="A",INPUTS!$I$35,INPUTS!$N$35)/1000)</f>
        <v>0</v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9" t="n">
        <f aca="false">IF(TRIB!E85="",0,TRIB!E85*IF($D85="A",INPUTS!$I$24,INPUTS!$N$24)/1000)</f>
        <v>13.83</v>
      </c>
      <c r="F85" s="9" t="n">
        <f aca="false">IF(TRIB!F85="",0,TRIB!F85*IF($D85="A",INPUTS!$I$25,INPUTS!$N$25)/1000)</f>
        <v>46.1</v>
      </c>
      <c r="G85" s="9" t="n">
        <f aca="false">IF(TRIB!G85="",0,TRIB!G85*IF($D85="A",INPUTS!$I$26,INPUTS!$N$26)/1000)</f>
        <v>50.3</v>
      </c>
      <c r="H85" s="9" t="n">
        <f aca="false">IF(TRIB!H85="",0,TRIB!H85*IF($D85="A",INPUTS!$I$27,INPUTS!$N$27)/1000)</f>
        <v>20.12</v>
      </c>
      <c r="I85" s="9" t="n">
        <f aca="false">IF(TRIB!I85="",0,TRIB!I85*IF($D85="A",INPUTS!$I$28,INPUTS!$N$28)/1000)</f>
        <v>20.12</v>
      </c>
      <c r="J85" s="9" t="n">
        <f aca="false">IF(TRIB!J85="",0,TRIB!J85*IF($D85="A",INPUTS!$I$29,INPUTS!$N$29)/1000)</f>
        <v>21.92</v>
      </c>
      <c r="K85" s="9" t="n">
        <f aca="false">IF(TRIB!K85="",0,TRIB!K85*IF($D85="A",INPUTS!$I$30,INPUTS!$N$30)/1000)</f>
        <v>0</v>
      </c>
      <c r="L85" s="9" t="n">
        <f aca="false">IF(TRIB!L85="",0,TRIB!L85*IF($D85="A",INPUTS!$I$31,INPUTS!$N$31)/1000)</f>
        <v>0</v>
      </c>
      <c r="M85" s="9" t="n">
        <f aca="false">IF(TRIB!M85="",0,TRIB!M85*IF($D85="A",INPUTS!$I$32,INPUTS!$N$32)/1000)</f>
        <v>0</v>
      </c>
      <c r="N85" s="9" t="n">
        <f aca="false">IF(TRIB!N85="",0,TRIB!N85*IF($D85="A",INPUTS!$I$33,INPUTS!$N$33)/1000)</f>
        <v>0</v>
      </c>
      <c r="O85" s="9" t="n">
        <f aca="false">IF(TRIB!O85="",0,TRIB!O85*IF($D85="A",INPUTS!$I$34,INPUTS!$N$34)/1000)</f>
        <v>0</v>
      </c>
      <c r="P85" s="9" t="n">
        <f aca="false">IF(TRIB!P85="",0,TRIB!P85*IF($D85="A",INPUTS!$I$35,INPUTS!$N$35)/1000)</f>
        <v>0</v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9" t="n">
        <f aca="false">IF(TRIB!E86="",0,TRIB!E86*IF($D86="A",INPUTS!$I$24,INPUTS!$N$24)/1000)</f>
        <v>0.78</v>
      </c>
      <c r="F86" s="9" t="n">
        <f aca="false">IF(TRIB!F86="",0,TRIB!F86*IF($D86="A",INPUTS!$I$25,INPUTS!$N$25)/1000)</f>
        <v>2.6</v>
      </c>
      <c r="G86" s="9" t="n">
        <f aca="false">IF(TRIB!G86="",0,TRIB!G86*IF($D86="A",INPUTS!$I$26,INPUTS!$N$26)/1000)</f>
        <v>2.6</v>
      </c>
      <c r="H86" s="9" t="n">
        <f aca="false">IF(TRIB!H86="",0,TRIB!H86*IF($D86="A",INPUTS!$I$27,INPUTS!$N$27)/1000)</f>
        <v>1.04</v>
      </c>
      <c r="I86" s="9" t="n">
        <f aca="false">IF(TRIB!I86="",0,TRIB!I86*IF($D86="A",INPUTS!$I$28,INPUTS!$N$28)/1000)</f>
        <v>0.8</v>
      </c>
      <c r="J86" s="9" t="n">
        <f aca="false">IF(TRIB!J86="",0,TRIB!J86*IF($D86="A",INPUTS!$I$29,INPUTS!$N$29)/1000)</f>
        <v>7.84</v>
      </c>
      <c r="K86" s="9" t="n">
        <f aca="false">IF(TRIB!K86="",0,TRIB!K86*IF($D86="A",INPUTS!$I$30,INPUTS!$N$30)/1000)</f>
        <v>0</v>
      </c>
      <c r="L86" s="9" t="n">
        <f aca="false">IF(TRIB!L86="",0,TRIB!L86*IF($D86="A",INPUTS!$I$31,INPUTS!$N$31)/1000)</f>
        <v>0</v>
      </c>
      <c r="M86" s="9" t="n">
        <f aca="false">IF(TRIB!M86="",0,TRIB!M86*IF($D86="A",INPUTS!$I$32,INPUTS!$N$32)/1000)</f>
        <v>0</v>
      </c>
      <c r="N86" s="9" t="n">
        <f aca="false">IF(TRIB!N86="",0,TRIB!N86*IF($D86="A",INPUTS!$I$33,INPUTS!$N$33)/1000)</f>
        <v>0</v>
      </c>
      <c r="O86" s="9" t="n">
        <f aca="false">IF(TRIB!O86="",0,TRIB!O86*IF($D86="A",INPUTS!$I$34,INPUTS!$N$34)/1000)</f>
        <v>0</v>
      </c>
      <c r="P86" s="9" t="n">
        <f aca="false">IF(TRIB!P86="",0,TRIB!P86*IF($D86="A",INPUTS!$I$35,INPUTS!$N$35)/1000)</f>
        <v>0</v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9" t="n">
        <f aca="false">IF(TRIB!E87="",0,TRIB!E87*IF($D87="A",INPUTS!$I$24,INPUTS!$N$24)/1000)</f>
        <v>15.96</v>
      </c>
      <c r="F87" s="9" t="n">
        <f aca="false">IF(TRIB!F87="",0,TRIB!F87*IF($D87="A",INPUTS!$I$25,INPUTS!$N$25)/1000)</f>
        <v>53.2</v>
      </c>
      <c r="G87" s="9" t="n">
        <f aca="false">IF(TRIB!G87="",0,TRIB!G87*IF($D87="A",INPUTS!$I$26,INPUTS!$N$26)/1000)</f>
        <v>53.2</v>
      </c>
      <c r="H87" s="9" t="n">
        <f aca="false">IF(TRIB!H87="",0,TRIB!H87*IF($D87="A",INPUTS!$I$27,INPUTS!$N$27)/1000)</f>
        <v>21.28</v>
      </c>
      <c r="I87" s="9" t="n">
        <f aca="false">IF(TRIB!I87="",0,TRIB!I87*IF($D87="A",INPUTS!$I$28,INPUTS!$N$28)/1000)</f>
        <v>0</v>
      </c>
      <c r="J87" s="9" t="n">
        <f aca="false">IF(TRIB!J87="",0,TRIB!J87*IF($D87="A",INPUTS!$I$29,INPUTS!$N$29)/1000)</f>
        <v>0</v>
      </c>
      <c r="K87" s="9" t="n">
        <f aca="false">IF(TRIB!K87="",0,TRIB!K87*IF($D87="A",INPUTS!$I$30,INPUTS!$N$30)/1000)</f>
        <v>0</v>
      </c>
      <c r="L87" s="9" t="n">
        <f aca="false">IF(TRIB!L87="",0,TRIB!L87*IF($D87="A",INPUTS!$I$31,INPUTS!$N$31)/1000)</f>
        <v>0</v>
      </c>
      <c r="M87" s="9" t="n">
        <f aca="false">IF(TRIB!M87="",0,TRIB!M87*IF($D87="A",INPUTS!$I$32,INPUTS!$N$32)/1000)</f>
        <v>0</v>
      </c>
      <c r="N87" s="9" t="n">
        <f aca="false">IF(TRIB!N87="",0,TRIB!N87*IF($D87="A",INPUTS!$I$33,INPUTS!$N$33)/1000)</f>
        <v>0</v>
      </c>
      <c r="O87" s="9" t="n">
        <f aca="false">IF(TRIB!O87="",0,TRIB!O87*IF($D87="A",INPUTS!$I$34,INPUTS!$N$34)/1000)</f>
        <v>0</v>
      </c>
      <c r="P87" s="9" t="n">
        <f aca="false">IF(TRIB!P87="",0,TRIB!P87*IF($D87="A",INPUTS!$I$35,INPUTS!$N$35)/1000)</f>
        <v>0</v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9" t="n">
        <f aca="false">IF(TRIB!E88="",0,TRIB!E88*IF($D88="A",INPUTS!$I$24,INPUTS!$N$24)/1000)</f>
        <v>15.96</v>
      </c>
      <c r="F88" s="9" t="n">
        <f aca="false">IF(TRIB!F88="",0,TRIB!F88*IF($D88="A",INPUTS!$I$25,INPUTS!$N$25)/1000)</f>
        <v>53.2</v>
      </c>
      <c r="G88" s="9" t="n">
        <f aca="false">IF(TRIB!G88="",0,TRIB!G88*IF($D88="A",INPUTS!$I$26,INPUTS!$N$26)/1000)</f>
        <v>45.5</v>
      </c>
      <c r="H88" s="9" t="n">
        <f aca="false">IF(TRIB!H88="",0,TRIB!H88*IF($D88="A",INPUTS!$I$27,INPUTS!$N$27)/1000)</f>
        <v>18.08</v>
      </c>
      <c r="I88" s="9" t="n">
        <f aca="false">IF(TRIB!I88="",0,TRIB!I88*IF($D88="A",INPUTS!$I$28,INPUTS!$N$28)/1000)</f>
        <v>0</v>
      </c>
      <c r="J88" s="9" t="n">
        <f aca="false">IF(TRIB!J88="",0,TRIB!J88*IF($D88="A",INPUTS!$I$29,INPUTS!$N$29)/1000)</f>
        <v>0</v>
      </c>
      <c r="K88" s="9" t="n">
        <f aca="false">IF(TRIB!K88="",0,TRIB!K88*IF($D88="A",INPUTS!$I$30,INPUTS!$N$30)/1000)</f>
        <v>0</v>
      </c>
      <c r="L88" s="9" t="n">
        <f aca="false">IF(TRIB!L88="",0,TRIB!L88*IF($D88="A",INPUTS!$I$31,INPUTS!$N$31)/1000)</f>
        <v>0</v>
      </c>
      <c r="M88" s="9" t="n">
        <f aca="false">IF(TRIB!M88="",0,TRIB!M88*IF($D88="A",INPUTS!$I$32,INPUTS!$N$32)/1000)</f>
        <v>0</v>
      </c>
      <c r="N88" s="9" t="n">
        <f aca="false">IF(TRIB!N88="",0,TRIB!N88*IF($D88="A",INPUTS!$I$33,INPUTS!$N$33)/1000)</f>
        <v>0</v>
      </c>
      <c r="O88" s="9" t="n">
        <f aca="false">IF(TRIB!O88="",0,TRIB!O88*IF($D88="A",INPUTS!$I$34,INPUTS!$N$34)/1000)</f>
        <v>0</v>
      </c>
      <c r="P88" s="9" t="n">
        <f aca="false">IF(TRIB!P88="",0,TRIB!P88*IF($D88="A",INPUTS!$I$35,INPUTS!$N$35)/1000)</f>
        <v>0</v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9" t="n">
        <f aca="false">IF(TRIB!E89="",0,TRIB!E89*IF($D89="A",INPUTS!$I$24,INPUTS!$N$24)/1000)</f>
        <v>16.95</v>
      </c>
      <c r="F89" s="9" t="n">
        <f aca="false">IF(TRIB!F89="",0,TRIB!F89*IF($D89="A",INPUTS!$I$25,INPUTS!$N$25)/1000)</f>
        <v>56.5</v>
      </c>
      <c r="G89" s="9" t="n">
        <f aca="false">IF(TRIB!G89="",0,TRIB!G89*IF($D89="A",INPUTS!$I$26,INPUTS!$N$26)/1000)</f>
        <v>35.4</v>
      </c>
      <c r="H89" s="9" t="n">
        <f aca="false">IF(TRIB!H89="",0,TRIB!H89*IF($D89="A",INPUTS!$I$27,INPUTS!$N$27)/1000)</f>
        <v>16.88</v>
      </c>
      <c r="I89" s="9" t="n">
        <f aca="false">IF(TRIB!I89="",0,TRIB!I89*IF($D89="A",INPUTS!$I$28,INPUTS!$N$28)/1000)</f>
        <v>16.88</v>
      </c>
      <c r="J89" s="9" t="n">
        <f aca="false">IF(TRIB!J89="",0,TRIB!J89*IF($D89="A",INPUTS!$I$29,INPUTS!$N$29)/1000)</f>
        <v>15.04</v>
      </c>
      <c r="K89" s="9" t="n">
        <f aca="false">IF(TRIB!K89="",0,TRIB!K89*IF($D89="A",INPUTS!$I$30,INPUTS!$N$30)/1000)</f>
        <v>0</v>
      </c>
      <c r="L89" s="9" t="n">
        <f aca="false">IF(TRIB!L89="",0,TRIB!L89*IF($D89="A",INPUTS!$I$31,INPUTS!$N$31)/1000)</f>
        <v>0</v>
      </c>
      <c r="M89" s="9" t="n">
        <f aca="false">IF(TRIB!M89="",0,TRIB!M89*IF($D89="A",INPUTS!$I$32,INPUTS!$N$32)/1000)</f>
        <v>0</v>
      </c>
      <c r="N89" s="9" t="n">
        <f aca="false">IF(TRIB!N89="",0,TRIB!N89*IF($D89="A",INPUTS!$I$33,INPUTS!$N$33)/1000)</f>
        <v>0</v>
      </c>
      <c r="O89" s="9" t="n">
        <f aca="false">IF(TRIB!O89="",0,TRIB!O89*IF($D89="A",INPUTS!$I$34,INPUTS!$N$34)/1000)</f>
        <v>0</v>
      </c>
      <c r="P89" s="9" t="n">
        <f aca="false">IF(TRIB!P89="",0,TRIB!P89*IF($D89="A",INPUTS!$I$35,INPUTS!$N$35)/1000)</f>
        <v>0</v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9" t="n">
        <f aca="false">IF(TRIB!E90="",0,TRIB!E90*IF($D90="A",INPUTS!$I$24,INPUTS!$N$24)/1000)</f>
        <v>0.63</v>
      </c>
      <c r="F90" s="9" t="n">
        <f aca="false">IF(TRIB!F90="",0,TRIB!F90*IF($D90="A",INPUTS!$I$25,INPUTS!$N$25)/1000)</f>
        <v>2.1</v>
      </c>
      <c r="G90" s="9" t="n">
        <f aca="false">IF(TRIB!G90="",0,TRIB!G90*IF($D90="A",INPUTS!$I$26,INPUTS!$N$26)/1000)</f>
        <v>2.1</v>
      </c>
      <c r="H90" s="9" t="n">
        <f aca="false">IF(TRIB!H90="",0,TRIB!H90*IF($D90="A",INPUTS!$I$27,INPUTS!$N$27)/1000)</f>
        <v>0.84</v>
      </c>
      <c r="I90" s="9" t="n">
        <f aca="false">IF(TRIB!I90="",0,TRIB!I90*IF($D90="A",INPUTS!$I$28,INPUTS!$N$28)/1000)</f>
        <v>0.84</v>
      </c>
      <c r="J90" s="9" t="n">
        <f aca="false">IF(TRIB!J90="",0,TRIB!J90*IF($D90="A",INPUTS!$I$29,INPUTS!$N$29)/1000)</f>
        <v>6.56</v>
      </c>
      <c r="K90" s="9" t="n">
        <f aca="false">IF(TRIB!K90="",0,TRIB!K90*IF($D90="A",INPUTS!$I$30,INPUTS!$N$30)/1000)</f>
        <v>0</v>
      </c>
      <c r="L90" s="9" t="n">
        <f aca="false">IF(TRIB!L90="",0,TRIB!L90*IF($D90="A",INPUTS!$I$31,INPUTS!$N$31)/1000)</f>
        <v>0</v>
      </c>
      <c r="M90" s="9" t="n">
        <f aca="false">IF(TRIB!M90="",0,TRIB!M90*IF($D90="A",INPUTS!$I$32,INPUTS!$N$32)/1000)</f>
        <v>0</v>
      </c>
      <c r="N90" s="9" t="n">
        <f aca="false">IF(TRIB!N90="",0,TRIB!N90*IF($D90="A",INPUTS!$I$33,INPUTS!$N$33)/1000)</f>
        <v>0</v>
      </c>
      <c r="O90" s="9" t="n">
        <f aca="false">IF(TRIB!O90="",0,TRIB!O90*IF($D90="A",INPUTS!$I$34,INPUTS!$N$34)/1000)</f>
        <v>0</v>
      </c>
      <c r="P90" s="9" t="n">
        <f aca="false">IF(TRIB!P90="",0,TRIB!P90*IF($D90="A",INPUTS!$I$35,INPUTS!$N$35)/1000)</f>
        <v>0</v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9" t="n">
        <f aca="false">IF(TRIB!E91="",0,TRIB!E91*IF($D91="A",INPUTS!$I$24,INPUTS!$N$24)/1000)</f>
        <v>13.83</v>
      </c>
      <c r="F91" s="9" t="n">
        <f aca="false">IF(TRIB!F91="",0,TRIB!F91*IF($D91="A",INPUTS!$I$25,INPUTS!$N$25)/1000)</f>
        <v>46.1</v>
      </c>
      <c r="G91" s="9" t="n">
        <f aca="false">IF(TRIB!G91="",0,TRIB!G91*IF($D91="A",INPUTS!$I$26,INPUTS!$N$26)/1000)</f>
        <v>48.2</v>
      </c>
      <c r="H91" s="9" t="n">
        <f aca="false">IF(TRIB!H91="",0,TRIB!H91*IF($D91="A",INPUTS!$I$27,INPUTS!$N$27)/1000)</f>
        <v>19.28</v>
      </c>
      <c r="I91" s="9" t="n">
        <f aca="false">IF(TRIB!I91="",0,TRIB!I91*IF($D91="A",INPUTS!$I$28,INPUTS!$N$28)/1000)</f>
        <v>19.36</v>
      </c>
      <c r="J91" s="9" t="n">
        <f aca="false">IF(TRIB!J91="",0,TRIB!J91*IF($D91="A",INPUTS!$I$29,INPUTS!$N$29)/1000)</f>
        <v>13.4</v>
      </c>
      <c r="K91" s="9" t="n">
        <f aca="false">IF(TRIB!K91="",0,TRIB!K91*IF($D91="A",INPUTS!$I$30,INPUTS!$N$30)/1000)</f>
        <v>0</v>
      </c>
      <c r="L91" s="9" t="n">
        <f aca="false">IF(TRIB!L91="",0,TRIB!L91*IF($D91="A",INPUTS!$I$31,INPUTS!$N$31)/1000)</f>
        <v>0</v>
      </c>
      <c r="M91" s="9" t="n">
        <f aca="false">IF(TRIB!M91="",0,TRIB!M91*IF($D91="A",INPUTS!$I$32,INPUTS!$N$32)/1000)</f>
        <v>0</v>
      </c>
      <c r="N91" s="9" t="n">
        <f aca="false">IF(TRIB!N91="",0,TRIB!N91*IF($D91="A",INPUTS!$I$33,INPUTS!$N$33)/1000)</f>
        <v>0</v>
      </c>
      <c r="O91" s="9" t="n">
        <f aca="false">IF(TRIB!O91="",0,TRIB!O91*IF($D91="A",INPUTS!$I$34,INPUTS!$N$34)/1000)</f>
        <v>0</v>
      </c>
      <c r="P91" s="9" t="n">
        <f aca="false">IF(TRIB!P91="",0,TRIB!P91*IF($D91="A",INPUTS!$I$35,INPUTS!$N$35)/1000)</f>
        <v>0</v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9" t="n">
        <f aca="false">IF(TRIB!E92="",0,TRIB!E92*IF($D92="A",INPUTS!$I$24,INPUTS!$N$24)/1000)</f>
        <v>17.82</v>
      </c>
      <c r="F92" s="9" t="n">
        <f aca="false">IF(TRIB!F92="",0,TRIB!F92*IF($D92="A",INPUTS!$I$25,INPUTS!$N$25)/1000)</f>
        <v>59.4</v>
      </c>
      <c r="G92" s="9" t="n">
        <f aca="false">IF(TRIB!G92="",0,TRIB!G92*IF($D92="A",INPUTS!$I$26,INPUTS!$N$26)/1000)</f>
        <v>59.4</v>
      </c>
      <c r="H92" s="9" t="n">
        <f aca="false">IF(TRIB!H92="",0,TRIB!H92*IF($D92="A",INPUTS!$I$27,INPUTS!$N$27)/1000)</f>
        <v>23.76</v>
      </c>
      <c r="I92" s="9" t="n">
        <f aca="false">IF(TRIB!I92="",0,TRIB!I92*IF($D92="A",INPUTS!$I$28,INPUTS!$N$28)/1000)</f>
        <v>23.76</v>
      </c>
      <c r="J92" s="9" t="n">
        <f aca="false">IF(TRIB!J92="",0,TRIB!J92*IF($D92="A",INPUTS!$I$29,INPUTS!$N$29)/1000)</f>
        <v>0</v>
      </c>
      <c r="K92" s="9" t="n">
        <f aca="false">IF(TRIB!K92="",0,TRIB!K92*IF($D92="A",INPUTS!$I$30,INPUTS!$N$30)/1000)</f>
        <v>0</v>
      </c>
      <c r="L92" s="9" t="n">
        <f aca="false">IF(TRIB!L92="",0,TRIB!L92*IF($D92="A",INPUTS!$I$31,INPUTS!$N$31)/1000)</f>
        <v>0</v>
      </c>
      <c r="M92" s="9" t="n">
        <f aca="false">IF(TRIB!M92="",0,TRIB!M92*IF($D92="A",INPUTS!$I$32,INPUTS!$N$32)/1000)</f>
        <v>0</v>
      </c>
      <c r="N92" s="9" t="n">
        <f aca="false">IF(TRIB!N92="",0,TRIB!N92*IF($D92="A",INPUTS!$I$33,INPUTS!$N$33)/1000)</f>
        <v>0</v>
      </c>
      <c r="O92" s="9" t="n">
        <f aca="false">IF(TRIB!O92="",0,TRIB!O92*IF($D92="A",INPUTS!$I$34,INPUTS!$N$34)/1000)</f>
        <v>0</v>
      </c>
      <c r="P92" s="9" t="n">
        <f aca="false">IF(TRIB!P92="",0,TRIB!P92*IF($D92="A",INPUTS!$I$35,INPUTS!$N$35)/1000)</f>
        <v>0</v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9" t="n">
        <f aca="false">IF(TRIB!E93="",0,TRIB!E93*IF($D93="A",INPUTS!$I$24,INPUTS!$N$24)/1000)</f>
        <v>17.82</v>
      </c>
      <c r="F93" s="9" t="n">
        <f aca="false">IF(TRIB!F93="",0,TRIB!F93*IF($D93="A",INPUTS!$I$25,INPUTS!$N$25)/1000)</f>
        <v>59.4</v>
      </c>
      <c r="G93" s="9" t="n">
        <f aca="false">IF(TRIB!G93="",0,TRIB!G93*IF($D93="A",INPUTS!$I$26,INPUTS!$N$26)/1000)</f>
        <v>59.2</v>
      </c>
      <c r="H93" s="9" t="n">
        <f aca="false">IF(TRIB!H93="",0,TRIB!H93*IF($D93="A",INPUTS!$I$27,INPUTS!$N$27)/1000)</f>
        <v>23.76</v>
      </c>
      <c r="I93" s="9" t="n">
        <f aca="false">IF(TRIB!I93="",0,TRIB!I93*IF($D93="A",INPUTS!$I$28,INPUTS!$N$28)/1000)</f>
        <v>23.76</v>
      </c>
      <c r="J93" s="9" t="n">
        <f aca="false">IF(TRIB!J93="",0,TRIB!J93*IF($D93="A",INPUTS!$I$29,INPUTS!$N$29)/1000)</f>
        <v>0</v>
      </c>
      <c r="K93" s="9" t="n">
        <f aca="false">IF(TRIB!K93="",0,TRIB!K93*IF($D93="A",INPUTS!$I$30,INPUTS!$N$30)/1000)</f>
        <v>0</v>
      </c>
      <c r="L93" s="9" t="n">
        <f aca="false">IF(TRIB!L93="",0,TRIB!L93*IF($D93="A",INPUTS!$I$31,INPUTS!$N$31)/1000)</f>
        <v>0</v>
      </c>
      <c r="M93" s="9" t="n">
        <f aca="false">IF(TRIB!M93="",0,TRIB!M93*IF($D93="A",INPUTS!$I$32,INPUTS!$N$32)/1000)</f>
        <v>0</v>
      </c>
      <c r="N93" s="9" t="n">
        <f aca="false">IF(TRIB!N93="",0,TRIB!N93*IF($D93="A",INPUTS!$I$33,INPUTS!$N$33)/1000)</f>
        <v>0</v>
      </c>
      <c r="O93" s="9" t="n">
        <f aca="false">IF(TRIB!O93="",0,TRIB!O93*IF($D93="A",INPUTS!$I$34,INPUTS!$N$34)/1000)</f>
        <v>0</v>
      </c>
      <c r="P93" s="9" t="n">
        <f aca="false">IF(TRIB!P93="",0,TRIB!P93*IF($D93="A",INPUTS!$I$35,INPUTS!$N$35)/1000)</f>
        <v>0</v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9" t="n">
        <f aca="false">IF(TRIB!E94="",0,TRIB!E94*IF($D94="A",INPUTS!$I$24,INPUTS!$N$24)/1000)</f>
        <v>0.21</v>
      </c>
      <c r="F94" s="9" t="n">
        <f aca="false">IF(TRIB!F94="",0,TRIB!F94*IF($D94="A",INPUTS!$I$25,INPUTS!$N$25)/1000)</f>
        <v>0.7</v>
      </c>
      <c r="G94" s="9" t="n">
        <f aca="false">IF(TRIB!G94="",0,TRIB!G94*IF($D94="A",INPUTS!$I$26,INPUTS!$N$26)/1000)</f>
        <v>9.2</v>
      </c>
      <c r="H94" s="9" t="n">
        <f aca="false">IF(TRIB!H94="",0,TRIB!H94*IF($D94="A",INPUTS!$I$27,INPUTS!$N$27)/1000)</f>
        <v>3.68</v>
      </c>
      <c r="I94" s="9" t="n">
        <f aca="false">IF(TRIB!I94="",0,TRIB!I94*IF($D94="A",INPUTS!$I$28,INPUTS!$N$28)/1000)</f>
        <v>4.56</v>
      </c>
      <c r="J94" s="9" t="n">
        <f aca="false">IF(TRIB!J94="",0,TRIB!J94*IF($D94="A",INPUTS!$I$29,INPUTS!$N$29)/1000)</f>
        <v>33.68</v>
      </c>
      <c r="K94" s="9" t="n">
        <f aca="false">IF(TRIB!K94="",0,TRIB!K94*IF($D94="A",INPUTS!$I$30,INPUTS!$N$30)/1000)</f>
        <v>0</v>
      </c>
      <c r="L94" s="9" t="n">
        <f aca="false">IF(TRIB!L94="",0,TRIB!L94*IF($D94="A",INPUTS!$I$31,INPUTS!$N$31)/1000)</f>
        <v>0</v>
      </c>
      <c r="M94" s="9" t="n">
        <f aca="false">IF(TRIB!M94="",0,TRIB!M94*IF($D94="A",INPUTS!$I$32,INPUTS!$N$32)/1000)</f>
        <v>0</v>
      </c>
      <c r="N94" s="9" t="n">
        <f aca="false">IF(TRIB!N94="",0,TRIB!N94*IF($D94="A",INPUTS!$I$33,INPUTS!$N$33)/1000)</f>
        <v>0</v>
      </c>
      <c r="O94" s="9" t="n">
        <f aca="false">IF(TRIB!O94="",0,TRIB!O94*IF($D94="A",INPUTS!$I$34,INPUTS!$N$34)/1000)</f>
        <v>0</v>
      </c>
      <c r="P94" s="9" t="n">
        <f aca="false">IF(TRIB!P94="",0,TRIB!P94*IF($D94="A",INPUTS!$I$35,INPUTS!$N$35)/1000)</f>
        <v>0</v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9" t="n">
        <f aca="false">IF(TRIB!E95="",0,TRIB!E95*IF($D95="A",INPUTS!$I$24,INPUTS!$N$24)/1000)</f>
        <v>11.64</v>
      </c>
      <c r="F95" s="9" t="n">
        <f aca="false">IF(TRIB!F95="",0,TRIB!F95*IF($D95="A",INPUTS!$I$25,INPUTS!$N$25)/1000)</f>
        <v>38.8</v>
      </c>
      <c r="G95" s="9" t="n">
        <f aca="false">IF(TRIB!G95="",0,TRIB!G95*IF($D95="A",INPUTS!$I$26,INPUTS!$N$26)/1000)</f>
        <v>25.1</v>
      </c>
      <c r="H95" s="9" t="n">
        <f aca="false">IF(TRIB!H95="",0,TRIB!H95*IF($D95="A",INPUTS!$I$27,INPUTS!$N$27)/1000)</f>
        <v>12.72</v>
      </c>
      <c r="I95" s="9" t="n">
        <f aca="false">IF(TRIB!I95="",0,TRIB!I95*IF($D95="A",INPUTS!$I$28,INPUTS!$N$28)/1000)</f>
        <v>12.72</v>
      </c>
      <c r="J95" s="9" t="n">
        <f aca="false">IF(TRIB!J95="",0,TRIB!J95*IF($D95="A",INPUTS!$I$29,INPUTS!$N$29)/1000)</f>
        <v>30.76</v>
      </c>
      <c r="K95" s="9" t="n">
        <f aca="false">IF(TRIB!K95="",0,TRIB!K95*IF($D95="A",INPUTS!$I$30,INPUTS!$N$30)/1000)</f>
        <v>0</v>
      </c>
      <c r="L95" s="9" t="n">
        <f aca="false">IF(TRIB!L95="",0,TRIB!L95*IF($D95="A",INPUTS!$I$31,INPUTS!$N$31)/1000)</f>
        <v>0</v>
      </c>
      <c r="M95" s="9" t="n">
        <f aca="false">IF(TRIB!M95="",0,TRIB!M95*IF($D95="A",INPUTS!$I$32,INPUTS!$N$32)/1000)</f>
        <v>0</v>
      </c>
      <c r="N95" s="9" t="n">
        <f aca="false">IF(TRIB!N95="",0,TRIB!N95*IF($D95="A",INPUTS!$I$33,INPUTS!$N$33)/1000)</f>
        <v>0</v>
      </c>
      <c r="O95" s="9" t="n">
        <f aca="false">IF(TRIB!O95="",0,TRIB!O95*IF($D95="A",INPUTS!$I$34,INPUTS!$N$34)/1000)</f>
        <v>0</v>
      </c>
      <c r="P95" s="9" t="n">
        <f aca="false">IF(TRIB!P95="",0,TRIB!P95*IF($D95="A",INPUTS!$I$35,INPUTS!$N$35)/1000)</f>
        <v>0</v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9" t="n">
        <f aca="false">IF(TRIB!E96="",0,TRIB!E96*IF($D96="A",INPUTS!$I$24,INPUTS!$N$24)/1000)</f>
        <v>17.34</v>
      </c>
      <c r="F96" s="9" t="n">
        <f aca="false">IF(TRIB!F96="",0,TRIB!F96*IF($D96="A",INPUTS!$I$25,INPUTS!$N$25)/1000)</f>
        <v>57.8</v>
      </c>
      <c r="G96" s="9" t="n">
        <f aca="false">IF(TRIB!G96="",0,TRIB!G96*IF($D96="A",INPUTS!$I$26,INPUTS!$N$26)/1000)</f>
        <v>42.4</v>
      </c>
      <c r="H96" s="9" t="n">
        <f aca="false">IF(TRIB!H96="",0,TRIB!H96*IF($D96="A",INPUTS!$I$27,INPUTS!$N$27)/1000)</f>
        <v>16.96</v>
      </c>
      <c r="I96" s="9" t="n">
        <f aca="false">IF(TRIB!I96="",0,TRIB!I96*IF($D96="A",INPUTS!$I$28,INPUTS!$N$28)/1000)</f>
        <v>17.04</v>
      </c>
      <c r="J96" s="9" t="n">
        <f aca="false">IF(TRIB!J96="",0,TRIB!J96*IF($D96="A",INPUTS!$I$29,INPUTS!$N$29)/1000)</f>
        <v>0</v>
      </c>
      <c r="K96" s="9" t="n">
        <f aca="false">IF(TRIB!K96="",0,TRIB!K96*IF($D96="A",INPUTS!$I$30,INPUTS!$N$30)/1000)</f>
        <v>0</v>
      </c>
      <c r="L96" s="9" t="n">
        <f aca="false">IF(TRIB!L96="",0,TRIB!L96*IF($D96="A",INPUTS!$I$31,INPUTS!$N$31)/1000)</f>
        <v>0</v>
      </c>
      <c r="M96" s="9" t="n">
        <f aca="false">IF(TRIB!M96="",0,TRIB!M96*IF($D96="A",INPUTS!$I$32,INPUTS!$N$32)/1000)</f>
        <v>0</v>
      </c>
      <c r="N96" s="9" t="n">
        <f aca="false">IF(TRIB!N96="",0,TRIB!N96*IF($D96="A",INPUTS!$I$33,INPUTS!$N$33)/1000)</f>
        <v>0</v>
      </c>
      <c r="O96" s="9" t="n">
        <f aca="false">IF(TRIB!O96="",0,TRIB!O96*IF($D96="A",INPUTS!$I$34,INPUTS!$N$34)/1000)</f>
        <v>0</v>
      </c>
      <c r="P96" s="9" t="n">
        <f aca="false">IF(TRIB!P96="",0,TRIB!P96*IF($D96="A",INPUTS!$I$35,INPUTS!$N$35)/1000)</f>
        <v>0</v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9" t="n">
        <f aca="false">IF(TRIB!E97="",0,TRIB!E97*IF($D97="A",INPUTS!$I$24,INPUTS!$N$24)/1000)</f>
        <v>15.84</v>
      </c>
      <c r="F97" s="9" t="n">
        <f aca="false">IF(TRIB!F97="",0,TRIB!F97*IF($D97="A",INPUTS!$I$25,INPUTS!$N$25)/1000)</f>
        <v>52.8</v>
      </c>
      <c r="G97" s="9" t="n">
        <f aca="false">IF(TRIB!G97="",0,TRIB!G97*IF($D97="A",INPUTS!$I$26,INPUTS!$N$26)/1000)</f>
        <v>52.8</v>
      </c>
      <c r="H97" s="9" t="n">
        <f aca="false">IF(TRIB!H97="",0,TRIB!H97*IF($D97="A",INPUTS!$I$27,INPUTS!$N$27)/1000)</f>
        <v>21.12</v>
      </c>
      <c r="I97" s="9" t="n">
        <f aca="false">IF(TRIB!I97="",0,TRIB!I97*IF($D97="A",INPUTS!$I$28,INPUTS!$N$28)/1000)</f>
        <v>21.16</v>
      </c>
      <c r="J97" s="9" t="n">
        <f aca="false">IF(TRIB!J97="",0,TRIB!J97*IF($D97="A",INPUTS!$I$29,INPUTS!$N$29)/1000)</f>
        <v>0</v>
      </c>
      <c r="K97" s="9" t="n">
        <f aca="false">IF(TRIB!K97="",0,TRIB!K97*IF($D97="A",INPUTS!$I$30,INPUTS!$N$30)/1000)</f>
        <v>0</v>
      </c>
      <c r="L97" s="9" t="n">
        <f aca="false">IF(TRIB!L97="",0,TRIB!L97*IF($D97="A",INPUTS!$I$31,INPUTS!$N$31)/1000)</f>
        <v>0</v>
      </c>
      <c r="M97" s="9" t="n">
        <f aca="false">IF(TRIB!M97="",0,TRIB!M97*IF($D97="A",INPUTS!$I$32,INPUTS!$N$32)/1000)</f>
        <v>0</v>
      </c>
      <c r="N97" s="9" t="n">
        <f aca="false">IF(TRIB!N97="",0,TRIB!N97*IF($D97="A",INPUTS!$I$33,INPUTS!$N$33)/1000)</f>
        <v>0</v>
      </c>
      <c r="O97" s="9" t="n">
        <f aca="false">IF(TRIB!O97="",0,TRIB!O97*IF($D97="A",INPUTS!$I$34,INPUTS!$N$34)/1000)</f>
        <v>0</v>
      </c>
      <c r="P97" s="9" t="n">
        <f aca="false">IF(TRIB!P97="",0,TRIB!P97*IF($D97="A",INPUTS!$I$35,INPUTS!$N$35)/1000)</f>
        <v>0</v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9" t="n">
        <f aca="false">IF(TRIB!E98="",0,TRIB!E98*IF($D98="A",INPUTS!$I$24,INPUTS!$N$24)/1000)</f>
        <v>7.98</v>
      </c>
      <c r="F98" s="9" t="n">
        <f aca="false">IF(TRIB!F98="",0,TRIB!F98*IF($D98="A",INPUTS!$I$25,INPUTS!$N$25)/1000)</f>
        <v>26.6</v>
      </c>
      <c r="G98" s="9" t="n">
        <f aca="false">IF(TRIB!G98="",0,TRIB!G98*IF($D98="A",INPUTS!$I$26,INPUTS!$N$26)/1000)</f>
        <v>26.6</v>
      </c>
      <c r="H98" s="9" t="n">
        <f aca="false">IF(TRIB!H98="",0,TRIB!H98*IF($D98="A",INPUTS!$I$27,INPUTS!$N$27)/1000)</f>
        <v>10.64</v>
      </c>
      <c r="I98" s="9" t="n">
        <f aca="false">IF(TRIB!I98="",0,TRIB!I98*IF($D98="A",INPUTS!$I$28,INPUTS!$N$28)/1000)</f>
        <v>10.64</v>
      </c>
      <c r="J98" s="9" t="n">
        <f aca="false">IF(TRIB!J98="",0,TRIB!J98*IF($D98="A",INPUTS!$I$29,INPUTS!$N$29)/1000)</f>
        <v>0</v>
      </c>
      <c r="K98" s="9" t="n">
        <f aca="false">IF(TRIB!K98="",0,TRIB!K98*IF($D98="A",INPUTS!$I$30,INPUTS!$N$30)/1000)</f>
        <v>0</v>
      </c>
      <c r="L98" s="9" t="n">
        <f aca="false">IF(TRIB!L98="",0,TRIB!L98*IF($D98="A",INPUTS!$I$31,INPUTS!$N$31)/1000)</f>
        <v>0</v>
      </c>
      <c r="M98" s="9" t="n">
        <f aca="false">IF(TRIB!M98="",0,TRIB!M98*IF($D98="A",INPUTS!$I$32,INPUTS!$N$32)/1000)</f>
        <v>0</v>
      </c>
      <c r="N98" s="9" t="n">
        <f aca="false">IF(TRIB!N98="",0,TRIB!N98*IF($D98="A",INPUTS!$I$33,INPUTS!$N$33)/1000)</f>
        <v>0</v>
      </c>
      <c r="O98" s="9" t="n">
        <f aca="false">IF(TRIB!O98="",0,TRIB!O98*IF($D98="A",INPUTS!$I$34,INPUTS!$N$34)/1000)</f>
        <v>0</v>
      </c>
      <c r="P98" s="9" t="n">
        <f aca="false">IF(TRIB!P98="",0,TRIB!P98*IF($D98="A",INPUTS!$I$35,INPUTS!$N$35)/1000)</f>
        <v>0</v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9" t="n">
        <f aca="false">IF(TRIB!E99="",0,TRIB!E99*IF($D99="A",INPUTS!$I$24,INPUTS!$N$24)/1000)</f>
        <v>20.67</v>
      </c>
      <c r="F99" s="9" t="n">
        <f aca="false">IF(TRIB!F99="",0,TRIB!F99*IF($D99="A",INPUTS!$I$25,INPUTS!$N$25)/1000)</f>
        <v>68.9</v>
      </c>
      <c r="G99" s="9" t="n">
        <f aca="false">IF(TRIB!G99="",0,TRIB!G99*IF($D99="A",INPUTS!$I$26,INPUTS!$N$26)/1000)</f>
        <v>68.9</v>
      </c>
      <c r="H99" s="9" t="n">
        <f aca="false">IF(TRIB!H99="",0,TRIB!H99*IF($D99="A",INPUTS!$I$27,INPUTS!$N$27)/1000)</f>
        <v>27.56</v>
      </c>
      <c r="I99" s="9" t="n">
        <f aca="false">IF(TRIB!I99="",0,TRIB!I99*IF($D99="A",INPUTS!$I$28,INPUTS!$N$28)/1000)</f>
        <v>27.56</v>
      </c>
      <c r="J99" s="9" t="n">
        <f aca="false">IF(TRIB!J99="",0,TRIB!J99*IF($D99="A",INPUTS!$I$29,INPUTS!$N$29)/1000)</f>
        <v>0</v>
      </c>
      <c r="K99" s="9" t="n">
        <f aca="false">IF(TRIB!K99="",0,TRIB!K99*IF($D99="A",INPUTS!$I$30,INPUTS!$N$30)/1000)</f>
        <v>0</v>
      </c>
      <c r="L99" s="9" t="n">
        <f aca="false">IF(TRIB!L99="",0,TRIB!L99*IF($D99="A",INPUTS!$I$31,INPUTS!$N$31)/1000)</f>
        <v>0</v>
      </c>
      <c r="M99" s="9" t="n">
        <f aca="false">IF(TRIB!M99="",0,TRIB!M99*IF($D99="A",INPUTS!$I$32,INPUTS!$N$32)/1000)</f>
        <v>0</v>
      </c>
      <c r="N99" s="9" t="n">
        <f aca="false">IF(TRIB!N99="",0,TRIB!N99*IF($D99="A",INPUTS!$I$33,INPUTS!$N$33)/1000)</f>
        <v>0</v>
      </c>
      <c r="O99" s="9" t="n">
        <f aca="false">IF(TRIB!O99="",0,TRIB!O99*IF($D99="A",INPUTS!$I$34,INPUTS!$N$34)/1000)</f>
        <v>0</v>
      </c>
      <c r="P99" s="9" t="n">
        <f aca="false">IF(TRIB!P99="",0,TRIB!P99*IF($D99="A",INPUTS!$I$35,INPUTS!$N$35)/1000)</f>
        <v>0</v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9" t="n">
        <f aca="false">IF(TRIB!E100="",0,TRIB!E100*IF($D100="A",INPUTS!$I$24,INPUTS!$N$24)/1000)</f>
        <v>17.85</v>
      </c>
      <c r="F100" s="9" t="n">
        <f aca="false">IF(TRIB!F100="",0,TRIB!F100*IF($D100="A",INPUTS!$I$25,INPUTS!$N$25)/1000)</f>
        <v>59.5</v>
      </c>
      <c r="G100" s="9" t="n">
        <f aca="false">IF(TRIB!G100="",0,TRIB!G100*IF($D100="A",INPUTS!$I$26,INPUTS!$N$26)/1000)</f>
        <v>59.5</v>
      </c>
      <c r="H100" s="9" t="n">
        <f aca="false">IF(TRIB!H100="",0,TRIB!H100*IF($D100="A",INPUTS!$I$27,INPUTS!$N$27)/1000)</f>
        <v>23.8</v>
      </c>
      <c r="I100" s="9" t="n">
        <f aca="false">IF(TRIB!I100="",0,TRIB!I100*IF($D100="A",INPUTS!$I$28,INPUTS!$N$28)/1000)</f>
        <v>23.8</v>
      </c>
      <c r="J100" s="9" t="n">
        <f aca="false">IF(TRIB!J100="",0,TRIB!J100*IF($D100="A",INPUTS!$I$29,INPUTS!$N$29)/1000)</f>
        <v>0</v>
      </c>
      <c r="K100" s="9" t="n">
        <f aca="false">IF(TRIB!K100="",0,TRIB!K100*IF($D100="A",INPUTS!$I$30,INPUTS!$N$30)/1000)</f>
        <v>0</v>
      </c>
      <c r="L100" s="9" t="n">
        <f aca="false">IF(TRIB!L100="",0,TRIB!L100*IF($D100="A",INPUTS!$I$31,INPUTS!$N$31)/1000)</f>
        <v>0</v>
      </c>
      <c r="M100" s="9" t="n">
        <f aca="false">IF(TRIB!M100="",0,TRIB!M100*IF($D100="A",INPUTS!$I$32,INPUTS!$N$32)/1000)</f>
        <v>0</v>
      </c>
      <c r="N100" s="9" t="n">
        <f aca="false">IF(TRIB!N100="",0,TRIB!N100*IF($D100="A",INPUTS!$I$33,INPUTS!$N$33)/1000)</f>
        <v>0</v>
      </c>
      <c r="O100" s="9" t="n">
        <f aca="false">IF(TRIB!O100="",0,TRIB!O100*IF($D100="A",INPUTS!$I$34,INPUTS!$N$34)/1000)</f>
        <v>0</v>
      </c>
      <c r="P100" s="9" t="n">
        <f aca="false">IF(TRIB!P100="",0,TRIB!P100*IF($D100="A",INPUTS!$I$35,INPUTS!$N$35)/1000)</f>
        <v>0</v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9" t="n">
        <f aca="false">IF(TRIB!E101="",0,TRIB!E101*IF($D101="A",INPUTS!$I$24,INPUTS!$N$24)/1000)</f>
        <v>14.34</v>
      </c>
      <c r="F101" s="9" t="n">
        <f aca="false">IF(TRIB!F101="",0,TRIB!F101*IF($D101="A",INPUTS!$I$25,INPUTS!$N$25)/1000)</f>
        <v>47.8</v>
      </c>
      <c r="G101" s="9" t="n">
        <f aca="false">IF(TRIB!G101="",0,TRIB!G101*IF($D101="A",INPUTS!$I$26,INPUTS!$N$26)/1000)</f>
        <v>26.2</v>
      </c>
      <c r="H101" s="9" t="n">
        <f aca="false">IF(TRIB!H101="",0,TRIB!H101*IF($D101="A",INPUTS!$I$27,INPUTS!$N$27)/1000)</f>
        <v>12.12</v>
      </c>
      <c r="I101" s="9" t="n">
        <f aca="false">IF(TRIB!I101="",0,TRIB!I101*IF($D101="A",INPUTS!$I$28,INPUTS!$N$28)/1000)</f>
        <v>12.12</v>
      </c>
      <c r="J101" s="9" t="n">
        <f aca="false">IF(TRIB!J101="",0,TRIB!J101*IF($D101="A",INPUTS!$I$29,INPUTS!$N$29)/1000)</f>
        <v>32.84</v>
      </c>
      <c r="K101" s="9" t="n">
        <f aca="false">IF(TRIB!K101="",0,TRIB!K101*IF($D101="A",INPUTS!$I$30,INPUTS!$N$30)/1000)</f>
        <v>0</v>
      </c>
      <c r="L101" s="9" t="n">
        <f aca="false">IF(TRIB!L101="",0,TRIB!L101*IF($D101="A",INPUTS!$I$31,INPUTS!$N$31)/1000)</f>
        <v>0</v>
      </c>
      <c r="M101" s="9" t="n">
        <f aca="false">IF(TRIB!M101="",0,TRIB!M101*IF($D101="A",INPUTS!$I$32,INPUTS!$N$32)/1000)</f>
        <v>0</v>
      </c>
      <c r="N101" s="9" t="n">
        <f aca="false">IF(TRIB!N101="",0,TRIB!N101*IF($D101="A",INPUTS!$I$33,INPUTS!$N$33)/1000)</f>
        <v>0</v>
      </c>
      <c r="O101" s="9" t="n">
        <f aca="false">IF(TRIB!O101="",0,TRIB!O101*IF($D101="A",INPUTS!$I$34,INPUTS!$N$34)/1000)</f>
        <v>0</v>
      </c>
      <c r="P101" s="9" t="n">
        <f aca="false">IF(TRIB!P101="",0,TRIB!P101*IF($D101="A",INPUTS!$I$35,INPUTS!$N$35)/1000)</f>
        <v>0</v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9" t="n">
        <f aca="false">IF(TRIB!E102="",0,TRIB!E102*IF($D102="A",INPUTS!$I$24,INPUTS!$N$24)/1000)</f>
        <v>10.23</v>
      </c>
      <c r="F102" s="9" t="n">
        <f aca="false">IF(TRIB!F102="",0,TRIB!F102*IF($D102="A",INPUTS!$I$25,INPUTS!$N$25)/1000)</f>
        <v>34.1</v>
      </c>
      <c r="G102" s="9" t="n">
        <f aca="false">IF(TRIB!G102="",0,TRIB!G102*IF($D102="A",INPUTS!$I$26,INPUTS!$N$26)/1000)</f>
        <v>32.6</v>
      </c>
      <c r="H102" s="9" t="n">
        <f aca="false">IF(TRIB!H102="",0,TRIB!H102*IF($D102="A",INPUTS!$I$27,INPUTS!$N$27)/1000)</f>
        <v>13.04</v>
      </c>
      <c r="I102" s="9" t="n">
        <f aca="false">IF(TRIB!I102="",0,TRIB!I102*IF($D102="A",INPUTS!$I$28,INPUTS!$N$28)/1000)</f>
        <v>19.4</v>
      </c>
      <c r="J102" s="9" t="n">
        <f aca="false">IF(TRIB!J102="",0,TRIB!J102*IF($D102="A",INPUTS!$I$29,INPUTS!$N$29)/1000)</f>
        <v>0</v>
      </c>
      <c r="K102" s="9" t="n">
        <f aca="false">IF(TRIB!K102="",0,TRIB!K102*IF($D102="A",INPUTS!$I$30,INPUTS!$N$30)/1000)</f>
        <v>0</v>
      </c>
      <c r="L102" s="9" t="n">
        <f aca="false">IF(TRIB!L102="",0,TRIB!L102*IF($D102="A",INPUTS!$I$31,INPUTS!$N$31)/1000)</f>
        <v>0</v>
      </c>
      <c r="M102" s="9" t="n">
        <f aca="false">IF(TRIB!M102="",0,TRIB!M102*IF($D102="A",INPUTS!$I$32,INPUTS!$N$32)/1000)</f>
        <v>0</v>
      </c>
      <c r="N102" s="9" t="n">
        <f aca="false">IF(TRIB!N102="",0,TRIB!N102*IF($D102="A",INPUTS!$I$33,INPUTS!$N$33)/1000)</f>
        <v>0</v>
      </c>
      <c r="O102" s="9" t="n">
        <f aca="false">IF(TRIB!O102="",0,TRIB!O102*IF($D102="A",INPUTS!$I$34,INPUTS!$N$34)/1000)</f>
        <v>0</v>
      </c>
      <c r="P102" s="9" t="n">
        <f aca="false">IF(TRIB!P102="",0,TRIB!P102*IF($D102="A",INPUTS!$I$35,INPUTS!$N$35)/1000)</f>
        <v>0</v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9" t="n">
        <f aca="false">IF(TRIB!E103="",0,TRIB!E103*IF($D103="A",INPUTS!$I$24,INPUTS!$N$24)/1000)</f>
        <v>13.98</v>
      </c>
      <c r="F103" s="9" t="n">
        <f aca="false">IF(TRIB!F103="",0,TRIB!F103*IF($D103="A",INPUTS!$I$25,INPUTS!$N$25)/1000)</f>
        <v>46.6</v>
      </c>
      <c r="G103" s="9" t="n">
        <f aca="false">IF(TRIB!G103="",0,TRIB!G103*IF($D103="A",INPUTS!$I$26,INPUTS!$N$26)/1000)</f>
        <v>46.6</v>
      </c>
      <c r="H103" s="9" t="n">
        <f aca="false">IF(TRIB!H103="",0,TRIB!H103*IF($D103="A",INPUTS!$I$27,INPUTS!$N$27)/1000)</f>
        <v>18.64</v>
      </c>
      <c r="I103" s="9" t="n">
        <f aca="false">IF(TRIB!I103="",0,TRIB!I103*IF($D103="A",INPUTS!$I$28,INPUTS!$N$28)/1000)</f>
        <v>28.96</v>
      </c>
      <c r="J103" s="9" t="n">
        <f aca="false">IF(TRIB!J103="",0,TRIB!J103*IF($D103="A",INPUTS!$I$29,INPUTS!$N$29)/1000)</f>
        <v>0</v>
      </c>
      <c r="K103" s="9" t="n">
        <f aca="false">IF(TRIB!K103="",0,TRIB!K103*IF($D103="A",INPUTS!$I$30,INPUTS!$N$30)/1000)</f>
        <v>0</v>
      </c>
      <c r="L103" s="9" t="n">
        <f aca="false">IF(TRIB!L103="",0,TRIB!L103*IF($D103="A",INPUTS!$I$31,INPUTS!$N$31)/1000)</f>
        <v>0</v>
      </c>
      <c r="M103" s="9" t="n">
        <f aca="false">IF(TRIB!M103="",0,TRIB!M103*IF($D103="A",INPUTS!$I$32,INPUTS!$N$32)/1000)</f>
        <v>0</v>
      </c>
      <c r="N103" s="9" t="n">
        <f aca="false">IF(TRIB!N103="",0,TRIB!N103*IF($D103="A",INPUTS!$I$33,INPUTS!$N$33)/1000)</f>
        <v>0</v>
      </c>
      <c r="O103" s="9" t="n">
        <f aca="false">IF(TRIB!O103="",0,TRIB!O103*IF($D103="A",INPUTS!$I$34,INPUTS!$N$34)/1000)</f>
        <v>0</v>
      </c>
      <c r="P103" s="9" t="n">
        <f aca="false">IF(TRIB!P103="",0,TRIB!P103*IF($D103="A",INPUTS!$I$35,INPUTS!$N$35)/1000)</f>
        <v>0</v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9" t="n">
        <f aca="false">IF(TRIB!E104="",0,TRIB!E104*IF($D104="A",INPUTS!$I$24,INPUTS!$N$24)/1000)</f>
        <v>12.03</v>
      </c>
      <c r="F104" s="9" t="n">
        <f aca="false">IF(TRIB!F104="",0,TRIB!F104*IF($D104="A",INPUTS!$I$25,INPUTS!$N$25)/1000)</f>
        <v>40.1</v>
      </c>
      <c r="G104" s="9" t="n">
        <f aca="false">IF(TRIB!G104="",0,TRIB!G104*IF($D104="A",INPUTS!$I$26,INPUTS!$N$26)/1000)</f>
        <v>38.8</v>
      </c>
      <c r="H104" s="9" t="n">
        <f aca="false">IF(TRIB!H104="",0,TRIB!H104*IF($D104="A",INPUTS!$I$27,INPUTS!$N$27)/1000)</f>
        <v>15.36</v>
      </c>
      <c r="I104" s="9" t="n">
        <f aca="false">IF(TRIB!I104="",0,TRIB!I104*IF($D104="A",INPUTS!$I$28,INPUTS!$N$28)/1000)</f>
        <v>19.56</v>
      </c>
      <c r="J104" s="9" t="n">
        <f aca="false">IF(TRIB!J104="",0,TRIB!J104*IF($D104="A",INPUTS!$I$29,INPUTS!$N$29)/1000)</f>
        <v>0</v>
      </c>
      <c r="K104" s="9" t="n">
        <f aca="false">IF(TRIB!K104="",0,TRIB!K104*IF($D104="A",INPUTS!$I$30,INPUTS!$N$30)/1000)</f>
        <v>0</v>
      </c>
      <c r="L104" s="9" t="n">
        <f aca="false">IF(TRIB!L104="",0,TRIB!L104*IF($D104="A",INPUTS!$I$31,INPUTS!$N$31)/1000)</f>
        <v>0</v>
      </c>
      <c r="M104" s="9" t="n">
        <f aca="false">IF(TRIB!M104="",0,TRIB!M104*IF($D104="A",INPUTS!$I$32,INPUTS!$N$32)/1000)</f>
        <v>0</v>
      </c>
      <c r="N104" s="9" t="n">
        <f aca="false">IF(TRIB!N104="",0,TRIB!N104*IF($D104="A",INPUTS!$I$33,INPUTS!$N$33)/1000)</f>
        <v>0</v>
      </c>
      <c r="O104" s="9" t="n">
        <f aca="false">IF(TRIB!O104="",0,TRIB!O104*IF($D104="A",INPUTS!$I$34,INPUTS!$N$34)/1000)</f>
        <v>0</v>
      </c>
      <c r="P104" s="9" t="n">
        <f aca="false">IF(TRIB!P104="",0,TRIB!P104*IF($D104="A",INPUTS!$I$35,INPUTS!$N$35)/1000)</f>
        <v>0</v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9" t="n">
        <f aca="false">IF(TRIB!E105="",0,TRIB!E105*IF($D105="A",INPUTS!$I$24,INPUTS!$N$24)/1000)</f>
        <v>14.61</v>
      </c>
      <c r="F105" s="9" t="n">
        <f aca="false">IF(TRIB!F105="",0,TRIB!F105*IF($D105="A",INPUTS!$I$25,INPUTS!$N$25)/1000)</f>
        <v>48.7</v>
      </c>
      <c r="G105" s="9" t="n">
        <f aca="false">IF(TRIB!G105="",0,TRIB!G105*IF($D105="A",INPUTS!$I$26,INPUTS!$N$26)/1000)</f>
        <v>48.7</v>
      </c>
      <c r="H105" s="9" t="n">
        <f aca="false">IF(TRIB!H105="",0,TRIB!H105*IF($D105="A",INPUTS!$I$27,INPUTS!$N$27)/1000)</f>
        <v>19.48</v>
      </c>
      <c r="I105" s="9" t="n">
        <f aca="false">IF(TRIB!I105="",0,TRIB!I105*IF($D105="A",INPUTS!$I$28,INPUTS!$N$28)/1000)</f>
        <v>29.64</v>
      </c>
      <c r="J105" s="9" t="n">
        <f aca="false">IF(TRIB!J105="",0,TRIB!J105*IF($D105="A",INPUTS!$I$29,INPUTS!$N$29)/1000)</f>
        <v>0</v>
      </c>
      <c r="K105" s="9" t="n">
        <f aca="false">IF(TRIB!K105="",0,TRIB!K105*IF($D105="A",INPUTS!$I$30,INPUTS!$N$30)/1000)</f>
        <v>0</v>
      </c>
      <c r="L105" s="9" t="n">
        <f aca="false">IF(TRIB!L105="",0,TRIB!L105*IF($D105="A",INPUTS!$I$31,INPUTS!$N$31)/1000)</f>
        <v>0</v>
      </c>
      <c r="M105" s="9" t="n">
        <f aca="false">IF(TRIB!M105="",0,TRIB!M105*IF($D105="A",INPUTS!$I$32,INPUTS!$N$32)/1000)</f>
        <v>0</v>
      </c>
      <c r="N105" s="9" t="n">
        <f aca="false">IF(TRIB!N105="",0,TRIB!N105*IF($D105="A",INPUTS!$I$33,INPUTS!$N$33)/1000)</f>
        <v>0</v>
      </c>
      <c r="O105" s="9" t="n">
        <f aca="false">IF(TRIB!O105="",0,TRIB!O105*IF($D105="A",INPUTS!$I$34,INPUTS!$N$34)/1000)</f>
        <v>0</v>
      </c>
      <c r="P105" s="9" t="n">
        <f aca="false">IF(TRIB!P105="",0,TRIB!P105*IF($D105="A",INPUTS!$I$35,INPUTS!$N$35)/1000)</f>
        <v>0</v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9" t="n">
        <f aca="false">IF(TRIB!E106="",0,TRIB!E106*IF($D106="A",INPUTS!$I$24,INPUTS!$N$24)/1000)</f>
        <v>12.99</v>
      </c>
      <c r="F106" s="9" t="n">
        <f aca="false">IF(TRIB!F106="",0,TRIB!F106*IF($D106="A",INPUTS!$I$25,INPUTS!$N$25)/1000)</f>
        <v>43.3</v>
      </c>
      <c r="G106" s="9" t="n">
        <f aca="false">IF(TRIB!G106="",0,TRIB!G106*IF($D106="A",INPUTS!$I$26,INPUTS!$N$26)/1000)</f>
        <v>43.3</v>
      </c>
      <c r="H106" s="9" t="n">
        <f aca="false">IF(TRIB!H106="",0,TRIB!H106*IF($D106="A",INPUTS!$I$27,INPUTS!$N$27)/1000)</f>
        <v>17.32</v>
      </c>
      <c r="I106" s="9" t="n">
        <f aca="false">IF(TRIB!I106="",0,TRIB!I106*IF($D106="A",INPUTS!$I$28,INPUTS!$N$28)/1000)</f>
        <v>28.68</v>
      </c>
      <c r="J106" s="9" t="n">
        <f aca="false">IF(TRIB!J106="",0,TRIB!J106*IF($D106="A",INPUTS!$I$29,INPUTS!$N$29)/1000)</f>
        <v>0</v>
      </c>
      <c r="K106" s="9" t="n">
        <f aca="false">IF(TRIB!K106="",0,TRIB!K106*IF($D106="A",INPUTS!$I$30,INPUTS!$N$30)/1000)</f>
        <v>0</v>
      </c>
      <c r="L106" s="9" t="n">
        <f aca="false">IF(TRIB!L106="",0,TRIB!L106*IF($D106="A",INPUTS!$I$31,INPUTS!$N$31)/1000)</f>
        <v>0</v>
      </c>
      <c r="M106" s="9" t="n">
        <f aca="false">IF(TRIB!M106="",0,TRIB!M106*IF($D106="A",INPUTS!$I$32,INPUTS!$N$32)/1000)</f>
        <v>0</v>
      </c>
      <c r="N106" s="9" t="n">
        <f aca="false">IF(TRIB!N106="",0,TRIB!N106*IF($D106="A",INPUTS!$I$33,INPUTS!$N$33)/1000)</f>
        <v>0</v>
      </c>
      <c r="O106" s="9" t="n">
        <f aca="false">IF(TRIB!O106="",0,TRIB!O106*IF($D106="A",INPUTS!$I$34,INPUTS!$N$34)/1000)</f>
        <v>0</v>
      </c>
      <c r="P106" s="9" t="n">
        <f aca="false">IF(TRIB!P106="",0,TRIB!P106*IF($D106="A",INPUTS!$I$35,INPUTS!$N$35)/1000)</f>
        <v>0</v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9" t="n">
        <f aca="false">IF(TRIB!E107="",0,TRIB!E107*IF($D107="A",INPUTS!$I$24,INPUTS!$N$24)/1000)</f>
        <v>12.42</v>
      </c>
      <c r="F107" s="9" t="n">
        <f aca="false">IF(TRIB!F107="",0,TRIB!F107*IF($D107="A",INPUTS!$I$25,INPUTS!$N$25)/1000)</f>
        <v>41.4</v>
      </c>
      <c r="G107" s="9" t="n">
        <f aca="false">IF(TRIB!G107="",0,TRIB!G107*IF($D107="A",INPUTS!$I$26,INPUTS!$N$26)/1000)</f>
        <v>24.9</v>
      </c>
      <c r="H107" s="9" t="n">
        <f aca="false">IF(TRIB!H107="",0,TRIB!H107*IF($D107="A",INPUTS!$I$27,INPUTS!$N$27)/1000)</f>
        <v>12.12</v>
      </c>
      <c r="I107" s="9" t="n">
        <f aca="false">IF(TRIB!I107="",0,TRIB!I107*IF($D107="A",INPUTS!$I$28,INPUTS!$N$28)/1000)</f>
        <v>12.12</v>
      </c>
      <c r="J107" s="9" t="n">
        <f aca="false">IF(TRIB!J107="",0,TRIB!J107*IF($D107="A",INPUTS!$I$29,INPUTS!$N$29)/1000)</f>
        <v>0</v>
      </c>
      <c r="K107" s="9" t="n">
        <f aca="false">IF(TRIB!K107="",0,TRIB!K107*IF($D107="A",INPUTS!$I$30,INPUTS!$N$30)/1000)</f>
        <v>0</v>
      </c>
      <c r="L107" s="9" t="n">
        <f aca="false">IF(TRIB!L107="",0,TRIB!L107*IF($D107="A",INPUTS!$I$31,INPUTS!$N$31)/1000)</f>
        <v>0</v>
      </c>
      <c r="M107" s="9" t="n">
        <f aca="false">IF(TRIB!M107="",0,TRIB!M107*IF($D107="A",INPUTS!$I$32,INPUTS!$N$32)/1000)</f>
        <v>0</v>
      </c>
      <c r="N107" s="9" t="n">
        <f aca="false">IF(TRIB!N107="",0,TRIB!N107*IF($D107="A",INPUTS!$I$33,INPUTS!$N$33)/1000)</f>
        <v>0</v>
      </c>
      <c r="O107" s="9" t="n">
        <f aca="false">IF(TRIB!O107="",0,TRIB!O107*IF($D107="A",INPUTS!$I$34,INPUTS!$N$34)/1000)</f>
        <v>0</v>
      </c>
      <c r="P107" s="9" t="n">
        <f aca="false">IF(TRIB!P107="",0,TRIB!P107*IF($D107="A",INPUTS!$I$35,INPUTS!$N$35)/1000)</f>
        <v>0</v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9" t="n">
        <f aca="false">IF(TRIB!E108="",0,TRIB!E108*IF($D108="A",INPUTS!$I$24,INPUTS!$N$24)/1000)</f>
        <v>4.95</v>
      </c>
      <c r="F108" s="9" t="n">
        <f aca="false">IF(TRIB!F108="",0,TRIB!F108*IF($D108="A",INPUTS!$I$25,INPUTS!$N$25)/1000)</f>
        <v>16.5</v>
      </c>
      <c r="G108" s="9" t="n">
        <f aca="false">IF(TRIB!G108="",0,TRIB!G108*IF($D108="A",INPUTS!$I$26,INPUTS!$N$26)/1000)</f>
        <v>10.9</v>
      </c>
      <c r="H108" s="9" t="n">
        <f aca="false">IF(TRIB!H108="",0,TRIB!H108*IF($D108="A",INPUTS!$I$27,INPUTS!$N$27)/1000)</f>
        <v>1.56</v>
      </c>
      <c r="I108" s="9" t="n">
        <f aca="false">IF(TRIB!I108="",0,TRIB!I108*IF($D108="A",INPUTS!$I$28,INPUTS!$N$28)/1000)</f>
        <v>1.56</v>
      </c>
      <c r="J108" s="9" t="n">
        <f aca="false">IF(TRIB!J108="",0,TRIB!J108*IF($D108="A",INPUTS!$I$29,INPUTS!$N$29)/1000)</f>
        <v>0</v>
      </c>
      <c r="K108" s="9" t="n">
        <f aca="false">IF(TRIB!K108="",0,TRIB!K108*IF($D108="A",INPUTS!$I$30,INPUTS!$N$30)/1000)</f>
        <v>0</v>
      </c>
      <c r="L108" s="9" t="n">
        <f aca="false">IF(TRIB!L108="",0,TRIB!L108*IF($D108="A",INPUTS!$I$31,INPUTS!$N$31)/1000)</f>
        <v>0</v>
      </c>
      <c r="M108" s="9" t="n">
        <f aca="false">IF(TRIB!M108="",0,TRIB!M108*IF($D108="A",INPUTS!$I$32,INPUTS!$N$32)/1000)</f>
        <v>0</v>
      </c>
      <c r="N108" s="9" t="n">
        <f aca="false">IF(TRIB!N108="",0,TRIB!N108*IF($D108="A",INPUTS!$I$33,INPUTS!$N$33)/1000)</f>
        <v>0</v>
      </c>
      <c r="O108" s="9" t="n">
        <f aca="false">IF(TRIB!O108="",0,TRIB!O108*IF($D108="A",INPUTS!$I$34,INPUTS!$N$34)/1000)</f>
        <v>0</v>
      </c>
      <c r="P108" s="9" t="n">
        <f aca="false">IF(TRIB!P108="",0,TRIB!P108*IF($D108="A",INPUTS!$I$35,INPUTS!$N$35)/1000)</f>
        <v>0</v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9" t="n">
        <f aca="false">IF(TRIB!E109="",0,TRIB!E109*IF($D109="A",INPUTS!$I$24,INPUTS!$N$24)/1000)</f>
        <v>9.6</v>
      </c>
      <c r="F109" s="9" t="n">
        <f aca="false">IF(TRIB!F109="",0,TRIB!F109*IF($D109="A",INPUTS!$I$25,INPUTS!$N$25)/1000)</f>
        <v>32</v>
      </c>
      <c r="G109" s="9" t="n">
        <f aca="false">IF(TRIB!G109="",0,TRIB!G109*IF($D109="A",INPUTS!$I$26,INPUTS!$N$26)/1000)</f>
        <v>7.7</v>
      </c>
      <c r="H109" s="9" t="n">
        <f aca="false">IF(TRIB!H109="",0,TRIB!H109*IF($D109="A",INPUTS!$I$27,INPUTS!$N$27)/1000)</f>
        <v>0.28</v>
      </c>
      <c r="I109" s="9" t="n">
        <f aca="false">IF(TRIB!I109="",0,TRIB!I109*IF($D109="A",INPUTS!$I$28,INPUTS!$N$28)/1000)</f>
        <v>2.88</v>
      </c>
      <c r="J109" s="9" t="n">
        <f aca="false">IF(TRIB!J109="",0,TRIB!J109*IF($D109="A",INPUTS!$I$29,INPUTS!$N$29)/1000)</f>
        <v>0</v>
      </c>
      <c r="K109" s="9" t="n">
        <f aca="false">IF(TRIB!K109="",0,TRIB!K109*IF($D109="A",INPUTS!$I$30,INPUTS!$N$30)/1000)</f>
        <v>0</v>
      </c>
      <c r="L109" s="9" t="n">
        <f aca="false">IF(TRIB!L109="",0,TRIB!L109*IF($D109="A",INPUTS!$I$31,INPUTS!$N$31)/1000)</f>
        <v>0</v>
      </c>
      <c r="M109" s="9" t="n">
        <f aca="false">IF(TRIB!M109="",0,TRIB!M109*IF($D109="A",INPUTS!$I$32,INPUTS!$N$32)/1000)</f>
        <v>0</v>
      </c>
      <c r="N109" s="9" t="n">
        <f aca="false">IF(TRIB!N109="",0,TRIB!N109*IF($D109="A",INPUTS!$I$33,INPUTS!$N$33)/1000)</f>
        <v>0</v>
      </c>
      <c r="O109" s="9" t="n">
        <f aca="false">IF(TRIB!O109="",0,TRIB!O109*IF($D109="A",INPUTS!$I$34,INPUTS!$N$34)/1000)</f>
        <v>0</v>
      </c>
      <c r="P109" s="9" t="n">
        <f aca="false">IF(TRIB!P109="",0,TRIB!P109*IF($D109="A",INPUTS!$I$35,INPUTS!$N$35)/1000)</f>
        <v>0</v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9" t="n">
        <f aca="false">IF(TRIB!E110="",0,TRIB!E110*IF($D110="A",INPUTS!$I$24,INPUTS!$N$24)/1000)</f>
        <v>4.86</v>
      </c>
      <c r="F110" s="9" t="n">
        <f aca="false">IF(TRIB!F110="",0,TRIB!F110*IF($D110="A",INPUTS!$I$25,INPUTS!$N$25)/1000)</f>
        <v>16.2</v>
      </c>
      <c r="G110" s="9" t="n">
        <f aca="false">IF(TRIB!G110="",0,TRIB!G110*IF($D110="A",INPUTS!$I$26,INPUTS!$N$26)/1000)</f>
        <v>13.4</v>
      </c>
      <c r="H110" s="9" t="n">
        <f aca="false">IF(TRIB!H110="",0,TRIB!H110*IF($D110="A",INPUTS!$I$27,INPUTS!$N$27)/1000)</f>
        <v>0</v>
      </c>
      <c r="I110" s="9" t="n">
        <f aca="false">IF(TRIB!I110="",0,TRIB!I110*IF($D110="A",INPUTS!$I$28,INPUTS!$N$28)/1000)</f>
        <v>0</v>
      </c>
      <c r="J110" s="9" t="n">
        <f aca="false">IF(TRIB!J110="",0,TRIB!J110*IF($D110="A",INPUTS!$I$29,INPUTS!$N$29)/1000)</f>
        <v>0</v>
      </c>
      <c r="K110" s="9" t="n">
        <f aca="false">IF(TRIB!K110="",0,TRIB!K110*IF($D110="A",INPUTS!$I$30,INPUTS!$N$30)/1000)</f>
        <v>0</v>
      </c>
      <c r="L110" s="9" t="n">
        <f aca="false">IF(TRIB!L110="",0,TRIB!L110*IF($D110="A",INPUTS!$I$31,INPUTS!$N$31)/1000)</f>
        <v>0</v>
      </c>
      <c r="M110" s="9" t="n">
        <f aca="false">IF(TRIB!M110="",0,TRIB!M110*IF($D110="A",INPUTS!$I$32,INPUTS!$N$32)/1000)</f>
        <v>0</v>
      </c>
      <c r="N110" s="9" t="n">
        <f aca="false">IF(TRIB!N110="",0,TRIB!N110*IF($D110="A",INPUTS!$I$33,INPUTS!$N$33)/1000)</f>
        <v>0</v>
      </c>
      <c r="O110" s="9" t="n">
        <f aca="false">IF(TRIB!O110="",0,TRIB!O110*IF($D110="A",INPUTS!$I$34,INPUTS!$N$34)/1000)</f>
        <v>0</v>
      </c>
      <c r="P110" s="9" t="n">
        <f aca="false">IF(TRIB!P110="",0,TRIB!P110*IF($D110="A",INPUTS!$I$35,INPUTS!$N$35)/1000)</f>
        <v>0</v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9" t="n">
        <f aca="false">IF(TRIB!E111="",0,TRIB!E111*IF($D111="A",INPUTS!$I$24,INPUTS!$N$24)/1000)</f>
        <v>4.41</v>
      </c>
      <c r="F111" s="9" t="n">
        <f aca="false">IF(TRIB!F111="",0,TRIB!F111*IF($D111="A",INPUTS!$I$25,INPUTS!$N$25)/1000)</f>
        <v>14.7</v>
      </c>
      <c r="G111" s="9" t="n">
        <f aca="false">IF(TRIB!G111="",0,TRIB!G111*IF($D111="A",INPUTS!$I$26,INPUTS!$N$26)/1000)</f>
        <v>4.4</v>
      </c>
      <c r="H111" s="9" t="n">
        <f aca="false">IF(TRIB!H111="",0,TRIB!H111*IF($D111="A",INPUTS!$I$27,INPUTS!$N$27)/1000)</f>
        <v>0</v>
      </c>
      <c r="I111" s="9" t="n">
        <f aca="false">IF(TRIB!I111="",0,TRIB!I111*IF($D111="A",INPUTS!$I$28,INPUTS!$N$28)/1000)</f>
        <v>0</v>
      </c>
      <c r="J111" s="9" t="n">
        <f aca="false">IF(TRIB!J111="",0,TRIB!J111*IF($D111="A",INPUTS!$I$29,INPUTS!$N$29)/1000)</f>
        <v>0</v>
      </c>
      <c r="K111" s="9" t="n">
        <f aca="false">IF(TRIB!K111="",0,TRIB!K111*IF($D111="A",INPUTS!$I$30,INPUTS!$N$30)/1000)</f>
        <v>0</v>
      </c>
      <c r="L111" s="9" t="n">
        <f aca="false">IF(TRIB!L111="",0,TRIB!L111*IF($D111="A",INPUTS!$I$31,INPUTS!$N$31)/1000)</f>
        <v>0</v>
      </c>
      <c r="M111" s="9" t="n">
        <f aca="false">IF(TRIB!M111="",0,TRIB!M111*IF($D111="A",INPUTS!$I$32,INPUTS!$N$32)/1000)</f>
        <v>0</v>
      </c>
      <c r="N111" s="9" t="n">
        <f aca="false">IF(TRIB!N111="",0,TRIB!N111*IF($D111="A",INPUTS!$I$33,INPUTS!$N$33)/1000)</f>
        <v>0</v>
      </c>
      <c r="O111" s="9" t="n">
        <f aca="false">IF(TRIB!O111="",0,TRIB!O111*IF($D111="A",INPUTS!$I$34,INPUTS!$N$34)/1000)</f>
        <v>0</v>
      </c>
      <c r="P111" s="9" t="n">
        <f aca="false">IF(TRIB!P111="",0,TRIB!P111*IF($D111="A",INPUTS!$I$35,INPUTS!$N$35)/1000)</f>
        <v>0</v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9" t="n">
        <f aca="false">IF(TRIB!E112="",0,TRIB!E112*IF($D112="A",INPUTS!$I$24,INPUTS!$N$24)/1000)</f>
        <v>0</v>
      </c>
      <c r="F112" s="9" t="n">
        <f aca="false">IF(TRIB!F112="",0,TRIB!F112*IF($D112="A",INPUTS!$I$25,INPUTS!$N$25)/1000)</f>
        <v>26</v>
      </c>
      <c r="G112" s="9" t="n">
        <f aca="false">IF(TRIB!G112="",0,TRIB!G112*IF($D112="A",INPUTS!$I$26,INPUTS!$N$26)/1000)</f>
        <v>0</v>
      </c>
      <c r="H112" s="9" t="n">
        <f aca="false">IF(TRIB!H112="",0,TRIB!H112*IF($D112="A",INPUTS!$I$27,INPUTS!$N$27)/1000)</f>
        <v>0</v>
      </c>
      <c r="I112" s="9" t="n">
        <f aca="false">IF(TRIB!I112="",0,TRIB!I112*IF($D112="A",INPUTS!$I$28,INPUTS!$N$28)/1000)</f>
        <v>0</v>
      </c>
      <c r="J112" s="9" t="n">
        <f aca="false">IF(TRIB!J112="",0,TRIB!J112*IF($D112="A",INPUTS!$I$29,INPUTS!$N$29)/1000)</f>
        <v>0</v>
      </c>
      <c r="K112" s="9" t="n">
        <f aca="false">IF(TRIB!K112="",0,TRIB!K112*IF($D112="A",INPUTS!$I$30,INPUTS!$N$30)/1000)</f>
        <v>0</v>
      </c>
      <c r="L112" s="9" t="n">
        <f aca="false">IF(TRIB!L112="",0,TRIB!L112*IF($D112="A",INPUTS!$I$31,INPUTS!$N$31)/1000)</f>
        <v>0</v>
      </c>
      <c r="M112" s="9" t="n">
        <f aca="false">IF(TRIB!M112="",0,TRIB!M112*IF($D112="A",INPUTS!$I$32,INPUTS!$N$32)/1000)</f>
        <v>0</v>
      </c>
      <c r="N112" s="9" t="n">
        <f aca="false">IF(TRIB!N112="",0,TRIB!N112*IF($D112="A",INPUTS!$I$33,INPUTS!$N$33)/1000)</f>
        <v>0</v>
      </c>
      <c r="O112" s="9" t="n">
        <f aca="false">IF(TRIB!O112="",0,TRIB!O112*IF($D112="A",INPUTS!$I$34,INPUTS!$N$34)/1000)</f>
        <v>0</v>
      </c>
      <c r="P112" s="9" t="n">
        <f aca="false">IF(TRIB!P112="",0,TRIB!P112*IF($D112="A",INPUTS!$I$35,INPUTS!$N$35)/1000)</f>
        <v>0</v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9" t="n">
        <f aca="false">IF(TRIB!E113="",0,TRIB!E113*IF($D113="A",INPUTS!$I$24,INPUTS!$N$24)/1000)</f>
        <v>0</v>
      </c>
      <c r="F113" s="9" t="n">
        <f aca="false">IF(TRIB!F113="",0,TRIB!F113*IF($D113="A",INPUTS!$I$25,INPUTS!$N$25)/1000)</f>
        <v>41</v>
      </c>
      <c r="G113" s="9" t="n">
        <f aca="false">IF(TRIB!G113="",0,TRIB!G113*IF($D113="A",INPUTS!$I$26,INPUTS!$N$26)/1000)</f>
        <v>0</v>
      </c>
      <c r="H113" s="9" t="n">
        <f aca="false">IF(TRIB!H113="",0,TRIB!H113*IF($D113="A",INPUTS!$I$27,INPUTS!$N$27)/1000)</f>
        <v>0</v>
      </c>
      <c r="I113" s="9" t="n">
        <f aca="false">IF(TRIB!I113="",0,TRIB!I113*IF($D113="A",INPUTS!$I$28,INPUTS!$N$28)/1000)</f>
        <v>0</v>
      </c>
      <c r="J113" s="9" t="n">
        <f aca="false">IF(TRIB!J113="",0,TRIB!J113*IF($D113="A",INPUTS!$I$29,INPUTS!$N$29)/1000)</f>
        <v>0</v>
      </c>
      <c r="K113" s="9" t="n">
        <f aca="false">IF(TRIB!K113="",0,TRIB!K113*IF($D113="A",INPUTS!$I$30,INPUTS!$N$30)/1000)</f>
        <v>0</v>
      </c>
      <c r="L113" s="9" t="n">
        <f aca="false">IF(TRIB!L113="",0,TRIB!L113*IF($D113="A",INPUTS!$I$31,INPUTS!$N$31)/1000)</f>
        <v>0</v>
      </c>
      <c r="M113" s="9" t="n">
        <f aca="false">IF(TRIB!M113="",0,TRIB!M113*IF($D113="A",INPUTS!$I$32,INPUTS!$N$32)/1000)</f>
        <v>0</v>
      </c>
      <c r="N113" s="9" t="n">
        <f aca="false">IF(TRIB!N113="",0,TRIB!N113*IF($D113="A",INPUTS!$I$33,INPUTS!$N$33)/1000)</f>
        <v>0</v>
      </c>
      <c r="O113" s="9" t="n">
        <f aca="false">IF(TRIB!O113="",0,TRIB!O113*IF($D113="A",INPUTS!$I$34,INPUTS!$N$34)/1000)</f>
        <v>0</v>
      </c>
      <c r="P113" s="9" t="n">
        <f aca="false">IF(TRIB!P113="",0,TRIB!P113*IF($D113="A",INPUTS!$I$35,INPUTS!$N$35)/1000)</f>
        <v>0</v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9" t="n">
        <f aca="false">IF(TRIB!E114="",0,TRIB!E114*IF($D114="A",INPUTS!$I$24,INPUTS!$N$24)/1000)</f>
        <v>16.26</v>
      </c>
      <c r="F114" s="9" t="n">
        <f aca="false">IF(TRIB!F114="",0,TRIB!F114*IF($D114="A",INPUTS!$I$25,INPUTS!$N$25)/1000)</f>
        <v>54.2</v>
      </c>
      <c r="G114" s="9" t="n">
        <f aca="false">IF(TRIB!G114="",0,TRIB!G114*IF($D114="A",INPUTS!$I$26,INPUTS!$N$26)/1000)</f>
        <v>0</v>
      </c>
      <c r="H114" s="9" t="n">
        <f aca="false">IF(TRIB!H114="",0,TRIB!H114*IF($D114="A",INPUTS!$I$27,INPUTS!$N$27)/1000)</f>
        <v>0</v>
      </c>
      <c r="I114" s="9" t="n">
        <f aca="false">IF(TRIB!I114="",0,TRIB!I114*IF($D114="A",INPUTS!$I$28,INPUTS!$N$28)/1000)</f>
        <v>0</v>
      </c>
      <c r="J114" s="9" t="n">
        <f aca="false">IF(TRIB!J114="",0,TRIB!J114*IF($D114="A",INPUTS!$I$29,INPUTS!$N$29)/1000)</f>
        <v>0</v>
      </c>
      <c r="K114" s="9" t="n">
        <f aca="false">IF(TRIB!K114="",0,TRIB!K114*IF($D114="A",INPUTS!$I$30,INPUTS!$N$30)/1000)</f>
        <v>0</v>
      </c>
      <c r="L114" s="9" t="n">
        <f aca="false">IF(TRIB!L114="",0,TRIB!L114*IF($D114="A",INPUTS!$I$31,INPUTS!$N$31)/1000)</f>
        <v>0</v>
      </c>
      <c r="M114" s="9" t="n">
        <f aca="false">IF(TRIB!M114="",0,TRIB!M114*IF($D114="A",INPUTS!$I$32,INPUTS!$N$32)/1000)</f>
        <v>0</v>
      </c>
      <c r="N114" s="9" t="n">
        <f aca="false">IF(TRIB!N114="",0,TRIB!N114*IF($D114="A",INPUTS!$I$33,INPUTS!$N$33)/1000)</f>
        <v>0</v>
      </c>
      <c r="O114" s="9" t="n">
        <f aca="false">IF(TRIB!O114="",0,TRIB!O114*IF($D114="A",INPUTS!$I$34,INPUTS!$N$34)/1000)</f>
        <v>0</v>
      </c>
      <c r="P114" s="9" t="n">
        <f aca="false">IF(TRIB!P114="",0,TRIB!P114*IF($D114="A",INPUTS!$I$35,INPUTS!$N$35)/1000)</f>
        <v>0</v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9" t="n">
        <f aca="false">IF(TRIB!E115="",0,TRIB!E115*IF($D115="A",INPUTS!$I$24,INPUTS!$N$24)/1000)</f>
        <v>16.08</v>
      </c>
      <c r="F115" s="9" t="n">
        <f aca="false">IF(TRIB!F115="",0,TRIB!F115*IF($D115="A",INPUTS!$I$25,INPUTS!$N$25)/1000)</f>
        <v>53.6</v>
      </c>
      <c r="G115" s="9" t="n">
        <f aca="false">IF(TRIB!G115="",0,TRIB!G115*IF($D115="A",INPUTS!$I$26,INPUTS!$N$26)/1000)</f>
        <v>0</v>
      </c>
      <c r="H115" s="9" t="n">
        <f aca="false">IF(TRIB!H115="",0,TRIB!H115*IF($D115="A",INPUTS!$I$27,INPUTS!$N$27)/1000)</f>
        <v>0</v>
      </c>
      <c r="I115" s="9" t="n">
        <f aca="false">IF(TRIB!I115="",0,TRIB!I115*IF($D115="A",INPUTS!$I$28,INPUTS!$N$28)/1000)</f>
        <v>0</v>
      </c>
      <c r="J115" s="9" t="n">
        <f aca="false">IF(TRIB!J115="",0,TRIB!J115*IF($D115="A",INPUTS!$I$29,INPUTS!$N$29)/1000)</f>
        <v>0</v>
      </c>
      <c r="K115" s="9" t="n">
        <f aca="false">IF(TRIB!K115="",0,TRIB!K115*IF($D115="A",INPUTS!$I$30,INPUTS!$N$30)/1000)</f>
        <v>0</v>
      </c>
      <c r="L115" s="9" t="n">
        <f aca="false">IF(TRIB!L115="",0,TRIB!L115*IF($D115="A",INPUTS!$I$31,INPUTS!$N$31)/1000)</f>
        <v>0</v>
      </c>
      <c r="M115" s="9" t="n">
        <f aca="false">IF(TRIB!M115="",0,TRIB!M115*IF($D115="A",INPUTS!$I$32,INPUTS!$N$32)/1000)</f>
        <v>0</v>
      </c>
      <c r="N115" s="9" t="n">
        <f aca="false">IF(TRIB!N115="",0,TRIB!N115*IF($D115="A",INPUTS!$I$33,INPUTS!$N$33)/1000)</f>
        <v>0</v>
      </c>
      <c r="O115" s="9" t="n">
        <f aca="false">IF(TRIB!O115="",0,TRIB!O115*IF($D115="A",INPUTS!$I$34,INPUTS!$N$34)/1000)</f>
        <v>0</v>
      </c>
      <c r="P115" s="9" t="n">
        <f aca="false">IF(TRIB!P115="",0,TRIB!P115*IF($D115="A",INPUTS!$I$35,INPUTS!$N$35)/1000)</f>
        <v>0</v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9" t="n">
        <f aca="false">IF(TRIB!E116="",0,TRIB!E116*IF($D116="A",INPUTS!$I$24,INPUTS!$N$24)/1000)</f>
        <v>17.43</v>
      </c>
      <c r="F116" s="9" t="n">
        <f aca="false">IF(TRIB!F116="",0,TRIB!F116*IF($D116="A",INPUTS!$I$25,INPUTS!$N$25)/1000)</f>
        <v>58.1</v>
      </c>
      <c r="G116" s="9" t="n">
        <f aca="false">IF(TRIB!G116="",0,TRIB!G116*IF($D116="A",INPUTS!$I$26,INPUTS!$N$26)/1000)</f>
        <v>0</v>
      </c>
      <c r="H116" s="9" t="n">
        <f aca="false">IF(TRIB!H116="",0,TRIB!H116*IF($D116="A",INPUTS!$I$27,INPUTS!$N$27)/1000)</f>
        <v>0</v>
      </c>
      <c r="I116" s="9" t="n">
        <f aca="false">IF(TRIB!I116="",0,TRIB!I116*IF($D116="A",INPUTS!$I$28,INPUTS!$N$28)/1000)</f>
        <v>0</v>
      </c>
      <c r="J116" s="9" t="n">
        <f aca="false">IF(TRIB!J116="",0,TRIB!J116*IF($D116="A",INPUTS!$I$29,INPUTS!$N$29)/1000)</f>
        <v>0</v>
      </c>
      <c r="K116" s="9" t="n">
        <f aca="false">IF(TRIB!K116="",0,TRIB!K116*IF($D116="A",INPUTS!$I$30,INPUTS!$N$30)/1000)</f>
        <v>0</v>
      </c>
      <c r="L116" s="9" t="n">
        <f aca="false">IF(TRIB!L116="",0,TRIB!L116*IF($D116="A",INPUTS!$I$31,INPUTS!$N$31)/1000)</f>
        <v>0</v>
      </c>
      <c r="M116" s="9" t="n">
        <f aca="false">IF(TRIB!M116="",0,TRIB!M116*IF($D116="A",INPUTS!$I$32,INPUTS!$N$32)/1000)</f>
        <v>0</v>
      </c>
      <c r="N116" s="9" t="n">
        <f aca="false">IF(TRIB!N116="",0,TRIB!N116*IF($D116="A",INPUTS!$I$33,INPUTS!$N$33)/1000)</f>
        <v>0</v>
      </c>
      <c r="O116" s="9" t="n">
        <f aca="false">IF(TRIB!O116="",0,TRIB!O116*IF($D116="A",INPUTS!$I$34,INPUTS!$N$34)/1000)</f>
        <v>0</v>
      </c>
      <c r="P116" s="9" t="n">
        <f aca="false">IF(TRIB!P116="",0,TRIB!P116*IF($D116="A",INPUTS!$I$35,INPUTS!$N$35)/1000)</f>
        <v>0</v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9" t="n">
        <f aca="false">IF(TRIB!E117="",0,TRIB!E117*IF($D117="A",INPUTS!$I$24,INPUTS!$N$24)/1000)</f>
        <v>16.68</v>
      </c>
      <c r="F117" s="9" t="n">
        <f aca="false">IF(TRIB!F117="",0,TRIB!F117*IF($D117="A",INPUTS!$I$25,INPUTS!$N$25)/1000)</f>
        <v>55.6</v>
      </c>
      <c r="G117" s="9" t="n">
        <f aca="false">IF(TRIB!G117="",0,TRIB!G117*IF($D117="A",INPUTS!$I$26,INPUTS!$N$26)/1000)</f>
        <v>0</v>
      </c>
      <c r="H117" s="9" t="n">
        <f aca="false">IF(TRIB!H117="",0,TRIB!H117*IF($D117="A",INPUTS!$I$27,INPUTS!$N$27)/1000)</f>
        <v>0</v>
      </c>
      <c r="I117" s="9" t="n">
        <f aca="false">IF(TRIB!I117="",0,TRIB!I117*IF($D117="A",INPUTS!$I$28,INPUTS!$N$28)/1000)</f>
        <v>0</v>
      </c>
      <c r="J117" s="9" t="n">
        <f aca="false">IF(TRIB!J117="",0,TRIB!J117*IF($D117="A",INPUTS!$I$29,INPUTS!$N$29)/1000)</f>
        <v>0</v>
      </c>
      <c r="K117" s="9" t="n">
        <f aca="false">IF(TRIB!K117="",0,TRIB!K117*IF($D117="A",INPUTS!$I$30,INPUTS!$N$30)/1000)</f>
        <v>0</v>
      </c>
      <c r="L117" s="9" t="n">
        <f aca="false">IF(TRIB!L117="",0,TRIB!L117*IF($D117="A",INPUTS!$I$31,INPUTS!$N$31)/1000)</f>
        <v>0</v>
      </c>
      <c r="M117" s="9" t="n">
        <f aca="false">IF(TRIB!M117="",0,TRIB!M117*IF($D117="A",INPUTS!$I$32,INPUTS!$N$32)/1000)</f>
        <v>0</v>
      </c>
      <c r="N117" s="9" t="n">
        <f aca="false">IF(TRIB!N117="",0,TRIB!N117*IF($D117="A",INPUTS!$I$33,INPUTS!$N$33)/1000)</f>
        <v>0</v>
      </c>
      <c r="O117" s="9" t="n">
        <f aca="false">IF(TRIB!O117="",0,TRIB!O117*IF($D117="A",INPUTS!$I$34,INPUTS!$N$34)/1000)</f>
        <v>0</v>
      </c>
      <c r="P117" s="9" t="n">
        <f aca="false">IF(TRIB!P117="",0,TRIB!P117*IF($D117="A",INPUTS!$I$35,INPUTS!$N$35)/1000)</f>
        <v>0</v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9" t="n">
        <f aca="false">IF(TRIB!E118="",0,TRIB!E118*IF($D118="A",INPUTS!$I$24,INPUTS!$N$24)/1000)</f>
        <v>7.02</v>
      </c>
      <c r="F118" s="9" t="n">
        <f aca="false">IF(TRIB!F118="",0,TRIB!F118*IF($D118="A",INPUTS!$I$25,INPUTS!$N$25)/1000)</f>
        <v>23.4</v>
      </c>
      <c r="G118" s="9" t="n">
        <f aca="false">IF(TRIB!G118="",0,TRIB!G118*IF($D118="A",INPUTS!$I$26,INPUTS!$N$26)/1000)</f>
        <v>0</v>
      </c>
      <c r="H118" s="9" t="n">
        <f aca="false">IF(TRIB!H118="",0,TRIB!H118*IF($D118="A",INPUTS!$I$27,INPUTS!$N$27)/1000)</f>
        <v>0</v>
      </c>
      <c r="I118" s="9" t="n">
        <f aca="false">IF(TRIB!I118="",0,TRIB!I118*IF($D118="A",INPUTS!$I$28,INPUTS!$N$28)/1000)</f>
        <v>0</v>
      </c>
      <c r="J118" s="9" t="n">
        <f aca="false">IF(TRIB!J118="",0,TRIB!J118*IF($D118="A",INPUTS!$I$29,INPUTS!$N$29)/1000)</f>
        <v>0</v>
      </c>
      <c r="K118" s="9" t="n">
        <f aca="false">IF(TRIB!K118="",0,TRIB!K118*IF($D118="A",INPUTS!$I$30,INPUTS!$N$30)/1000)</f>
        <v>0</v>
      </c>
      <c r="L118" s="9" t="n">
        <f aca="false">IF(TRIB!L118="",0,TRIB!L118*IF($D118="A",INPUTS!$I$31,INPUTS!$N$31)/1000)</f>
        <v>0</v>
      </c>
      <c r="M118" s="9" t="n">
        <f aca="false">IF(TRIB!M118="",0,TRIB!M118*IF($D118="A",INPUTS!$I$32,INPUTS!$N$32)/1000)</f>
        <v>0</v>
      </c>
      <c r="N118" s="9" t="n">
        <f aca="false">IF(TRIB!N118="",0,TRIB!N118*IF($D118="A",INPUTS!$I$33,INPUTS!$N$33)/1000)</f>
        <v>0</v>
      </c>
      <c r="O118" s="9" t="n">
        <f aca="false">IF(TRIB!O118="",0,TRIB!O118*IF($D118="A",INPUTS!$I$34,INPUTS!$N$34)/1000)</f>
        <v>0</v>
      </c>
      <c r="P118" s="9" t="n">
        <f aca="false">IF(TRIB!P118="",0,TRIB!P118*IF($D118="A",INPUTS!$I$35,INPUTS!$N$35)/1000)</f>
        <v>0</v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9" t="n">
        <f aca="false">IF(TRIB!E119="",0,TRIB!E119*IF($D119="A",INPUTS!$I$24,INPUTS!$N$24)/1000)</f>
        <v>0</v>
      </c>
      <c r="F119" s="9" t="n">
        <f aca="false">IF(TRIB!F119="",0,TRIB!F119*IF($D119="A",INPUTS!$I$25,INPUTS!$N$25)/1000)</f>
        <v>0</v>
      </c>
      <c r="G119" s="9" t="n">
        <f aca="false">IF(TRIB!G119="",0,TRIB!G119*IF($D119="A",INPUTS!$I$26,INPUTS!$N$26)/1000)</f>
        <v>0</v>
      </c>
      <c r="H119" s="9" t="n">
        <f aca="false">IF(TRIB!H119="",0,TRIB!H119*IF($D119="A",INPUTS!$I$27,INPUTS!$N$27)/1000)</f>
        <v>0</v>
      </c>
      <c r="I119" s="9" t="n">
        <f aca="false">IF(TRIB!I119="",0,TRIB!I119*IF($D119="A",INPUTS!$I$28,INPUTS!$N$28)/1000)</f>
        <v>0</v>
      </c>
      <c r="J119" s="9" t="n">
        <f aca="false">IF(TRIB!J119="",0,TRIB!J119*IF($D119="A",INPUTS!$I$29,INPUTS!$N$29)/1000)</f>
        <v>0</v>
      </c>
      <c r="K119" s="9" t="n">
        <f aca="false">IF(TRIB!K119="",0,TRIB!K119*IF($D119="A",INPUTS!$I$30,INPUTS!$N$30)/1000)</f>
        <v>0</v>
      </c>
      <c r="L119" s="9" t="n">
        <f aca="false">IF(TRIB!L119="",0,TRIB!L119*IF($D119="A",INPUTS!$I$31,INPUTS!$N$31)/1000)</f>
        <v>0</v>
      </c>
      <c r="M119" s="9" t="n">
        <f aca="false">IF(TRIB!M119="",0,TRIB!M119*IF($D119="A",INPUTS!$I$32,INPUTS!$N$32)/1000)</f>
        <v>0</v>
      </c>
      <c r="N119" s="9" t="n">
        <f aca="false">IF(TRIB!N119="",0,TRIB!N119*IF($D119="A",INPUTS!$I$33,INPUTS!$N$33)/1000)</f>
        <v>0</v>
      </c>
      <c r="O119" s="9" t="n">
        <f aca="false">IF(TRIB!O119="",0,TRIB!O119*IF($D119="A",INPUTS!$I$34,INPUTS!$N$34)/1000)</f>
        <v>0</v>
      </c>
      <c r="P119" s="9" t="n">
        <f aca="false">IF(TRIB!P119="",0,TRIB!P119*IF($D119="A",INPUTS!$I$35,INPUTS!$N$35)/1000)</f>
        <v>0</v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9" t="n">
        <f aca="false">IF(TRIB!E120="",0,TRIB!E120*IF($D120="A",INPUTS!$I$24,INPUTS!$N$24)/1000)</f>
        <v>0</v>
      </c>
      <c r="F120" s="9" t="n">
        <f aca="false">IF(TRIB!F120="",0,TRIB!F120*IF($D120="A",INPUTS!$I$25,INPUTS!$N$25)/1000)</f>
        <v>0</v>
      </c>
      <c r="G120" s="9" t="n">
        <f aca="false">IF(TRIB!G120="",0,TRIB!G120*IF($D120="A",INPUTS!$I$26,INPUTS!$N$26)/1000)</f>
        <v>0</v>
      </c>
      <c r="H120" s="9" t="n">
        <f aca="false">IF(TRIB!H120="",0,TRIB!H120*IF($D120="A",INPUTS!$I$27,INPUTS!$N$27)/1000)</f>
        <v>0</v>
      </c>
      <c r="I120" s="9" t="n">
        <f aca="false">IF(TRIB!I120="",0,TRIB!I120*IF($D120="A",INPUTS!$I$28,INPUTS!$N$28)/1000)</f>
        <v>0</v>
      </c>
      <c r="J120" s="9" t="n">
        <f aca="false">IF(TRIB!J120="",0,TRIB!J120*IF($D120="A",INPUTS!$I$29,INPUTS!$N$29)/1000)</f>
        <v>2.72</v>
      </c>
      <c r="K120" s="9" t="n">
        <f aca="false">IF(TRIB!K120="",0,TRIB!K120*IF($D120="A",INPUTS!$I$30,INPUTS!$N$30)/1000)</f>
        <v>0</v>
      </c>
      <c r="L120" s="9" t="n">
        <f aca="false">IF(TRIB!L120="",0,TRIB!L120*IF($D120="A",INPUTS!$I$31,INPUTS!$N$31)/1000)</f>
        <v>0</v>
      </c>
      <c r="M120" s="9" t="n">
        <f aca="false">IF(TRIB!M120="",0,TRIB!M120*IF($D120="A",INPUTS!$I$32,INPUTS!$N$32)/1000)</f>
        <v>0</v>
      </c>
      <c r="N120" s="9" t="n">
        <f aca="false">IF(TRIB!N120="",0,TRIB!N120*IF($D120="A",INPUTS!$I$33,INPUTS!$N$33)/1000)</f>
        <v>0</v>
      </c>
      <c r="O120" s="9" t="n">
        <f aca="false">IF(TRIB!O120="",0,TRIB!O120*IF($D120="A",INPUTS!$I$34,INPUTS!$N$34)/1000)</f>
        <v>0</v>
      </c>
      <c r="P120" s="9" t="n">
        <f aca="false">IF(TRIB!P120="",0,TRIB!P120*IF($D120="A",INPUTS!$I$35,INPUTS!$N$35)/1000)</f>
        <v>0</v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9" t="n">
        <f aca="false">IF(TRIB!E121="",0,TRIB!E121*IF($D121="A",INPUTS!$I$24,INPUTS!$N$24)/1000)</f>
        <v>0</v>
      </c>
      <c r="F121" s="9" t="n">
        <f aca="false">IF(TRIB!F121="",0,TRIB!F121*IF($D121="A",INPUTS!$I$25,INPUTS!$N$25)/1000)</f>
        <v>0</v>
      </c>
      <c r="G121" s="9" t="n">
        <f aca="false">IF(TRIB!G121="",0,TRIB!G121*IF($D121="A",INPUTS!$I$26,INPUTS!$N$26)/1000)</f>
        <v>0</v>
      </c>
      <c r="H121" s="9" t="n">
        <f aca="false">IF(TRIB!H121="",0,TRIB!H121*IF($D121="A",INPUTS!$I$27,INPUTS!$N$27)/1000)</f>
        <v>0</v>
      </c>
      <c r="I121" s="9" t="n">
        <f aca="false">IF(TRIB!I121="",0,TRIB!I121*IF($D121="A",INPUTS!$I$28,INPUTS!$N$28)/1000)</f>
        <v>0</v>
      </c>
      <c r="J121" s="9" t="n">
        <f aca="false">IF(TRIB!J121="",0,TRIB!J121*IF($D121="A",INPUTS!$I$29,INPUTS!$N$29)/1000)</f>
        <v>0</v>
      </c>
      <c r="K121" s="9" t="n">
        <f aca="false">IF(TRIB!K121="",0,TRIB!K121*IF($D121="A",INPUTS!$I$30,INPUTS!$N$30)/1000)</f>
        <v>0</v>
      </c>
      <c r="L121" s="9" t="n">
        <f aca="false">IF(TRIB!L121="",0,TRIB!L121*IF($D121="A",INPUTS!$I$31,INPUTS!$N$31)/1000)</f>
        <v>0</v>
      </c>
      <c r="M121" s="9" t="n">
        <f aca="false">IF(TRIB!M121="",0,TRIB!M121*IF($D121="A",INPUTS!$I$32,INPUTS!$N$32)/1000)</f>
        <v>0</v>
      </c>
      <c r="N121" s="9" t="n">
        <f aca="false">IF(TRIB!N121="",0,TRIB!N121*IF($D121="A",INPUTS!$I$33,INPUTS!$N$33)/1000)</f>
        <v>0</v>
      </c>
      <c r="O121" s="9" t="n">
        <f aca="false">IF(TRIB!O121="",0,TRIB!O121*IF($D121="A",INPUTS!$I$34,INPUTS!$N$34)/1000)</f>
        <v>0</v>
      </c>
      <c r="P121" s="9" t="n">
        <f aca="false">IF(TRIB!P121="",0,TRIB!P121*IF($D121="A",INPUTS!$I$35,INPUTS!$N$35)/1000)</f>
        <v>0</v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9" t="n">
        <f aca="false">IF(TRIB!E122="",0,TRIB!E122*IF($D122="A",INPUTS!$I$24,INPUTS!$N$24)/1000)</f>
        <v>0</v>
      </c>
      <c r="F122" s="9" t="n">
        <f aca="false">IF(TRIB!F122="",0,TRIB!F122*IF($D122="A",INPUTS!$I$25,INPUTS!$N$25)/1000)</f>
        <v>0</v>
      </c>
      <c r="G122" s="9" t="n">
        <f aca="false">IF(TRIB!G122="",0,TRIB!G122*IF($D122="A",INPUTS!$I$26,INPUTS!$N$26)/1000)</f>
        <v>0</v>
      </c>
      <c r="H122" s="9" t="n">
        <f aca="false">IF(TRIB!H122="",0,TRIB!H122*IF($D122="A",INPUTS!$I$27,INPUTS!$N$27)/1000)</f>
        <v>0</v>
      </c>
      <c r="I122" s="9" t="n">
        <f aca="false">IF(TRIB!I122="",0,TRIB!I122*IF($D122="A",INPUTS!$I$28,INPUTS!$N$28)/1000)</f>
        <v>0</v>
      </c>
      <c r="J122" s="9" t="n">
        <f aca="false">IF(TRIB!J122="",0,TRIB!J122*IF($D122="A",INPUTS!$I$29,INPUTS!$N$29)/1000)</f>
        <v>0</v>
      </c>
      <c r="K122" s="9" t="n">
        <f aca="false">IF(TRIB!K122="",0,TRIB!K122*IF($D122="A",INPUTS!$I$30,INPUTS!$N$30)/1000)</f>
        <v>0</v>
      </c>
      <c r="L122" s="9" t="n">
        <f aca="false">IF(TRIB!L122="",0,TRIB!L122*IF($D122="A",INPUTS!$I$31,INPUTS!$N$31)/1000)</f>
        <v>0</v>
      </c>
      <c r="M122" s="9" t="n">
        <f aca="false">IF(TRIB!M122="",0,TRIB!M122*IF($D122="A",INPUTS!$I$32,INPUTS!$N$32)/1000)</f>
        <v>0</v>
      </c>
      <c r="N122" s="9" t="n">
        <f aca="false">IF(TRIB!N122="",0,TRIB!N122*IF($D122="A",INPUTS!$I$33,INPUTS!$N$33)/1000)</f>
        <v>0</v>
      </c>
      <c r="O122" s="9" t="n">
        <f aca="false">IF(TRIB!O122="",0,TRIB!O122*IF($D122="A",INPUTS!$I$34,INPUTS!$N$34)/1000)</f>
        <v>0</v>
      </c>
      <c r="P122" s="9" t="n">
        <f aca="false">IF(TRIB!P122="",0,TRIB!P122*IF($D122="A",INPUTS!$I$35,INPUTS!$N$35)/1000)</f>
        <v>0</v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9" t="n">
        <f aca="false">IF(TRIB!E123="",0,TRIB!E123*IF($D123="A",INPUTS!$I$24,INPUTS!$N$24)/1000)</f>
        <v>0</v>
      </c>
      <c r="F123" s="9" t="n">
        <f aca="false">IF(TRIB!F123="",0,TRIB!F123*IF($D123="A",INPUTS!$I$25,INPUTS!$N$25)/1000)</f>
        <v>0</v>
      </c>
      <c r="G123" s="9" t="n">
        <f aca="false">IF(TRIB!G123="",0,TRIB!G123*IF($D123="A",INPUTS!$I$26,INPUTS!$N$26)/1000)</f>
        <v>0</v>
      </c>
      <c r="H123" s="9" t="n">
        <f aca="false">IF(TRIB!H123="",0,TRIB!H123*IF($D123="A",INPUTS!$I$27,INPUTS!$N$27)/1000)</f>
        <v>0</v>
      </c>
      <c r="I123" s="9" t="n">
        <f aca="false">IF(TRIB!I123="",0,TRIB!I123*IF($D123="A",INPUTS!$I$28,INPUTS!$N$28)/1000)</f>
        <v>0</v>
      </c>
      <c r="J123" s="9" t="n">
        <f aca="false">IF(TRIB!J123="",0,TRIB!J123*IF($D123="A",INPUTS!$I$29,INPUTS!$N$29)/1000)</f>
        <v>0</v>
      </c>
      <c r="K123" s="9" t="n">
        <f aca="false">IF(TRIB!K123="",0,TRIB!K123*IF($D123="A",INPUTS!$I$30,INPUTS!$N$30)/1000)</f>
        <v>0</v>
      </c>
      <c r="L123" s="9" t="n">
        <f aca="false">IF(TRIB!L123="",0,TRIB!L123*IF($D123="A",INPUTS!$I$31,INPUTS!$N$31)/1000)</f>
        <v>0</v>
      </c>
      <c r="M123" s="9" t="n">
        <f aca="false">IF(TRIB!M123="",0,TRIB!M123*IF($D123="A",INPUTS!$I$32,INPUTS!$N$32)/1000)</f>
        <v>0</v>
      </c>
      <c r="N123" s="9" t="n">
        <f aca="false">IF(TRIB!N123="",0,TRIB!N123*IF($D123="A",INPUTS!$I$33,INPUTS!$N$33)/1000)</f>
        <v>0</v>
      </c>
      <c r="O123" s="9" t="n">
        <f aca="false">IF(TRIB!O123="",0,TRIB!O123*IF($D123="A",INPUTS!$I$34,INPUTS!$N$34)/1000)</f>
        <v>0</v>
      </c>
      <c r="P123" s="9" t="n">
        <f aca="false">IF(TRIB!P123="",0,TRIB!P123*IF($D123="A",INPUTS!$I$35,INPUTS!$N$35)/1000)</f>
        <v>0</v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9" t="n">
        <f aca="false">IF(TRIB!E124="",0,TRIB!E124*IF($D124="A",INPUTS!$I$24,INPUTS!$N$24)/1000)</f>
        <v>0</v>
      </c>
      <c r="F124" s="9" t="n">
        <f aca="false">IF(TRIB!F124="",0,TRIB!F124*IF($D124="A",INPUTS!$I$25,INPUTS!$N$25)/1000)</f>
        <v>0</v>
      </c>
      <c r="G124" s="9" t="n">
        <f aca="false">IF(TRIB!G124="",0,TRIB!G124*IF($D124="A",INPUTS!$I$26,INPUTS!$N$26)/1000)</f>
        <v>0</v>
      </c>
      <c r="H124" s="9" t="n">
        <f aca="false">IF(TRIB!H124="",0,TRIB!H124*IF($D124="A",INPUTS!$I$27,INPUTS!$N$27)/1000)</f>
        <v>0</v>
      </c>
      <c r="I124" s="9" t="n">
        <f aca="false">IF(TRIB!I124="",0,TRIB!I124*IF($D124="A",INPUTS!$I$28,INPUTS!$N$28)/1000)</f>
        <v>0</v>
      </c>
      <c r="J124" s="9" t="n">
        <f aca="false">IF(TRIB!J124="",0,TRIB!J124*IF($D124="A",INPUTS!$I$29,INPUTS!$N$29)/1000)</f>
        <v>6.04</v>
      </c>
      <c r="K124" s="9" t="n">
        <f aca="false">IF(TRIB!K124="",0,TRIB!K124*IF($D124="A",INPUTS!$I$30,INPUTS!$N$30)/1000)</f>
        <v>0</v>
      </c>
      <c r="L124" s="9" t="n">
        <f aca="false">IF(TRIB!L124="",0,TRIB!L124*IF($D124="A",INPUTS!$I$31,INPUTS!$N$31)/1000)</f>
        <v>0</v>
      </c>
      <c r="M124" s="9" t="n">
        <f aca="false">IF(TRIB!M124="",0,TRIB!M124*IF($D124="A",INPUTS!$I$32,INPUTS!$N$32)/1000)</f>
        <v>0</v>
      </c>
      <c r="N124" s="9" t="n">
        <f aca="false">IF(TRIB!N124="",0,TRIB!N124*IF($D124="A",INPUTS!$I$33,INPUTS!$N$33)/1000)</f>
        <v>0</v>
      </c>
      <c r="O124" s="9" t="n">
        <f aca="false">IF(TRIB!O124="",0,TRIB!O124*IF($D124="A",INPUTS!$I$34,INPUTS!$N$34)/1000)</f>
        <v>0</v>
      </c>
      <c r="P124" s="9" t="n">
        <f aca="false">IF(TRIB!P124="",0,TRIB!P124*IF($D124="A",INPUTS!$I$35,INPUTS!$N$35)/1000)</f>
        <v>0</v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9" t="n">
        <f aca="false">IF(TRIB!E125="",0,TRIB!E125*IF($D125="A",INPUTS!$I$24,INPUTS!$N$24)/1000)</f>
        <v>0</v>
      </c>
      <c r="F125" s="9" t="n">
        <f aca="false">IF(TRIB!F125="",0,TRIB!F125*IF($D125="A",INPUTS!$I$25,INPUTS!$N$25)/1000)</f>
        <v>0</v>
      </c>
      <c r="G125" s="9" t="n">
        <f aca="false">IF(TRIB!G125="",0,TRIB!G125*IF($D125="A",INPUTS!$I$26,INPUTS!$N$26)/1000)</f>
        <v>0</v>
      </c>
      <c r="H125" s="9" t="n">
        <f aca="false">IF(TRIB!H125="",0,TRIB!H125*IF($D125="A",INPUTS!$I$27,INPUTS!$N$27)/1000)</f>
        <v>0</v>
      </c>
      <c r="I125" s="9" t="n">
        <f aca="false">IF(TRIB!I125="",0,TRIB!I125*IF($D125="A",INPUTS!$I$28,INPUTS!$N$28)/1000)</f>
        <v>0</v>
      </c>
      <c r="J125" s="9" t="n">
        <f aca="false">IF(TRIB!J125="",0,TRIB!J125*IF($D125="A",INPUTS!$I$29,INPUTS!$N$29)/1000)</f>
        <v>0</v>
      </c>
      <c r="K125" s="9" t="n">
        <f aca="false">IF(TRIB!K125="",0,TRIB!K125*IF($D125="A",INPUTS!$I$30,INPUTS!$N$30)/1000)</f>
        <v>0</v>
      </c>
      <c r="L125" s="9" t="n">
        <f aca="false">IF(TRIB!L125="",0,TRIB!L125*IF($D125="A",INPUTS!$I$31,INPUTS!$N$31)/1000)</f>
        <v>0</v>
      </c>
      <c r="M125" s="9" t="n">
        <f aca="false">IF(TRIB!M125="",0,TRIB!M125*IF($D125="A",INPUTS!$I$32,INPUTS!$N$32)/1000)</f>
        <v>0</v>
      </c>
      <c r="N125" s="9" t="n">
        <f aca="false">IF(TRIB!N125="",0,TRIB!N125*IF($D125="A",INPUTS!$I$33,INPUTS!$N$33)/1000)</f>
        <v>0</v>
      </c>
      <c r="O125" s="9" t="n">
        <f aca="false">IF(TRIB!O125="",0,TRIB!O125*IF($D125="A",INPUTS!$I$34,INPUTS!$N$34)/1000)</f>
        <v>0</v>
      </c>
      <c r="P125" s="9" t="n">
        <f aca="false">IF(TRIB!P125="",0,TRIB!P125*IF($D125="A",INPUTS!$I$35,INPUTS!$N$35)/1000)</f>
        <v>0</v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9" t="n">
        <f aca="false">IF(TRIB!E126="",0,TRIB!E126*IF($D126="A",INPUTS!$I$24,INPUTS!$N$24)/1000)</f>
        <v>0</v>
      </c>
      <c r="F126" s="9" t="n">
        <f aca="false">IF(TRIB!F126="",0,TRIB!F126*IF($D126="A",INPUTS!$I$25,INPUTS!$N$25)/1000)</f>
        <v>0</v>
      </c>
      <c r="G126" s="9" t="n">
        <f aca="false">IF(TRIB!G126="",0,TRIB!G126*IF($D126="A",INPUTS!$I$26,INPUTS!$N$26)/1000)</f>
        <v>0</v>
      </c>
      <c r="H126" s="9" t="n">
        <f aca="false">IF(TRIB!H126="",0,TRIB!H126*IF($D126="A",INPUTS!$I$27,INPUTS!$N$27)/1000)</f>
        <v>0</v>
      </c>
      <c r="I126" s="9" t="n">
        <f aca="false">IF(TRIB!I126="",0,TRIB!I126*IF($D126="A",INPUTS!$I$28,INPUTS!$N$28)/1000)</f>
        <v>0</v>
      </c>
      <c r="J126" s="9" t="n">
        <f aca="false">IF(TRIB!J126="",0,TRIB!J126*IF($D126="A",INPUTS!$I$29,INPUTS!$N$29)/1000)</f>
        <v>0</v>
      </c>
      <c r="K126" s="9" t="n">
        <f aca="false">IF(TRIB!K126="",0,TRIB!K126*IF($D126="A",INPUTS!$I$30,INPUTS!$N$30)/1000)</f>
        <v>0</v>
      </c>
      <c r="L126" s="9" t="n">
        <f aca="false">IF(TRIB!L126="",0,TRIB!L126*IF($D126="A",INPUTS!$I$31,INPUTS!$N$31)/1000)</f>
        <v>0</v>
      </c>
      <c r="M126" s="9" t="n">
        <f aca="false">IF(TRIB!M126="",0,TRIB!M126*IF($D126="A",INPUTS!$I$32,INPUTS!$N$32)/1000)</f>
        <v>0</v>
      </c>
      <c r="N126" s="9" t="n">
        <f aca="false">IF(TRIB!N126="",0,TRIB!N126*IF($D126="A",INPUTS!$I$33,INPUTS!$N$33)/1000)</f>
        <v>0</v>
      </c>
      <c r="O126" s="9" t="n">
        <f aca="false">IF(TRIB!O126="",0,TRIB!O126*IF($D126="A",INPUTS!$I$34,INPUTS!$N$34)/1000)</f>
        <v>0</v>
      </c>
      <c r="P126" s="9" t="n">
        <f aca="false">IF(TRIB!P126="",0,TRIB!P126*IF($D126="A",INPUTS!$I$35,INPUTS!$N$35)/1000)</f>
        <v>0</v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9" t="n">
        <f aca="false">IF(TRIB!E127="",0,TRIB!E127*IF($D127="A",INPUTS!$I$24,INPUTS!$N$24)/1000)</f>
        <v>0</v>
      </c>
      <c r="F127" s="9" t="n">
        <f aca="false">IF(TRIB!F127="",0,TRIB!F127*IF($D127="A",INPUTS!$I$25,INPUTS!$N$25)/1000)</f>
        <v>0</v>
      </c>
      <c r="G127" s="9" t="n">
        <f aca="false">IF(TRIB!G127="",0,TRIB!G127*IF($D127="A",INPUTS!$I$26,INPUTS!$N$26)/1000)</f>
        <v>0</v>
      </c>
      <c r="H127" s="9" t="n">
        <f aca="false">IF(TRIB!H127="",0,TRIB!H127*IF($D127="A",INPUTS!$I$27,INPUTS!$N$27)/1000)</f>
        <v>0</v>
      </c>
      <c r="I127" s="9" t="n">
        <f aca="false">IF(TRIB!I127="",0,TRIB!I127*IF($D127="A",INPUTS!$I$28,INPUTS!$N$28)/1000)</f>
        <v>0</v>
      </c>
      <c r="J127" s="9" t="n">
        <f aca="false">IF(TRIB!J127="",0,TRIB!J127*IF($D127="A",INPUTS!$I$29,INPUTS!$N$29)/1000)</f>
        <v>3.52</v>
      </c>
      <c r="K127" s="9" t="n">
        <f aca="false">IF(TRIB!K127="",0,TRIB!K127*IF($D127="A",INPUTS!$I$30,INPUTS!$N$30)/1000)</f>
        <v>0</v>
      </c>
      <c r="L127" s="9" t="n">
        <f aca="false">IF(TRIB!L127="",0,TRIB!L127*IF($D127="A",INPUTS!$I$31,INPUTS!$N$31)/1000)</f>
        <v>0</v>
      </c>
      <c r="M127" s="9" t="n">
        <f aca="false">IF(TRIB!M127="",0,TRIB!M127*IF($D127="A",INPUTS!$I$32,INPUTS!$N$32)/1000)</f>
        <v>0</v>
      </c>
      <c r="N127" s="9" t="n">
        <f aca="false">IF(TRIB!N127="",0,TRIB!N127*IF($D127="A",INPUTS!$I$33,INPUTS!$N$33)/1000)</f>
        <v>0</v>
      </c>
      <c r="O127" s="9" t="n">
        <f aca="false">IF(TRIB!O127="",0,TRIB!O127*IF($D127="A",INPUTS!$I$34,INPUTS!$N$34)/1000)</f>
        <v>0</v>
      </c>
      <c r="P127" s="9" t="n">
        <f aca="false">IF(TRIB!P127="",0,TRIB!P127*IF($D127="A",INPUTS!$I$35,INPUTS!$N$35)/1000)</f>
        <v>0</v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9" t="n">
        <f aca="false">IF(TRIB!E128="",0,TRIB!E128*IF($D128="A",INPUTS!$I$24,INPUTS!$N$24)/1000)</f>
        <v>0</v>
      </c>
      <c r="F128" s="9" t="n">
        <f aca="false">IF(TRIB!F128="",0,TRIB!F128*IF($D128="A",INPUTS!$I$25,INPUTS!$N$25)/1000)</f>
        <v>0</v>
      </c>
      <c r="G128" s="9" t="n">
        <f aca="false">IF(TRIB!G128="",0,TRIB!G128*IF($D128="A",INPUTS!$I$26,INPUTS!$N$26)/1000)</f>
        <v>0</v>
      </c>
      <c r="H128" s="9" t="n">
        <f aca="false">IF(TRIB!H128="",0,TRIB!H128*IF($D128="A",INPUTS!$I$27,INPUTS!$N$27)/1000)</f>
        <v>0</v>
      </c>
      <c r="I128" s="9" t="n">
        <f aca="false">IF(TRIB!I128="",0,TRIB!I128*IF($D128="A",INPUTS!$I$28,INPUTS!$N$28)/1000)</f>
        <v>0</v>
      </c>
      <c r="J128" s="9" t="n">
        <f aca="false">IF(TRIB!J128="",0,TRIB!J128*IF($D128="A",INPUTS!$I$29,INPUTS!$N$29)/1000)</f>
        <v>0</v>
      </c>
      <c r="K128" s="9" t="n">
        <f aca="false">IF(TRIB!K128="",0,TRIB!K128*IF($D128="A",INPUTS!$I$30,INPUTS!$N$30)/1000)</f>
        <v>0</v>
      </c>
      <c r="L128" s="9" t="n">
        <f aca="false">IF(TRIB!L128="",0,TRIB!L128*IF($D128="A",INPUTS!$I$31,INPUTS!$N$31)/1000)</f>
        <v>0</v>
      </c>
      <c r="M128" s="9" t="n">
        <f aca="false">IF(TRIB!M128="",0,TRIB!M128*IF($D128="A",INPUTS!$I$32,INPUTS!$N$32)/1000)</f>
        <v>0</v>
      </c>
      <c r="N128" s="9" t="n">
        <f aca="false">IF(TRIB!N128="",0,TRIB!N128*IF($D128="A",INPUTS!$I$33,INPUTS!$N$33)/1000)</f>
        <v>0</v>
      </c>
      <c r="O128" s="9" t="n">
        <f aca="false">IF(TRIB!O128="",0,TRIB!O128*IF($D128="A",INPUTS!$I$34,INPUTS!$N$34)/1000)</f>
        <v>0</v>
      </c>
      <c r="P128" s="9" t="n">
        <f aca="false">IF(TRIB!P128="",0,TRIB!P128*IF($D128="A",INPUTS!$I$35,INPUTS!$N$35)/1000)</f>
        <v>0</v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9" t="n">
        <f aca="false">IF(TRIB!E129="",0,TRIB!E129*IF($D129="A",INPUTS!$I$24,INPUTS!$N$24)/1000)</f>
        <v>0</v>
      </c>
      <c r="F129" s="9" t="n">
        <f aca="false">IF(TRIB!F129="",0,TRIB!F129*IF($D129="A",INPUTS!$I$25,INPUTS!$N$25)/1000)</f>
        <v>0</v>
      </c>
      <c r="G129" s="9" t="n">
        <f aca="false">IF(TRIB!G129="",0,TRIB!G129*IF($D129="A",INPUTS!$I$26,INPUTS!$N$26)/1000)</f>
        <v>0</v>
      </c>
      <c r="H129" s="9" t="n">
        <f aca="false">IF(TRIB!H129="",0,TRIB!H129*IF($D129="A",INPUTS!$I$27,INPUTS!$N$27)/1000)</f>
        <v>0</v>
      </c>
      <c r="I129" s="9" t="n">
        <f aca="false">IF(TRIB!I129="",0,TRIB!I129*IF($D129="A",INPUTS!$I$28,INPUTS!$N$28)/1000)</f>
        <v>0</v>
      </c>
      <c r="J129" s="9" t="n">
        <f aca="false">IF(TRIB!J129="",0,TRIB!J129*IF($D129="A",INPUTS!$I$29,INPUTS!$N$29)/1000)</f>
        <v>0</v>
      </c>
      <c r="K129" s="9" t="n">
        <f aca="false">IF(TRIB!K129="",0,TRIB!K129*IF($D129="A",INPUTS!$I$30,INPUTS!$N$30)/1000)</f>
        <v>0</v>
      </c>
      <c r="L129" s="9" t="n">
        <f aca="false">IF(TRIB!L129="",0,TRIB!L129*IF($D129="A",INPUTS!$I$31,INPUTS!$N$31)/1000)</f>
        <v>0</v>
      </c>
      <c r="M129" s="9" t="n">
        <f aca="false">IF(TRIB!M129="",0,TRIB!M129*IF($D129="A",INPUTS!$I$32,INPUTS!$N$32)/1000)</f>
        <v>0</v>
      </c>
      <c r="N129" s="9" t="n">
        <f aca="false">IF(TRIB!N129="",0,TRIB!N129*IF($D129="A",INPUTS!$I$33,INPUTS!$N$33)/1000)</f>
        <v>0</v>
      </c>
      <c r="O129" s="9" t="n">
        <f aca="false">IF(TRIB!O129="",0,TRIB!O129*IF($D129="A",INPUTS!$I$34,INPUTS!$N$34)/1000)</f>
        <v>0</v>
      </c>
      <c r="P129" s="9" t="n">
        <f aca="false">IF(TRIB!P129="",0,TRIB!P129*IF($D129="A",INPUTS!$I$35,INPUTS!$N$35)/1000)</f>
        <v>0</v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9" t="n">
        <f aca="false">IF(TRIB!E130="",0,TRIB!E130*IF($D130="A",INPUTS!$I$24,INPUTS!$N$24)/1000)</f>
        <v>0</v>
      </c>
      <c r="F130" s="9" t="n">
        <f aca="false">IF(TRIB!F130="",0,TRIB!F130*IF($D130="A",INPUTS!$I$25,INPUTS!$N$25)/1000)</f>
        <v>0</v>
      </c>
      <c r="G130" s="9" t="n">
        <f aca="false">IF(TRIB!G130="",0,TRIB!G130*IF($D130="A",INPUTS!$I$26,INPUTS!$N$26)/1000)</f>
        <v>0</v>
      </c>
      <c r="H130" s="9" t="n">
        <f aca="false">IF(TRIB!H130="",0,TRIB!H130*IF($D130="A",INPUTS!$I$27,INPUTS!$N$27)/1000)</f>
        <v>0</v>
      </c>
      <c r="I130" s="9" t="n">
        <f aca="false">IF(TRIB!I130="",0,TRIB!I130*IF($D130="A",INPUTS!$I$28,INPUTS!$N$28)/1000)</f>
        <v>0</v>
      </c>
      <c r="J130" s="9" t="n">
        <f aca="false">IF(TRIB!J130="",0,TRIB!J130*IF($D130="A",INPUTS!$I$29,INPUTS!$N$29)/1000)</f>
        <v>4.92</v>
      </c>
      <c r="K130" s="9" t="n">
        <f aca="false">IF(TRIB!K130="",0,TRIB!K130*IF($D130="A",INPUTS!$I$30,INPUTS!$N$30)/1000)</f>
        <v>0</v>
      </c>
      <c r="L130" s="9" t="n">
        <f aca="false">IF(TRIB!L130="",0,TRIB!L130*IF($D130="A",INPUTS!$I$31,INPUTS!$N$31)/1000)</f>
        <v>0</v>
      </c>
      <c r="M130" s="9" t="n">
        <f aca="false">IF(TRIB!M130="",0,TRIB!M130*IF($D130="A",INPUTS!$I$32,INPUTS!$N$32)/1000)</f>
        <v>0</v>
      </c>
      <c r="N130" s="9" t="n">
        <f aca="false">IF(TRIB!N130="",0,TRIB!N130*IF($D130="A",INPUTS!$I$33,INPUTS!$N$33)/1000)</f>
        <v>0</v>
      </c>
      <c r="O130" s="9" t="n">
        <f aca="false">IF(TRIB!O130="",0,TRIB!O130*IF($D130="A",INPUTS!$I$34,INPUTS!$N$34)/1000)</f>
        <v>0</v>
      </c>
      <c r="P130" s="9" t="n">
        <f aca="false">IF(TRIB!P130="",0,TRIB!P130*IF($D130="A",INPUTS!$I$35,INPUTS!$N$35)/1000)</f>
        <v>0</v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9" t="n">
        <f aca="false">IF(TRIB!E131="",0,TRIB!E131*IF($D131="A",INPUTS!$I$24,INPUTS!$N$24)/1000)</f>
        <v>0</v>
      </c>
      <c r="F131" s="9" t="n">
        <f aca="false">IF(TRIB!F131="",0,TRIB!F131*IF($D131="A",INPUTS!$I$25,INPUTS!$N$25)/1000)</f>
        <v>0</v>
      </c>
      <c r="G131" s="9" t="n">
        <f aca="false">IF(TRIB!G131="",0,TRIB!G131*IF($D131="A",INPUTS!$I$26,INPUTS!$N$26)/1000)</f>
        <v>0</v>
      </c>
      <c r="H131" s="9" t="n">
        <f aca="false">IF(TRIB!H131="",0,TRIB!H131*IF($D131="A",INPUTS!$I$27,INPUTS!$N$27)/1000)</f>
        <v>0</v>
      </c>
      <c r="I131" s="9" t="n">
        <f aca="false">IF(TRIB!I131="",0,TRIB!I131*IF($D131="A",INPUTS!$I$28,INPUTS!$N$28)/1000)</f>
        <v>0</v>
      </c>
      <c r="J131" s="9" t="n">
        <f aca="false">IF(TRIB!J131="",0,TRIB!J131*IF($D131="A",INPUTS!$I$29,INPUTS!$N$29)/1000)</f>
        <v>0</v>
      </c>
      <c r="K131" s="9" t="n">
        <f aca="false">IF(TRIB!K131="",0,TRIB!K131*IF($D131="A",INPUTS!$I$30,INPUTS!$N$30)/1000)</f>
        <v>0</v>
      </c>
      <c r="L131" s="9" t="n">
        <f aca="false">IF(TRIB!L131="",0,TRIB!L131*IF($D131="A",INPUTS!$I$31,INPUTS!$N$31)/1000)</f>
        <v>0</v>
      </c>
      <c r="M131" s="9" t="n">
        <f aca="false">IF(TRIB!M131="",0,TRIB!M131*IF($D131="A",INPUTS!$I$32,INPUTS!$N$32)/1000)</f>
        <v>0</v>
      </c>
      <c r="N131" s="9" t="n">
        <f aca="false">IF(TRIB!N131="",0,TRIB!N131*IF($D131="A",INPUTS!$I$33,INPUTS!$N$33)/1000)</f>
        <v>0</v>
      </c>
      <c r="O131" s="9" t="n">
        <f aca="false">IF(TRIB!O131="",0,TRIB!O131*IF($D131="A",INPUTS!$I$34,INPUTS!$N$34)/1000)</f>
        <v>0</v>
      </c>
      <c r="P131" s="9" t="n">
        <f aca="false">IF(TRIB!P131="",0,TRIB!P131*IF($D131="A",INPUTS!$I$35,INPUTS!$N$35)/1000)</f>
        <v>0</v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9" t="n">
        <f aca="false">IF(TRIB!E132="",0,TRIB!E132*IF($D132="A",INPUTS!$I$24,INPUTS!$N$24)/1000)</f>
        <v>0</v>
      </c>
      <c r="F132" s="9" t="n">
        <f aca="false">IF(TRIB!F132="",0,TRIB!F132*IF($D132="A",INPUTS!$I$25,INPUTS!$N$25)/1000)</f>
        <v>0</v>
      </c>
      <c r="G132" s="9" t="n">
        <f aca="false">IF(TRIB!G132="",0,TRIB!G132*IF($D132="A",INPUTS!$I$26,INPUTS!$N$26)/1000)</f>
        <v>0</v>
      </c>
      <c r="H132" s="9" t="n">
        <f aca="false">IF(TRIB!H132="",0,TRIB!H132*IF($D132="A",INPUTS!$I$27,INPUTS!$N$27)/1000)</f>
        <v>0</v>
      </c>
      <c r="I132" s="9" t="n">
        <f aca="false">IF(TRIB!I132="",0,TRIB!I132*IF($D132="A",INPUTS!$I$28,INPUTS!$N$28)/1000)</f>
        <v>0</v>
      </c>
      <c r="J132" s="9" t="n">
        <f aca="false">IF(TRIB!J132="",0,TRIB!J132*IF($D132="A",INPUTS!$I$29,INPUTS!$N$29)/1000)</f>
        <v>0</v>
      </c>
      <c r="K132" s="9" t="n">
        <f aca="false">IF(TRIB!K132="",0,TRIB!K132*IF($D132="A",INPUTS!$I$30,INPUTS!$N$30)/1000)</f>
        <v>0</v>
      </c>
      <c r="L132" s="9" t="n">
        <f aca="false">IF(TRIB!L132="",0,TRIB!L132*IF($D132="A",INPUTS!$I$31,INPUTS!$N$31)/1000)</f>
        <v>0</v>
      </c>
      <c r="M132" s="9" t="n">
        <f aca="false">IF(TRIB!M132="",0,TRIB!M132*IF($D132="A",INPUTS!$I$32,INPUTS!$N$32)/1000)</f>
        <v>0</v>
      </c>
      <c r="N132" s="9" t="n">
        <f aca="false">IF(TRIB!N132="",0,TRIB!N132*IF($D132="A",INPUTS!$I$33,INPUTS!$N$33)/1000)</f>
        <v>0</v>
      </c>
      <c r="O132" s="9" t="n">
        <f aca="false">IF(TRIB!O132="",0,TRIB!O132*IF($D132="A",INPUTS!$I$34,INPUTS!$N$34)/1000)</f>
        <v>0</v>
      </c>
      <c r="P132" s="9" t="n">
        <f aca="false">IF(TRIB!P132="",0,TRIB!P132*IF($D132="A",INPUTS!$I$35,INPUTS!$N$35)/1000)</f>
        <v>0</v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9" t="n">
        <f aca="false">IF(TRIB!E133="",0,TRIB!E133*IF($D133="A",INPUTS!$I$24,INPUTS!$N$24)/1000)</f>
        <v>0</v>
      </c>
      <c r="F133" s="9" t="n">
        <f aca="false">IF(TRIB!F133="",0,TRIB!F133*IF($D133="A",INPUTS!$I$25,INPUTS!$N$25)/1000)</f>
        <v>0</v>
      </c>
      <c r="G133" s="9" t="n">
        <f aca="false">IF(TRIB!G133="",0,TRIB!G133*IF($D133="A",INPUTS!$I$26,INPUTS!$N$26)/1000)</f>
        <v>0</v>
      </c>
      <c r="H133" s="9" t="n">
        <f aca="false">IF(TRIB!H133="",0,TRIB!H133*IF($D133="A",INPUTS!$I$27,INPUTS!$N$27)/1000)</f>
        <v>0</v>
      </c>
      <c r="I133" s="9" t="n">
        <f aca="false">IF(TRIB!I133="",0,TRIB!I133*IF($D133="A",INPUTS!$I$28,INPUTS!$N$28)/1000)</f>
        <v>3.56</v>
      </c>
      <c r="J133" s="9" t="n">
        <f aca="false">IF(TRIB!J133="",0,TRIB!J133*IF($D133="A",INPUTS!$I$29,INPUTS!$N$29)/1000)</f>
        <v>0</v>
      </c>
      <c r="K133" s="9" t="n">
        <f aca="false">IF(TRIB!K133="",0,TRIB!K133*IF($D133="A",INPUTS!$I$30,INPUTS!$N$30)/1000)</f>
        <v>0</v>
      </c>
      <c r="L133" s="9" t="n">
        <f aca="false">IF(TRIB!L133="",0,TRIB!L133*IF($D133="A",INPUTS!$I$31,INPUTS!$N$31)/1000)</f>
        <v>0</v>
      </c>
      <c r="M133" s="9" t="n">
        <f aca="false">IF(TRIB!M133="",0,TRIB!M133*IF($D133="A",INPUTS!$I$32,INPUTS!$N$32)/1000)</f>
        <v>0</v>
      </c>
      <c r="N133" s="9" t="n">
        <f aca="false">IF(TRIB!N133="",0,TRIB!N133*IF($D133="A",INPUTS!$I$33,INPUTS!$N$33)/1000)</f>
        <v>0</v>
      </c>
      <c r="O133" s="9" t="n">
        <f aca="false">IF(TRIB!O133="",0,TRIB!O133*IF($D133="A",INPUTS!$I$34,INPUTS!$N$34)/1000)</f>
        <v>0</v>
      </c>
      <c r="P133" s="9" t="n">
        <f aca="false">IF(TRIB!P133="",0,TRIB!P133*IF($D133="A",INPUTS!$I$35,INPUTS!$N$35)/1000)</f>
        <v>0</v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9" t="n">
        <f aca="false">IF(TRIB!E134="",0,TRIB!E134*IF($D134="A",INPUTS!$I$24,INPUTS!$N$24)/1000)</f>
        <v>0</v>
      </c>
      <c r="F134" s="9" t="n">
        <f aca="false">IF(TRIB!F134="",0,TRIB!F134*IF($D134="A",INPUTS!$I$25,INPUTS!$N$25)/1000)</f>
        <v>0</v>
      </c>
      <c r="G134" s="9" t="n">
        <f aca="false">IF(TRIB!G134="",0,TRIB!G134*IF($D134="A",INPUTS!$I$26,INPUTS!$N$26)/1000)</f>
        <v>0</v>
      </c>
      <c r="H134" s="9" t="n">
        <f aca="false">IF(TRIB!H134="",0,TRIB!H134*IF($D134="A",INPUTS!$I$27,INPUTS!$N$27)/1000)</f>
        <v>0</v>
      </c>
      <c r="I134" s="9" t="n">
        <f aca="false">IF(TRIB!I134="",0,TRIB!I134*IF($D134="A",INPUTS!$I$28,INPUTS!$N$28)/1000)</f>
        <v>3.56</v>
      </c>
      <c r="J134" s="9" t="n">
        <f aca="false">IF(TRIB!J134="",0,TRIB!J134*IF($D134="A",INPUTS!$I$29,INPUTS!$N$29)/1000)</f>
        <v>0</v>
      </c>
      <c r="K134" s="9" t="n">
        <f aca="false">IF(TRIB!K134="",0,TRIB!K134*IF($D134="A",INPUTS!$I$30,INPUTS!$N$30)/1000)</f>
        <v>0</v>
      </c>
      <c r="L134" s="9" t="n">
        <f aca="false">IF(TRIB!L134="",0,TRIB!L134*IF($D134="A",INPUTS!$I$31,INPUTS!$N$31)/1000)</f>
        <v>0</v>
      </c>
      <c r="M134" s="9" t="n">
        <f aca="false">IF(TRIB!M134="",0,TRIB!M134*IF($D134="A",INPUTS!$I$32,INPUTS!$N$32)/1000)</f>
        <v>0</v>
      </c>
      <c r="N134" s="9" t="n">
        <f aca="false">IF(TRIB!N134="",0,TRIB!N134*IF($D134="A",INPUTS!$I$33,INPUTS!$N$33)/1000)</f>
        <v>0</v>
      </c>
      <c r="O134" s="9" t="n">
        <f aca="false">IF(TRIB!O134="",0,TRIB!O134*IF($D134="A",INPUTS!$I$34,INPUTS!$N$34)/1000)</f>
        <v>0</v>
      </c>
      <c r="P134" s="9" t="n">
        <f aca="false">IF(TRIB!P134="",0,TRIB!P134*IF($D134="A",INPUTS!$I$35,INPUTS!$N$35)/1000)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268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15" t="n">
        <f aca="false">IF(IF(KLL!E2="",INPUTS!$B$18,KLL!E2)*SUMPRODUCT((CLASS!$E2:$E2="RES")*1,TRIB!$E2:$E2)&lt;400,1,MAX(IF(SUMPRODUCT((CLASS!$E2:$E2="RES")*1)&gt;=2,0.4,0.5),MIN(1,0.25+15/SQRT(IF(KLL!E2="",INPUTS!$B$18,KLL!E2)*SUMPRODUCT((CLASS!$E2:$E2="RES")*1,TRIB!$E2:$E2)))))</f>
        <v>1</v>
      </c>
      <c r="F2" s="15" t="n">
        <f aca="false">IF(IF(KLL!F2="",INPUTS!$B$18,KLL!F2)*SUMPRODUCT((CLASS!$E2:$F2="RES")*1,TRIB!$E2:$F2)&lt;400,1,MAX(IF(SUMPRODUCT((CLASS!$E2:$F2="RES")*1)&gt;=2,0.4,0.5),MIN(1,0.25+15/SQRT(IF(KLL!F2="",INPUTS!$B$18,KLL!F2)*SUMPRODUCT((CLASS!$E2:$F2="RES")*1,TRIB!$E2:$F2)))))</f>
        <v>1</v>
      </c>
      <c r="G2" s="15" t="n">
        <f aca="false">IF(IF(KLL!G2="",INPUTS!$B$18,KLL!G2)*SUMPRODUCT((CLASS!$E2:$G2="RES")*1,TRIB!$E2:$G2)&lt;400,1,MAX(IF(SUMPRODUCT((CLASS!$E2:$G2="RES")*1)&gt;=2,0.4,0.5),MIN(1,0.25+15/SQRT(IF(KLL!G2="",INPUTS!$B$18,KLL!G2)*SUMPRODUCT((CLASS!$E2:$G2="RES")*1,TRIB!$E2:$G2)))))</f>
        <v>1</v>
      </c>
      <c r="H2" s="15" t="n">
        <f aca="false">IF(IF(KLL!H2="",INPUTS!$B$18,KLL!H2)*SUMPRODUCT((CLASS!$E2:$H2="RES")*1,TRIB!$E2:$H2)&lt;400,1,MAX(IF(SUMPRODUCT((CLASS!$E2:$H2="RES")*1)&gt;=2,0.4,0.5),MIN(1,0.25+15/SQRT(IF(KLL!H2="",INPUTS!$B$18,KLL!H2)*SUMPRODUCT((CLASS!$E2:$H2="RES")*1,TRIB!$E2:$H2)))))</f>
        <v>0.838348405414552</v>
      </c>
      <c r="I2" s="15" t="n">
        <f aca="false">IF(IF(KLL!I2="",INPUTS!$B$18,KLL!I2)*SUMPRODUCT((CLASS!$E2:$I2="RES")*1,TRIB!$E2:$I2)&lt;400,1,MAX(IF(SUMPRODUCT((CLASS!$E2:$I2="RES")*1)&gt;=2,0.4,0.5),MIN(1,0.25+15/SQRT(IF(KLL!I2="",INPUTS!$B$18,KLL!I2)*SUMPRODUCT((CLASS!$E2:$I2="RES")*1,TRIB!$E2:$I2)))))</f>
        <v>0.730631002084001</v>
      </c>
      <c r="J2" s="15" t="n">
        <f aca="false">IF(IF(KLL!J2="",INPUTS!$B$18,KLL!J2)*SUMPRODUCT((CLASS!$E2:$J2="RES")*1,TRIB!$E2:$J2)&lt;400,1,MAX(IF(SUMPRODUCT((CLASS!$E2:$J2="RES")*1)&gt;=2,0.4,0.5),MIN(1,0.25+15/SQRT(IF(KLL!J2="",INPUTS!$B$18,KLL!J2)*SUMPRODUCT((CLASS!$E2:$J2="RES")*1,TRIB!$E2:$J2)))))</f>
        <v>0.666025147168922</v>
      </c>
      <c r="K2" s="15" t="n">
        <f aca="false">IF(IF(KLL!K2="",INPUTS!$B$18,KLL!K2)*SUMPRODUCT((CLASS!$E2:$K2="RES")*1,TRIB!$E2:$K2)&lt;400,1,MAX(IF(SUMPRODUCT((CLASS!$E2:$K2="RES")*1)&gt;=2,0.4,0.5),MIN(1,0.25+15/SQRT(IF(KLL!K2="",INPUTS!$B$18,KLL!K2)*SUMPRODUCT((CLASS!$E2:$K2="RES")*1,TRIB!$E2:$K2)))))</f>
        <v>0.624066001040362</v>
      </c>
      <c r="L2" s="15" t="n">
        <f aca="false">IF(IF(KLL!L2="",INPUTS!$B$18,KLL!L2)*SUMPRODUCT((CLASS!$E2:$L2="RES")*1,TRIB!$E2:$L2)&lt;400,1,MAX(IF(SUMPRODUCT((CLASS!$E2:$L2="RES")*1)&gt;=2,0.4,0.5),MIN(1,0.25+15/SQRT(IF(KLL!L2="",INPUTS!$B$18,KLL!L2)*SUMPRODUCT((CLASS!$E2:$L2="RES")*1,TRIB!$E2:$L2)))))</f>
        <v>0.592683746788715</v>
      </c>
      <c r="M2" s="15" t="n">
        <f aca="false">IF(IF(KLL!M2="",INPUTS!$B$18,KLL!M2)*SUMPRODUCT((CLASS!$E2:$M2="RES")*1,TRIB!$E2:$M2)&lt;400,1,MAX(IF(SUMPRODUCT((CLASS!$E2:$M2="RES")*1)&gt;=2,0.4,0.5),MIN(1,0.25+15/SQRT(IF(KLL!M2="",INPUTS!$B$18,KLL!M2)*SUMPRODUCT((CLASS!$E2:$M2="RES")*1,TRIB!$E2:$M2)))))</f>
        <v>0.568070848629989</v>
      </c>
      <c r="N2" s="15" t="n">
        <f aca="false">IF(IF(KLL!N2="",INPUTS!$B$18,KLL!N2)*SUMPRODUCT((CLASS!$E2:$N2="RES")*1,TRIB!$E2:$N2)&lt;400,1,MAX(IF(SUMPRODUCT((CLASS!$E2:$N2="RES")*1)&gt;=2,0.4,0.5),MIN(1,0.25+15/SQRT(IF(KLL!N2="",INPUTS!$B$18,KLL!N2)*SUMPRODUCT((CLASS!$E2:$N2="RES")*1,TRIB!$E2:$N2)))))</f>
        <v>0.548098237568937</v>
      </c>
      <c r="O2" s="15" t="n">
        <f aca="false">IF(IF(KLL!O2="",INPUTS!$B$18,KLL!O2)*SUMPRODUCT((CLASS!$E2:$O2="RES")*1,TRIB!$E2:$O2)&lt;400,1,MAX(IF(SUMPRODUCT((CLASS!$E2:$O2="RES")*1)&gt;=2,0.4,0.5),MIN(1,0.25+15/SQRT(IF(KLL!O2="",INPUTS!$B$18,KLL!O2)*SUMPRODUCT((CLASS!$E2:$O2="RES")*1,TRIB!$E2:$O2)))))</f>
        <v>0.531469984390301</v>
      </c>
      <c r="P2" s="15" t="n">
        <f aca="false">IF(IF(KLL!P2="",INPUTS!$B$18,KLL!P2)*SUMPRODUCT((CLASS!$E2:$P2="RES")*1,TRIB!$E2:$P2)&lt;400,1,MAX(IF(SUMPRODUCT((CLASS!$E2:$P2="RES")*1)&gt;=2,0.4,0.5),MIN(1,0.25+15/SQRT(IF(KLL!P2="",INPUTS!$B$18,KLL!P2)*SUMPRODUCT((CLASS!$E2:$P2="RES")*1,TRIB!$E2:$P2)))))</f>
        <v>0.51734612717482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15" t="n">
        <f aca="false">IF(IF(KLL!E3="",INPUTS!$B$18,KLL!E3)*SUMPRODUCT((CLASS!$E3:$E3="RES")*1,TRIB!$E3:$E3)&lt;400,1,MAX(IF(SUMPRODUCT((CLASS!$E3:$E3="RES")*1)&gt;=2,0.4,0.5),MIN(1,0.25+15/SQRT(IF(KLL!E3="",INPUTS!$B$18,KLL!E3)*SUMPRODUCT((CLASS!$E3:$E3="RES")*1,TRIB!$E3:$E3)))))</f>
        <v>1</v>
      </c>
      <c r="F3" s="15" t="n">
        <f aca="false">IF(IF(KLL!F3="",INPUTS!$B$18,KLL!F3)*SUMPRODUCT((CLASS!$E3:$F3="RES")*1,TRIB!$E3:$F3)&lt;400,1,MAX(IF(SUMPRODUCT((CLASS!$E3:$F3="RES")*1)&gt;=2,0.4,0.5),MIN(1,0.25+15/SQRT(IF(KLL!F3="",INPUTS!$B$18,KLL!F3)*SUMPRODUCT((CLASS!$E3:$F3="RES")*1,TRIB!$E3:$F3)))))</f>
        <v>1</v>
      </c>
      <c r="G3" s="15" t="n">
        <f aca="false">IF(IF(KLL!G3="",INPUTS!$B$18,KLL!G3)*SUMPRODUCT((CLASS!$E3:$G3="RES")*1,TRIB!$E3:$G3)&lt;400,1,MAX(IF(SUMPRODUCT((CLASS!$E3:$G3="RES")*1)&gt;=2,0.4,0.5),MIN(1,0.25+15/SQRT(IF(KLL!G3="",INPUTS!$B$18,KLL!G3)*SUMPRODUCT((CLASS!$E3:$G3="RES")*1,TRIB!$E3:$G3)))))</f>
        <v>0.862372435695795</v>
      </c>
      <c r="H3" s="15" t="n">
        <f aca="false">IF(IF(KLL!H3="",INPUTS!$B$18,KLL!H3)*SUMPRODUCT((CLASS!$E3:$H3="RES")*1,TRIB!$E3:$H3)&lt;400,1,MAX(IF(SUMPRODUCT((CLASS!$E3:$H3="RES")*1)&gt;=2,0.4,0.5),MIN(1,0.25+15/SQRT(IF(KLL!H3="",INPUTS!$B$18,KLL!H3)*SUMPRODUCT((CLASS!$E3:$H3="RES")*1,TRIB!$E3:$H3)))))</f>
        <v>0.683373997492741</v>
      </c>
      <c r="I3" s="15" t="n">
        <f aca="false">IF(IF(KLL!I3="",INPUTS!$B$18,KLL!I3)*SUMPRODUCT((CLASS!$E3:$I3="RES")*1,TRIB!$E3:$I3)&lt;400,1,MAX(IF(SUMPRODUCT((CLASS!$E3:$I3="RES")*1)&gt;=2,0.4,0.5),MIN(1,0.25+15/SQRT(IF(KLL!I3="",INPUTS!$B$18,KLL!I3)*SUMPRODUCT((CLASS!$E3:$I3="RES")*1,TRIB!$E3:$I3)))))</f>
        <v>0.603946883637257</v>
      </c>
      <c r="J3" s="15" t="n">
        <f aca="false">IF(IF(KLL!J3="",INPUTS!$B$18,KLL!J3)*SUMPRODUCT((CLASS!$E3:$J3="RES")*1,TRIB!$E3:$J3)&lt;400,1,MAX(IF(SUMPRODUCT((CLASS!$E3:$J3="RES")*1)&gt;=2,0.4,0.5),MIN(1,0.25+15/SQRT(IF(KLL!J3="",INPUTS!$B$18,KLL!J3)*SUMPRODUCT((CLASS!$E3:$J3="RES")*1,TRIB!$E3:$J3)))))</f>
        <v>0.556569669742483</v>
      </c>
      <c r="K3" s="15" t="n">
        <f aca="false">IF(IF(KLL!K3="",INPUTS!$B$18,KLL!K3)*SUMPRODUCT((CLASS!$E3:$K3="RES")*1,TRIB!$E3:$K3)&lt;400,1,MAX(IF(SUMPRODUCT((CLASS!$E3:$K3="RES")*1)&gt;=2,0.4,0.5),MIN(1,0.25+15/SQRT(IF(KLL!K3="",INPUTS!$B$18,KLL!K3)*SUMPRODUCT((CLASS!$E3:$K3="RES")*1,TRIB!$E3:$K3)))))</f>
        <v>0.524227159047674</v>
      </c>
      <c r="L3" s="15" t="n">
        <f aca="false">IF(IF(KLL!L3="",INPUTS!$B$18,KLL!L3)*SUMPRODUCT((CLASS!$E3:$L3="RES")*1,TRIB!$E3:$L3)&lt;400,1,MAX(IF(SUMPRODUCT((CLASS!$E3:$L3="RES")*1)&gt;=2,0.4,0.5),MIN(1,0.25+15/SQRT(IF(KLL!L3="",INPUTS!$B$18,KLL!L3)*SUMPRODUCT((CLASS!$E3:$L3="RES")*1,TRIB!$E3:$L3)))))</f>
        <v>0.500347947280422</v>
      </c>
      <c r="M3" s="15" t="n">
        <f aca="false">IF(IF(KLL!M3="",INPUTS!$B$18,KLL!M3)*SUMPRODUCT((CLASS!$E3:$M3="RES")*1,TRIB!$E3:$M3)&lt;400,1,MAX(IF(SUMPRODUCT((CLASS!$E3:$M3="RES")*1)&gt;=2,0.4,0.5),MIN(1,0.25+15/SQRT(IF(KLL!M3="",INPUTS!$B$18,KLL!M3)*SUMPRODUCT((CLASS!$E3:$M3="RES")*1,TRIB!$E3:$M3)))))</f>
        <v>0.48178638520578</v>
      </c>
      <c r="N3" s="15" t="n">
        <f aca="false">IF(IF(KLL!N3="",INPUTS!$B$18,KLL!N3)*SUMPRODUCT((CLASS!$E3:$N3="RES")*1,TRIB!$E3:$N3)&lt;400,1,MAX(IF(SUMPRODUCT((CLASS!$E3:$N3="RES")*1)&gt;=2,0.4,0.5),MIN(1,0.25+15/SQRT(IF(KLL!N3="",INPUTS!$B$18,KLL!N3)*SUMPRODUCT((CLASS!$E3:$N3="RES")*1,TRIB!$E3:$N3)))))</f>
        <v>0.466822781735411</v>
      </c>
      <c r="O3" s="15" t="n">
        <f aca="false">IF(IF(KLL!O3="",INPUTS!$B$18,KLL!O3)*SUMPRODUCT((CLASS!$E3:$O3="RES")*1,TRIB!$E3:$O3)&lt;400,1,MAX(IF(SUMPRODUCT((CLASS!$E3:$O3="RES")*1)&gt;=2,0.4,0.5),MIN(1,0.25+15/SQRT(IF(KLL!O3="",INPUTS!$B$18,KLL!O3)*SUMPRODUCT((CLASS!$E3:$O3="RES")*1,TRIB!$E3:$O3)))))</f>
        <v>0.454427225050269</v>
      </c>
      <c r="P3" s="15" t="n">
        <f aca="false">IF(IF(KLL!P3="",INPUTS!$B$18,KLL!P3)*SUMPRODUCT((CLASS!$E3:$P3="RES")*1,TRIB!$E3:$P3)&lt;400,1,MAX(IF(SUMPRODUCT((CLASS!$E3:$P3="RES")*1)&gt;=2,0.4,0.5),MIN(1,0.25+15/SQRT(IF(KLL!P3="",INPUTS!$B$18,KLL!P3)*SUMPRODUCT((CLASS!$E3:$P3="RES")*1,TRIB!$E3:$P3)))))</f>
        <v>0.443940296265492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15" t="n">
        <f aca="false">IF(IF(KLL!E4="",INPUTS!$B$18,KLL!E4)*SUMPRODUCT((CLASS!$E4:$E4="RES")*1,TRIB!$E4:$E4)&lt;400,1,MAX(IF(SUMPRODUCT((CLASS!$E4:$E4="RES")*1)&gt;=2,0.4,0.5),MIN(1,0.25+15/SQRT(IF(KLL!E4="",INPUTS!$B$18,KLL!E4)*SUMPRODUCT((CLASS!$E4:$E4="RES")*1,TRIB!$E4:$E4)))))</f>
        <v>1</v>
      </c>
      <c r="F4" s="15" t="n">
        <f aca="false">IF(IF(KLL!F4="",INPUTS!$B$18,KLL!F4)*SUMPRODUCT((CLASS!$E4:$F4="RES")*1,TRIB!$E4:$F4)&lt;400,1,MAX(IF(SUMPRODUCT((CLASS!$E4:$F4="RES")*1)&gt;=2,0.4,0.5),MIN(1,0.25+15/SQRT(IF(KLL!F4="",INPUTS!$B$18,KLL!F4)*SUMPRODUCT((CLASS!$E4:$F4="RES")*1,TRIB!$E4:$F4)))))</f>
        <v>1</v>
      </c>
      <c r="G4" s="15" t="n">
        <f aca="false">IF(IF(KLL!G4="",INPUTS!$B$18,KLL!G4)*SUMPRODUCT((CLASS!$E4:$G4="RES")*1,TRIB!$E4:$G4)&lt;400,1,MAX(IF(SUMPRODUCT((CLASS!$E4:$G4="RES")*1)&gt;=2,0.4,0.5),MIN(1,0.25+15/SQRT(IF(KLL!G4="",INPUTS!$B$18,KLL!G4)*SUMPRODUCT((CLASS!$E4:$G4="RES")*1,TRIB!$E4:$G4)))))</f>
        <v>0.876087903347262</v>
      </c>
      <c r="H4" s="15" t="n">
        <f aca="false">IF(IF(KLL!H4="",INPUTS!$B$18,KLL!H4)*SUMPRODUCT((CLASS!$E4:$H4="RES")*1,TRIB!$E4:$H4)&lt;400,1,MAX(IF(SUMPRODUCT((CLASS!$E4:$H4="RES")*1)&gt;=2,0.4,0.5),MIN(1,0.25+15/SQRT(IF(KLL!H4="",INPUTS!$B$18,KLL!H4)*SUMPRODUCT((CLASS!$E4:$H4="RES")*1,TRIB!$E4:$H4)))))</f>
        <v>0.69741248970392</v>
      </c>
      <c r="I4" s="15" t="n">
        <f aca="false">IF(IF(KLL!I4="",INPUTS!$B$18,KLL!I4)*SUMPRODUCT((CLASS!$E4:$I4="RES")*1,TRIB!$E4:$I4)&lt;400,1,MAX(IF(SUMPRODUCT((CLASS!$E4:$I4="RES")*1)&gt;=2,0.4,0.5),MIN(1,0.25+15/SQRT(IF(KLL!I4="",INPUTS!$B$18,KLL!I4)*SUMPRODUCT((CLASS!$E4:$I4="RES")*1,TRIB!$E4:$I4)))))</f>
        <v>0.616617787553383</v>
      </c>
      <c r="J4" s="15" t="n">
        <f aca="false">IF(IF(KLL!J4="",INPUTS!$B$18,KLL!J4)*SUMPRODUCT((CLASS!$E4:$J4="RES")*1,TRIB!$E4:$J4)&lt;400,1,MAX(IF(SUMPRODUCT((CLASS!$E4:$J4="RES")*1)&gt;=2,0.4,0.5),MIN(1,0.25+15/SQRT(IF(KLL!J4="",INPUTS!$B$18,KLL!J4)*SUMPRODUCT((CLASS!$E4:$J4="RES")*1,TRIB!$E4:$J4)))))</f>
        <v>0.568070848629989</v>
      </c>
      <c r="K4" s="15" t="n">
        <f aca="false">IF(IF(KLL!K4="",INPUTS!$B$18,KLL!K4)*SUMPRODUCT((CLASS!$E4:$K4="RES")*1,TRIB!$E4:$K4)&lt;400,1,MAX(IF(SUMPRODUCT((CLASS!$E4:$K4="RES")*1)&gt;=2,0.4,0.5),MIN(1,0.25+15/SQRT(IF(KLL!K4="",INPUTS!$B$18,KLL!K4)*SUMPRODUCT((CLASS!$E4:$K4="RES")*1,TRIB!$E4:$K4)))))</f>
        <v>0.482537179853931</v>
      </c>
      <c r="L4" s="15" t="n">
        <f aca="false">IF(IF(KLL!L4="",INPUTS!$B$18,KLL!L4)*SUMPRODUCT((CLASS!$E4:$L4="RES")*1,TRIB!$E4:$L4)&lt;400,1,MAX(IF(SUMPRODUCT((CLASS!$E4:$L4="RES")*1)&gt;=2,0.4,0.5),MIN(1,0.25+15/SQRT(IF(KLL!L4="",INPUTS!$B$18,KLL!L4)*SUMPRODUCT((CLASS!$E4:$L4="RES")*1,TRIB!$E4:$L4)))))</f>
        <v>0.462301943902112</v>
      </c>
      <c r="M4" s="15" t="n">
        <f aca="false">IF(IF(KLL!M4="",INPUTS!$B$18,KLL!M4)*SUMPRODUCT((CLASS!$E4:$M4="RES")*1,TRIB!$E4:$M4)&lt;400,1,MAX(IF(SUMPRODUCT((CLASS!$E4:$M4="RES")*1)&gt;=2,0.4,0.5),MIN(1,0.25+15/SQRT(IF(KLL!M4="",INPUTS!$B$18,KLL!M4)*SUMPRODUCT((CLASS!$E4:$M4="RES")*1,TRIB!$E4:$M4)))))</f>
        <v>0.446570283492688</v>
      </c>
      <c r="N4" s="15" t="n">
        <f aca="false">IF(IF(KLL!N4="",INPUTS!$B$18,KLL!N4)*SUMPRODUCT((CLASS!$E4:$N4="RES")*1,TRIB!$E4:$N4)&lt;400,1,MAX(IF(SUMPRODUCT((CLASS!$E4:$N4="RES")*1)&gt;=2,0.4,0.5),MIN(1,0.25+15/SQRT(IF(KLL!N4="",INPUTS!$B$18,KLL!N4)*SUMPRODUCT((CLASS!$E4:$N4="RES")*1,TRIB!$E4:$N4)))))</f>
        <v>0.433886505947098</v>
      </c>
      <c r="O4" s="15" t="n">
        <f aca="false">IF(IF(KLL!O4="",INPUTS!$B$18,KLL!O4)*SUMPRODUCT((CLASS!$E4:$O4="RES")*1,TRIB!$E4:$O4)&lt;400,1,MAX(IF(SUMPRODUCT((CLASS!$E4:$O4="RES")*1)&gt;=2,0.4,0.5),MIN(1,0.25+15/SQRT(IF(KLL!O4="",INPUTS!$B$18,KLL!O4)*SUMPRODUCT((CLASS!$E4:$O4="RES")*1,TRIB!$E4:$O4)))))</f>
        <v>0.423378546079038</v>
      </c>
      <c r="P4" s="15" t="n">
        <f aca="false">IF(IF(KLL!P4="",INPUTS!$B$18,KLL!P4)*SUMPRODUCT((CLASS!$E4:$P4="RES")*1,TRIB!$E4:$P4)&lt;400,1,MAX(IF(SUMPRODUCT((CLASS!$E4:$P4="RES")*1)&gt;=2,0.4,0.5),MIN(1,0.25+15/SQRT(IF(KLL!P4="",INPUTS!$B$18,KLL!P4)*SUMPRODUCT((CLASS!$E4:$P4="RES")*1,TRIB!$E4:$P4)))))</f>
        <v>0.414487923739942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15" t="n">
        <f aca="false">IF(IF(KLL!E5="",INPUTS!$B$18,KLL!E5)*SUMPRODUCT((CLASS!$E5:$E5="RES")*1,TRIB!$E5:$E5)&lt;400,1,MAX(IF(SUMPRODUCT((CLASS!$E5:$E5="RES")*1)&gt;=2,0.4,0.5),MIN(1,0.25+15/SQRT(IF(KLL!E5="",INPUTS!$B$18,KLL!E5)*SUMPRODUCT((CLASS!$E5:$E5="RES")*1,TRIB!$E5:$E5)))))</f>
        <v>1</v>
      </c>
      <c r="F5" s="15" t="n">
        <f aca="false">IF(IF(KLL!F5="",INPUTS!$B$18,KLL!F5)*SUMPRODUCT((CLASS!$E5:$F5="RES")*1,TRIB!$E5:$F5)&lt;400,1,MAX(IF(SUMPRODUCT((CLASS!$E5:$F5="RES")*1)&gt;=2,0.4,0.5),MIN(1,0.25+15/SQRT(IF(KLL!F5="",INPUTS!$B$18,KLL!F5)*SUMPRODUCT((CLASS!$E5:$F5="RES")*1,TRIB!$E5:$F5)))))</f>
        <v>1</v>
      </c>
      <c r="G5" s="15" t="n">
        <f aca="false">IF(IF(KLL!G5="",INPUTS!$B$18,KLL!G5)*SUMPRODUCT((CLASS!$E5:$G5="RES")*1,TRIB!$E5:$G5)&lt;400,1,MAX(IF(SUMPRODUCT((CLASS!$E5:$G5="RES")*1)&gt;=2,0.4,0.5),MIN(1,0.25+15/SQRT(IF(KLL!G5="",INPUTS!$B$18,KLL!G5)*SUMPRODUCT((CLASS!$E5:$G5="RES")*1,TRIB!$E5:$G5)))))</f>
        <v>0.881613940799889</v>
      </c>
      <c r="H5" s="15" t="n">
        <f aca="false">IF(IF(KLL!H5="",INPUTS!$B$18,KLL!H5)*SUMPRODUCT((CLASS!$E5:$H5="RES")*1,TRIB!$E5:$H5)&lt;400,1,MAX(IF(SUMPRODUCT((CLASS!$E5:$H5="RES")*1)&gt;=2,0.4,0.5),MIN(1,0.25+15/SQRT(IF(KLL!H5="",INPUTS!$B$18,KLL!H5)*SUMPRODUCT((CLASS!$E5:$H5="RES")*1,TRIB!$E5:$H5)))))</f>
        <v>0.69661850063156</v>
      </c>
      <c r="I5" s="15" t="n">
        <f aca="false">IF(IF(KLL!I5="",INPUTS!$B$18,KLL!I5)*SUMPRODUCT((CLASS!$E5:$I5="RES")*1,TRIB!$E5:$I5)&lt;400,1,MAX(IF(SUMPRODUCT((CLASS!$E5:$I5="RES")*1)&gt;=2,0.4,0.5),MIN(1,0.25+15/SQRT(IF(KLL!I5="",INPUTS!$B$18,KLL!I5)*SUMPRODUCT((CLASS!$E5:$I5="RES")*1,TRIB!$E5:$I5)))))</f>
        <v>0.614662478744736</v>
      </c>
      <c r="J5" s="15" t="n">
        <f aca="false">IF(IF(KLL!J5="",INPUTS!$B$18,KLL!J5)*SUMPRODUCT((CLASS!$E5:$J5="RES")*1,TRIB!$E5:$J5)&lt;400,1,MAX(IF(SUMPRODUCT((CLASS!$E5:$J5="RES")*1)&gt;=2,0.4,0.5),MIN(1,0.25+15/SQRT(IF(KLL!J5="",INPUTS!$B$18,KLL!J5)*SUMPRODUCT((CLASS!$E5:$J5="RES")*1,TRIB!$E5:$J5)))))</f>
        <v>0.565806970399945</v>
      </c>
      <c r="K5" s="15" t="n">
        <f aca="false">IF(IF(KLL!K5="",INPUTS!$B$18,KLL!K5)*SUMPRODUCT((CLASS!$E5:$K5="RES")*1,TRIB!$E5:$K5)&lt;400,1,MAX(IF(SUMPRODUCT((CLASS!$E5:$K5="RES")*1)&gt;=2,0.4,0.5),MIN(1,0.25+15/SQRT(IF(KLL!K5="",INPUTS!$B$18,KLL!K5)*SUMPRODUCT((CLASS!$E5:$K5="RES")*1,TRIB!$E5:$K5)))))</f>
        <v>0.480632802007221</v>
      </c>
      <c r="L5" s="15" t="n">
        <f aca="false">IF(IF(KLL!L5="",INPUTS!$B$18,KLL!L5)*SUMPRODUCT((CLASS!$E5:$L5="RES")*1,TRIB!$E5:$L5)&lt;400,1,MAX(IF(SUMPRODUCT((CLASS!$E5:$L5="RES")*1)&gt;=2,0.4,0.5),MIN(1,0.25+15/SQRT(IF(KLL!L5="",INPUTS!$B$18,KLL!L5)*SUMPRODUCT((CLASS!$E5:$L5="RES")*1,TRIB!$E5:$L5)))))</f>
        <v>0.46053798026663</v>
      </c>
      <c r="M5" s="15" t="n">
        <f aca="false">IF(IF(KLL!M5="",INPUTS!$B$18,KLL!M5)*SUMPRODUCT((CLASS!$E5:$M5="RES")*1,TRIB!$E5:$M5)&lt;400,1,MAX(IF(SUMPRODUCT((CLASS!$E5:$M5="RES")*1)&gt;=2,0.4,0.5),MIN(1,0.25+15/SQRT(IF(KLL!M5="",INPUTS!$B$18,KLL!M5)*SUMPRODUCT((CLASS!$E5:$M5="RES")*1,TRIB!$E5:$M5)))))</f>
        <v>0.444920293896363</v>
      </c>
      <c r="N5" s="15" t="n">
        <f aca="false">IF(IF(KLL!N5="",INPUTS!$B$18,KLL!N5)*SUMPRODUCT((CLASS!$E5:$N5="RES")*1,TRIB!$E5:$N5)&lt;400,1,MAX(IF(SUMPRODUCT((CLASS!$E5:$N5="RES")*1)&gt;=2,0.4,0.5),MIN(1,0.25+15/SQRT(IF(KLL!N5="",INPUTS!$B$18,KLL!N5)*SUMPRODUCT((CLASS!$E5:$N5="RES")*1,TRIB!$E5:$N5)))))</f>
        <v>0.432331239372368</v>
      </c>
      <c r="O5" s="15" t="n">
        <f aca="false">IF(IF(KLL!O5="",INPUTS!$B$18,KLL!O5)*SUMPRODUCT((CLASS!$E5:$O5="RES")*1,TRIB!$E5:$O5)&lt;400,1,MAX(IF(SUMPRODUCT((CLASS!$E5:$O5="RES")*1)&gt;=2,0.4,0.5),MIN(1,0.25+15/SQRT(IF(KLL!O5="",INPUTS!$B$18,KLL!O5)*SUMPRODUCT((CLASS!$E5:$O5="RES")*1,TRIB!$E5:$O5)))))</f>
        <v>0.421903541043132</v>
      </c>
      <c r="P5" s="15" t="n">
        <f aca="false">IF(IF(KLL!P5="",INPUTS!$B$18,KLL!P5)*SUMPRODUCT((CLASS!$E5:$P5="RES")*1,TRIB!$E5:$P5)&lt;400,1,MAX(IF(SUMPRODUCT((CLASS!$E5:$P5="RES")*1)&gt;=2,0.4,0.5),MIN(1,0.25+15/SQRT(IF(KLL!P5="",INPUTS!$B$18,KLL!P5)*SUMPRODUCT((CLASS!$E5:$P5="RES")*1,TRIB!$E5:$P5)))))</f>
        <v>0.413082018263361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15" t="n">
        <f aca="false">IF(IF(KLL!E6="",INPUTS!$B$18,KLL!E6)*SUMPRODUCT((CLASS!$E6:$E6="RES")*1,TRIB!$E6:$E6)&lt;400,1,MAX(IF(SUMPRODUCT((CLASS!$E6:$E6="RES")*1)&gt;=2,0.4,0.5),MIN(1,0.25+15/SQRT(IF(KLL!E6="",INPUTS!$B$18,KLL!E6)*SUMPRODUCT((CLASS!$E6:$E6="RES")*1,TRIB!$E6:$E6)))))</f>
        <v>1</v>
      </c>
      <c r="F6" s="15" t="n">
        <f aca="false">IF(IF(KLL!F6="",INPUTS!$B$18,KLL!F6)*SUMPRODUCT((CLASS!$E6:$F6="RES")*1,TRIB!$E6:$F6)&lt;400,1,MAX(IF(SUMPRODUCT((CLASS!$E6:$F6="RES")*1)&gt;=2,0.4,0.5),MIN(1,0.25+15/SQRT(IF(KLL!F6="",INPUTS!$B$18,KLL!F6)*SUMPRODUCT((CLASS!$E6:$F6="RES")*1,TRIB!$E6:$F6)))))</f>
        <v>1</v>
      </c>
      <c r="G6" s="15" t="n">
        <f aca="false">IF(IF(KLL!G6="",INPUTS!$B$18,KLL!G6)*SUMPRODUCT((CLASS!$E6:$G6="RES")*1,TRIB!$E6:$G6)&lt;400,1,MAX(IF(SUMPRODUCT((CLASS!$E6:$G6="RES")*1)&gt;=2,0.4,0.5),MIN(1,0.25+15/SQRT(IF(KLL!G6="",INPUTS!$B$18,KLL!G6)*SUMPRODUCT((CLASS!$E6:$G6="RES")*1,TRIB!$E6:$G6)))))</f>
        <v>1</v>
      </c>
      <c r="H6" s="15" t="n">
        <f aca="false">IF(IF(KLL!H6="",INPUTS!$B$18,KLL!H6)*SUMPRODUCT((CLASS!$E6:$H6="RES")*1,TRIB!$E6:$H6)&lt;400,1,MAX(IF(SUMPRODUCT((CLASS!$E6:$H6="RES")*1)&gt;=2,0.4,0.5),MIN(1,0.25+15/SQRT(IF(KLL!H6="",INPUTS!$B$18,KLL!H6)*SUMPRODUCT((CLASS!$E6:$H6="RES")*1,TRIB!$E6:$H6)))))</f>
        <v>0.98543550676819</v>
      </c>
      <c r="I6" s="15" t="n">
        <f aca="false">IF(IF(KLL!I6="",INPUTS!$B$18,KLL!I6)*SUMPRODUCT((CLASS!$E6:$I6="RES")*1,TRIB!$E6:$I6)&lt;400,1,MAX(IF(SUMPRODUCT((CLASS!$E6:$I6="RES")*1)&gt;=2,0.4,0.5),MIN(1,0.25+15/SQRT(IF(KLL!I6="",INPUTS!$B$18,KLL!I6)*SUMPRODUCT((CLASS!$E6:$I6="RES")*1,TRIB!$E6:$I6)))))</f>
        <v>0.850480576769077</v>
      </c>
      <c r="J6" s="15" t="n">
        <f aca="false">IF(IF(KLL!J6="",INPUTS!$B$18,KLL!J6)*SUMPRODUCT((CLASS!$E6:$J6="RES")*1,TRIB!$E6:$J6)&lt;400,1,MAX(IF(SUMPRODUCT((CLASS!$E6:$J6="RES")*1)&gt;=2,0.4,0.5),MIN(1,0.25+15/SQRT(IF(KLL!J6="",INPUTS!$B$18,KLL!J6)*SUMPRODUCT((CLASS!$E6:$J6="RES")*1,TRIB!$E6:$J6)))))</f>
        <v>0.770031433961152</v>
      </c>
      <c r="K6" s="15" t="n">
        <f aca="false">IF(IF(KLL!K6="",INPUTS!$B$18,KLL!K6)*SUMPRODUCT((CLASS!$E6:$K6="RES")*1,TRIB!$E6:$K6)&lt;400,1,MAX(IF(SUMPRODUCT((CLASS!$E6:$K6="RES")*1)&gt;=2,0.4,0.5),MIN(1,0.25+15/SQRT(IF(KLL!K6="",INPUTS!$B$18,KLL!K6)*SUMPRODUCT((CLASS!$E6:$K6="RES")*1,TRIB!$E6:$K6)))))</f>
        <v>0.631616388486088</v>
      </c>
      <c r="L6" s="15" t="n">
        <f aca="false">IF(IF(KLL!L6="",INPUTS!$B$18,KLL!L6)*SUMPRODUCT((CLASS!$E6:$L6="RES")*1,TRIB!$E6:$L6)&lt;400,1,MAX(IF(SUMPRODUCT((CLASS!$E6:$L6="RES")*1)&gt;=2,0.4,0.5),MIN(1,0.25+15/SQRT(IF(KLL!L6="",INPUTS!$B$18,KLL!L6)*SUMPRODUCT((CLASS!$E6:$L6="RES")*1,TRIB!$E6:$L6)))))</f>
        <v>0.599499409346497</v>
      </c>
      <c r="M6" s="15" t="n">
        <f aca="false">IF(IF(KLL!M6="",INPUTS!$B$18,KLL!M6)*SUMPRODUCT((CLASS!$E6:$M6="RES")*1,TRIB!$E6:$M6)&lt;400,1,MAX(IF(SUMPRODUCT((CLASS!$E6:$M6="RES")*1)&gt;=2,0.4,0.5),MIN(1,0.25+15/SQRT(IF(KLL!M6="",INPUTS!$B$18,KLL!M6)*SUMPRODUCT((CLASS!$E6:$M6="RES")*1,TRIB!$E6:$M6)))))</f>
        <v>0.574329062548308</v>
      </c>
      <c r="N6" s="15" t="n">
        <f aca="false">IF(IF(KLL!N6="",INPUTS!$B$18,KLL!N6)*SUMPRODUCT((CLASS!$E6:$N6="RES")*1,TRIB!$E6:$N6)&lt;400,1,MAX(IF(SUMPRODUCT((CLASS!$E6:$N6="RES")*1)&gt;=2,0.4,0.5),MIN(1,0.25+15/SQRT(IF(KLL!N6="",INPUTS!$B$18,KLL!N6)*SUMPRODUCT((CLASS!$E6:$N6="RES")*1,TRIB!$E6:$N6)))))</f>
        <v>0.553915336927416</v>
      </c>
      <c r="O6" s="15" t="n">
        <f aca="false">IF(IF(KLL!O6="",INPUTS!$B$18,KLL!O6)*SUMPRODUCT((CLASS!$E6:$O6="RES")*1,TRIB!$E6:$O6)&lt;400,1,MAX(IF(SUMPRODUCT((CLASS!$E6:$O6="RES")*1)&gt;=2,0.4,0.5),MIN(1,0.25+15/SQRT(IF(KLL!O6="",INPUTS!$B$18,KLL!O6)*SUMPRODUCT((CLASS!$E6:$O6="RES")*1,TRIB!$E6:$O6)))))</f>
        <v>0.53692701696175</v>
      </c>
      <c r="P6" s="15" t="n">
        <f aca="false">IF(IF(KLL!P6="",INPUTS!$B$18,KLL!P6)*SUMPRODUCT((CLASS!$E6:$P6="RES")*1,TRIB!$E6:$P6)&lt;400,1,MAX(IF(SUMPRODUCT((CLASS!$E6:$P6="RES")*1)&gt;=2,0.4,0.5),MIN(1,0.25+15/SQRT(IF(KLL!P6="",INPUTS!$B$18,KLL!P6)*SUMPRODUCT((CLASS!$E6:$P6="RES")*1,TRIB!$E6:$P6)))))</f>
        <v>0.522502157317285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15" t="n">
        <f aca="false">IF(IF(KLL!E7="",INPUTS!$B$18,KLL!E7)*SUMPRODUCT((CLASS!$E7:$E7="RES")*1,TRIB!$E7:$E7)&lt;400,1,MAX(IF(SUMPRODUCT((CLASS!$E7:$E7="RES")*1)&gt;=2,0.4,0.5),MIN(1,0.25+15/SQRT(IF(KLL!E7="",INPUTS!$B$18,KLL!E7)*SUMPRODUCT((CLASS!$E7:$E7="RES")*1,TRIB!$E7:$E7)))))</f>
        <v>1</v>
      </c>
      <c r="F7" s="15" t="n">
        <f aca="false">IF(IF(KLL!F7="",INPUTS!$B$18,KLL!F7)*SUMPRODUCT((CLASS!$E7:$F7="RES")*1,TRIB!$E7:$F7)&lt;400,1,MAX(IF(SUMPRODUCT((CLASS!$E7:$F7="RES")*1)&gt;=2,0.4,0.5),MIN(1,0.25+15/SQRT(IF(KLL!F7="",INPUTS!$B$18,KLL!F7)*SUMPRODUCT((CLASS!$E7:$F7="RES")*1,TRIB!$E7:$F7)))))</f>
        <v>1</v>
      </c>
      <c r="G7" s="15" t="n">
        <f aca="false">IF(IF(KLL!G7="",INPUTS!$B$18,KLL!G7)*SUMPRODUCT((CLASS!$E7:$G7="RES")*1,TRIB!$E7:$G7)&lt;400,1,MAX(IF(SUMPRODUCT((CLASS!$E7:$G7="RES")*1)&gt;=2,0.4,0.5),MIN(1,0.25+15/SQRT(IF(KLL!G7="",INPUTS!$B$18,KLL!G7)*SUMPRODUCT((CLASS!$E7:$G7="RES")*1,TRIB!$E7:$G7)))))</f>
        <v>0.971687836487032</v>
      </c>
      <c r="H7" s="15" t="n">
        <f aca="false">IF(IF(KLL!H7="",INPUTS!$B$18,KLL!H7)*SUMPRODUCT((CLASS!$E7:$H7="RES")*1,TRIB!$E7:$H7)&lt;400,1,MAX(IF(SUMPRODUCT((CLASS!$E7:$H7="RES")*1)&gt;=2,0.4,0.5),MIN(1,0.25+15/SQRT(IF(KLL!H7="",INPUTS!$B$18,KLL!H7)*SUMPRODUCT((CLASS!$E7:$H7="RES")*1,TRIB!$E7:$H7)))))</f>
        <v>0.760310363079829</v>
      </c>
      <c r="I7" s="15" t="n">
        <f aca="false">IF(IF(KLL!I7="",INPUTS!$B$18,KLL!I7)*SUMPRODUCT((CLASS!$E7:$I7="RES")*1,TRIB!$E7:$I7)&lt;400,1,MAX(IF(SUMPRODUCT((CLASS!$E7:$I7="RES")*1)&gt;=2,0.4,0.5),MIN(1,0.25+15/SQRT(IF(KLL!I7="",INPUTS!$B$18,KLL!I7)*SUMPRODUCT((CLASS!$E7:$I7="RES")*1,TRIB!$E7:$I7)))))</f>
        <v>0.666666666666667</v>
      </c>
      <c r="J7" s="15" t="n">
        <f aca="false">IF(IF(KLL!J7="",INPUTS!$B$18,KLL!J7)*SUMPRODUCT((CLASS!$E7:$J7="RES")*1,TRIB!$E7:$J7)&lt;400,1,MAX(IF(SUMPRODUCT((CLASS!$E7:$J7="RES")*1)&gt;=2,0.4,0.5),MIN(1,0.25+15/SQRT(IF(KLL!J7="",INPUTS!$B$18,KLL!J7)*SUMPRODUCT((CLASS!$E7:$J7="RES")*1,TRIB!$E7:$J7)))))</f>
        <v>0.610843918243516</v>
      </c>
      <c r="K7" s="15" t="n">
        <f aca="false">IF(IF(KLL!K7="",INPUTS!$B$18,KLL!K7)*SUMPRODUCT((CLASS!$E7:$K7="RES")*1,TRIB!$E7:$K7)&lt;400,1,MAX(IF(SUMPRODUCT((CLASS!$E7:$K7="RES")*1)&gt;=2,0.4,0.5),MIN(1,0.25+15/SQRT(IF(KLL!K7="",INPUTS!$B$18,KLL!K7)*SUMPRODUCT((CLASS!$E7:$K7="RES")*1,TRIB!$E7:$K7)))))</f>
        <v>0.513645224588961</v>
      </c>
      <c r="L7" s="15" t="n">
        <f aca="false">IF(IF(KLL!L7="",INPUTS!$B$18,KLL!L7)*SUMPRODUCT((CLASS!$E7:$L7="RES")*1,TRIB!$E7:$L7)&lt;400,1,MAX(IF(SUMPRODUCT((CLASS!$E7:$L7="RES")*1)&gt;=2,0.4,0.5),MIN(1,0.25+15/SQRT(IF(KLL!L7="",INPUTS!$B$18,KLL!L7)*SUMPRODUCT((CLASS!$E7:$L7="RES")*1,TRIB!$E7:$L7)))))</f>
        <v>0.49074844657566</v>
      </c>
      <c r="M7" s="15" t="n">
        <f aca="false">IF(IF(KLL!M7="",INPUTS!$B$18,KLL!M7)*SUMPRODUCT((CLASS!$E7:$M7="RES")*1,TRIB!$E7:$M7)&lt;400,1,MAX(IF(SUMPRODUCT((CLASS!$E7:$M7="RES")*1)&gt;=2,0.4,0.5),MIN(1,0.25+15/SQRT(IF(KLL!M7="",INPUTS!$B$18,KLL!M7)*SUMPRODUCT((CLASS!$E7:$M7="RES")*1,TRIB!$E7:$M7)))))</f>
        <v>0.472938981033855</v>
      </c>
      <c r="N7" s="15" t="n">
        <f aca="false">IF(IF(KLL!N7="",INPUTS!$B$18,KLL!N7)*SUMPRODUCT((CLASS!$E7:$N7="RES")*1,TRIB!$E7:$N7)&lt;400,1,MAX(IF(SUMPRODUCT((CLASS!$E7:$N7="RES")*1)&gt;=2,0.4,0.5),MIN(1,0.25+15/SQRT(IF(KLL!N7="",INPUTS!$B$18,KLL!N7)*SUMPRODUCT((CLASS!$E7:$N7="RES")*1,TRIB!$E7:$N7)))))</f>
        <v>0.458574879308181</v>
      </c>
      <c r="O7" s="15" t="n">
        <f aca="false">IF(IF(KLL!O7="",INPUTS!$B$18,KLL!O7)*SUMPRODUCT((CLASS!$E7:$O7="RES")*1,TRIB!$E7:$O7)&lt;400,1,MAX(IF(SUMPRODUCT((CLASS!$E7:$O7="RES")*1)&gt;=2,0.4,0.5),MIN(1,0.25+15/SQRT(IF(KLL!O7="",INPUTS!$B$18,KLL!O7)*SUMPRODUCT((CLASS!$E7:$O7="RES")*1,TRIB!$E7:$O7)))))</f>
        <v>0.446671634509214</v>
      </c>
      <c r="P7" s="15" t="n">
        <f aca="false">IF(IF(KLL!P7="",INPUTS!$B$18,KLL!P7)*SUMPRODUCT((CLASS!$E7:$P7="RES")*1,TRIB!$E7:$P7)&lt;400,1,MAX(IF(SUMPRODUCT((CLASS!$E7:$P7="RES")*1)&gt;=2,0.4,0.5),MIN(1,0.25+15/SQRT(IF(KLL!P7="",INPUTS!$B$18,KLL!P7)*SUMPRODUCT((CLASS!$E7:$P7="RES")*1,TRIB!$E7:$P7)))))</f>
        <v>0.436598342715519</v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15" t="n">
        <f aca="false">IF(IF(KLL!E8="",INPUTS!$B$18,KLL!E8)*SUMPRODUCT((CLASS!$E8:$E8="RES")*1,TRIB!$E8:$E8)&lt;400,1,MAX(IF(SUMPRODUCT((CLASS!$E8:$E8="RES")*1)&gt;=2,0.4,0.5),MIN(1,0.25+15/SQRT(IF(KLL!E8="",INPUTS!$B$18,KLL!E8)*SUMPRODUCT((CLASS!$E8:$E8="RES")*1,TRIB!$E8:$E8)))))</f>
        <v>1</v>
      </c>
      <c r="F8" s="15" t="n">
        <f aca="false">IF(IF(KLL!F8="",INPUTS!$B$18,KLL!F8)*SUMPRODUCT((CLASS!$E8:$F8="RES")*1,TRIB!$E8:$F8)&lt;400,1,MAX(IF(SUMPRODUCT((CLASS!$E8:$F8="RES")*1)&gt;=2,0.4,0.5),MIN(1,0.25+15/SQRT(IF(KLL!F8="",INPUTS!$B$18,KLL!F8)*SUMPRODUCT((CLASS!$E8:$F8="RES")*1,TRIB!$E8:$F8)))))</f>
        <v>1</v>
      </c>
      <c r="G8" s="15" t="n">
        <f aca="false">IF(IF(KLL!G8="",INPUTS!$B$18,KLL!G8)*SUMPRODUCT((CLASS!$E8:$G8="RES")*1,TRIB!$E8:$G8)&lt;400,1,MAX(IF(SUMPRODUCT((CLASS!$E8:$G8="RES")*1)&gt;=2,0.4,0.5),MIN(1,0.25+15/SQRT(IF(KLL!G8="",INPUTS!$B$18,KLL!G8)*SUMPRODUCT((CLASS!$E8:$G8="RES")*1,TRIB!$E8:$G8)))))</f>
        <v>0.679272855274107</v>
      </c>
      <c r="H8" s="15" t="n">
        <f aca="false">IF(IF(KLL!H8="",INPUTS!$B$18,KLL!H8)*SUMPRODUCT((CLASS!$E8:$H8="RES")*1,TRIB!$E8:$H8)&lt;400,1,MAX(IF(SUMPRODUCT((CLASS!$E8:$H8="RES")*1)&gt;=2,0.4,0.5),MIN(1,0.25+15/SQRT(IF(KLL!H8="",INPUTS!$B$18,KLL!H8)*SUMPRODUCT((CLASS!$E8:$H8="RES")*1,TRIB!$E8:$H8)))))</f>
        <v>0.553541746943632</v>
      </c>
      <c r="I8" s="15" t="n">
        <f aca="false">IF(IF(KLL!I8="",INPUTS!$B$18,KLL!I8)*SUMPRODUCT((CLASS!$E8:$I8="RES")*1,TRIB!$E8:$I8)&lt;400,1,MAX(IF(SUMPRODUCT((CLASS!$E8:$I8="RES")*1)&gt;=2,0.4,0.5),MIN(1,0.25+15/SQRT(IF(KLL!I8="",INPUTS!$B$18,KLL!I8)*SUMPRODUCT((CLASS!$E8:$I8="RES")*1,TRIB!$E8:$I8)))))</f>
        <v>0.497840798548305</v>
      </c>
      <c r="J8" s="15" t="n">
        <f aca="false">IF(IF(KLL!J8="",INPUTS!$B$18,KLL!J8)*SUMPRODUCT((CLASS!$E8:$J8="RES")*1,TRIB!$E8:$J8)&lt;400,1,MAX(IF(SUMPRODUCT((CLASS!$E8:$J8="RES")*1)&gt;=2,0.4,0.5),MIN(1,0.25+15/SQRT(IF(KLL!J8="",INPUTS!$B$18,KLL!J8)*SUMPRODUCT((CLASS!$E8:$J8="RES")*1,TRIB!$E8:$J8)))))</f>
        <v>0.464636427637053</v>
      </c>
      <c r="K8" s="15" t="n">
        <f aca="false">IF(IF(KLL!K8="",INPUTS!$B$18,KLL!K8)*SUMPRODUCT((CLASS!$E8:$K8="RES")*1,TRIB!$E8:$K8)&lt;400,1,MAX(IF(SUMPRODUCT((CLASS!$E8:$K8="RES")*1)&gt;=2,0.4,0.5),MIN(1,0.25+15/SQRT(IF(KLL!K8="",INPUTS!$B$18,KLL!K8)*SUMPRODUCT((CLASS!$E8:$K8="RES")*1,TRIB!$E8:$K8)))))</f>
        <v>0.441976657057666</v>
      </c>
      <c r="L8" s="15" t="n">
        <f aca="false">IF(IF(KLL!L8="",INPUTS!$B$18,KLL!L8)*SUMPRODUCT((CLASS!$E8:$L8="RES")*1,TRIB!$E8:$L8)&lt;400,1,MAX(IF(SUMPRODUCT((CLASS!$E8:$L8="RES")*1)&gt;=2,0.4,0.5),MIN(1,0.25+15/SQRT(IF(KLL!L8="",INPUTS!$B$18,KLL!L8)*SUMPRODUCT((CLASS!$E8:$L8="RES")*1,TRIB!$E8:$L8)))))</f>
        <v>0.425249909308195</v>
      </c>
      <c r="M8" s="15" t="n">
        <f aca="false">IF(IF(KLL!M8="",INPUTS!$B$18,KLL!M8)*SUMPRODUCT((CLASS!$E8:$M8="RES")*1,TRIB!$E8:$M8)&lt;400,1,MAX(IF(SUMPRODUCT((CLASS!$E8:$M8="RES")*1)&gt;=2,0.4,0.5),MIN(1,0.25+15/SQRT(IF(KLL!M8="",INPUTS!$B$18,KLL!M8)*SUMPRODUCT((CLASS!$E8:$M8="RES")*1,TRIB!$E8:$M8)))))</f>
        <v>0.412249888520844</v>
      </c>
      <c r="N8" s="15" t="n">
        <f aca="false">IF(IF(KLL!N8="",INPUTS!$B$18,KLL!N8)*SUMPRODUCT((CLASS!$E8:$N8="RES")*1,TRIB!$E8:$N8)&lt;400,1,MAX(IF(SUMPRODUCT((CLASS!$E8:$N8="RES")*1)&gt;=2,0.4,0.5),MIN(1,0.25+15/SQRT(IF(KLL!N8="",INPUTS!$B$18,KLL!N8)*SUMPRODUCT((CLASS!$E8:$N8="RES")*1,TRIB!$E8:$N8)))))</f>
        <v>0.401770873471816</v>
      </c>
      <c r="O8" s="15" t="n">
        <f aca="false">IF(IF(KLL!O8="",INPUTS!$B$18,KLL!O8)*SUMPRODUCT((CLASS!$E8:$O8="RES")*1,TRIB!$E8:$O8)&lt;400,1,MAX(IF(SUMPRODUCT((CLASS!$E8:$O8="RES")*1)&gt;=2,0.4,0.5),MIN(1,0.25+15/SQRT(IF(KLL!O8="",INPUTS!$B$18,KLL!O8)*SUMPRODUCT((CLASS!$E8:$O8="RES")*1,TRIB!$E8:$O8)))))</f>
        <v>0.4</v>
      </c>
      <c r="P8" s="15" t="n">
        <f aca="false">IF(IF(KLL!P8="",INPUTS!$B$18,KLL!P8)*SUMPRODUCT((CLASS!$E8:$P8="RES")*1,TRIB!$E8:$P8)&lt;400,1,MAX(IF(SUMPRODUCT((CLASS!$E8:$P8="RES")*1)&gt;=2,0.4,0.5),MIN(1,0.25+15/SQRT(IF(KLL!P8="",INPUTS!$B$18,KLL!P8)*SUMPRODUCT((CLASS!$E8:$P8="RES")*1,TRIB!$E8:$P8)))))</f>
        <v>0.4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15" t="n">
        <f aca="false">IF(IF(KLL!E9="",INPUTS!$B$18,KLL!E9)*SUMPRODUCT((CLASS!$E9:$E9="RES")*1,TRIB!$E9:$E9)&lt;400,1,MAX(IF(SUMPRODUCT((CLASS!$E9:$E9="RES")*1)&gt;=2,0.4,0.5),MIN(1,0.25+15/SQRT(IF(KLL!E9="",INPUTS!$B$18,KLL!E9)*SUMPRODUCT((CLASS!$E9:$E9="RES")*1,TRIB!$E9:$E9)))))</f>
        <v>1</v>
      </c>
      <c r="F9" s="15" t="n">
        <f aca="false">IF(IF(KLL!F9="",INPUTS!$B$18,KLL!F9)*SUMPRODUCT((CLASS!$E9:$F9="RES")*1,TRIB!$E9:$F9)&lt;400,1,MAX(IF(SUMPRODUCT((CLASS!$E9:$F9="RES")*1)&gt;=2,0.4,0.5),MIN(1,0.25+15/SQRT(IF(KLL!F9="",INPUTS!$B$18,KLL!F9)*SUMPRODUCT((CLASS!$E9:$F9="RES")*1,TRIB!$E9:$F9)))))</f>
        <v>1</v>
      </c>
      <c r="G9" s="15" t="n">
        <f aca="false">IF(IF(KLL!G9="",INPUTS!$B$18,KLL!G9)*SUMPRODUCT((CLASS!$E9:$G9="RES")*1,TRIB!$E9:$G9)&lt;400,1,MAX(IF(SUMPRODUCT((CLASS!$E9:$G9="RES")*1)&gt;=2,0.4,0.5),MIN(1,0.25+15/SQRT(IF(KLL!G9="",INPUTS!$B$18,KLL!G9)*SUMPRODUCT((CLASS!$E9:$G9="RES")*1,TRIB!$E9:$G9)))))</f>
        <v>0.663802944301184</v>
      </c>
      <c r="H9" s="15" t="n">
        <f aca="false">IF(IF(KLL!H9="",INPUTS!$B$18,KLL!H9)*SUMPRODUCT((CLASS!$E9:$H9="RES")*1,TRIB!$E9:$H9)&lt;400,1,MAX(IF(SUMPRODUCT((CLASS!$E9:$H9="RES")*1)&gt;=2,0.4,0.5),MIN(1,0.25+15/SQRT(IF(KLL!H9="",INPUTS!$B$18,KLL!H9)*SUMPRODUCT((CLASS!$E9:$H9="RES")*1,TRIB!$E9:$H9)))))</f>
        <v>0.542602867990326</v>
      </c>
      <c r="I9" s="15" t="n">
        <f aca="false">IF(IF(KLL!I9="",INPUTS!$B$18,KLL!I9)*SUMPRODUCT((CLASS!$E9:$I9="RES")*1,TRIB!$E9:$I9)&lt;400,1,MAX(IF(SUMPRODUCT((CLASS!$E9:$I9="RES")*1)&gt;=2,0.4,0.5),MIN(1,0.25+15/SQRT(IF(KLL!I9="",INPUTS!$B$18,KLL!I9)*SUMPRODUCT((CLASS!$E9:$I9="RES")*1,TRIB!$E9:$I9)))))</f>
        <v>0.488909241283748</v>
      </c>
      <c r="J9" s="15" t="n">
        <f aca="false">IF(IF(KLL!J9="",INPUTS!$B$18,KLL!J9)*SUMPRODUCT((CLASS!$E9:$J9="RES")*1,TRIB!$E9:$J9)&lt;400,1,MAX(IF(SUMPRODUCT((CLASS!$E9:$J9="RES")*1)&gt;=2,0.4,0.5),MIN(1,0.25+15/SQRT(IF(KLL!J9="",INPUTS!$B$18,KLL!J9)*SUMPRODUCT((CLASS!$E9:$J9="RES")*1,TRIB!$E9:$J9)))))</f>
        <v>0.456901472150592</v>
      </c>
      <c r="K9" s="15" t="n">
        <f aca="false">IF(IF(KLL!K9="",INPUTS!$B$18,KLL!K9)*SUMPRODUCT((CLASS!$E9:$K9="RES")*1,TRIB!$E9:$K9)&lt;400,1,MAX(IF(SUMPRODUCT((CLASS!$E9:$K9="RES")*1)&gt;=2,0.4,0.5),MIN(1,0.25+15/SQRT(IF(KLL!K9="",INPUTS!$B$18,KLL!K9)*SUMPRODUCT((CLASS!$E9:$K9="RES")*1,TRIB!$E9:$K9)))))</f>
        <v>0.410265191189008</v>
      </c>
      <c r="L9" s="15" t="n">
        <f aca="false">IF(IF(KLL!L9="",INPUTS!$B$18,KLL!L9)*SUMPRODUCT((CLASS!$E9:$L9="RES")*1,TRIB!$E9:$L9)&lt;400,1,MAX(IF(SUMPRODUCT((CLASS!$E9:$L9="RES")*1)&gt;=2,0.4,0.5),MIN(1,0.25+15/SQRT(IF(KLL!L9="",INPUTS!$B$18,KLL!L9)*SUMPRODUCT((CLASS!$E9:$L9="RES")*1,TRIB!$E9:$L9)))))</f>
        <v>0.4</v>
      </c>
      <c r="M9" s="15" t="n">
        <f aca="false">IF(IF(KLL!M9="",INPUTS!$B$18,KLL!M9)*SUMPRODUCT((CLASS!$E9:$M9="RES")*1,TRIB!$E9:$M9)&lt;400,1,MAX(IF(SUMPRODUCT((CLASS!$E9:$M9="RES")*1)&gt;=2,0.4,0.5),MIN(1,0.25+15/SQRT(IF(KLL!M9="",INPUTS!$B$18,KLL!M9)*SUMPRODUCT((CLASS!$E9:$M9="RES")*1,TRIB!$E9:$M9)))))</f>
        <v>0.4</v>
      </c>
      <c r="N9" s="15" t="n">
        <f aca="false">IF(IF(KLL!N9="",INPUTS!$B$18,KLL!N9)*SUMPRODUCT((CLASS!$E9:$N9="RES")*1,TRIB!$E9:$N9)&lt;400,1,MAX(IF(SUMPRODUCT((CLASS!$E9:$N9="RES")*1)&gt;=2,0.4,0.5),MIN(1,0.25+15/SQRT(IF(KLL!N9="",INPUTS!$B$18,KLL!N9)*SUMPRODUCT((CLASS!$E9:$N9="RES")*1,TRIB!$E9:$N9)))))</f>
        <v>0.4</v>
      </c>
      <c r="O9" s="15" t="n">
        <f aca="false">IF(IF(KLL!O9="",INPUTS!$B$18,KLL!O9)*SUMPRODUCT((CLASS!$E9:$O9="RES")*1,TRIB!$E9:$O9)&lt;400,1,MAX(IF(SUMPRODUCT((CLASS!$E9:$O9="RES")*1)&gt;=2,0.4,0.5),MIN(1,0.25+15/SQRT(IF(KLL!O9="",INPUTS!$B$18,KLL!O9)*SUMPRODUCT((CLASS!$E9:$O9="RES")*1,TRIB!$E9:$O9)))))</f>
        <v>0.4</v>
      </c>
      <c r="P9" s="15" t="n">
        <f aca="false">IF(IF(KLL!P9="",INPUTS!$B$18,KLL!P9)*SUMPRODUCT((CLASS!$E9:$P9="RES")*1,TRIB!$E9:$P9)&lt;400,1,MAX(IF(SUMPRODUCT((CLASS!$E9:$P9="RES")*1)&gt;=2,0.4,0.5),MIN(1,0.25+15/SQRT(IF(KLL!P9="",INPUTS!$B$18,KLL!P9)*SUMPRODUCT((CLASS!$E9:$P9="RES")*1,TRIB!$E9:$P9)))))</f>
        <v>0.4</v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15" t="n">
        <f aca="false">IF(IF(KLL!E10="",INPUTS!$B$18,KLL!E10)*SUMPRODUCT((CLASS!$E10:$E10="RES")*1,TRIB!$E10:$E10)&lt;400,1,MAX(IF(SUMPRODUCT((CLASS!$E10:$E10="RES")*1)&gt;=2,0.4,0.5),MIN(1,0.25+15/SQRT(IF(KLL!E10="",INPUTS!$B$18,KLL!E10)*SUMPRODUCT((CLASS!$E10:$E10="RES")*1,TRIB!$E10:$E10)))))</f>
        <v>1</v>
      </c>
      <c r="F10" s="15" t="n">
        <f aca="false">IF(IF(KLL!F10="",INPUTS!$B$18,KLL!F10)*SUMPRODUCT((CLASS!$E10:$F10="RES")*1,TRIB!$E10:$F10)&lt;400,1,MAX(IF(SUMPRODUCT((CLASS!$E10:$F10="RES")*1)&gt;=2,0.4,0.5),MIN(1,0.25+15/SQRT(IF(KLL!F10="",INPUTS!$B$18,KLL!F10)*SUMPRODUCT((CLASS!$E10:$F10="RES")*1,TRIB!$E10:$F10)))))</f>
        <v>1</v>
      </c>
      <c r="G10" s="15" t="n">
        <f aca="false">IF(IF(KLL!G10="",INPUTS!$B$18,KLL!G10)*SUMPRODUCT((CLASS!$E10:$G10="RES")*1,TRIB!$E10:$G10)&lt;400,1,MAX(IF(SUMPRODUCT((CLASS!$E10:$G10="RES")*1)&gt;=2,0.4,0.5),MIN(1,0.25+15/SQRT(IF(KLL!G10="",INPUTS!$B$18,KLL!G10)*SUMPRODUCT((CLASS!$E10:$G10="RES")*1,TRIB!$E10:$G10)))))</f>
        <v>0.650320384512718</v>
      </c>
      <c r="H10" s="15" t="n">
        <f aca="false">IF(IF(KLL!H10="",INPUTS!$B$18,KLL!H10)*SUMPRODUCT((CLASS!$E10:$H10="RES")*1,TRIB!$E10:$H10)&lt;400,1,MAX(IF(SUMPRODUCT((CLASS!$E10:$H10="RES")*1)&gt;=2,0.4,0.5),MIN(1,0.25+15/SQRT(IF(KLL!H10="",INPUTS!$B$18,KLL!H10)*SUMPRODUCT((CLASS!$E10:$H10="RES")*1,TRIB!$E10:$H10)))))</f>
        <v>0.533069258536149</v>
      </c>
      <c r="I10" s="15" t="n">
        <f aca="false">IF(IF(KLL!I10="",INPUTS!$B$18,KLL!I10)*SUMPRODUCT((CLASS!$E10:$I10="RES")*1,TRIB!$E10:$I10)&lt;400,1,MAX(IF(SUMPRODUCT((CLASS!$E10:$I10="RES")*1)&gt;=2,0.4,0.5),MIN(1,0.25+15/SQRT(IF(KLL!I10="",INPUTS!$B$18,KLL!I10)*SUMPRODUCT((CLASS!$E10:$I10="RES")*1,TRIB!$E10:$I10)))))</f>
        <v>0.481125081760512</v>
      </c>
      <c r="J10" s="15" t="n">
        <f aca="false">IF(IF(KLL!J10="",INPUTS!$B$18,KLL!J10)*SUMPRODUCT((CLASS!$E10:$J10="RES")*1,TRIB!$E10:$J10)&lt;400,1,MAX(IF(SUMPRODUCT((CLASS!$E10:$J10="RES")*1)&gt;=2,0.4,0.5),MIN(1,0.25+15/SQRT(IF(KLL!J10="",INPUTS!$B$18,KLL!J10)*SUMPRODUCT((CLASS!$E10:$J10="RES")*1,TRIB!$E10:$J10)))))</f>
        <v>0.450160192256359</v>
      </c>
      <c r="K10" s="15" t="n">
        <f aca="false">IF(IF(KLL!K10="",INPUTS!$B$18,KLL!K10)*SUMPRODUCT((CLASS!$E10:$K10="RES")*1,TRIB!$E10:$K10)&lt;400,1,MAX(IF(SUMPRODUCT((CLASS!$E10:$K10="RES")*1)&gt;=2,0.4,0.5),MIN(1,0.25+15/SQRT(IF(KLL!K10="",INPUTS!$B$18,KLL!K10)*SUMPRODUCT((CLASS!$E10:$K10="RES")*1,TRIB!$E10:$K10)))))</f>
        <v>0.405043418236511</v>
      </c>
      <c r="L10" s="15" t="n">
        <f aca="false">IF(IF(KLL!L10="",INPUTS!$B$18,KLL!L10)*SUMPRODUCT((CLASS!$E10:$L10="RES")*1,TRIB!$E10:$L10)&lt;400,1,MAX(IF(SUMPRODUCT((CLASS!$E10:$L10="RES")*1)&gt;=2,0.4,0.5),MIN(1,0.25+15/SQRT(IF(KLL!L10="",INPUTS!$B$18,KLL!L10)*SUMPRODUCT((CLASS!$E10:$L10="RES")*1,TRIB!$E10:$L10)))))</f>
        <v>0.4</v>
      </c>
      <c r="M10" s="15" t="n">
        <f aca="false">IF(IF(KLL!M10="",INPUTS!$B$18,KLL!M10)*SUMPRODUCT((CLASS!$E10:$M10="RES")*1,TRIB!$E10:$M10)&lt;400,1,MAX(IF(SUMPRODUCT((CLASS!$E10:$M10="RES")*1)&gt;=2,0.4,0.5),MIN(1,0.25+15/SQRT(IF(KLL!M10="",INPUTS!$B$18,KLL!M10)*SUMPRODUCT((CLASS!$E10:$M10="RES")*1,TRIB!$E10:$M10)))))</f>
        <v>0.4</v>
      </c>
      <c r="N10" s="15" t="n">
        <f aca="false">IF(IF(KLL!N10="",INPUTS!$B$18,KLL!N10)*SUMPRODUCT((CLASS!$E10:$N10="RES")*1,TRIB!$E10:$N10)&lt;400,1,MAX(IF(SUMPRODUCT((CLASS!$E10:$N10="RES")*1)&gt;=2,0.4,0.5),MIN(1,0.25+15/SQRT(IF(KLL!N10="",INPUTS!$B$18,KLL!N10)*SUMPRODUCT((CLASS!$E10:$N10="RES")*1,TRIB!$E10:$N10)))))</f>
        <v>0.4</v>
      </c>
      <c r="O10" s="15" t="n">
        <f aca="false">IF(IF(KLL!O10="",INPUTS!$B$18,KLL!O10)*SUMPRODUCT((CLASS!$E10:$O10="RES")*1,TRIB!$E10:$O10)&lt;400,1,MAX(IF(SUMPRODUCT((CLASS!$E10:$O10="RES")*1)&gt;=2,0.4,0.5),MIN(1,0.25+15/SQRT(IF(KLL!O10="",INPUTS!$B$18,KLL!O10)*SUMPRODUCT((CLASS!$E10:$O10="RES")*1,TRIB!$E10:$O10)))))</f>
        <v>0.4</v>
      </c>
      <c r="P10" s="15" t="n">
        <f aca="false">IF(IF(KLL!P10="",INPUTS!$B$18,KLL!P10)*SUMPRODUCT((CLASS!$E10:$P10="RES")*1,TRIB!$E10:$P10)&lt;400,1,MAX(IF(SUMPRODUCT((CLASS!$E10:$P10="RES")*1)&gt;=2,0.4,0.5),MIN(1,0.25+15/SQRT(IF(KLL!P10="",INPUTS!$B$18,KLL!P10)*SUMPRODUCT((CLASS!$E10:$P10="RES")*1,TRIB!$E10:$P10)))))</f>
        <v>0.4</v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15" t="n">
        <f aca="false">IF(IF(KLL!E11="",INPUTS!$B$18,KLL!E11)*SUMPRODUCT((CLASS!$E11:$E11="RES")*1,TRIB!$E11:$E11)&lt;400,1,MAX(IF(SUMPRODUCT((CLASS!$E11:$E11="RES")*1)&gt;=2,0.4,0.5),MIN(1,0.25+15/SQRT(IF(KLL!E11="",INPUTS!$B$18,KLL!E11)*SUMPRODUCT((CLASS!$E11:$E11="RES")*1,TRIB!$E11:$E11)))))</f>
        <v>1</v>
      </c>
      <c r="F11" s="15" t="n">
        <f aca="false">IF(IF(KLL!F11="",INPUTS!$B$18,KLL!F11)*SUMPRODUCT((CLASS!$E11:$F11="RES")*1,TRIB!$E11:$F11)&lt;400,1,MAX(IF(SUMPRODUCT((CLASS!$E11:$F11="RES")*1)&gt;=2,0.4,0.5),MIN(1,0.25+15/SQRT(IF(KLL!F11="",INPUTS!$B$18,KLL!F11)*SUMPRODUCT((CLASS!$E11:$F11="RES")*1,TRIB!$E11:$F11)))))</f>
        <v>1</v>
      </c>
      <c r="G11" s="15" t="n">
        <f aca="false">IF(IF(KLL!G11="",INPUTS!$B$18,KLL!G11)*SUMPRODUCT((CLASS!$E11:$G11="RES")*1,TRIB!$E11:$G11)&lt;400,1,MAX(IF(SUMPRODUCT((CLASS!$E11:$G11="RES")*1)&gt;=2,0.4,0.5),MIN(1,0.25+15/SQRT(IF(KLL!G11="",INPUTS!$B$18,KLL!G11)*SUMPRODUCT((CLASS!$E11:$G11="RES")*1,TRIB!$E11:$G11)))))</f>
        <v>0.673586871043679</v>
      </c>
      <c r="H11" s="15" t="n">
        <f aca="false">IF(IF(KLL!H11="",INPUTS!$B$18,KLL!H11)*SUMPRODUCT((CLASS!$E11:$H11="RES")*1,TRIB!$E11:$H11)&lt;400,1,MAX(IF(SUMPRODUCT((CLASS!$E11:$H11="RES")*1)&gt;=2,0.4,0.5),MIN(1,0.25+15/SQRT(IF(KLL!H11="",INPUTS!$B$18,KLL!H11)*SUMPRODUCT((CLASS!$E11:$H11="RES")*1,TRIB!$E11:$H11)))))</f>
        <v>0.549521148936577</v>
      </c>
      <c r="I11" s="15" t="n">
        <f aca="false">IF(IF(KLL!I11="",INPUTS!$B$18,KLL!I11)*SUMPRODUCT((CLASS!$E11:$I11="RES")*1,TRIB!$E11:$I11)&lt;400,1,MAX(IF(SUMPRODUCT((CLASS!$E11:$I11="RES")*1)&gt;=2,0.4,0.5),MIN(1,0.25+15/SQRT(IF(KLL!I11="",INPUTS!$B$18,KLL!I11)*SUMPRODUCT((CLASS!$E11:$I11="RES")*1,TRIB!$E11:$I11)))))</f>
        <v>0.494557994022259</v>
      </c>
      <c r="J11" s="15" t="n">
        <f aca="false">IF(IF(KLL!J11="",INPUTS!$B$18,KLL!J11)*SUMPRODUCT((CLASS!$E11:$J11="RES")*1,TRIB!$E11:$J11)&lt;400,1,MAX(IF(SUMPRODUCT((CLASS!$E11:$J11="RES")*1)&gt;=2,0.4,0.5),MIN(1,0.25+15/SQRT(IF(KLL!J11="",INPUTS!$B$18,KLL!J11)*SUMPRODUCT((CLASS!$E11:$J11="RES")*1,TRIB!$E11:$J11)))))</f>
        <v>0.461793435521839</v>
      </c>
      <c r="K11" s="15" t="n">
        <f aca="false">IF(IF(KLL!K11="",INPUTS!$B$18,KLL!K11)*SUMPRODUCT((CLASS!$E11:$K11="RES")*1,TRIB!$E11:$K11)&lt;400,1,MAX(IF(SUMPRODUCT((CLASS!$E11:$K11="RES")*1)&gt;=2,0.4,0.5),MIN(1,0.25+15/SQRT(IF(KLL!K11="",INPUTS!$B$18,KLL!K11)*SUMPRODUCT((CLASS!$E11:$K11="RES")*1,TRIB!$E11:$K11)))))</f>
        <v>0.439433807606021</v>
      </c>
      <c r="L11" s="15" t="n">
        <f aca="false">IF(IF(KLL!L11="",INPUTS!$B$18,KLL!L11)*SUMPRODUCT((CLASS!$E11:$L11="RES")*1,TRIB!$E11:$L11)&lt;400,1,MAX(IF(SUMPRODUCT((CLASS!$E11:$L11="RES")*1)&gt;=2,0.4,0.5),MIN(1,0.25+15/SQRT(IF(KLL!L11="",INPUTS!$B$18,KLL!L11)*SUMPRODUCT((CLASS!$E11:$L11="RES")*1,TRIB!$E11:$L11)))))</f>
        <v>0.422928615966519</v>
      </c>
      <c r="M11" s="15" t="n">
        <f aca="false">IF(IF(KLL!M11="",INPUTS!$B$18,KLL!M11)*SUMPRODUCT((CLASS!$E11:$M11="RES")*1,TRIB!$E11:$M11)&lt;400,1,MAX(IF(SUMPRODUCT((CLASS!$E11:$M11="RES")*1)&gt;=2,0.4,0.5),MIN(1,0.25+15/SQRT(IF(KLL!M11="",INPUTS!$B$18,KLL!M11)*SUMPRODUCT((CLASS!$E11:$M11="RES")*1,TRIB!$E11:$M11)))))</f>
        <v>0.410100788487652</v>
      </c>
      <c r="N11" s="15" t="n">
        <f aca="false">IF(IF(KLL!N11="",INPUTS!$B$18,KLL!N11)*SUMPRODUCT((CLASS!$E11:$N11="RES")*1,TRIB!$E11:$N11)&lt;400,1,MAX(IF(SUMPRODUCT((CLASS!$E11:$N11="RES")*1)&gt;=2,0.4,0.5),MIN(1,0.25+15/SQRT(IF(KLL!N11="",INPUTS!$B$18,KLL!N11)*SUMPRODUCT((CLASS!$E11:$N11="RES")*1,TRIB!$E11:$N11)))))</f>
        <v>0.4</v>
      </c>
      <c r="O11" s="15" t="n">
        <f aca="false">IF(IF(KLL!O11="",INPUTS!$B$18,KLL!O11)*SUMPRODUCT((CLASS!$E11:$O11="RES")*1,TRIB!$E11:$O11)&lt;400,1,MAX(IF(SUMPRODUCT((CLASS!$E11:$O11="RES")*1)&gt;=2,0.4,0.5),MIN(1,0.25+15/SQRT(IF(KLL!O11="",INPUTS!$B$18,KLL!O11)*SUMPRODUCT((CLASS!$E11:$O11="RES")*1,TRIB!$E11:$O11)))))</f>
        <v>0.4</v>
      </c>
      <c r="P11" s="15" t="n">
        <f aca="false">IF(IF(KLL!P11="",INPUTS!$B$18,KLL!P11)*SUMPRODUCT((CLASS!$E11:$P11="RES")*1,TRIB!$E11:$P11)&lt;400,1,MAX(IF(SUMPRODUCT((CLASS!$E11:$P11="RES")*1)&gt;=2,0.4,0.5),MIN(1,0.25+15/SQRT(IF(KLL!P11="",INPUTS!$B$18,KLL!P11)*SUMPRODUCT((CLASS!$E11:$P11="RES")*1,TRIB!$E11:$P11)))))</f>
        <v>0.4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15" t="n">
        <f aca="false">IF(IF(KLL!E12="",INPUTS!$B$18,KLL!E12)*SUMPRODUCT((CLASS!$E12:$E12="RES")*1,TRIB!$E12:$E12)&lt;400,1,MAX(IF(SUMPRODUCT((CLASS!$E12:$E12="RES")*1)&gt;=2,0.4,0.5),MIN(1,0.25+15/SQRT(IF(KLL!E12="",INPUTS!$B$18,KLL!E12)*SUMPRODUCT((CLASS!$E12:$E12="RES")*1,TRIB!$E12:$E12)))))</f>
        <v>1</v>
      </c>
      <c r="F12" s="15" t="n">
        <f aca="false">IF(IF(KLL!F12="",INPUTS!$B$18,KLL!F12)*SUMPRODUCT((CLASS!$E12:$F12="RES")*1,TRIB!$E12:$F12)&lt;400,1,MAX(IF(SUMPRODUCT((CLASS!$E12:$F12="RES")*1)&gt;=2,0.4,0.5),MIN(1,0.25+15/SQRT(IF(KLL!F12="",INPUTS!$B$18,KLL!F12)*SUMPRODUCT((CLASS!$E12:$F12="RES")*1,TRIB!$E12:$F12)))))</f>
        <v>1</v>
      </c>
      <c r="G12" s="15" t="n">
        <f aca="false">IF(IF(KLL!G12="",INPUTS!$B$18,KLL!G12)*SUMPRODUCT((CLASS!$E12:$G12="RES")*1,TRIB!$E12:$G12)&lt;400,1,MAX(IF(SUMPRODUCT((CLASS!$E12:$G12="RES")*1)&gt;=2,0.4,0.5),MIN(1,0.25+15/SQRT(IF(KLL!G12="",INPUTS!$B$18,KLL!G12)*SUMPRODUCT((CLASS!$E12:$G12="RES")*1,TRIB!$E12:$G12)))))</f>
        <v>1</v>
      </c>
      <c r="H12" s="15" t="n">
        <f aca="false">IF(IF(KLL!H12="",INPUTS!$B$18,KLL!H12)*SUMPRODUCT((CLASS!$E12:$H12="RES")*1,TRIB!$E12:$H12)&lt;400,1,MAX(IF(SUMPRODUCT((CLASS!$E12:$H12="RES")*1)&gt;=2,0.4,0.5),MIN(1,0.25+15/SQRT(IF(KLL!H12="",INPUTS!$B$18,KLL!H12)*SUMPRODUCT((CLASS!$E12:$H12="RES")*1,TRIB!$E12:$H12)))))</f>
        <v>0.821040240720161</v>
      </c>
      <c r="I12" s="15" t="n">
        <f aca="false">IF(IF(KLL!I12="",INPUTS!$B$18,KLL!I12)*SUMPRODUCT((CLASS!$E12:$I12="RES")*1,TRIB!$E12:$I12)&lt;400,1,MAX(IF(SUMPRODUCT((CLASS!$E12:$I12="RES")*1)&gt;=2,0.4,0.5),MIN(1,0.25+15/SQRT(IF(KLL!I12="",INPUTS!$B$18,KLL!I12)*SUMPRODUCT((CLASS!$E12:$I12="RES")*1,TRIB!$E12:$I12)))))</f>
        <v>0.716252404120157</v>
      </c>
      <c r="J12" s="15" t="n">
        <f aca="false">IF(IF(KLL!J12="",INPUTS!$B$18,KLL!J12)*SUMPRODUCT((CLASS!$E12:$J12="RES")*1,TRIB!$E12:$J12)&lt;400,1,MAX(IF(SUMPRODUCT((CLASS!$E12:$J12="RES")*1)&gt;=2,0.4,0.5),MIN(1,0.25+15/SQRT(IF(KLL!J12="",INPUTS!$B$18,KLL!J12)*SUMPRODUCT((CLASS!$E12:$J12="RES")*1,TRIB!$E12:$J12)))))</f>
        <v>0.653786426543624</v>
      </c>
      <c r="K12" s="15" t="n">
        <f aca="false">IF(IF(KLL!K12="",INPUTS!$B$18,KLL!K12)*SUMPRODUCT((CLASS!$E12:$K12="RES")*1,TRIB!$E12:$K12)&lt;400,1,MAX(IF(SUMPRODUCT((CLASS!$E12:$K12="RES")*1)&gt;=2,0.4,0.5),MIN(1,0.25+15/SQRT(IF(KLL!K12="",INPUTS!$B$18,KLL!K12)*SUMPRODUCT((CLASS!$E12:$K12="RES")*1,TRIB!$E12:$K12)))))</f>
        <v>0.614662478744736</v>
      </c>
      <c r="L12" s="15" t="n">
        <f aca="false">IF(IF(KLL!L12="",INPUTS!$B$18,KLL!L12)*SUMPRODUCT((CLASS!$E12:$L12="RES")*1,TRIB!$E12:$L12)&lt;400,1,MAX(IF(SUMPRODUCT((CLASS!$E12:$L12="RES")*1)&gt;=2,0.4,0.5),MIN(1,0.25+15/SQRT(IF(KLL!L12="",INPUTS!$B$18,KLL!L12)*SUMPRODUCT((CLASS!$E12:$L12="RES")*1,TRIB!$E12:$L12)))))</f>
        <v>0.585075288706578</v>
      </c>
      <c r="M12" s="15" t="n">
        <f aca="false">IF(IF(KLL!M12="",INPUTS!$B$18,KLL!M12)*SUMPRODUCT((CLASS!$E12:$M12="RES")*1,TRIB!$E12:$M12)&lt;400,1,MAX(IF(SUMPRODUCT((CLASS!$E12:$M12="RES")*1)&gt;=2,0.4,0.5),MIN(1,0.25+15/SQRT(IF(KLL!M12="",INPUTS!$B$18,KLL!M12)*SUMPRODUCT((CLASS!$E12:$M12="RES")*1,TRIB!$E12:$M12)))))</f>
        <v>0.561689363096269</v>
      </c>
      <c r="N12" s="15" t="n">
        <f aca="false">IF(IF(KLL!N12="",INPUTS!$B$18,KLL!N12)*SUMPRODUCT((CLASS!$E12:$N12="RES")*1,TRIB!$E12:$N12)&lt;400,1,MAX(IF(SUMPRODUCT((CLASS!$E12:$N12="RES")*1)&gt;=2,0.4,0.5),MIN(1,0.25+15/SQRT(IF(KLL!N12="",INPUTS!$B$18,KLL!N12)*SUMPRODUCT((CLASS!$E12:$N12="RES")*1,TRIB!$E12:$N12)))))</f>
        <v>0.542602867990326</v>
      </c>
      <c r="O12" s="15" t="n">
        <f aca="false">IF(IF(KLL!O12="",INPUTS!$B$18,KLL!O12)*SUMPRODUCT((CLASS!$E12:$O12="RES")*1,TRIB!$E12:$O12)&lt;400,1,MAX(IF(SUMPRODUCT((CLASS!$E12:$O12="RES")*1)&gt;=2,0.4,0.5),MIN(1,0.25+15/SQRT(IF(KLL!O12="",INPUTS!$B$18,KLL!O12)*SUMPRODUCT((CLASS!$E12:$O12="RES")*1,TRIB!$E12:$O12)))))</f>
        <v>0.526641667586244</v>
      </c>
      <c r="P12" s="15" t="n">
        <f aca="false">IF(IF(KLL!P12="",INPUTS!$B$18,KLL!P12)*SUMPRODUCT((CLASS!$E12:$P12="RES")*1,TRIB!$E12:$P12)&lt;400,1,MAX(IF(SUMPRODUCT((CLASS!$E12:$P12="RES")*1)&gt;=2,0.4,0.5),MIN(1,0.25+15/SQRT(IF(KLL!P12="",INPUTS!$B$18,KLL!P12)*SUMPRODUCT((CLASS!$E12:$P12="RES")*1,TRIB!$E12:$P12)))))</f>
        <v>0.51303648393696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15" t="n">
        <f aca="false">IF(IF(KLL!E13="",INPUTS!$B$18,KLL!E13)*SUMPRODUCT((CLASS!$E13:$E13="RES")*1,TRIB!$E13:$E13)&lt;400,1,MAX(IF(SUMPRODUCT((CLASS!$E13:$E13="RES")*1)&gt;=2,0.4,0.5),MIN(1,0.25+15/SQRT(IF(KLL!E13="",INPUTS!$B$18,KLL!E13)*SUMPRODUCT((CLASS!$E13:$E13="RES")*1,TRIB!$E13:$E13)))))</f>
        <v>1</v>
      </c>
      <c r="F13" s="15" t="n">
        <f aca="false">IF(IF(KLL!F13="",INPUTS!$B$18,KLL!F13)*SUMPRODUCT((CLASS!$E13:$F13="RES")*1,TRIB!$E13:$F13)&lt;400,1,MAX(IF(SUMPRODUCT((CLASS!$E13:$F13="RES")*1)&gt;=2,0.4,0.5),MIN(1,0.25+15/SQRT(IF(KLL!F13="",INPUTS!$B$18,KLL!F13)*SUMPRODUCT((CLASS!$E13:$F13="RES")*1,TRIB!$E13:$F13)))))</f>
        <v>1</v>
      </c>
      <c r="G13" s="15" t="n">
        <f aca="false">IF(IF(KLL!G13="",INPUTS!$B$18,KLL!G13)*SUMPRODUCT((CLASS!$E13:$G13="RES")*1,TRIB!$E13:$G13)&lt;400,1,MAX(IF(SUMPRODUCT((CLASS!$E13:$G13="RES")*1)&gt;=2,0.4,0.5),MIN(1,0.25+15/SQRT(IF(KLL!G13="",INPUTS!$B$18,KLL!G13)*SUMPRODUCT((CLASS!$E13:$G13="RES")*1,TRIB!$E13:$G13)))))</f>
        <v>0.647778642087865</v>
      </c>
      <c r="H13" s="15" t="n">
        <f aca="false">IF(IF(KLL!H13="",INPUTS!$B$18,KLL!H13)*SUMPRODUCT((CLASS!$E13:$H13="RES")*1,TRIB!$E13:$H13)&lt;400,1,MAX(IF(SUMPRODUCT((CLASS!$E13:$H13="RES")*1)&gt;=2,0.4,0.5),MIN(1,0.25+15/SQRT(IF(KLL!H13="",INPUTS!$B$18,KLL!H13)*SUMPRODUCT((CLASS!$E13:$H13="RES")*1,TRIB!$E13:$H13)))))</f>
        <v>0.531271975231506</v>
      </c>
      <c r="I13" s="15" t="n">
        <f aca="false">IF(IF(KLL!I13="",INPUTS!$B$18,KLL!I13)*SUMPRODUCT((CLASS!$E13:$I13="RES")*1,TRIB!$E13:$I13)&lt;400,1,MAX(IF(SUMPRODUCT((CLASS!$E13:$I13="RES")*1)&gt;=2,0.4,0.5),MIN(1,0.25+15/SQRT(IF(KLL!I13="",INPUTS!$B$18,KLL!I13)*SUMPRODUCT((CLASS!$E13:$I13="RES")*1,TRIB!$E13:$I13)))))</f>
        <v>0.479657606087313</v>
      </c>
      <c r="J13" s="15" t="n">
        <f aca="false">IF(IF(KLL!J13="",INPUTS!$B$18,KLL!J13)*SUMPRODUCT((CLASS!$E13:$J13="RES")*1,TRIB!$E13:$J13)&lt;400,1,MAX(IF(SUMPRODUCT((CLASS!$E13:$J13="RES")*1)&gt;=2,0.4,0.5),MIN(1,0.25+15/SQRT(IF(KLL!J13="",INPUTS!$B$18,KLL!J13)*SUMPRODUCT((CLASS!$E13:$J13="RES")*1,TRIB!$E13:$J13)))))</f>
        <v>0.448889321043933</v>
      </c>
      <c r="K13" s="15" t="n">
        <f aca="false">IF(IF(KLL!K13="",INPUTS!$B$18,KLL!K13)*SUMPRODUCT((CLASS!$E13:$K13="RES")*1,TRIB!$E13:$K13)&lt;400,1,MAX(IF(SUMPRODUCT((CLASS!$E13:$K13="RES")*1)&gt;=2,0.4,0.5),MIN(1,0.25+15/SQRT(IF(KLL!K13="",INPUTS!$B$18,KLL!K13)*SUMPRODUCT((CLASS!$E13:$K13="RES")*1,TRIB!$E13:$K13)))))</f>
        <v>0.40405900562833</v>
      </c>
      <c r="L13" s="15" t="n">
        <f aca="false">IF(IF(KLL!L13="",INPUTS!$B$18,KLL!L13)*SUMPRODUCT((CLASS!$E13:$L13="RES")*1,TRIB!$E13:$L13)&lt;400,1,MAX(IF(SUMPRODUCT((CLASS!$E13:$L13="RES")*1)&gt;=2,0.4,0.5),MIN(1,0.25+15/SQRT(IF(KLL!L13="",INPUTS!$B$18,KLL!L13)*SUMPRODUCT((CLASS!$E13:$L13="RES")*1,TRIB!$E13:$L13)))))</f>
        <v>0.4</v>
      </c>
      <c r="M13" s="15" t="n">
        <f aca="false">IF(IF(KLL!M13="",INPUTS!$B$18,KLL!M13)*SUMPRODUCT((CLASS!$E13:$M13="RES")*1,TRIB!$E13:$M13)&lt;400,1,MAX(IF(SUMPRODUCT((CLASS!$E13:$M13="RES")*1)&gt;=2,0.4,0.5),MIN(1,0.25+15/SQRT(IF(KLL!M13="",INPUTS!$B$18,KLL!M13)*SUMPRODUCT((CLASS!$E13:$M13="RES")*1,TRIB!$E13:$M13)))))</f>
        <v>0.4</v>
      </c>
      <c r="N13" s="15" t="n">
        <f aca="false">IF(IF(KLL!N13="",INPUTS!$B$18,KLL!N13)*SUMPRODUCT((CLASS!$E13:$N13="RES")*1,TRIB!$E13:$N13)&lt;400,1,MAX(IF(SUMPRODUCT((CLASS!$E13:$N13="RES")*1)&gt;=2,0.4,0.5),MIN(1,0.25+15/SQRT(IF(KLL!N13="",INPUTS!$B$18,KLL!N13)*SUMPRODUCT((CLASS!$E13:$N13="RES")*1,TRIB!$E13:$N13)))))</f>
        <v>0.4</v>
      </c>
      <c r="O13" s="15" t="n">
        <f aca="false">IF(IF(KLL!O13="",INPUTS!$B$18,KLL!O13)*SUMPRODUCT((CLASS!$E13:$O13="RES")*1,TRIB!$E13:$O13)&lt;400,1,MAX(IF(SUMPRODUCT((CLASS!$E13:$O13="RES")*1)&gt;=2,0.4,0.5),MIN(1,0.25+15/SQRT(IF(KLL!O13="",INPUTS!$B$18,KLL!O13)*SUMPRODUCT((CLASS!$E13:$O13="RES")*1,TRIB!$E13:$O13)))))</f>
        <v>0.4</v>
      </c>
      <c r="P13" s="15" t="n">
        <f aca="false">IF(IF(KLL!P13="",INPUTS!$B$18,KLL!P13)*SUMPRODUCT((CLASS!$E13:$P13="RES")*1,TRIB!$E13:$P13)&lt;400,1,MAX(IF(SUMPRODUCT((CLASS!$E13:$P13="RES")*1)&gt;=2,0.4,0.5),MIN(1,0.25+15/SQRT(IF(KLL!P13="",INPUTS!$B$18,KLL!P13)*SUMPRODUCT((CLASS!$E13:$P13="RES")*1,TRIB!$E13:$P13)))))</f>
        <v>0.4</v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15" t="n">
        <f aca="false">IF(IF(KLL!E14="",INPUTS!$B$18,KLL!E14)*SUMPRODUCT((CLASS!$E14:$E14="RES")*1,TRIB!$E14:$E14)&lt;400,1,MAX(IF(SUMPRODUCT((CLASS!$E14:$E14="RES")*1)&gt;=2,0.4,0.5),MIN(1,0.25+15/SQRT(IF(KLL!E14="",INPUTS!$B$18,KLL!E14)*SUMPRODUCT((CLASS!$E14:$E14="RES")*1,TRIB!$E14:$E14)))))</f>
        <v>1</v>
      </c>
      <c r="F14" s="15" t="n">
        <f aca="false">IF(IF(KLL!F14="",INPUTS!$B$18,KLL!F14)*SUMPRODUCT((CLASS!$E14:$F14="RES")*1,TRIB!$E14:$F14)&lt;400,1,MAX(IF(SUMPRODUCT((CLASS!$E14:$F14="RES")*1)&gt;=2,0.4,0.5),MIN(1,0.25+15/SQRT(IF(KLL!F14="",INPUTS!$B$18,KLL!F14)*SUMPRODUCT((CLASS!$E14:$F14="RES")*1,TRIB!$E14:$F14)))))</f>
        <v>1</v>
      </c>
      <c r="G14" s="15" t="n">
        <f aca="false">IF(IF(KLL!G14="",INPUTS!$B$18,KLL!G14)*SUMPRODUCT((CLASS!$E14:$G14="RES")*1,TRIB!$E14:$G14)&lt;400,1,MAX(IF(SUMPRODUCT((CLASS!$E14:$G14="RES")*1)&gt;=2,0.4,0.5),MIN(1,0.25+15/SQRT(IF(KLL!G14="",INPUTS!$B$18,KLL!G14)*SUMPRODUCT((CLASS!$E14:$G14="RES")*1,TRIB!$E14:$G14)))))</f>
        <v>0.756803033799614</v>
      </c>
      <c r="H14" s="15" t="n">
        <f aca="false">IF(IF(KLL!H14="",INPUTS!$B$18,KLL!H14)*SUMPRODUCT((CLASS!$E14:$H14="RES")*1,TRIB!$E14:$H14)&lt;400,1,MAX(IF(SUMPRODUCT((CLASS!$E14:$H14="RES")*1)&gt;=2,0.4,0.5),MIN(1,0.25+15/SQRT(IF(KLL!H14="",INPUTS!$B$18,KLL!H14)*SUMPRODUCT((CLASS!$E14:$H14="RES")*1,TRIB!$E14:$H14)))))</f>
        <v>0.608363861925622</v>
      </c>
      <c r="I14" s="15" t="n">
        <f aca="false">IF(IF(KLL!I14="",INPUTS!$B$18,KLL!I14)*SUMPRODUCT((CLASS!$E14:$I14="RES")*1,TRIB!$E14:$I14)&lt;400,1,MAX(IF(SUMPRODUCT((CLASS!$E14:$I14="RES")*1)&gt;=2,0.4,0.5),MIN(1,0.25+15/SQRT(IF(KLL!I14="",INPUTS!$B$18,KLL!I14)*SUMPRODUCT((CLASS!$E14:$I14="RES")*1,TRIB!$E14:$I14)))))</f>
        <v>0.542602867990326</v>
      </c>
      <c r="J14" s="15" t="n">
        <f aca="false">IF(IF(KLL!J14="",INPUTS!$B$18,KLL!J14)*SUMPRODUCT((CLASS!$E14:$J14="RES")*1,TRIB!$E14:$J14)&lt;400,1,MAX(IF(SUMPRODUCT((CLASS!$E14:$J14="RES")*1)&gt;=2,0.4,0.5),MIN(1,0.25+15/SQRT(IF(KLL!J14="",INPUTS!$B$18,KLL!J14)*SUMPRODUCT((CLASS!$E14:$J14="RES")*1,TRIB!$E14:$J14)))))</f>
        <v>0.503401516899807</v>
      </c>
      <c r="K14" s="15" t="n">
        <f aca="false">IF(IF(KLL!K14="",INPUTS!$B$18,KLL!K14)*SUMPRODUCT((CLASS!$E14:$K14="RES")*1,TRIB!$E14:$K14)&lt;400,1,MAX(IF(SUMPRODUCT((CLASS!$E14:$K14="RES")*1)&gt;=2,0.4,0.5),MIN(1,0.25+15/SQRT(IF(KLL!K14="",INPUTS!$B$18,KLL!K14)*SUMPRODUCT((CLASS!$E14:$K14="RES")*1,TRIB!$E14:$K14)))))</f>
        <v>0.477429413073671</v>
      </c>
      <c r="L14" s="15" t="n">
        <f aca="false">IF(IF(KLL!L14="",INPUTS!$B$18,KLL!L14)*SUMPRODUCT((CLASS!$E14:$L14="RES")*1,TRIB!$E14:$L14)&lt;400,1,MAX(IF(SUMPRODUCT((CLASS!$E14:$L14="RES")*1)&gt;=2,0.4,0.5),MIN(1,0.25+15/SQRT(IF(KLL!L14="",INPUTS!$B$18,KLL!L14)*SUMPRODUCT((CLASS!$E14:$L14="RES")*1,TRIB!$E14:$L14)))))</f>
        <v>0.458092624606699</v>
      </c>
      <c r="M14" s="15" t="n">
        <f aca="false">IF(IF(KLL!M14="",INPUTS!$B$18,KLL!M14)*SUMPRODUCT((CLASS!$E14:$M14="RES")*1,TRIB!$E14:$M14)&lt;400,1,MAX(IF(SUMPRODUCT((CLASS!$E14:$M14="RES")*1)&gt;=2,0.4,0.5),MIN(1,0.25+15/SQRT(IF(KLL!M14="",INPUTS!$B$18,KLL!M14)*SUMPRODUCT((CLASS!$E14:$M14="RES")*1,TRIB!$E14:$M14)))))</f>
        <v>0.442974932897803</v>
      </c>
      <c r="N14" s="15" t="n">
        <f aca="false">IF(IF(KLL!N14="",INPUTS!$B$18,KLL!N14)*SUMPRODUCT((CLASS!$E14:$N14="RES")*1,TRIB!$E14:$N14)&lt;400,1,MAX(IF(SUMPRODUCT((CLASS!$E14:$N14="RES")*1)&gt;=2,0.4,0.5),MIN(1,0.25+15/SQRT(IF(KLL!N14="",INPUTS!$B$18,KLL!N14)*SUMPRODUCT((CLASS!$E14:$N14="RES")*1,TRIB!$E14:$N14)))))</f>
        <v>0.430736009766955</v>
      </c>
      <c r="O14" s="15" t="n">
        <f aca="false">IF(IF(KLL!O14="",INPUTS!$B$18,KLL!O14)*SUMPRODUCT((CLASS!$E14:$O14="RES")*1,TRIB!$E14:$O14)&lt;400,1,MAX(IF(SUMPRODUCT((CLASS!$E14:$O14="RES")*1)&gt;=2,0.4,0.5),MIN(1,0.25+15/SQRT(IF(KLL!O14="",INPUTS!$B$18,KLL!O14)*SUMPRODUCT((CLASS!$E14:$O14="RES")*1,TRIB!$E14:$O14)))))</f>
        <v>0.420564708036623</v>
      </c>
      <c r="P14" s="15" t="n">
        <f aca="false">IF(IF(KLL!P14="",INPUTS!$B$18,KLL!P14)*SUMPRODUCT((CLASS!$E14:$P14="RES")*1,TRIB!$E14:$P14)&lt;400,1,MAX(IF(SUMPRODUCT((CLASS!$E14:$P14="RES")*1)&gt;=2,0.4,0.5),MIN(1,0.25+15/SQRT(IF(KLL!P14="",INPUTS!$B$18,KLL!P14)*SUMPRODUCT((CLASS!$E14:$P14="RES")*1,TRIB!$E14:$P14)))))</f>
        <v>0.411937568907824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15" t="n">
        <f aca="false">IF(IF(KLL!E15="",INPUTS!$B$18,KLL!E15)*SUMPRODUCT((CLASS!$E15:$E15="RES")*1,TRIB!$E15:$E15)&lt;400,1,MAX(IF(SUMPRODUCT((CLASS!$E15:$E15="RES")*1)&gt;=2,0.4,0.5),MIN(1,0.25+15/SQRT(IF(KLL!E15="",INPUTS!$B$18,KLL!E15)*SUMPRODUCT((CLASS!$E15:$E15="RES")*1,TRIB!$E15:$E15)))))</f>
        <v>1</v>
      </c>
      <c r="F15" s="15" t="n">
        <f aca="false">IF(IF(KLL!F15="",INPUTS!$B$18,KLL!F15)*SUMPRODUCT((CLASS!$E15:$F15="RES")*1,TRIB!$E15:$F15)&lt;400,1,MAX(IF(SUMPRODUCT((CLASS!$E15:$F15="RES")*1)&gt;=2,0.4,0.5),MIN(1,0.25+15/SQRT(IF(KLL!F15="",INPUTS!$B$18,KLL!F15)*SUMPRODUCT((CLASS!$E15:$F15="RES")*1,TRIB!$E15:$F15)))))</f>
        <v>1</v>
      </c>
      <c r="G15" s="15" t="n">
        <f aca="false">IF(IF(KLL!G15="",INPUTS!$B$18,KLL!G15)*SUMPRODUCT((CLASS!$E15:$G15="RES")*1,TRIB!$E15:$G15)&lt;400,1,MAX(IF(SUMPRODUCT((CLASS!$E15:$G15="RES")*1)&gt;=2,0.4,0.5),MIN(1,0.25+15/SQRT(IF(KLL!G15="",INPUTS!$B$18,KLL!G15)*SUMPRODUCT((CLASS!$E15:$G15="RES")*1,TRIB!$E15:$G15)))))</f>
        <v>0.784014140881678</v>
      </c>
      <c r="H15" s="15" t="n">
        <f aca="false">IF(IF(KLL!H15="",INPUTS!$B$18,KLL!H15)*SUMPRODUCT((CLASS!$E15:$H15="RES")*1,TRIB!$E15:$H15)&lt;400,1,MAX(IF(SUMPRODUCT((CLASS!$E15:$H15="RES")*1)&gt;=2,0.4,0.5),MIN(1,0.25+15/SQRT(IF(KLL!H15="",INPUTS!$B$18,KLL!H15)*SUMPRODUCT((CLASS!$E15:$H15="RES")*1,TRIB!$E15:$H15)))))</f>
        <v>0.627605020266943</v>
      </c>
      <c r="I15" s="15" t="n">
        <f aca="false">IF(IF(KLL!I15="",INPUTS!$B$18,KLL!I15)*SUMPRODUCT((CLASS!$E15:$I15="RES")*1,TRIB!$E15:$I15)&lt;400,1,MAX(IF(SUMPRODUCT((CLASS!$E15:$I15="RES")*1)&gt;=2,0.4,0.5),MIN(1,0.25+15/SQRT(IF(KLL!I15="",INPUTS!$B$18,KLL!I15)*SUMPRODUCT((CLASS!$E15:$I15="RES")*1,TRIB!$E15:$I15)))))</f>
        <v>0.558313207989104</v>
      </c>
      <c r="J15" s="15" t="n">
        <f aca="false">IF(IF(KLL!J15="",INPUTS!$B$18,KLL!J15)*SUMPRODUCT((CLASS!$E15:$J15="RES")*1,TRIB!$E15:$J15)&lt;400,1,MAX(IF(SUMPRODUCT((CLASS!$E15:$J15="RES")*1)&gt;=2,0.4,0.5),MIN(1,0.25+15/SQRT(IF(KLL!J15="",INPUTS!$B$18,KLL!J15)*SUMPRODUCT((CLASS!$E15:$J15="RES")*1,TRIB!$E15:$J15)))))</f>
        <v>0.517007070440839</v>
      </c>
      <c r="K15" s="15" t="n">
        <f aca="false">IF(IF(KLL!K15="",INPUTS!$B$18,KLL!K15)*SUMPRODUCT((CLASS!$E15:$K15="RES")*1,TRIB!$E15:$K15)&lt;400,1,MAX(IF(SUMPRODUCT((CLASS!$E15:$K15="RES")*1)&gt;=2,0.4,0.5),MIN(1,0.25+15/SQRT(IF(KLL!K15="",INPUTS!$B$18,KLL!K15)*SUMPRODUCT((CLASS!$E15:$K15="RES")*1,TRIB!$E15:$K15)))))</f>
        <v>0.488818383991516</v>
      </c>
      <c r="L15" s="15" t="n">
        <f aca="false">IF(IF(KLL!L15="",INPUTS!$B$18,KLL!L15)*SUMPRODUCT((CLASS!$E15:$L15="RES")*1,TRIB!$E15:$L15)&lt;400,1,MAX(IF(SUMPRODUCT((CLASS!$E15:$L15="RES")*1)&gt;=2,0.4,0.5),MIN(1,0.25+15/SQRT(IF(KLL!L15="",INPUTS!$B$18,KLL!L15)*SUMPRODUCT((CLASS!$E15:$L15="RES")*1,TRIB!$E15:$L15)))))</f>
        <v>0.468010360098474</v>
      </c>
      <c r="M15" s="15" t="n">
        <f aca="false">IF(IF(KLL!M15="",INPUTS!$B$18,KLL!M15)*SUMPRODUCT((CLASS!$E15:$M15="RES")*1,TRIB!$E15:$M15)&lt;400,1,MAX(IF(SUMPRODUCT((CLASS!$E15:$M15="RES")*1)&gt;=2,0.4,0.5),MIN(1,0.25+15/SQRT(IF(KLL!M15="",INPUTS!$B$18,KLL!M15)*SUMPRODUCT((CLASS!$E15:$M15="RES")*1,TRIB!$E15:$M15)))))</f>
        <v>0.451838373337819</v>
      </c>
      <c r="N15" s="15" t="n">
        <f aca="false">IF(IF(KLL!N15="",INPUTS!$B$18,KLL!N15)*SUMPRODUCT((CLASS!$E15:$N15="RES")*1,TRIB!$E15:$N15)&lt;400,1,MAX(IF(SUMPRODUCT((CLASS!$E15:$N15="RES")*1)&gt;=2,0.4,0.5),MIN(1,0.25+15/SQRT(IF(KLL!N15="",INPUTS!$B$18,KLL!N15)*SUMPRODUCT((CLASS!$E15:$N15="RES")*1,TRIB!$E15:$N15)))))</f>
        <v>0.438802510133472</v>
      </c>
      <c r="O15" s="15" t="n">
        <f aca="false">IF(IF(KLL!O15="",INPUTS!$B$18,KLL!O15)*SUMPRODUCT((CLASS!$E15:$O15="RES")*1,TRIB!$E15:$O15)&lt;400,1,MAX(IF(SUMPRODUCT((CLASS!$E15:$O15="RES")*1)&gt;=2,0.4,0.5),MIN(1,0.25+15/SQRT(IF(KLL!O15="",INPUTS!$B$18,KLL!O15)*SUMPRODUCT((CLASS!$E15:$O15="RES")*1,TRIB!$E15:$O15)))))</f>
        <v>0.428004713627226</v>
      </c>
      <c r="P15" s="15" t="n">
        <f aca="false">IF(IF(KLL!P15="",INPUTS!$B$18,KLL!P15)*SUMPRODUCT((CLASS!$E15:$P15="RES")*1,TRIB!$E15:$P15)&lt;400,1,MAX(IF(SUMPRODUCT((CLASS!$E15:$P15="RES")*1)&gt;=2,0.4,0.5),MIN(1,0.25+15/SQRT(IF(KLL!P15="",INPUTS!$B$18,KLL!P15)*SUMPRODUCT((CLASS!$E15:$P15="RES")*1,TRIB!$E15:$P15)))))</f>
        <v>0.418870098792414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15" t="n">
        <f aca="false">IF(IF(KLL!E16="",INPUTS!$B$18,KLL!E16)*SUMPRODUCT((CLASS!$E16:$E16="RES")*1,TRIB!$E16:$E16)&lt;400,1,MAX(IF(SUMPRODUCT((CLASS!$E16:$E16="RES")*1)&gt;=2,0.4,0.5),MIN(1,0.25+15/SQRT(IF(KLL!E16="",INPUTS!$B$18,KLL!E16)*SUMPRODUCT((CLASS!$E16:$E16="RES")*1,TRIB!$E16:$E16)))))</f>
        <v>1</v>
      </c>
      <c r="F16" s="15" t="n">
        <f aca="false">IF(IF(KLL!F16="",INPUTS!$B$18,KLL!F16)*SUMPRODUCT((CLASS!$E16:$F16="RES")*1,TRIB!$E16:$F16)&lt;400,1,MAX(IF(SUMPRODUCT((CLASS!$E16:$F16="RES")*1)&gt;=2,0.4,0.5),MIN(1,0.25+15/SQRT(IF(KLL!F16="",INPUTS!$B$18,KLL!F16)*SUMPRODUCT((CLASS!$E16:$F16="RES")*1,TRIB!$E16:$F16)))))</f>
        <v>1</v>
      </c>
      <c r="G16" s="15" t="n">
        <f aca="false">IF(IF(KLL!G16="",INPUTS!$B$18,KLL!G16)*SUMPRODUCT((CLASS!$E16:$G16="RES")*1,TRIB!$E16:$G16)&lt;400,1,MAX(IF(SUMPRODUCT((CLASS!$E16:$G16="RES")*1)&gt;=2,0.4,0.5),MIN(1,0.25+15/SQRT(IF(KLL!G16="",INPUTS!$B$18,KLL!G16)*SUMPRODUCT((CLASS!$E16:$G16="RES")*1,TRIB!$E16:$G16)))))</f>
        <v>0.709638559776922</v>
      </c>
      <c r="H16" s="15" t="n">
        <f aca="false">IF(IF(KLL!H16="",INPUTS!$B$18,KLL!H16)*SUMPRODUCT((CLASS!$E16:$H16="RES")*1,TRIB!$E16:$H16)&lt;400,1,MAX(IF(SUMPRODUCT((CLASS!$E16:$H16="RES")*1)&gt;=2,0.4,0.5),MIN(1,0.25+15/SQRT(IF(KLL!H16="",INPUTS!$B$18,KLL!H16)*SUMPRODUCT((CLASS!$E16:$H16="RES")*1,TRIB!$E16:$H16)))))</f>
        <v>0.57501354251308</v>
      </c>
      <c r="I16" s="15" t="n">
        <f aca="false">IF(IF(KLL!I16="",INPUTS!$B$18,KLL!I16)*SUMPRODUCT((CLASS!$E16:$I16="RES")*1,TRIB!$E16:$I16)&lt;400,1,MAX(IF(SUMPRODUCT((CLASS!$E16:$I16="RES")*1)&gt;=2,0.4,0.5),MIN(1,0.25+15/SQRT(IF(KLL!I16="",INPUTS!$B$18,KLL!I16)*SUMPRODUCT((CLASS!$E16:$I16="RES")*1,TRIB!$E16:$I16)))))</f>
        <v>0.515372446217138</v>
      </c>
      <c r="J16" s="15" t="n">
        <f aca="false">IF(IF(KLL!J16="",INPUTS!$B$18,KLL!J16)*SUMPRODUCT((CLASS!$E16:$J16="RES")*1,TRIB!$E16:$J16)&lt;400,1,MAX(IF(SUMPRODUCT((CLASS!$E16:$J16="RES")*1)&gt;=2,0.4,0.5),MIN(1,0.25+15/SQRT(IF(KLL!J16="",INPUTS!$B$18,KLL!J16)*SUMPRODUCT((CLASS!$E16:$J16="RES")*1,TRIB!$E16:$J16)))))</f>
        <v>0.479819279888461</v>
      </c>
      <c r="K16" s="15" t="n">
        <f aca="false">IF(IF(KLL!K16="",INPUTS!$B$18,KLL!K16)*SUMPRODUCT((CLASS!$E16:$K16="RES")*1,TRIB!$E16:$K16)&lt;400,1,MAX(IF(SUMPRODUCT((CLASS!$E16:$K16="RES")*1)&gt;=2,0.4,0.5),MIN(1,0.25+15/SQRT(IF(KLL!K16="",INPUTS!$B$18,KLL!K16)*SUMPRODUCT((CLASS!$E16:$K16="RES")*1,TRIB!$E16:$K16)))))</f>
        <v>0.428017248729078</v>
      </c>
      <c r="L16" s="15" t="n">
        <f aca="false">IF(IF(KLL!L16="",INPUTS!$B$18,KLL!L16)*SUMPRODUCT((CLASS!$E16:$L16="RES")*1,TRIB!$E16:$L16)&lt;400,1,MAX(IF(SUMPRODUCT((CLASS!$E16:$L16="RES")*1)&gt;=2,0.4,0.5),MIN(1,0.25+15/SQRT(IF(KLL!L16="",INPUTS!$B$18,KLL!L16)*SUMPRODUCT((CLASS!$E16:$L16="RES")*1,TRIB!$E16:$L16)))))</f>
        <v>0.41250677125654</v>
      </c>
      <c r="M16" s="15" t="n">
        <f aca="false">IF(IF(KLL!M16="",INPUTS!$B$18,KLL!M16)*SUMPRODUCT((CLASS!$E16:$M16="RES")*1,TRIB!$E16:$M16)&lt;400,1,MAX(IF(SUMPRODUCT((CLASS!$E16:$M16="RES")*1)&gt;=2,0.4,0.5),MIN(1,0.25+15/SQRT(IF(KLL!M16="",INPUTS!$B$18,KLL!M16)*SUMPRODUCT((CLASS!$E16:$M16="RES")*1,TRIB!$E16:$M16)))))</f>
        <v>0.400452035178445</v>
      </c>
      <c r="N16" s="15" t="n">
        <f aca="false">IF(IF(KLL!N16="",INPUTS!$B$18,KLL!N16)*SUMPRODUCT((CLASS!$E16:$N16="RES")*1,TRIB!$E16:$N16)&lt;400,1,MAX(IF(SUMPRODUCT((CLASS!$E16:$N16="RES")*1)&gt;=2,0.4,0.5),MIN(1,0.25+15/SQRT(IF(KLL!N16="",INPUTS!$B$18,KLL!N16)*SUMPRODUCT((CLASS!$E16:$N16="RES")*1,TRIB!$E16:$N16)))))</f>
        <v>0.4</v>
      </c>
      <c r="O16" s="15" t="n">
        <f aca="false">IF(IF(KLL!O16="",INPUTS!$B$18,KLL!O16)*SUMPRODUCT((CLASS!$E16:$O16="RES")*1,TRIB!$E16:$O16)&lt;400,1,MAX(IF(SUMPRODUCT((CLASS!$E16:$O16="RES")*1)&gt;=2,0.4,0.5),MIN(1,0.25+15/SQRT(IF(KLL!O16="",INPUTS!$B$18,KLL!O16)*SUMPRODUCT((CLASS!$E16:$O16="RES")*1,TRIB!$E16:$O16)))))</f>
        <v>0.4</v>
      </c>
      <c r="P16" s="15" t="n">
        <f aca="false">IF(IF(KLL!P16="",INPUTS!$B$18,KLL!P16)*SUMPRODUCT((CLASS!$E16:$P16="RES")*1,TRIB!$E16:$P16)&lt;400,1,MAX(IF(SUMPRODUCT((CLASS!$E16:$P16="RES")*1)&gt;=2,0.4,0.5),MIN(1,0.25+15/SQRT(IF(KLL!P16="",INPUTS!$B$18,KLL!P16)*SUMPRODUCT((CLASS!$E16:$P16="RES")*1,TRIB!$E16:$P16)))))</f>
        <v>0.4</v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15" t="n">
        <f aca="false">IF(IF(KLL!E17="",INPUTS!$B$18,KLL!E17)*SUMPRODUCT((CLASS!$E17:$E17="RES")*1,TRIB!$E17:$E17)&lt;400,1,MAX(IF(SUMPRODUCT((CLASS!$E17:$E17="RES")*1)&gt;=2,0.4,0.5),MIN(1,0.25+15/SQRT(IF(KLL!E17="",INPUTS!$B$18,KLL!E17)*SUMPRODUCT((CLASS!$E17:$E17="RES")*1,TRIB!$E17:$E17)))))</f>
        <v>1</v>
      </c>
      <c r="F17" s="15" t="n">
        <f aca="false">IF(IF(KLL!F17="",INPUTS!$B$18,KLL!F17)*SUMPRODUCT((CLASS!$E17:$F17="RES")*1,TRIB!$E17:$F17)&lt;400,1,MAX(IF(SUMPRODUCT((CLASS!$E17:$F17="RES")*1)&gt;=2,0.4,0.5),MIN(1,0.25+15/SQRT(IF(KLL!F17="",INPUTS!$B$18,KLL!F17)*SUMPRODUCT((CLASS!$E17:$F17="RES")*1,TRIB!$E17:$F17)))))</f>
        <v>1</v>
      </c>
      <c r="G17" s="15" t="n">
        <f aca="false">IF(IF(KLL!G17="",INPUTS!$B$18,KLL!G17)*SUMPRODUCT((CLASS!$E17:$G17="RES")*1,TRIB!$E17:$G17)&lt;400,1,MAX(IF(SUMPRODUCT((CLASS!$E17:$G17="RES")*1)&gt;=2,0.4,0.5),MIN(1,0.25+15/SQRT(IF(KLL!G17="",INPUTS!$B$18,KLL!G17)*SUMPRODUCT((CLASS!$E17:$G17="RES")*1,TRIB!$E17:$G17)))))</f>
        <v>0.743463771219827</v>
      </c>
      <c r="H17" s="15" t="n">
        <f aca="false">IF(IF(KLL!H17="",INPUTS!$B$18,KLL!H17)*SUMPRODUCT((CLASS!$E17:$H17="RES")*1,TRIB!$E17:$H17)&lt;400,1,MAX(IF(SUMPRODUCT((CLASS!$E17:$H17="RES")*1)&gt;=2,0.4,0.5),MIN(1,0.25+15/SQRT(IF(KLL!H17="",INPUTS!$B$18,KLL!H17)*SUMPRODUCT((CLASS!$E17:$H17="RES")*1,TRIB!$E17:$H17)))))</f>
        <v>0.598931578899427</v>
      </c>
      <c r="I17" s="15" t="n">
        <f aca="false">IF(IF(KLL!I17="",INPUTS!$B$18,KLL!I17)*SUMPRODUCT((CLASS!$E17:$I17="RES")*1,TRIB!$E17:$I17)&lt;400,1,MAX(IF(SUMPRODUCT((CLASS!$E17:$I17="RES")*1)&gt;=2,0.4,0.5),MIN(1,0.25+15/SQRT(IF(KLL!I17="",INPUTS!$B$18,KLL!I17)*SUMPRODUCT((CLASS!$E17:$I17="RES")*1,TRIB!$E17:$I17)))))</f>
        <v>0.534901441149095</v>
      </c>
      <c r="J17" s="15" t="n">
        <f aca="false">IF(IF(KLL!J17="",INPUTS!$B$18,KLL!J17)*SUMPRODUCT((CLASS!$E17:$J17="RES")*1,TRIB!$E17:$J17)&lt;400,1,MAX(IF(SUMPRODUCT((CLASS!$E17:$J17="RES")*1)&gt;=2,0.4,0.5),MIN(1,0.25+15/SQRT(IF(KLL!J17="",INPUTS!$B$18,KLL!J17)*SUMPRODUCT((CLASS!$E17:$J17="RES")*1,TRIB!$E17:$J17)))))</f>
        <v>0.496731885609913</v>
      </c>
      <c r="K17" s="15" t="n">
        <f aca="false">IF(IF(KLL!K17="",INPUTS!$B$18,KLL!K17)*SUMPRODUCT((CLASS!$E17:$K17="RES")*1,TRIB!$E17:$K17)&lt;400,1,MAX(IF(SUMPRODUCT((CLASS!$E17:$K17="RES")*1)&gt;=2,0.4,0.5),MIN(1,0.25+15/SQRT(IF(KLL!K17="",INPUTS!$B$18,KLL!K17)*SUMPRODUCT((CLASS!$E17:$K17="RES")*1,TRIB!$E17:$K17)))))</f>
        <v>0.470683707376187</v>
      </c>
      <c r="L17" s="15" t="n">
        <f aca="false">IF(IF(KLL!L17="",INPUTS!$B$18,KLL!L17)*SUMPRODUCT((CLASS!$E17:$L17="RES")*1,TRIB!$E17:$L17)&lt;400,1,MAX(IF(SUMPRODUCT((CLASS!$E17:$L17="RES")*1)&gt;=2,0.4,0.5),MIN(1,0.25+15/SQRT(IF(KLL!L17="",INPUTS!$B$18,KLL!L17)*SUMPRODUCT((CLASS!$E17:$L17="RES")*1,TRIB!$E17:$L17)))))</f>
        <v>0.451455741006345</v>
      </c>
      <c r="M17" s="15" t="n">
        <f aca="false">IF(IF(KLL!M17="",INPUTS!$B$18,KLL!M17)*SUMPRODUCT((CLASS!$E17:$M17="RES")*1,TRIB!$E17:$M17)&lt;400,1,MAX(IF(SUMPRODUCT((CLASS!$E17:$M17="RES")*1)&gt;=2,0.4,0.5),MIN(1,0.25+15/SQRT(IF(KLL!M17="",INPUTS!$B$18,KLL!M17)*SUMPRODUCT((CLASS!$E17:$M17="RES")*1,TRIB!$E17:$M17)))))</f>
        <v>0.436511774238248</v>
      </c>
      <c r="N17" s="15" t="n">
        <f aca="false">IF(IF(KLL!N17="",INPUTS!$B$18,KLL!N17)*SUMPRODUCT((CLASS!$E17:$N17="RES")*1,TRIB!$E17:$N17)&lt;400,1,MAX(IF(SUMPRODUCT((CLASS!$E17:$N17="RES")*1)&gt;=2,0.4,0.5),MIN(1,0.25+15/SQRT(IF(KLL!N17="",INPUTS!$B$18,KLL!N17)*SUMPRODUCT((CLASS!$E17:$N17="RES")*1,TRIB!$E17:$N17)))))</f>
        <v>0.424465789449713</v>
      </c>
      <c r="O17" s="15" t="n">
        <f aca="false">IF(IF(KLL!O17="",INPUTS!$B$18,KLL!O17)*SUMPRODUCT((CLASS!$E17:$O17="RES")*1,TRIB!$E17:$O17)&lt;400,1,MAX(IF(SUMPRODUCT((CLASS!$E17:$O17="RES")*1)&gt;=2,0.4,0.5),MIN(1,0.25+15/SQRT(IF(KLL!O17="",INPUTS!$B$18,KLL!O17)*SUMPRODUCT((CLASS!$E17:$O17="RES")*1,TRIB!$E17:$O17)))))</f>
        <v>0.414487923739942</v>
      </c>
      <c r="P17" s="15" t="n">
        <f aca="false">IF(IF(KLL!P17="",INPUTS!$B$18,KLL!P17)*SUMPRODUCT((CLASS!$E17:$P17="RES")*1,TRIB!$E17:$P17)&lt;400,1,MAX(IF(SUMPRODUCT((CLASS!$E17:$P17="RES")*1)&gt;=2,0.4,0.5),MIN(1,0.25+15/SQRT(IF(KLL!P17="",INPUTS!$B$18,KLL!P17)*SUMPRODUCT((CLASS!$E17:$P17="RES")*1,TRIB!$E17:$P17)))))</f>
        <v>0.40604694598309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15" t="n">
        <f aca="false">IF(IF(KLL!E18="",INPUTS!$B$18,KLL!E18)*SUMPRODUCT((CLASS!$E18:$E18="RES")*1,TRIB!$E18:$E18)&lt;400,1,MAX(IF(SUMPRODUCT((CLASS!$E18:$E18="RES")*1)&gt;=2,0.4,0.5),MIN(1,0.25+15/SQRT(IF(KLL!E18="",INPUTS!$B$18,KLL!E18)*SUMPRODUCT((CLASS!$E18:$E18="RES")*1,TRIB!$E18:$E18)))))</f>
        <v>1</v>
      </c>
      <c r="F18" s="15" t="n">
        <f aca="false">IF(IF(KLL!F18="",INPUTS!$B$18,KLL!F18)*SUMPRODUCT((CLASS!$E18:$F18="RES")*1,TRIB!$E18:$F18)&lt;400,1,MAX(IF(SUMPRODUCT((CLASS!$E18:$F18="RES")*1)&gt;=2,0.4,0.5),MIN(1,0.25+15/SQRT(IF(KLL!F18="",INPUTS!$B$18,KLL!F18)*SUMPRODUCT((CLASS!$E18:$F18="RES")*1,TRIB!$E18:$F18)))))</f>
        <v>1</v>
      </c>
      <c r="G18" s="15" t="n">
        <f aca="false">IF(IF(KLL!G18="",INPUTS!$B$18,KLL!G18)*SUMPRODUCT((CLASS!$E18:$G18="RES")*1,TRIB!$E18:$G18)&lt;400,1,MAX(IF(SUMPRODUCT((CLASS!$E18:$G18="RES")*1)&gt;=2,0.4,0.5),MIN(1,0.25+15/SQRT(IF(KLL!G18="",INPUTS!$B$18,KLL!G18)*SUMPRODUCT((CLASS!$E18:$G18="RES")*1,TRIB!$E18:$G18)))))</f>
        <v>0.701446949071635</v>
      </c>
      <c r="H18" s="15" t="n">
        <f aca="false">IF(IF(KLL!H18="",INPUTS!$B$18,KLL!H18)*SUMPRODUCT((CLASS!$E18:$H18="RES")*1,TRIB!$E18:$H18)&lt;400,1,MAX(IF(SUMPRODUCT((CLASS!$E18:$H18="RES")*1)&gt;=2,0.4,0.5),MIN(1,0.25+15/SQRT(IF(KLL!H18="",INPUTS!$B$18,KLL!H18)*SUMPRODUCT((CLASS!$E18:$H18="RES")*1,TRIB!$E18:$H18)))))</f>
        <v>0.569221199034531</v>
      </c>
      <c r="I18" s="15" t="n">
        <f aca="false">IF(IF(KLL!I18="",INPUTS!$B$18,KLL!I18)*SUMPRODUCT((CLASS!$E18:$I18="RES")*1,TRIB!$E18:$I18)&lt;400,1,MAX(IF(SUMPRODUCT((CLASS!$E18:$I18="RES")*1)&gt;=2,0.4,0.5),MIN(1,0.25+15/SQRT(IF(KLL!I18="",INPUTS!$B$18,KLL!I18)*SUMPRODUCT((CLASS!$E18:$I18="RES")*1,TRIB!$E18:$I18)))))</f>
        <v>0.510643017571343</v>
      </c>
      <c r="J18" s="15" t="n">
        <f aca="false">IF(IF(KLL!J18="",INPUTS!$B$18,KLL!J18)*SUMPRODUCT((CLASS!$E18:$J18="RES")*1,TRIB!$E18:$J18)&lt;400,1,MAX(IF(SUMPRODUCT((CLASS!$E18:$J18="RES")*1)&gt;=2,0.4,0.5),MIN(1,0.25+15/SQRT(IF(KLL!J18="",INPUTS!$B$18,KLL!J18)*SUMPRODUCT((CLASS!$E18:$J18="RES")*1,TRIB!$E18:$J18)))))</f>
        <v>0.475723474535817</v>
      </c>
      <c r="K18" s="15" t="n">
        <f aca="false">IF(IF(KLL!K18="",INPUTS!$B$18,KLL!K18)*SUMPRODUCT((CLASS!$E18:$K18="RES")*1,TRIB!$E18:$K18)&lt;400,1,MAX(IF(SUMPRODUCT((CLASS!$E18:$K18="RES")*1)&gt;=2,0.4,0.5),MIN(1,0.25+15/SQRT(IF(KLL!K18="",INPUTS!$B$18,KLL!K18)*SUMPRODUCT((CLASS!$E18:$K18="RES")*1,TRIB!$E18:$K18)))))</f>
        <v>0.424844651545059</v>
      </c>
      <c r="L18" s="15" t="n">
        <f aca="false">IF(IF(KLL!L18="",INPUTS!$B$18,KLL!L18)*SUMPRODUCT((CLASS!$E18:$L18="RES")*1,TRIB!$E18:$L18)&lt;400,1,MAX(IF(SUMPRODUCT((CLASS!$E18:$L18="RES")*1)&gt;=2,0.4,0.5),MIN(1,0.25+15/SQRT(IF(KLL!L18="",INPUTS!$B$18,KLL!L18)*SUMPRODUCT((CLASS!$E18:$L18="RES")*1,TRIB!$E18:$L18)))))</f>
        <v>0.409610599517265</v>
      </c>
      <c r="M18" s="15" t="n">
        <f aca="false">IF(IF(KLL!M18="",INPUTS!$B$18,KLL!M18)*SUMPRODUCT((CLASS!$E18:$M18="RES")*1,TRIB!$E18:$M18)&lt;400,1,MAX(IF(SUMPRODUCT((CLASS!$E18:$M18="RES")*1)&gt;=2,0.4,0.5),MIN(1,0.25+15/SQRT(IF(KLL!M18="",INPUTS!$B$18,KLL!M18)*SUMPRODUCT((CLASS!$E18:$M18="RES")*1,TRIB!$E18:$M18)))))</f>
        <v>0.4</v>
      </c>
      <c r="N18" s="15" t="n">
        <f aca="false">IF(IF(KLL!N18="",INPUTS!$B$18,KLL!N18)*SUMPRODUCT((CLASS!$E18:$N18="RES")*1,TRIB!$E18:$N18)&lt;400,1,MAX(IF(SUMPRODUCT((CLASS!$E18:$N18="RES")*1)&gt;=2,0.4,0.5),MIN(1,0.25+15/SQRT(IF(KLL!N18="",INPUTS!$B$18,KLL!N18)*SUMPRODUCT((CLASS!$E18:$N18="RES")*1,TRIB!$E18:$N18)))))</f>
        <v>0.4</v>
      </c>
      <c r="O18" s="15" t="n">
        <f aca="false">IF(IF(KLL!O18="",INPUTS!$B$18,KLL!O18)*SUMPRODUCT((CLASS!$E18:$O18="RES")*1,TRIB!$E18:$O18)&lt;400,1,MAX(IF(SUMPRODUCT((CLASS!$E18:$O18="RES")*1)&gt;=2,0.4,0.5),MIN(1,0.25+15/SQRT(IF(KLL!O18="",INPUTS!$B$18,KLL!O18)*SUMPRODUCT((CLASS!$E18:$O18="RES")*1,TRIB!$E18:$O18)))))</f>
        <v>0.4</v>
      </c>
      <c r="P18" s="15" t="n">
        <f aca="false">IF(IF(KLL!P18="",INPUTS!$B$18,KLL!P18)*SUMPRODUCT((CLASS!$E18:$P18="RES")*1,TRIB!$E18:$P18)&lt;400,1,MAX(IF(SUMPRODUCT((CLASS!$E18:$P18="RES")*1)&gt;=2,0.4,0.5),MIN(1,0.25+15/SQRT(IF(KLL!P18="",INPUTS!$B$18,KLL!P18)*SUMPRODUCT((CLASS!$E18:$P18="RES")*1,TRIB!$E18:$P18)))))</f>
        <v>0.4</v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15" t="n">
        <f aca="false">IF(IF(KLL!E19="",INPUTS!$B$18,KLL!E19)*SUMPRODUCT((CLASS!$E19:$E19="RES")*1,TRIB!$E19:$E19)&lt;400,1,MAX(IF(SUMPRODUCT((CLASS!$E19:$E19="RES")*1)&gt;=2,0.4,0.5),MIN(1,0.25+15/SQRT(IF(KLL!E19="",INPUTS!$B$18,KLL!E19)*SUMPRODUCT((CLASS!$E19:$E19="RES")*1,TRIB!$E19:$E19)))))</f>
        <v>1</v>
      </c>
      <c r="F19" s="15" t="n">
        <f aca="false">IF(IF(KLL!F19="",INPUTS!$B$18,KLL!F19)*SUMPRODUCT((CLASS!$E19:$F19="RES")*1,TRIB!$E19:$F19)&lt;400,1,MAX(IF(SUMPRODUCT((CLASS!$E19:$F19="RES")*1)&gt;=2,0.4,0.5),MIN(1,0.25+15/SQRT(IF(KLL!F19="",INPUTS!$B$18,KLL!F19)*SUMPRODUCT((CLASS!$E19:$F19="RES")*1,TRIB!$E19:$F19)))))</f>
        <v>1</v>
      </c>
      <c r="G19" s="15" t="n">
        <f aca="false">IF(IF(KLL!G19="",INPUTS!$B$18,KLL!G19)*SUMPRODUCT((CLASS!$E19:$G19="RES")*1,TRIB!$E19:$G19)&lt;400,1,MAX(IF(SUMPRODUCT((CLASS!$E19:$G19="RES")*1)&gt;=2,0.4,0.5),MIN(1,0.25+15/SQRT(IF(KLL!G19="",INPUTS!$B$18,KLL!G19)*SUMPRODUCT((CLASS!$E19:$G19="RES")*1,TRIB!$E19:$G19)))))</f>
        <v>0.615310768107612</v>
      </c>
      <c r="H19" s="15" t="n">
        <f aca="false">IF(IF(KLL!H19="",INPUTS!$B$18,KLL!H19)*SUMPRODUCT((CLASS!$E19:$H19="RES")*1,TRIB!$E19:$H19)&lt;400,1,MAX(IF(SUMPRODUCT((CLASS!$E19:$H19="RES")*1)&gt;=2,0.4,0.5),MIN(1,0.25+15/SQRT(IF(KLL!H19="",INPUTS!$B$18,KLL!H19)*SUMPRODUCT((CLASS!$E19:$H19="RES")*1,TRIB!$E19:$H19)))))</f>
        <v>0.508313721369359</v>
      </c>
      <c r="I19" s="15" t="n">
        <f aca="false">IF(IF(KLL!I19="",INPUTS!$B$18,KLL!I19)*SUMPRODUCT((CLASS!$E19:$I19="RES")*1,TRIB!$E19:$I19)&lt;400,1,MAX(IF(SUMPRODUCT((CLASS!$E19:$I19="RES")*1)&gt;=2,0.4,0.5),MIN(1,0.25+15/SQRT(IF(KLL!I19="",INPUTS!$B$18,KLL!I19)*SUMPRODUCT((CLASS!$E19:$I19="RES")*1,TRIB!$E19:$I19)))))</f>
        <v>0.460912270304799</v>
      </c>
      <c r="J19" s="15" t="n">
        <f aca="false">IF(IF(KLL!J19="",INPUTS!$B$18,KLL!J19)*SUMPRODUCT((CLASS!$E19:$J19="RES")*1,TRIB!$E19:$J19)&lt;400,1,MAX(IF(SUMPRODUCT((CLASS!$E19:$J19="RES")*1)&gt;=2,0.4,0.5),MIN(1,0.25+15/SQRT(IF(KLL!J19="",INPUTS!$B$18,KLL!J19)*SUMPRODUCT((CLASS!$E19:$J19="RES")*1,TRIB!$E19:$J19)))))</f>
        <v>0.432655384053806</v>
      </c>
      <c r="K19" s="15" t="n">
        <f aca="false">IF(IF(KLL!K19="",INPUTS!$B$18,KLL!K19)*SUMPRODUCT((CLASS!$E19:$K19="RES")*1,TRIB!$E19:$K19)&lt;400,1,MAX(IF(SUMPRODUCT((CLASS!$E19:$K19="RES")*1)&gt;=2,0.4,0.5),MIN(1,0.25+15/SQRT(IF(KLL!K19="",INPUTS!$B$18,KLL!K19)*SUMPRODUCT((CLASS!$E19:$K19="RES")*1,TRIB!$E19:$K19)))))</f>
        <v>0.4</v>
      </c>
      <c r="L19" s="15" t="n">
        <f aca="false">IF(IF(KLL!L19="",INPUTS!$B$18,KLL!L19)*SUMPRODUCT((CLASS!$E19:$L19="RES")*1,TRIB!$E19:$L19)&lt;400,1,MAX(IF(SUMPRODUCT((CLASS!$E19:$L19="RES")*1)&gt;=2,0.4,0.5),MIN(1,0.25+15/SQRT(IF(KLL!L19="",INPUTS!$B$18,KLL!L19)*SUMPRODUCT((CLASS!$E19:$L19="RES")*1,TRIB!$E19:$L19)))))</f>
        <v>0.4</v>
      </c>
      <c r="M19" s="15" t="n">
        <f aca="false">IF(IF(KLL!M19="",INPUTS!$B$18,KLL!M19)*SUMPRODUCT((CLASS!$E19:$M19="RES")*1,TRIB!$E19:$M19)&lt;400,1,MAX(IF(SUMPRODUCT((CLASS!$E19:$M19="RES")*1)&gt;=2,0.4,0.5),MIN(1,0.25+15/SQRT(IF(KLL!M19="",INPUTS!$B$18,KLL!M19)*SUMPRODUCT((CLASS!$E19:$M19="RES")*1,TRIB!$E19:$M19)))))</f>
        <v>0.4</v>
      </c>
      <c r="N19" s="15" t="n">
        <f aca="false">IF(IF(KLL!N19="",INPUTS!$B$18,KLL!N19)*SUMPRODUCT((CLASS!$E19:$N19="RES")*1,TRIB!$E19:$N19)&lt;400,1,MAX(IF(SUMPRODUCT((CLASS!$E19:$N19="RES")*1)&gt;=2,0.4,0.5),MIN(1,0.25+15/SQRT(IF(KLL!N19="",INPUTS!$B$18,KLL!N19)*SUMPRODUCT((CLASS!$E19:$N19="RES")*1,TRIB!$E19:$N19)))))</f>
        <v>0.4</v>
      </c>
      <c r="O19" s="15" t="n">
        <f aca="false">IF(IF(KLL!O19="",INPUTS!$B$18,KLL!O19)*SUMPRODUCT((CLASS!$E19:$O19="RES")*1,TRIB!$E19:$O19)&lt;400,1,MAX(IF(SUMPRODUCT((CLASS!$E19:$O19="RES")*1)&gt;=2,0.4,0.5),MIN(1,0.25+15/SQRT(IF(KLL!O19="",INPUTS!$B$18,KLL!O19)*SUMPRODUCT((CLASS!$E19:$O19="RES")*1,TRIB!$E19:$O19)))))</f>
        <v>0.4</v>
      </c>
      <c r="P19" s="15" t="n">
        <f aca="false">IF(IF(KLL!P19="",INPUTS!$B$18,KLL!P19)*SUMPRODUCT((CLASS!$E19:$P19="RES")*1,TRIB!$E19:$P19)&lt;400,1,MAX(IF(SUMPRODUCT((CLASS!$E19:$P19="RES")*1)&gt;=2,0.4,0.5),MIN(1,0.25+15/SQRT(IF(KLL!P19="",INPUTS!$B$18,KLL!P19)*SUMPRODUCT((CLASS!$E19:$P19="RES")*1,TRIB!$E19:$P19)))))</f>
        <v>0.4</v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15" t="n">
        <f aca="false">IF(IF(KLL!E20="",INPUTS!$B$18,KLL!E20)*SUMPRODUCT((CLASS!$E20:$E20="RES")*1,TRIB!$E20:$E20)&lt;400,1,MAX(IF(SUMPRODUCT((CLASS!$E20:$E20="RES")*1)&gt;=2,0.4,0.5),MIN(1,0.25+15/SQRT(IF(KLL!E20="",INPUTS!$B$18,KLL!E20)*SUMPRODUCT((CLASS!$E20:$E20="RES")*1,TRIB!$E20:$E20)))))</f>
        <v>1</v>
      </c>
      <c r="F20" s="15" t="n">
        <f aca="false">IF(IF(KLL!F20="",INPUTS!$B$18,KLL!F20)*SUMPRODUCT((CLASS!$E20:$F20="RES")*1,TRIB!$E20:$F20)&lt;400,1,MAX(IF(SUMPRODUCT((CLASS!$E20:$F20="RES")*1)&gt;=2,0.4,0.5),MIN(1,0.25+15/SQRT(IF(KLL!F20="",INPUTS!$B$18,KLL!F20)*SUMPRODUCT((CLASS!$E20:$F20="RES")*1,TRIB!$E20:$F20)))))</f>
        <v>1</v>
      </c>
      <c r="G20" s="15" t="n">
        <f aca="false">IF(IF(KLL!G20="",INPUTS!$B$18,KLL!G20)*SUMPRODUCT((CLASS!$E20:$G20="RES")*1,TRIB!$E20:$G20)&lt;400,1,MAX(IF(SUMPRODUCT((CLASS!$E20:$G20="RES")*1)&gt;=2,0.4,0.5),MIN(1,0.25+15/SQRT(IF(KLL!G20="",INPUTS!$B$18,KLL!G20)*SUMPRODUCT((CLASS!$E20:$G20="RES")*1,TRIB!$E20:$G20)))))</f>
        <v>0.979324957489473</v>
      </c>
      <c r="H20" s="15" t="n">
        <f aca="false">IF(IF(KLL!H20="",INPUTS!$B$18,KLL!H20)*SUMPRODUCT((CLASS!$E20:$H20="RES")*1,TRIB!$E20:$H20)&lt;400,1,MAX(IF(SUMPRODUCT((CLASS!$E20:$H20="RES")*1)&gt;=2,0.4,0.5),MIN(1,0.25+15/SQRT(IF(KLL!H20="",INPUTS!$B$18,KLL!H20)*SUMPRODUCT((CLASS!$E20:$H20="RES")*1,TRIB!$E20:$H20)))))</f>
        <v>0.765710623129397</v>
      </c>
      <c r="I20" s="15" t="n">
        <f aca="false">IF(IF(KLL!I20="",INPUTS!$B$18,KLL!I20)*SUMPRODUCT((CLASS!$E20:$I20="RES")*1,TRIB!$E20:$I20)&lt;400,1,MAX(IF(SUMPRODUCT((CLASS!$E20:$I20="RES")*1)&gt;=2,0.4,0.5),MIN(1,0.25+15/SQRT(IF(KLL!I20="",INPUTS!$B$18,KLL!I20)*SUMPRODUCT((CLASS!$E20:$I20="RES")*1,TRIB!$E20:$I20)))))</f>
        <v>0.67107596053326</v>
      </c>
      <c r="J20" s="15" t="n">
        <f aca="false">IF(IF(KLL!J20="",INPUTS!$B$18,KLL!J20)*SUMPRODUCT((CLASS!$E20:$J20="RES")*1,TRIB!$E20:$J20)&lt;400,1,MAX(IF(SUMPRODUCT((CLASS!$E20:$J20="RES")*1)&gt;=2,0.4,0.5),MIN(1,0.25+15/SQRT(IF(KLL!J20="",INPUTS!$B$18,KLL!J20)*SUMPRODUCT((CLASS!$E20:$J20="RES")*1,TRIB!$E20:$J20)))))</f>
        <v>0.614662478744736</v>
      </c>
      <c r="K20" s="15" t="n">
        <f aca="false">IF(IF(KLL!K20="",INPUTS!$B$18,KLL!K20)*SUMPRODUCT((CLASS!$E20:$K20="RES")*1,TRIB!$E20:$K20)&lt;400,1,MAX(IF(SUMPRODUCT((CLASS!$E20:$K20="RES")*1)&gt;=2,0.4,0.5),MIN(1,0.25+15/SQRT(IF(KLL!K20="",INPUTS!$B$18,KLL!K20)*SUMPRODUCT((CLASS!$E20:$K20="RES")*1,TRIB!$E20:$K20)))))</f>
        <v>0.577560891040209</v>
      </c>
      <c r="L20" s="15" t="n">
        <f aca="false">IF(IF(KLL!L20="",INPUTS!$B$18,KLL!L20)*SUMPRODUCT((CLASS!$E20:$L20="RES")*1,TRIB!$E20:$L20)&lt;400,1,MAX(IF(SUMPRODUCT((CLASS!$E20:$L20="RES")*1)&gt;=2,0.4,0.5),MIN(1,0.25+15/SQRT(IF(KLL!L20="",INPUTS!$B$18,KLL!L20)*SUMPRODUCT((CLASS!$E20:$L20="RES")*1,TRIB!$E20:$L20)))))</f>
        <v>0.549880071952034</v>
      </c>
      <c r="M20" s="15" t="n">
        <f aca="false">IF(IF(KLL!M20="",INPUTS!$B$18,KLL!M20)*SUMPRODUCT((CLASS!$E20:$M20="RES")*1,TRIB!$E20:$M20)&lt;400,1,MAX(IF(SUMPRODUCT((CLASS!$E20:$M20="RES")*1)&gt;=2,0.4,0.5),MIN(1,0.25+15/SQRT(IF(KLL!M20="",INPUTS!$B$18,KLL!M20)*SUMPRODUCT((CLASS!$E20:$M20="RES")*1,TRIB!$E20:$M20)))))</f>
        <v>0.528207442037329</v>
      </c>
      <c r="N20" s="15" t="n">
        <f aca="false">IF(IF(KLL!N20="",INPUTS!$B$18,KLL!N20)*SUMPRODUCT((CLASS!$E20:$N20="RES")*1,TRIB!$E20:$N20)&lt;400,1,MAX(IF(SUMPRODUCT((CLASS!$E20:$N20="RES")*1)&gt;=2,0.4,0.5),MIN(1,0.25+15/SQRT(IF(KLL!N20="",INPUTS!$B$18,KLL!N20)*SUMPRODUCT((CLASS!$E20:$N20="RES")*1,TRIB!$E20:$N20)))))</f>
        <v>0.510643017571343</v>
      </c>
      <c r="O20" s="15" t="n">
        <f aca="false">IF(IF(KLL!O20="",INPUTS!$B$18,KLL!O20)*SUMPRODUCT((CLASS!$E20:$O20="RES")*1,TRIB!$E20:$O20)&lt;400,1,MAX(IF(SUMPRODUCT((CLASS!$E20:$O20="RES")*1)&gt;=2,0.4,0.5),MIN(1,0.25+15/SQRT(IF(KLL!O20="",INPUTS!$B$18,KLL!O20)*SUMPRODUCT((CLASS!$E20:$O20="RES")*1,TRIB!$E20:$O20)))))</f>
        <v>0.496033915652561</v>
      </c>
      <c r="P20" s="15" t="n">
        <f aca="false">IF(IF(KLL!P20="",INPUTS!$B$18,KLL!P20)*SUMPRODUCT((CLASS!$E20:$P20="RES")*1,TRIB!$E20:$P20)&lt;400,1,MAX(IF(SUMPRODUCT((CLASS!$E20:$P20="RES")*1)&gt;=2,0.4,0.5),MIN(1,0.25+15/SQRT(IF(KLL!P20="",INPUTS!$B$18,KLL!P20)*SUMPRODUCT((CLASS!$E20:$P20="RES")*1,TRIB!$E20:$P20)))))</f>
        <v>0.483634656757999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15" t="n">
        <f aca="false">IF(IF(KLL!E21="",INPUTS!$B$18,KLL!E21)*SUMPRODUCT((CLASS!$E21:$E21="RES")*1,TRIB!$E21:$E21)&lt;400,1,MAX(IF(SUMPRODUCT((CLASS!$E21:$E21="RES")*1)&gt;=2,0.4,0.5),MIN(1,0.25+15/SQRT(IF(KLL!E21="",INPUTS!$B$18,KLL!E21)*SUMPRODUCT((CLASS!$E21:$E21="RES")*1,TRIB!$E21:$E21)))))</f>
        <v>1</v>
      </c>
      <c r="F21" s="15" t="n">
        <f aca="false">IF(IF(KLL!F21="",INPUTS!$B$18,KLL!F21)*SUMPRODUCT((CLASS!$E21:$F21="RES")*1,TRIB!$E21:$F21)&lt;400,1,MAX(IF(SUMPRODUCT((CLASS!$E21:$F21="RES")*1)&gt;=2,0.4,0.5),MIN(1,0.25+15/SQRT(IF(KLL!F21="",INPUTS!$B$18,KLL!F21)*SUMPRODUCT((CLASS!$E21:$F21="RES")*1,TRIB!$E21:$F21)))))</f>
        <v>1</v>
      </c>
      <c r="G21" s="15" t="n">
        <f aca="false">IF(IF(KLL!G21="",INPUTS!$B$18,KLL!G21)*SUMPRODUCT((CLASS!$E21:$G21="RES")*1,TRIB!$E21:$G21)&lt;400,1,MAX(IF(SUMPRODUCT((CLASS!$E21:$G21="RES")*1)&gt;=2,0.4,0.5),MIN(1,0.25+15/SQRT(IF(KLL!G21="",INPUTS!$B$18,KLL!G21)*SUMPRODUCT((CLASS!$E21:$G21="RES")*1,TRIB!$E21:$G21)))))</f>
        <v>0.672577127364258</v>
      </c>
      <c r="H21" s="15" t="n">
        <f aca="false">IF(IF(KLL!H21="",INPUTS!$B$18,KLL!H21)*SUMPRODUCT((CLASS!$E21:$H21="RES")*1,TRIB!$E21:$H21)&lt;400,1,MAX(IF(SUMPRODUCT((CLASS!$E21:$H21="RES")*1)&gt;=2,0.4,0.5),MIN(1,0.25+15/SQRT(IF(KLL!H21="",INPUTS!$B$18,KLL!H21)*SUMPRODUCT((CLASS!$E21:$H21="RES")*1,TRIB!$E21:$H21)))))</f>
        <v>0.548807152333598</v>
      </c>
      <c r="I21" s="15" t="n">
        <f aca="false">IF(IF(KLL!I21="",INPUTS!$B$18,KLL!I21)*SUMPRODUCT((CLASS!$E21:$I21="RES")*1,TRIB!$E21:$I21)&lt;400,1,MAX(IF(SUMPRODUCT((CLASS!$E21:$I21="RES")*1)&gt;=2,0.4,0.5),MIN(1,0.25+15/SQRT(IF(KLL!I21="",INPUTS!$B$18,KLL!I21)*SUMPRODUCT((CLASS!$E21:$I21="RES")*1,TRIB!$E21:$I21)))))</f>
        <v>0.493975018237133</v>
      </c>
      <c r="J21" s="15" t="n">
        <f aca="false">IF(IF(KLL!J21="",INPUTS!$B$18,KLL!J21)*SUMPRODUCT((CLASS!$E21:$J21="RES")*1,TRIB!$E21:$J21)&lt;400,1,MAX(IF(SUMPRODUCT((CLASS!$E21:$J21="RES")*1)&gt;=2,0.4,0.5),MIN(1,0.25+15/SQRT(IF(KLL!J21="",INPUTS!$B$18,KLL!J21)*SUMPRODUCT((CLASS!$E21:$J21="RES")*1,TRIB!$E21:$J21)))))</f>
        <v>0.461288563682129</v>
      </c>
      <c r="K21" s="15" t="n">
        <f aca="false">IF(IF(KLL!K21="",INPUTS!$B$18,KLL!K21)*SUMPRODUCT((CLASS!$E21:$K21="RES")*1,TRIB!$E21:$K21)&lt;400,1,MAX(IF(SUMPRODUCT((CLASS!$E21:$K21="RES")*1)&gt;=2,0.4,0.5),MIN(1,0.25+15/SQRT(IF(KLL!K21="",INPUTS!$B$18,KLL!K21)*SUMPRODUCT((CLASS!$E21:$K21="RES")*1,TRIB!$E21:$K21)))))</f>
        <v>0.439162477114494</v>
      </c>
      <c r="L21" s="15" t="n">
        <f aca="false">IF(IF(KLL!L21="",INPUTS!$B$18,KLL!L21)*SUMPRODUCT((CLASS!$E21:$L21="RES")*1,TRIB!$E21:$L21)&lt;400,1,MAX(IF(SUMPRODUCT((CLASS!$E21:$L21="RES")*1)&gt;=2,0.4,0.5),MIN(1,0.25+15/SQRT(IF(KLL!L21="",INPUTS!$B$18,KLL!L21)*SUMPRODUCT((CLASS!$E21:$L21="RES")*1,TRIB!$E21:$L21)))))</f>
        <v>0.422790879094034</v>
      </c>
      <c r="M21" s="15" t="n">
        <f aca="false">IF(IF(KLL!M21="",INPUTS!$B$18,KLL!M21)*SUMPRODUCT((CLASS!$E21:$M21="RES")*1,TRIB!$E21:$M21)&lt;400,1,MAX(IF(SUMPRODUCT((CLASS!$E21:$M21="RES")*1)&gt;=2,0.4,0.5),MIN(1,0.25+15/SQRT(IF(KLL!M21="",INPUTS!$B$18,KLL!M21)*SUMPRODUCT((CLASS!$E21:$M21="RES")*1,TRIB!$E21:$M21)))))</f>
        <v>0.41004609991612</v>
      </c>
      <c r="N21" s="15" t="n">
        <f aca="false">IF(IF(KLL!N21="",INPUTS!$B$18,KLL!N21)*SUMPRODUCT((CLASS!$E21:$N21="RES")*1,TRIB!$E21:$N21)&lt;400,1,MAX(IF(SUMPRODUCT((CLASS!$E21:$N21="RES")*1)&gt;=2,0.4,0.5),MIN(1,0.25+15/SQRT(IF(KLL!N21="",INPUTS!$B$18,KLL!N21)*SUMPRODUCT((CLASS!$E21:$N21="RES")*1,TRIB!$E21:$N21)))))</f>
        <v>0.4</v>
      </c>
      <c r="O21" s="15" t="n">
        <f aca="false">IF(IF(KLL!O21="",INPUTS!$B$18,KLL!O21)*SUMPRODUCT((CLASS!$E21:$O21="RES")*1,TRIB!$E21:$O21)&lt;400,1,MAX(IF(SUMPRODUCT((CLASS!$E21:$O21="RES")*1)&gt;=2,0.4,0.5),MIN(1,0.25+15/SQRT(IF(KLL!O21="",INPUTS!$B$18,KLL!O21)*SUMPRODUCT((CLASS!$E21:$O21="RES")*1,TRIB!$E21:$O21)))))</f>
        <v>0.4</v>
      </c>
      <c r="P21" s="15" t="n">
        <f aca="false">IF(IF(KLL!P21="",INPUTS!$B$18,KLL!P21)*SUMPRODUCT((CLASS!$E21:$P21="RES")*1,TRIB!$E21:$P21)&lt;400,1,MAX(IF(SUMPRODUCT((CLASS!$E21:$P21="RES")*1)&gt;=2,0.4,0.5),MIN(1,0.25+15/SQRT(IF(KLL!P21="",INPUTS!$B$18,KLL!P21)*SUMPRODUCT((CLASS!$E21:$P21="RES")*1,TRIB!$E21:$P21)))))</f>
        <v>0.4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15" t="n">
        <f aca="false">IF(IF(KLL!E22="",INPUTS!$B$18,KLL!E22)*SUMPRODUCT((CLASS!$E22:$E22="RES")*1,TRIB!$E22:$E22)&lt;400,1,MAX(IF(SUMPRODUCT((CLASS!$E22:$E22="RES")*1)&gt;=2,0.4,0.5),MIN(1,0.25+15/SQRT(IF(KLL!E22="",INPUTS!$B$18,KLL!E22)*SUMPRODUCT((CLASS!$E22:$E22="RES")*1,TRIB!$E22:$E22)))))</f>
        <v>1</v>
      </c>
      <c r="F22" s="15" t="n">
        <f aca="false">IF(IF(KLL!F22="",INPUTS!$B$18,KLL!F22)*SUMPRODUCT((CLASS!$E22:$F22="RES")*1,TRIB!$E22:$F22)&lt;400,1,MAX(IF(SUMPRODUCT((CLASS!$E22:$F22="RES")*1)&gt;=2,0.4,0.5),MIN(1,0.25+15/SQRT(IF(KLL!F22="",INPUTS!$B$18,KLL!F22)*SUMPRODUCT((CLASS!$E22:$F22="RES")*1,TRIB!$E22:$F22)))))</f>
        <v>1</v>
      </c>
      <c r="G22" s="15" t="n">
        <f aca="false">IF(IF(KLL!G22="",INPUTS!$B$18,KLL!G22)*SUMPRODUCT((CLASS!$E22:$G22="RES")*1,TRIB!$E22:$G22)&lt;400,1,MAX(IF(SUMPRODUCT((CLASS!$E22:$G22="RES")*1)&gt;=2,0.4,0.5),MIN(1,0.25+15/SQRT(IF(KLL!G22="",INPUTS!$B$18,KLL!G22)*SUMPRODUCT((CLASS!$E22:$G22="RES")*1,TRIB!$E22:$G22)))))</f>
        <v>0.672577127364258</v>
      </c>
      <c r="H22" s="15" t="n">
        <f aca="false">IF(IF(KLL!H22="",INPUTS!$B$18,KLL!H22)*SUMPRODUCT((CLASS!$E22:$H22="RES")*1,TRIB!$E22:$H22)&lt;400,1,MAX(IF(SUMPRODUCT((CLASS!$E22:$H22="RES")*1)&gt;=2,0.4,0.5),MIN(1,0.25+15/SQRT(IF(KLL!H22="",INPUTS!$B$18,KLL!H22)*SUMPRODUCT((CLASS!$E22:$H22="RES")*1,TRIB!$E22:$H22)))))</f>
        <v>0.548807152333598</v>
      </c>
      <c r="I22" s="15" t="n">
        <f aca="false">IF(IF(KLL!I22="",INPUTS!$B$18,KLL!I22)*SUMPRODUCT((CLASS!$E22:$I22="RES")*1,TRIB!$E22:$I22)&lt;400,1,MAX(IF(SUMPRODUCT((CLASS!$E22:$I22="RES")*1)&gt;=2,0.4,0.5),MIN(1,0.25+15/SQRT(IF(KLL!I22="",INPUTS!$B$18,KLL!I22)*SUMPRODUCT((CLASS!$E22:$I22="RES")*1,TRIB!$E22:$I22)))))</f>
        <v>0.493975018237133</v>
      </c>
      <c r="J22" s="15" t="n">
        <f aca="false">IF(IF(KLL!J22="",INPUTS!$B$18,KLL!J22)*SUMPRODUCT((CLASS!$E22:$J22="RES")*1,TRIB!$E22:$J22)&lt;400,1,MAX(IF(SUMPRODUCT((CLASS!$E22:$J22="RES")*1)&gt;=2,0.4,0.5),MIN(1,0.25+15/SQRT(IF(KLL!J22="",INPUTS!$B$18,KLL!J22)*SUMPRODUCT((CLASS!$E22:$J22="RES")*1,TRIB!$E22:$J22)))))</f>
        <v>0.461288563682129</v>
      </c>
      <c r="K22" s="15" t="n">
        <f aca="false">IF(IF(KLL!K22="",INPUTS!$B$18,KLL!K22)*SUMPRODUCT((CLASS!$E22:$K22="RES")*1,TRIB!$E22:$K22)&lt;400,1,MAX(IF(SUMPRODUCT((CLASS!$E22:$K22="RES")*1)&gt;=2,0.4,0.5),MIN(1,0.25+15/SQRT(IF(KLL!K22="",INPUTS!$B$18,KLL!K22)*SUMPRODUCT((CLASS!$E22:$K22="RES")*1,TRIB!$E22:$K22)))))</f>
        <v>0.438982236504614</v>
      </c>
      <c r="L22" s="15" t="n">
        <f aca="false">IF(IF(KLL!L22="",INPUTS!$B$18,KLL!L22)*SUMPRODUCT((CLASS!$E22:$L22="RES")*1,TRIB!$E22:$L22)&lt;400,1,MAX(IF(SUMPRODUCT((CLASS!$E22:$L22="RES")*1)&gt;=2,0.4,0.5),MIN(1,0.25+15/SQRT(IF(KLL!L22="",INPUTS!$B$18,KLL!L22)*SUMPRODUCT((CLASS!$E22:$L22="RES")*1,TRIB!$E22:$L22)))))</f>
        <v>0.422516389835589</v>
      </c>
      <c r="M22" s="15" t="n">
        <f aca="false">IF(IF(KLL!M22="",INPUTS!$B$18,KLL!M22)*SUMPRODUCT((CLASS!$E22:$M22="RES")*1,TRIB!$E22:$M22)&lt;400,1,MAX(IF(SUMPRODUCT((CLASS!$E22:$M22="RES")*1)&gt;=2,0.4,0.5),MIN(1,0.25+15/SQRT(IF(KLL!M22="",INPUTS!$B$18,KLL!M22)*SUMPRODUCT((CLASS!$E22:$M22="RES")*1,TRIB!$E22:$M22)))))</f>
        <v>0.409719141249985</v>
      </c>
      <c r="N22" s="15" t="n">
        <f aca="false">IF(IF(KLL!N22="",INPUTS!$B$18,KLL!N22)*SUMPRODUCT((CLASS!$E22:$N22="RES")*1,TRIB!$E22:$N22)&lt;400,1,MAX(IF(SUMPRODUCT((CLASS!$E22:$N22="RES")*1)&gt;=2,0.4,0.5),MIN(1,0.25+15/SQRT(IF(KLL!N22="",INPUTS!$B$18,KLL!N22)*SUMPRODUCT((CLASS!$E22:$N22="RES")*1,TRIB!$E22:$N22)))))</f>
        <v>0.4</v>
      </c>
      <c r="O22" s="15" t="n">
        <f aca="false">IF(IF(KLL!O22="",INPUTS!$B$18,KLL!O22)*SUMPRODUCT((CLASS!$E22:$O22="RES")*1,TRIB!$E22:$O22)&lt;400,1,MAX(IF(SUMPRODUCT((CLASS!$E22:$O22="RES")*1)&gt;=2,0.4,0.5),MIN(1,0.25+15/SQRT(IF(KLL!O22="",INPUTS!$B$18,KLL!O22)*SUMPRODUCT((CLASS!$E22:$O22="RES")*1,TRIB!$E22:$O22)))))</f>
        <v>0.4</v>
      </c>
      <c r="P22" s="15" t="n">
        <f aca="false">IF(IF(KLL!P22="",INPUTS!$B$18,KLL!P22)*SUMPRODUCT((CLASS!$E22:$P22="RES")*1,TRIB!$E22:$P22)&lt;400,1,MAX(IF(SUMPRODUCT((CLASS!$E22:$P22="RES")*1)&gt;=2,0.4,0.5),MIN(1,0.25+15/SQRT(IF(KLL!P22="",INPUTS!$B$18,KLL!P22)*SUMPRODUCT((CLASS!$E22:$P22="RES")*1,TRIB!$E22:$P22)))))</f>
        <v>0.4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15" t="n">
        <f aca="false">IF(IF(KLL!E23="",INPUTS!$B$18,KLL!E23)*SUMPRODUCT((CLASS!$E23:$E23="RES")*1,TRIB!$E23:$E23)&lt;400,1,MAX(IF(SUMPRODUCT((CLASS!$E23:$E23="RES")*1)&gt;=2,0.4,0.5),MIN(1,0.25+15/SQRT(IF(KLL!E23="",INPUTS!$B$18,KLL!E23)*SUMPRODUCT((CLASS!$E23:$E23="RES")*1,TRIB!$E23:$E23)))))</f>
        <v>1</v>
      </c>
      <c r="F23" s="15" t="n">
        <f aca="false">IF(IF(KLL!F23="",INPUTS!$B$18,KLL!F23)*SUMPRODUCT((CLASS!$E23:$F23="RES")*1,TRIB!$E23:$F23)&lt;400,1,MAX(IF(SUMPRODUCT((CLASS!$E23:$F23="RES")*1)&gt;=2,0.4,0.5),MIN(1,0.25+15/SQRT(IF(KLL!F23="",INPUTS!$B$18,KLL!F23)*SUMPRODUCT((CLASS!$E23:$F23="RES")*1,TRIB!$E23:$F23)))))</f>
        <v>1</v>
      </c>
      <c r="G23" s="15" t="n">
        <f aca="false">IF(IF(KLL!G23="",INPUTS!$B$18,KLL!G23)*SUMPRODUCT((CLASS!$E23:$G23="RES")*1,TRIB!$E23:$G23)&lt;400,1,MAX(IF(SUMPRODUCT((CLASS!$E23:$G23="RES")*1)&gt;=2,0.4,0.5),MIN(1,0.25+15/SQRT(IF(KLL!G23="",INPUTS!$B$18,KLL!G23)*SUMPRODUCT((CLASS!$E23:$G23="RES")*1,TRIB!$E23:$G23)))))</f>
        <v>0.658702657093598</v>
      </c>
      <c r="H23" s="15" t="n">
        <f aca="false">IF(IF(KLL!H23="",INPUTS!$B$18,KLL!H23)*SUMPRODUCT((CLASS!$E23:$H23="RES")*1,TRIB!$E23:$H23)&lt;400,1,MAX(IF(SUMPRODUCT((CLASS!$E23:$H23="RES")*1)&gt;=2,0.4,0.5),MIN(1,0.25+15/SQRT(IF(KLL!H23="",INPUTS!$B$18,KLL!H23)*SUMPRODUCT((CLASS!$E23:$H23="RES")*1,TRIB!$E23:$H23)))))</f>
        <v>0.538996420319844</v>
      </c>
      <c r="I23" s="15" t="n">
        <f aca="false">IF(IF(KLL!I23="",INPUTS!$B$18,KLL!I23)*SUMPRODUCT((CLASS!$E23:$I23="RES")*1,TRIB!$E23:$I23)&lt;400,1,MAX(IF(SUMPRODUCT((CLASS!$E23:$I23="RES")*1)&gt;=2,0.4,0.5),MIN(1,0.25+15/SQRT(IF(KLL!I23="",INPUTS!$B$18,KLL!I23)*SUMPRODUCT((CLASS!$E23:$I23="RES")*1,TRIB!$E23:$I23)))))</f>
        <v>0.485964589091504</v>
      </c>
      <c r="J23" s="15" t="n">
        <f aca="false">IF(IF(KLL!J23="",INPUTS!$B$18,KLL!J23)*SUMPRODUCT((CLASS!$E23:$J23="RES")*1,TRIB!$E23:$J23)&lt;400,1,MAX(IF(SUMPRODUCT((CLASS!$E23:$J23="RES")*1)&gt;=2,0.4,0.5),MIN(1,0.25+15/SQRT(IF(KLL!J23="",INPUTS!$B$18,KLL!J23)*SUMPRODUCT((CLASS!$E23:$J23="RES")*1,TRIB!$E23:$J23)))))</f>
        <v>0.454351328546799</v>
      </c>
      <c r="K23" s="15" t="n">
        <f aca="false">IF(IF(KLL!K23="",INPUTS!$B$18,KLL!K23)*SUMPRODUCT((CLASS!$E23:$K23="RES")*1,TRIB!$E23:$K23)&lt;400,1,MAX(IF(SUMPRODUCT((CLASS!$E23:$K23="RES")*1)&gt;=2,0.4,0.5),MIN(1,0.25+15/SQRT(IF(KLL!K23="",INPUTS!$B$18,KLL!K23)*SUMPRODUCT((CLASS!$E23:$K23="RES")*1,TRIB!$E23:$K23)))))</f>
        <v>0.408289858447423</v>
      </c>
      <c r="L23" s="15" t="n">
        <f aca="false">IF(IF(KLL!L23="",INPUTS!$B$18,KLL!L23)*SUMPRODUCT((CLASS!$E23:$L23="RES")*1,TRIB!$E23:$L23)&lt;400,1,MAX(IF(SUMPRODUCT((CLASS!$E23:$L23="RES")*1)&gt;=2,0.4,0.5),MIN(1,0.25+15/SQRT(IF(KLL!L23="",INPUTS!$B$18,KLL!L23)*SUMPRODUCT((CLASS!$E23:$L23="RES")*1,TRIB!$E23:$L23)))))</f>
        <v>0.4</v>
      </c>
      <c r="M23" s="15" t="n">
        <f aca="false">IF(IF(KLL!M23="",INPUTS!$B$18,KLL!M23)*SUMPRODUCT((CLASS!$E23:$M23="RES")*1,TRIB!$E23:$M23)&lt;400,1,MAX(IF(SUMPRODUCT((CLASS!$E23:$M23="RES")*1)&gt;=2,0.4,0.5),MIN(1,0.25+15/SQRT(IF(KLL!M23="",INPUTS!$B$18,KLL!M23)*SUMPRODUCT((CLASS!$E23:$M23="RES")*1,TRIB!$E23:$M23)))))</f>
        <v>0.4</v>
      </c>
      <c r="N23" s="15" t="n">
        <f aca="false">IF(IF(KLL!N23="",INPUTS!$B$18,KLL!N23)*SUMPRODUCT((CLASS!$E23:$N23="RES")*1,TRIB!$E23:$N23)&lt;400,1,MAX(IF(SUMPRODUCT((CLASS!$E23:$N23="RES")*1)&gt;=2,0.4,0.5),MIN(1,0.25+15/SQRT(IF(KLL!N23="",INPUTS!$B$18,KLL!N23)*SUMPRODUCT((CLASS!$E23:$N23="RES")*1,TRIB!$E23:$N23)))))</f>
        <v>0.4</v>
      </c>
      <c r="O23" s="15" t="n">
        <f aca="false">IF(IF(KLL!O23="",INPUTS!$B$18,KLL!O23)*SUMPRODUCT((CLASS!$E23:$O23="RES")*1,TRIB!$E23:$O23)&lt;400,1,MAX(IF(SUMPRODUCT((CLASS!$E23:$O23="RES")*1)&gt;=2,0.4,0.5),MIN(1,0.25+15/SQRT(IF(KLL!O23="",INPUTS!$B$18,KLL!O23)*SUMPRODUCT((CLASS!$E23:$O23="RES")*1,TRIB!$E23:$O23)))))</f>
        <v>0.4</v>
      </c>
      <c r="P23" s="15" t="n">
        <f aca="false">IF(IF(KLL!P23="",INPUTS!$B$18,KLL!P23)*SUMPRODUCT((CLASS!$E23:$P23="RES")*1,TRIB!$E23:$P23)&lt;400,1,MAX(IF(SUMPRODUCT((CLASS!$E23:$P23="RES")*1)&gt;=2,0.4,0.5),MIN(1,0.25+15/SQRT(IF(KLL!P23="",INPUTS!$B$18,KLL!P23)*SUMPRODUCT((CLASS!$E23:$P23="RES")*1,TRIB!$E23:$P23)))))</f>
        <v>0.4</v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15" t="n">
        <f aca="false">IF(IF(KLL!E24="",INPUTS!$B$18,KLL!E24)*SUMPRODUCT((CLASS!$E24:$E24="RES")*1,TRIB!$E24:$E24)&lt;400,1,MAX(IF(SUMPRODUCT((CLASS!$E24:$E24="RES")*1)&gt;=2,0.4,0.5),MIN(1,0.25+15/SQRT(IF(KLL!E24="",INPUTS!$B$18,KLL!E24)*SUMPRODUCT((CLASS!$E24:$E24="RES")*1,TRIB!$E24:$E24)))))</f>
        <v>1</v>
      </c>
      <c r="F24" s="15" t="n">
        <f aca="false">IF(IF(KLL!F24="",INPUTS!$B$18,KLL!F24)*SUMPRODUCT((CLASS!$E24:$F24="RES")*1,TRIB!$E24:$F24)&lt;400,1,MAX(IF(SUMPRODUCT((CLASS!$E24:$F24="RES")*1)&gt;=2,0.4,0.5),MIN(1,0.25+15/SQRT(IF(KLL!F24="",INPUTS!$B$18,KLL!F24)*SUMPRODUCT((CLASS!$E24:$F24="RES")*1,TRIB!$E24:$F24)))))</f>
        <v>1</v>
      </c>
      <c r="G24" s="15" t="n">
        <f aca="false">IF(IF(KLL!G24="",INPUTS!$B$18,KLL!G24)*SUMPRODUCT((CLASS!$E24:$G24="RES")*1,TRIB!$E24:$G24)&lt;400,1,MAX(IF(SUMPRODUCT((CLASS!$E24:$G24="RES")*1)&gt;=2,0.4,0.5),MIN(1,0.25+15/SQRT(IF(KLL!G24="",INPUTS!$B$18,KLL!G24)*SUMPRODUCT((CLASS!$E24:$G24="RES")*1,TRIB!$E24:$G24)))))</f>
        <v>0.72457899787625</v>
      </c>
      <c r="H24" s="15" t="n">
        <f aca="false">IF(IF(KLL!H24="",INPUTS!$B$18,KLL!H24)*SUMPRODUCT((CLASS!$E24:$H24="RES")*1,TRIB!$E24:$H24)&lt;400,1,MAX(IF(SUMPRODUCT((CLASS!$E24:$H24="RES")*1)&gt;=2,0.4,0.5),MIN(1,0.25+15/SQRT(IF(KLL!H24="",INPUTS!$B$18,KLL!H24)*SUMPRODUCT((CLASS!$E24:$H24="RES")*1,TRIB!$E24:$H24)))))</f>
        <v>0.585578027607012</v>
      </c>
      <c r="I24" s="15" t="n">
        <f aca="false">IF(IF(KLL!I24="",INPUTS!$B$18,KLL!I24)*SUMPRODUCT((CLASS!$E24:$I24="RES")*1,TRIB!$E24:$I24)&lt;400,1,MAX(IF(SUMPRODUCT((CLASS!$E24:$I24="RES")*1)&gt;=2,0.4,0.5),MIN(1,0.25+15/SQRT(IF(KLL!I24="",INPUTS!$B$18,KLL!I24)*SUMPRODUCT((CLASS!$E24:$I24="RES")*1,TRIB!$E24:$I24)))))</f>
        <v>0.523998312175595</v>
      </c>
      <c r="J24" s="15" t="n">
        <f aca="false">IF(IF(KLL!J24="",INPUTS!$B$18,KLL!J24)*SUMPRODUCT((CLASS!$E24:$J24="RES")*1,TRIB!$E24:$J24)&lt;400,1,MAX(IF(SUMPRODUCT((CLASS!$E24:$J24="RES")*1)&gt;=2,0.4,0.5),MIN(1,0.25+15/SQRT(IF(KLL!J24="",INPUTS!$B$18,KLL!J24)*SUMPRODUCT((CLASS!$E24:$J24="RES")*1,TRIB!$E24:$J24)))))</f>
        <v>0.487289498938125</v>
      </c>
      <c r="K24" s="15" t="n">
        <f aca="false">IF(IF(KLL!K24="",INPUTS!$B$18,KLL!K24)*SUMPRODUCT((CLASS!$E24:$K24="RES")*1,TRIB!$E24:$K24)&lt;400,1,MAX(IF(SUMPRODUCT((CLASS!$E24:$K24="RES")*1)&gt;=2,0.4,0.5),MIN(1,0.25+15/SQRT(IF(KLL!K24="",INPUTS!$B$18,KLL!K24)*SUMPRODUCT((CLASS!$E24:$K24="RES")*1,TRIB!$E24:$K24)))))</f>
        <v>0.433803655523452</v>
      </c>
      <c r="L24" s="15" t="n">
        <f aca="false">IF(IF(KLL!L24="",INPUTS!$B$18,KLL!L24)*SUMPRODUCT((CLASS!$E24:$L24="RES")*1,TRIB!$E24:$L24)&lt;400,1,MAX(IF(SUMPRODUCT((CLASS!$E24:$L24="RES")*1)&gt;=2,0.4,0.5),MIN(1,0.25+15/SQRT(IF(KLL!L24="",INPUTS!$B$18,KLL!L24)*SUMPRODUCT((CLASS!$E24:$L24="RES")*1,TRIB!$E24:$L24)))))</f>
        <v>0.417789013803506</v>
      </c>
      <c r="M24" s="15" t="n">
        <f aca="false">IF(IF(KLL!M24="",INPUTS!$B$18,KLL!M24)*SUMPRODUCT((CLASS!$E24:$M24="RES")*1,TRIB!$E24:$M24)&lt;400,1,MAX(IF(SUMPRODUCT((CLASS!$E24:$M24="RES")*1)&gt;=2,0.4,0.5),MIN(1,0.25+15/SQRT(IF(KLL!M24="",INPUTS!$B$18,KLL!M24)*SUMPRODUCT((CLASS!$E24:$M24="RES")*1,TRIB!$E24:$M24)))))</f>
        <v>0.4053424415003</v>
      </c>
      <c r="N24" s="15" t="n">
        <f aca="false">IF(IF(KLL!N24="",INPUTS!$B$18,KLL!N24)*SUMPRODUCT((CLASS!$E24:$N24="RES")*1,TRIB!$E24:$N24)&lt;400,1,MAX(IF(SUMPRODUCT((CLASS!$E24:$N24="RES")*1)&gt;=2,0.4,0.5),MIN(1,0.25+15/SQRT(IF(KLL!N24="",INPUTS!$B$18,KLL!N24)*SUMPRODUCT((CLASS!$E24:$N24="RES")*1,TRIB!$E24:$N24)))))</f>
        <v>0.4</v>
      </c>
      <c r="O24" s="15" t="n">
        <f aca="false">IF(IF(KLL!O24="",INPUTS!$B$18,KLL!O24)*SUMPRODUCT((CLASS!$E24:$O24="RES")*1,TRIB!$E24:$O24)&lt;400,1,MAX(IF(SUMPRODUCT((CLASS!$E24:$O24="RES")*1)&gt;=2,0.4,0.5),MIN(1,0.25+15/SQRT(IF(KLL!O24="",INPUTS!$B$18,KLL!O24)*SUMPRODUCT((CLASS!$E24:$O24="RES")*1,TRIB!$E24:$O24)))))</f>
        <v>0.4</v>
      </c>
      <c r="P24" s="15" t="n">
        <f aca="false">IF(IF(KLL!P24="",INPUTS!$B$18,KLL!P24)*SUMPRODUCT((CLASS!$E24:$P24="RES")*1,TRIB!$E24:$P24)&lt;400,1,MAX(IF(SUMPRODUCT((CLASS!$E24:$P24="RES")*1)&gt;=2,0.4,0.5),MIN(1,0.25+15/SQRT(IF(KLL!P24="",INPUTS!$B$18,KLL!P24)*SUMPRODUCT((CLASS!$E24:$P24="RES")*1,TRIB!$E24:$P24)))))</f>
        <v>0.4</v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15" t="n">
        <f aca="false">IF(IF(KLL!E25="",INPUTS!$B$18,KLL!E25)*SUMPRODUCT((CLASS!$E25:$E25="RES")*1,TRIB!$E25:$E25)&lt;400,1,MAX(IF(SUMPRODUCT((CLASS!$E25:$E25="RES")*1)&gt;=2,0.4,0.5),MIN(1,0.25+15/SQRT(IF(KLL!E25="",INPUTS!$B$18,KLL!E25)*SUMPRODUCT((CLASS!$E25:$E25="RES")*1,TRIB!$E25:$E25)))))</f>
        <v>1</v>
      </c>
      <c r="F25" s="15" t="n">
        <f aca="false">IF(IF(KLL!F25="",INPUTS!$B$18,KLL!F25)*SUMPRODUCT((CLASS!$E25:$F25="RES")*1,TRIB!$E25:$F25)&lt;400,1,MAX(IF(SUMPRODUCT((CLASS!$E25:$F25="RES")*1)&gt;=2,0.4,0.5),MIN(1,0.25+15/SQRT(IF(KLL!F25="",INPUTS!$B$18,KLL!F25)*SUMPRODUCT((CLASS!$E25:$F25="RES")*1,TRIB!$E25:$F25)))))</f>
        <v>1</v>
      </c>
      <c r="G25" s="15" t="n">
        <f aca="false">IF(IF(KLL!G25="",INPUTS!$B$18,KLL!G25)*SUMPRODUCT((CLASS!$E25:$G25="RES")*1,TRIB!$E25:$G25)&lt;400,1,MAX(IF(SUMPRODUCT((CLASS!$E25:$G25="RES")*1)&gt;=2,0.4,0.5),MIN(1,0.25+15/SQRT(IF(KLL!G25="",INPUTS!$B$18,KLL!G25)*SUMPRODUCT((CLASS!$E25:$G25="RES")*1,TRIB!$E25:$G25)))))</f>
        <v>0.742664639082147</v>
      </c>
      <c r="H25" s="15" t="n">
        <f aca="false">IF(IF(KLL!H25="",INPUTS!$B$18,KLL!H25)*SUMPRODUCT((CLASS!$E25:$H25="RES")*1,TRIB!$E25:$H25)&lt;400,1,MAX(IF(SUMPRODUCT((CLASS!$E25:$H25="RES")*1)&gt;=2,0.4,0.5),MIN(1,0.25+15/SQRT(IF(KLL!H25="",INPUTS!$B$18,KLL!H25)*SUMPRODUCT((CLASS!$E25:$H25="RES")*1,TRIB!$E25:$H25)))))</f>
        <v>0.598366507145809</v>
      </c>
      <c r="I25" s="15" t="n">
        <f aca="false">IF(IF(KLL!I25="",INPUTS!$B$18,KLL!I25)*SUMPRODUCT((CLASS!$E25:$I25="RES")*1,TRIB!$E25:$I25)&lt;400,1,MAX(IF(SUMPRODUCT((CLASS!$E25:$I25="RES")*1)&gt;=2,0.4,0.5),MIN(1,0.25+15/SQRT(IF(KLL!I25="",INPUTS!$B$18,KLL!I25)*SUMPRODUCT((CLASS!$E25:$I25="RES")*1,TRIB!$E25:$I25)))))</f>
        <v>0.534440061994287</v>
      </c>
      <c r="J25" s="15" t="n">
        <f aca="false">IF(IF(KLL!J25="",INPUTS!$B$18,KLL!J25)*SUMPRODUCT((CLASS!$E25:$J25="RES")*1,TRIB!$E25:$J25)&lt;400,1,MAX(IF(SUMPRODUCT((CLASS!$E25:$J25="RES")*1)&gt;=2,0.4,0.5),MIN(1,0.25+15/SQRT(IF(KLL!J25="",INPUTS!$B$18,KLL!J25)*SUMPRODUCT((CLASS!$E25:$J25="RES")*1,TRIB!$E25:$J25)))))</f>
        <v>0.496332319541073</v>
      </c>
      <c r="K25" s="15" t="n">
        <f aca="false">IF(IF(KLL!K25="",INPUTS!$B$18,KLL!K25)*SUMPRODUCT((CLASS!$E25:$K25="RES")*1,TRIB!$E25:$K25)&lt;400,1,MAX(IF(SUMPRODUCT((CLASS!$E25:$K25="RES")*1)&gt;=2,0.4,0.5),MIN(1,0.25+15/SQRT(IF(KLL!K25="",INPUTS!$B$18,KLL!K25)*SUMPRODUCT((CLASS!$E25:$K25="RES")*1,TRIB!$E25:$K25)))))</f>
        <v>0.470326324619616</v>
      </c>
      <c r="L25" s="15" t="n">
        <f aca="false">IF(IF(KLL!L25="",INPUTS!$B$18,KLL!L25)*SUMPRODUCT((CLASS!$E25:$L25="RES")*1,TRIB!$E25:$L25)&lt;400,1,MAX(IF(SUMPRODUCT((CLASS!$E25:$L25="RES")*1)&gt;=2,0.4,0.5),MIN(1,0.25+15/SQRT(IF(KLL!L25="",INPUTS!$B$18,KLL!L25)*SUMPRODUCT((CLASS!$E25:$L25="RES")*1,TRIB!$E25:$L25)))))</f>
        <v>0.451129496677282</v>
      </c>
      <c r="M25" s="15" t="n">
        <f aca="false">IF(IF(KLL!M25="",INPUTS!$B$18,KLL!M25)*SUMPRODUCT((CLASS!$E25:$M25="RES")*1,TRIB!$E25:$M25)&lt;400,1,MAX(IF(SUMPRODUCT((CLASS!$E25:$M25="RES")*1)&gt;=2,0.4,0.5),MIN(1,0.25+15/SQRT(IF(KLL!M25="",INPUTS!$B$18,KLL!M25)*SUMPRODUCT((CLASS!$E25:$M25="RES")*1,TRIB!$E25:$M25)))))</f>
        <v>0.436209730680965</v>
      </c>
      <c r="N25" s="15" t="n">
        <f aca="false">IF(IF(KLL!N25="",INPUTS!$B$18,KLL!N25)*SUMPRODUCT((CLASS!$E25:$N25="RES")*1,TRIB!$E25:$N25)&lt;400,1,MAX(IF(SUMPRODUCT((CLASS!$E25:$N25="RES")*1)&gt;=2,0.4,0.5),MIN(1,0.25+15/SQRT(IF(KLL!N25="",INPUTS!$B$18,KLL!N25)*SUMPRODUCT((CLASS!$E25:$N25="RES")*1,TRIB!$E25:$N25)))))</f>
        <v>0.424183253572904</v>
      </c>
      <c r="O25" s="15" t="n">
        <f aca="false">IF(IF(KLL!O25="",INPUTS!$B$18,KLL!O25)*SUMPRODUCT((CLASS!$E25:$O25="RES")*1,TRIB!$E25:$O25)&lt;400,1,MAX(IF(SUMPRODUCT((CLASS!$E25:$O25="RES")*1)&gt;=2,0.4,0.5),MIN(1,0.25+15/SQRT(IF(KLL!O25="",INPUTS!$B$18,KLL!O25)*SUMPRODUCT((CLASS!$E25:$O25="RES")*1,TRIB!$E25:$O25)))))</f>
        <v>0.414221546360716</v>
      </c>
      <c r="P25" s="15" t="n">
        <f aca="false">IF(IF(KLL!P25="",INPUTS!$B$18,KLL!P25)*SUMPRODUCT((CLASS!$E25:$P25="RES")*1,TRIB!$E25:$P25)&lt;400,1,MAX(IF(SUMPRODUCT((CLASS!$E25:$P25="RES")*1)&gt;=2,0.4,0.5),MIN(1,0.25+15/SQRT(IF(KLL!P25="",INPUTS!$B$18,KLL!P25)*SUMPRODUCT((CLASS!$E25:$P25="RES")*1,TRIB!$E25:$P25)))))</f>
        <v>0.405794238212439</v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15" t="n">
        <f aca="false">IF(IF(KLL!E26="",INPUTS!$B$18,KLL!E26)*SUMPRODUCT((CLASS!$E26:$E26="RES")*1,TRIB!$E26:$E26)&lt;400,1,MAX(IF(SUMPRODUCT((CLASS!$E26:$E26="RES")*1)&gt;=2,0.4,0.5),MIN(1,0.25+15/SQRT(IF(KLL!E26="",INPUTS!$B$18,KLL!E26)*SUMPRODUCT((CLASS!$E26:$E26="RES")*1,TRIB!$E26:$E26)))))</f>
        <v>1</v>
      </c>
      <c r="F26" s="15" t="n">
        <f aca="false">IF(IF(KLL!F26="",INPUTS!$B$18,KLL!F26)*SUMPRODUCT((CLASS!$E26:$F26="RES")*1,TRIB!$E26:$F26)&lt;400,1,MAX(IF(SUMPRODUCT((CLASS!$E26:$F26="RES")*1)&gt;=2,0.4,0.5),MIN(1,0.25+15/SQRT(IF(KLL!F26="",INPUTS!$B$18,KLL!F26)*SUMPRODUCT((CLASS!$E26:$F26="RES")*1,TRIB!$E26:$F26)))))</f>
        <v>1</v>
      </c>
      <c r="G26" s="15" t="n">
        <f aca="false">IF(IF(KLL!G26="",INPUTS!$B$18,KLL!G26)*SUMPRODUCT((CLASS!$E26:$G26="RES")*1,TRIB!$E26:$G26)&lt;400,1,MAX(IF(SUMPRODUCT((CLASS!$E26:$G26="RES")*1)&gt;=2,0.4,0.5),MIN(1,0.25+15/SQRT(IF(KLL!G26="",INPUTS!$B$18,KLL!G26)*SUMPRODUCT((CLASS!$E26:$G26="RES")*1,TRIB!$E26:$G26)))))</f>
        <v>0.672577127364258</v>
      </c>
      <c r="H26" s="15" t="n">
        <f aca="false">IF(IF(KLL!H26="",INPUTS!$B$18,KLL!H26)*SUMPRODUCT((CLASS!$E26:$H26="RES")*1,TRIB!$E26:$H26)&lt;400,1,MAX(IF(SUMPRODUCT((CLASS!$E26:$H26="RES")*1)&gt;=2,0.4,0.5),MIN(1,0.25+15/SQRT(IF(KLL!H26="",INPUTS!$B$18,KLL!H26)*SUMPRODUCT((CLASS!$E26:$H26="RES")*1,TRIB!$E26:$H26)))))</f>
        <v>0.548807152333598</v>
      </c>
      <c r="I26" s="15" t="n">
        <f aca="false">IF(IF(KLL!I26="",INPUTS!$B$18,KLL!I26)*SUMPRODUCT((CLASS!$E26:$I26="RES")*1,TRIB!$E26:$I26)&lt;400,1,MAX(IF(SUMPRODUCT((CLASS!$E26:$I26="RES")*1)&gt;=2,0.4,0.5),MIN(1,0.25+15/SQRT(IF(KLL!I26="",INPUTS!$B$18,KLL!I26)*SUMPRODUCT((CLASS!$E26:$I26="RES")*1,TRIB!$E26:$I26)))))</f>
        <v>0.493975018237133</v>
      </c>
      <c r="J26" s="15" t="n">
        <f aca="false">IF(IF(KLL!J26="",INPUTS!$B$18,KLL!J26)*SUMPRODUCT((CLASS!$E26:$J26="RES")*1,TRIB!$E26:$J26)&lt;400,1,MAX(IF(SUMPRODUCT((CLASS!$E26:$J26="RES")*1)&gt;=2,0.4,0.5),MIN(1,0.25+15/SQRT(IF(KLL!J26="",INPUTS!$B$18,KLL!J26)*SUMPRODUCT((CLASS!$E26:$J26="RES")*1,TRIB!$E26:$J26)))))</f>
        <v>0.461288563682129</v>
      </c>
      <c r="K26" s="15" t="n">
        <f aca="false">IF(IF(KLL!K26="",INPUTS!$B$18,KLL!K26)*SUMPRODUCT((CLASS!$E26:$K26="RES")*1,TRIB!$E26:$K26)&lt;400,1,MAX(IF(SUMPRODUCT((CLASS!$E26:$K26="RES")*1)&gt;=2,0.4,0.5),MIN(1,0.25+15/SQRT(IF(KLL!K26="",INPUTS!$B$18,KLL!K26)*SUMPRODUCT((CLASS!$E26:$K26="RES")*1,TRIB!$E26:$K26)))))</f>
        <v>0.438982236504614</v>
      </c>
      <c r="L26" s="15" t="n">
        <f aca="false">IF(IF(KLL!L26="",INPUTS!$B$18,KLL!L26)*SUMPRODUCT((CLASS!$E26:$L26="RES")*1,TRIB!$E26:$L26)&lt;400,1,MAX(IF(SUMPRODUCT((CLASS!$E26:$L26="RES")*1)&gt;=2,0.4,0.5),MIN(1,0.25+15/SQRT(IF(KLL!L26="",INPUTS!$B$18,KLL!L26)*SUMPRODUCT((CLASS!$E26:$L26="RES")*1,TRIB!$E26:$L26)))))</f>
        <v>0.422516389835589</v>
      </c>
      <c r="M26" s="15" t="n">
        <f aca="false">IF(IF(KLL!M26="",INPUTS!$B$18,KLL!M26)*SUMPRODUCT((CLASS!$E26:$M26="RES")*1,TRIB!$E26:$M26)&lt;400,1,MAX(IF(SUMPRODUCT((CLASS!$E26:$M26="RES")*1)&gt;=2,0.4,0.5),MIN(1,0.25+15/SQRT(IF(KLL!M26="",INPUTS!$B$18,KLL!M26)*SUMPRODUCT((CLASS!$E26:$M26="RES")*1,TRIB!$E26:$M26)))))</f>
        <v>0.409719141249985</v>
      </c>
      <c r="N26" s="15" t="n">
        <f aca="false">IF(IF(KLL!N26="",INPUTS!$B$18,KLL!N26)*SUMPRODUCT((CLASS!$E26:$N26="RES")*1,TRIB!$E26:$N26)&lt;400,1,MAX(IF(SUMPRODUCT((CLASS!$E26:$N26="RES")*1)&gt;=2,0.4,0.5),MIN(1,0.25+15/SQRT(IF(KLL!N26="",INPUTS!$B$18,KLL!N26)*SUMPRODUCT((CLASS!$E26:$N26="RES")*1,TRIB!$E26:$N26)))))</f>
        <v>0.4</v>
      </c>
      <c r="O26" s="15" t="n">
        <f aca="false">IF(IF(KLL!O26="",INPUTS!$B$18,KLL!O26)*SUMPRODUCT((CLASS!$E26:$O26="RES")*1,TRIB!$E26:$O26)&lt;400,1,MAX(IF(SUMPRODUCT((CLASS!$E26:$O26="RES")*1)&gt;=2,0.4,0.5),MIN(1,0.25+15/SQRT(IF(KLL!O26="",INPUTS!$B$18,KLL!O26)*SUMPRODUCT((CLASS!$E26:$O26="RES")*1,TRIB!$E26:$O26)))))</f>
        <v>0.4</v>
      </c>
      <c r="P26" s="15" t="n">
        <f aca="false">IF(IF(KLL!P26="",INPUTS!$B$18,KLL!P26)*SUMPRODUCT((CLASS!$E26:$P26="RES")*1,TRIB!$E26:$P26)&lt;400,1,MAX(IF(SUMPRODUCT((CLASS!$E26:$P26="RES")*1)&gt;=2,0.4,0.5),MIN(1,0.25+15/SQRT(IF(KLL!P26="",INPUTS!$B$18,KLL!P26)*SUMPRODUCT((CLASS!$E26:$P26="RES")*1,TRIB!$E26:$P26)))))</f>
        <v>0.4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15" t="n">
        <f aca="false">IF(IF(KLL!E27="",INPUTS!$B$18,KLL!E27)*SUMPRODUCT((CLASS!$E27:$E27="RES")*1,TRIB!$E27:$E27)&lt;400,1,MAX(IF(SUMPRODUCT((CLASS!$E27:$E27="RES")*1)&gt;=2,0.4,0.5),MIN(1,0.25+15/SQRT(IF(KLL!E27="",INPUTS!$B$18,KLL!E27)*SUMPRODUCT((CLASS!$E27:$E27="RES")*1,TRIB!$E27:$E27)))))</f>
        <v>1</v>
      </c>
      <c r="F27" s="15" t="n">
        <f aca="false">IF(IF(KLL!F27="",INPUTS!$B$18,KLL!F27)*SUMPRODUCT((CLASS!$E27:$F27="RES")*1,TRIB!$E27:$F27)&lt;400,1,MAX(IF(SUMPRODUCT((CLASS!$E27:$F27="RES")*1)&gt;=2,0.4,0.5),MIN(1,0.25+15/SQRT(IF(KLL!F27="",INPUTS!$B$18,KLL!F27)*SUMPRODUCT((CLASS!$E27:$F27="RES")*1,TRIB!$E27:$F27)))))</f>
        <v>1</v>
      </c>
      <c r="G27" s="15" t="n">
        <f aca="false">IF(IF(KLL!G27="",INPUTS!$B$18,KLL!G27)*SUMPRODUCT((CLASS!$E27:$G27="RES")*1,TRIB!$E27:$G27)&lt;400,1,MAX(IF(SUMPRODUCT((CLASS!$E27:$G27="RES")*1)&gt;=2,0.4,0.5),MIN(1,0.25+15/SQRT(IF(KLL!G27="",INPUTS!$B$18,KLL!G27)*SUMPRODUCT((CLASS!$E27:$G27="RES")*1,TRIB!$E27:$G27)))))</f>
        <v>0.881613940799889</v>
      </c>
      <c r="H27" s="15" t="n">
        <f aca="false">IF(IF(KLL!H27="",INPUTS!$B$18,KLL!H27)*SUMPRODUCT((CLASS!$E27:$H27="RES")*1,TRIB!$E27:$H27)&lt;400,1,MAX(IF(SUMPRODUCT((CLASS!$E27:$H27="RES")*1)&gt;=2,0.4,0.5),MIN(1,0.25+15/SQRT(IF(KLL!H27="",INPUTS!$B$18,KLL!H27)*SUMPRODUCT((CLASS!$E27:$H27="RES")*1,TRIB!$E27:$H27)))))</f>
        <v>0.69661850063156</v>
      </c>
      <c r="I27" s="15" t="n">
        <f aca="false">IF(IF(KLL!I27="",INPUTS!$B$18,KLL!I27)*SUMPRODUCT((CLASS!$E27:$I27="RES")*1,TRIB!$E27:$I27)&lt;400,1,MAX(IF(SUMPRODUCT((CLASS!$E27:$I27="RES")*1)&gt;=2,0.4,0.5),MIN(1,0.25+15/SQRT(IF(KLL!I27="",INPUTS!$B$18,KLL!I27)*SUMPRODUCT((CLASS!$E27:$I27="RES")*1,TRIB!$E27:$I27)))))</f>
        <v>0.614662478744736</v>
      </c>
      <c r="J27" s="15" t="n">
        <f aca="false">IF(IF(KLL!J27="",INPUTS!$B$18,KLL!J27)*SUMPRODUCT((CLASS!$E27:$J27="RES")*1,TRIB!$E27:$J27)&lt;400,1,MAX(IF(SUMPRODUCT((CLASS!$E27:$J27="RES")*1)&gt;=2,0.4,0.5),MIN(1,0.25+15/SQRT(IF(KLL!J27="",INPUTS!$B$18,KLL!J27)*SUMPRODUCT((CLASS!$E27:$J27="RES")*1,TRIB!$E27:$J27)))))</f>
        <v>0.565806970399945</v>
      </c>
      <c r="K27" s="15" t="n">
        <f aca="false">IF(IF(KLL!K27="",INPUTS!$B$18,KLL!K27)*SUMPRODUCT((CLASS!$E27:$K27="RES")*1,TRIB!$E27:$K27)&lt;400,1,MAX(IF(SUMPRODUCT((CLASS!$E27:$K27="RES")*1)&gt;=2,0.4,0.5),MIN(1,0.25+15/SQRT(IF(KLL!K27="",INPUTS!$B$18,KLL!K27)*SUMPRODUCT((CLASS!$E27:$K27="RES")*1,TRIB!$E27:$K27)))))</f>
        <v>0.53474739872575</v>
      </c>
      <c r="L27" s="15" t="n">
        <f aca="false">IF(IF(KLL!L27="",INPUTS!$B$18,KLL!L27)*SUMPRODUCT((CLASS!$E27:$L27="RES")*1,TRIB!$E27:$L27)&lt;400,1,MAX(IF(SUMPRODUCT((CLASS!$E27:$L27="RES")*1)&gt;=2,0.4,0.5),MIN(1,0.25+15/SQRT(IF(KLL!L27="",INPUTS!$B$18,KLL!L27)*SUMPRODUCT((CLASS!$E27:$L27="RES")*1,TRIB!$E27:$L27)))))</f>
        <v>0.511354186744658</v>
      </c>
      <c r="M27" s="15" t="n">
        <f aca="false">IF(IF(KLL!M27="",INPUTS!$B$18,KLL!M27)*SUMPRODUCT((CLASS!$E27:$M27="RES")*1,TRIB!$E27:$M27)&lt;400,1,MAX(IF(SUMPRODUCT((CLASS!$E27:$M27="RES")*1)&gt;=2,0.4,0.5),MIN(1,0.25+15/SQRT(IF(KLL!M27="",INPUTS!$B$18,KLL!M27)*SUMPRODUCT((CLASS!$E27:$M27="RES")*1,TRIB!$E27:$M27)))))</f>
        <v>0.492916970594224</v>
      </c>
      <c r="N27" s="15" t="n">
        <f aca="false">IF(IF(KLL!N27="",INPUTS!$B$18,KLL!N27)*SUMPRODUCT((CLASS!$E27:$N27="RES")*1,TRIB!$E27:$N27)&lt;400,1,MAX(IF(SUMPRODUCT((CLASS!$E27:$N27="RES")*1)&gt;=2,0.4,0.5),MIN(1,0.25+15/SQRT(IF(KLL!N27="",INPUTS!$B$18,KLL!N27)*SUMPRODUCT((CLASS!$E27:$N27="RES")*1,TRIB!$E27:$N27)))))</f>
        <v>0.477901422048537</v>
      </c>
      <c r="O27" s="15" t="n">
        <f aca="false">IF(IF(KLL!O27="",INPUTS!$B$18,KLL!O27)*SUMPRODUCT((CLASS!$E27:$O27="RES")*1,TRIB!$E27:$O27)&lt;400,1,MAX(IF(SUMPRODUCT((CLASS!$E27:$O27="RES")*1)&gt;=2,0.4,0.5),MIN(1,0.25+15/SQRT(IF(KLL!O27="",INPUTS!$B$18,KLL!O27)*SUMPRODUCT((CLASS!$E27:$O27="RES")*1,TRIB!$E27:$O27)))))</f>
        <v>0.465365246126974</v>
      </c>
      <c r="P27" s="15" t="n">
        <f aca="false">IF(IF(KLL!P27="",INPUTS!$B$18,KLL!P27)*SUMPRODUCT((CLASS!$E27:$P27="RES")*1,TRIB!$E27:$P27)&lt;400,1,MAX(IF(SUMPRODUCT((CLASS!$E27:$P27="RES")*1)&gt;=2,0.4,0.5),MIN(1,0.25+15/SQRT(IF(KLL!P27="",INPUTS!$B$18,KLL!P27)*SUMPRODUCT((CLASS!$E27:$P27="RES")*1,TRIB!$E27:$P27)))))</f>
        <v>0.454693530285601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15" t="n">
        <f aca="false">IF(IF(KLL!E28="",INPUTS!$B$18,KLL!E28)*SUMPRODUCT((CLASS!$E28:$E28="RES")*1,TRIB!$E28:$E28)&lt;400,1,MAX(IF(SUMPRODUCT((CLASS!$E28:$E28="RES")*1)&gt;=2,0.4,0.5),MIN(1,0.25+15/SQRT(IF(KLL!E28="",INPUTS!$B$18,KLL!E28)*SUMPRODUCT((CLASS!$E28:$E28="RES")*1,TRIB!$E28:$E28)))))</f>
        <v>1</v>
      </c>
      <c r="F28" s="15" t="n">
        <f aca="false">IF(IF(KLL!F28="",INPUTS!$B$18,KLL!F28)*SUMPRODUCT((CLASS!$E28:$F28="RES")*1,TRIB!$E28:$F28)&lt;400,1,MAX(IF(SUMPRODUCT((CLASS!$E28:$F28="RES")*1)&gt;=2,0.4,0.5),MIN(1,0.25+15/SQRT(IF(KLL!F28="",INPUTS!$B$18,KLL!F28)*SUMPRODUCT((CLASS!$E28:$F28="RES")*1,TRIB!$E28:$F28)))))</f>
        <v>1</v>
      </c>
      <c r="G28" s="15" t="n">
        <f aca="false">IF(IF(KLL!G28="",INPUTS!$B$18,KLL!G28)*SUMPRODUCT((CLASS!$E28:$G28="RES")*1,TRIB!$E28:$G28)&lt;400,1,MAX(IF(SUMPRODUCT((CLASS!$E28:$G28="RES")*1)&gt;=2,0.4,0.5),MIN(1,0.25+15/SQRT(IF(KLL!G28="",INPUTS!$B$18,KLL!G28)*SUMPRODUCT((CLASS!$E28:$G28="RES")*1,TRIB!$E28:$G28)))))</f>
        <v>0.73261708906584</v>
      </c>
      <c r="H28" s="15" t="n">
        <f aca="false">IF(IF(KLL!H28="",INPUTS!$B$18,KLL!H28)*SUMPRODUCT((CLASS!$E28:$H28="RES")*1,TRIB!$E28:$H28)&lt;400,1,MAX(IF(SUMPRODUCT((CLASS!$E28:$H28="RES")*1)&gt;=2,0.4,0.5),MIN(1,0.25+15/SQRT(IF(KLL!H28="",INPUTS!$B$18,KLL!H28)*SUMPRODUCT((CLASS!$E28:$H28="RES")*1,TRIB!$E28:$H28)))))</f>
        <v>0.591261816394968</v>
      </c>
      <c r="I28" s="15" t="n">
        <f aca="false">IF(IF(KLL!I28="",INPUTS!$B$18,KLL!I28)*SUMPRODUCT((CLASS!$E28:$I28="RES")*1,TRIB!$E28:$I28)&lt;400,1,MAX(IF(SUMPRODUCT((CLASS!$E28:$I28="RES")*1)&gt;=2,0.4,0.5),MIN(1,0.25+15/SQRT(IF(KLL!I28="",INPUTS!$B$18,KLL!I28)*SUMPRODUCT((CLASS!$E28:$I28="RES")*1,TRIB!$E28:$I28)))))</f>
        <v>0.528639106287676</v>
      </c>
      <c r="J28" s="15" t="n">
        <f aca="false">IF(IF(KLL!J28="",INPUTS!$B$18,KLL!J28)*SUMPRODUCT((CLASS!$E28:$J28="RES")*1,TRIB!$E28:$J28)&lt;400,1,MAX(IF(SUMPRODUCT((CLASS!$E28:$J28="RES")*1)&gt;=2,0.4,0.5),MIN(1,0.25+15/SQRT(IF(KLL!J28="",INPUTS!$B$18,KLL!J28)*SUMPRODUCT((CLASS!$E28:$J28="RES")*1,TRIB!$E28:$J28)))))</f>
        <v>0.49130854453292</v>
      </c>
      <c r="K28" s="15" t="n">
        <f aca="false">IF(IF(KLL!K28="",INPUTS!$B$18,KLL!K28)*SUMPRODUCT((CLASS!$E28:$K28="RES")*1,TRIB!$E28:$K28)&lt;400,1,MAX(IF(SUMPRODUCT((CLASS!$E28:$K28="RES")*1)&gt;=2,0.4,0.5),MIN(1,0.25+15/SQRT(IF(KLL!K28="",INPUTS!$B$18,KLL!K28)*SUMPRODUCT((CLASS!$E28:$K28="RES")*1,TRIB!$E28:$K28)))))</f>
        <v>0.43691679485471</v>
      </c>
      <c r="L28" s="15" t="n">
        <f aca="false">IF(IF(KLL!L28="",INPUTS!$B$18,KLL!L28)*SUMPRODUCT((CLASS!$E28:$L28="RES")*1,TRIB!$E28:$L28)&lt;400,1,MAX(IF(SUMPRODUCT((CLASS!$E28:$L28="RES")*1)&gt;=2,0.4,0.5),MIN(1,0.25+15/SQRT(IF(KLL!L28="",INPUTS!$B$18,KLL!L28)*SUMPRODUCT((CLASS!$E28:$L28="RES")*1,TRIB!$E28:$L28)))))</f>
        <v>0.420630908197484</v>
      </c>
      <c r="M28" s="15" t="n">
        <f aca="false">IF(IF(KLL!M28="",INPUTS!$B$18,KLL!M28)*SUMPRODUCT((CLASS!$E28:$M28="RES")*1,TRIB!$E28:$M28)&lt;400,1,MAX(IF(SUMPRODUCT((CLASS!$E28:$M28="RES")*1)&gt;=2,0.4,0.5),MIN(1,0.25+15/SQRT(IF(KLL!M28="",INPUTS!$B$18,KLL!M28)*SUMPRODUCT((CLASS!$E28:$M28="RES")*1,TRIB!$E28:$M28)))))</f>
        <v>0.407973524451675</v>
      </c>
      <c r="N28" s="15" t="n">
        <f aca="false">IF(IF(KLL!N28="",INPUTS!$B$18,KLL!N28)*SUMPRODUCT((CLASS!$E28:$N28="RES")*1,TRIB!$E28:$N28)&lt;400,1,MAX(IF(SUMPRODUCT((CLASS!$E28:$N28="RES")*1)&gt;=2,0.4,0.5),MIN(1,0.25+15/SQRT(IF(KLL!N28="",INPUTS!$B$18,KLL!N28)*SUMPRODUCT((CLASS!$E28:$N28="RES")*1,TRIB!$E28:$N28)))))</f>
        <v>0.4</v>
      </c>
      <c r="O28" s="15" t="n">
        <f aca="false">IF(IF(KLL!O28="",INPUTS!$B$18,KLL!O28)*SUMPRODUCT((CLASS!$E28:$O28="RES")*1,TRIB!$E28:$O28)&lt;400,1,MAX(IF(SUMPRODUCT((CLASS!$E28:$O28="RES")*1)&gt;=2,0.4,0.5),MIN(1,0.25+15/SQRT(IF(KLL!O28="",INPUTS!$B$18,KLL!O28)*SUMPRODUCT((CLASS!$E28:$O28="RES")*1,TRIB!$E28:$O28)))))</f>
        <v>0.4</v>
      </c>
      <c r="P28" s="15" t="n">
        <f aca="false">IF(IF(KLL!P28="",INPUTS!$B$18,KLL!P28)*SUMPRODUCT((CLASS!$E28:$P28="RES")*1,TRIB!$E28:$P28)&lt;400,1,MAX(IF(SUMPRODUCT((CLASS!$E28:$P28="RES")*1)&gt;=2,0.4,0.5),MIN(1,0.25+15/SQRT(IF(KLL!P28="",INPUTS!$B$18,KLL!P28)*SUMPRODUCT((CLASS!$E28:$P28="RES")*1,TRIB!$E28:$P28)))))</f>
        <v>0.4</v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15" t="n">
        <f aca="false">IF(IF(KLL!E29="",INPUTS!$B$18,KLL!E29)*SUMPRODUCT((CLASS!$E29:$E29="RES")*1,TRIB!$E29:$E29)&lt;400,1,MAX(IF(SUMPRODUCT((CLASS!$E29:$E29="RES")*1)&gt;=2,0.4,0.5),MIN(1,0.25+15/SQRT(IF(KLL!E29="",INPUTS!$B$18,KLL!E29)*SUMPRODUCT((CLASS!$E29:$E29="RES")*1,TRIB!$E29:$E29)))))</f>
        <v>1</v>
      </c>
      <c r="F29" s="15" t="n">
        <f aca="false">IF(IF(KLL!F29="",INPUTS!$B$18,KLL!F29)*SUMPRODUCT((CLASS!$E29:$F29="RES")*1,TRIB!$E29:$F29)&lt;400,1,MAX(IF(SUMPRODUCT((CLASS!$E29:$F29="RES")*1)&gt;=2,0.4,0.5),MIN(1,0.25+15/SQRT(IF(KLL!F29="",INPUTS!$B$18,KLL!F29)*SUMPRODUCT((CLASS!$E29:$F29="RES")*1,TRIB!$E29:$F29)))))</f>
        <v>1</v>
      </c>
      <c r="G29" s="15" t="n">
        <f aca="false">IF(IF(KLL!G29="",INPUTS!$B$18,KLL!G29)*SUMPRODUCT((CLASS!$E29:$G29="RES")*1,TRIB!$E29:$G29)&lt;400,1,MAX(IF(SUMPRODUCT((CLASS!$E29:$G29="RES")*1)&gt;=2,0.4,0.5),MIN(1,0.25+15/SQRT(IF(KLL!G29="",INPUTS!$B$18,KLL!G29)*SUMPRODUCT((CLASS!$E29:$G29="RES")*1,TRIB!$E29:$G29)))))</f>
        <v>0.649467730968481</v>
      </c>
      <c r="H29" s="15" t="n">
        <f aca="false">IF(IF(KLL!H29="",INPUTS!$B$18,KLL!H29)*SUMPRODUCT((CLASS!$E29:$H29="RES")*1,TRIB!$E29:$H29)&lt;400,1,MAX(IF(SUMPRODUCT((CLASS!$E29:$H29="RES")*1)&gt;=2,0.4,0.5),MIN(1,0.25+15/SQRT(IF(KLL!H29="",INPUTS!$B$18,KLL!H29)*SUMPRODUCT((CLASS!$E29:$H29="RES")*1,TRIB!$E29:$H29)))))</f>
        <v>0.532466341433016</v>
      </c>
      <c r="I29" s="15" t="n">
        <f aca="false">IF(IF(KLL!I29="",INPUTS!$B$18,KLL!I29)*SUMPRODUCT((CLASS!$E29:$I29="RES")*1,TRIB!$E29:$I29)&lt;400,1,MAX(IF(SUMPRODUCT((CLASS!$E29:$I29="RES")*1)&gt;=2,0.4,0.5),MIN(1,0.25+15/SQRT(IF(KLL!I29="",INPUTS!$B$18,KLL!I29)*SUMPRODUCT((CLASS!$E29:$I29="RES")*1,TRIB!$E29:$I29)))))</f>
        <v>0.480632802007221</v>
      </c>
      <c r="J29" s="15" t="n">
        <f aca="false">IF(IF(KLL!J29="",INPUTS!$B$18,KLL!J29)*SUMPRODUCT((CLASS!$E29:$J29="RES")*1,TRIB!$E29:$J29)&lt;400,1,MAX(IF(SUMPRODUCT((CLASS!$E29:$J29="RES")*1)&gt;=2,0.4,0.5),MIN(1,0.25+15/SQRT(IF(KLL!J29="",INPUTS!$B$18,KLL!J29)*SUMPRODUCT((CLASS!$E29:$J29="RES")*1,TRIB!$E29:$J29)))))</f>
        <v>0.44973386548424</v>
      </c>
      <c r="K29" s="15" t="n">
        <f aca="false">IF(IF(KLL!K29="",INPUTS!$B$18,KLL!K29)*SUMPRODUCT((CLASS!$E29:$K29="RES")*1,TRIB!$E29:$K29)&lt;400,1,MAX(IF(SUMPRODUCT((CLASS!$E29:$K29="RES")*1)&gt;=2,0.4,0.5),MIN(1,0.25+15/SQRT(IF(KLL!K29="",INPUTS!$B$18,KLL!K29)*SUMPRODUCT((CLASS!$E29:$K29="RES")*1,TRIB!$E29:$K29)))))</f>
        <v>0.404713186938819</v>
      </c>
      <c r="L29" s="15" t="n">
        <f aca="false">IF(IF(KLL!L29="",INPUTS!$B$18,KLL!L29)*SUMPRODUCT((CLASS!$E29:$L29="RES")*1,TRIB!$E29:$L29)&lt;400,1,MAX(IF(SUMPRODUCT((CLASS!$E29:$L29="RES")*1)&gt;=2,0.4,0.5),MIN(1,0.25+15/SQRT(IF(KLL!L29="",INPUTS!$B$18,KLL!L29)*SUMPRODUCT((CLASS!$E29:$L29="RES")*1,TRIB!$E29:$L29)))))</f>
        <v>0.4</v>
      </c>
      <c r="M29" s="15" t="n">
        <f aca="false">IF(IF(KLL!M29="",INPUTS!$B$18,KLL!M29)*SUMPRODUCT((CLASS!$E29:$M29="RES")*1,TRIB!$E29:$M29)&lt;400,1,MAX(IF(SUMPRODUCT((CLASS!$E29:$M29="RES")*1)&gt;=2,0.4,0.5),MIN(1,0.25+15/SQRT(IF(KLL!M29="",INPUTS!$B$18,KLL!M29)*SUMPRODUCT((CLASS!$E29:$M29="RES")*1,TRIB!$E29:$M29)))))</f>
        <v>0.4</v>
      </c>
      <c r="N29" s="15" t="n">
        <f aca="false">IF(IF(KLL!N29="",INPUTS!$B$18,KLL!N29)*SUMPRODUCT((CLASS!$E29:$N29="RES")*1,TRIB!$E29:$N29)&lt;400,1,MAX(IF(SUMPRODUCT((CLASS!$E29:$N29="RES")*1)&gt;=2,0.4,0.5),MIN(1,0.25+15/SQRT(IF(KLL!N29="",INPUTS!$B$18,KLL!N29)*SUMPRODUCT((CLASS!$E29:$N29="RES")*1,TRIB!$E29:$N29)))))</f>
        <v>0.4</v>
      </c>
      <c r="O29" s="15" t="n">
        <f aca="false">IF(IF(KLL!O29="",INPUTS!$B$18,KLL!O29)*SUMPRODUCT((CLASS!$E29:$O29="RES")*1,TRIB!$E29:$O29)&lt;400,1,MAX(IF(SUMPRODUCT((CLASS!$E29:$O29="RES")*1)&gt;=2,0.4,0.5),MIN(1,0.25+15/SQRT(IF(KLL!O29="",INPUTS!$B$18,KLL!O29)*SUMPRODUCT((CLASS!$E29:$O29="RES")*1,TRIB!$E29:$O29)))))</f>
        <v>0.4</v>
      </c>
      <c r="P29" s="15" t="n">
        <f aca="false">IF(IF(KLL!P29="",INPUTS!$B$18,KLL!P29)*SUMPRODUCT((CLASS!$E29:$P29="RES")*1,TRIB!$E29:$P29)&lt;400,1,MAX(IF(SUMPRODUCT((CLASS!$E29:$P29="RES")*1)&gt;=2,0.4,0.5),MIN(1,0.25+15/SQRT(IF(KLL!P29="",INPUTS!$B$18,KLL!P29)*SUMPRODUCT((CLASS!$E29:$P29="RES")*1,TRIB!$E29:$P29)))))</f>
        <v>0.4</v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15" t="n">
        <f aca="false">IF(IF(KLL!E30="",INPUTS!$B$18,KLL!E30)*SUMPRODUCT((CLASS!$E30:$E30="RES")*1,TRIB!$E30:$E30)&lt;400,1,MAX(IF(SUMPRODUCT((CLASS!$E30:$E30="RES")*1)&gt;=2,0.4,0.5),MIN(1,0.25+15/SQRT(IF(KLL!E30="",INPUTS!$B$18,KLL!E30)*SUMPRODUCT((CLASS!$E30:$E30="RES")*1,TRIB!$E30:$E30)))))</f>
        <v>1</v>
      </c>
      <c r="F30" s="15" t="n">
        <f aca="false">IF(IF(KLL!F30="",INPUTS!$B$18,KLL!F30)*SUMPRODUCT((CLASS!$E30:$F30="RES")*1,TRIB!$E30:$F30)&lt;400,1,MAX(IF(SUMPRODUCT((CLASS!$E30:$F30="RES")*1)&gt;=2,0.4,0.5),MIN(1,0.25+15/SQRT(IF(KLL!F30="",INPUTS!$B$18,KLL!F30)*SUMPRODUCT((CLASS!$E30:$F30="RES")*1,TRIB!$E30:$F30)))))</f>
        <v>1</v>
      </c>
      <c r="G30" s="15" t="n">
        <f aca="false">IF(IF(KLL!G30="",INPUTS!$B$18,KLL!G30)*SUMPRODUCT((CLASS!$E30:$G30="RES")*1,TRIB!$E30:$G30)&lt;400,1,MAX(IF(SUMPRODUCT((CLASS!$E30:$G30="RES")*1)&gt;=2,0.4,0.5),MIN(1,0.25+15/SQRT(IF(KLL!G30="",INPUTS!$B$18,KLL!G30)*SUMPRODUCT((CLASS!$E30:$G30="RES")*1,TRIB!$E30:$G30)))))</f>
        <v>0.773185079811367</v>
      </c>
      <c r="H30" s="15" t="n">
        <f aca="false">IF(IF(KLL!H30="",INPUTS!$B$18,KLL!H30)*SUMPRODUCT((CLASS!$E30:$H30="RES")*1,TRIB!$E30:$H30)&lt;400,1,MAX(IF(SUMPRODUCT((CLASS!$E30:$H30="RES")*1)&gt;=2,0.4,0.5),MIN(1,0.25+15/SQRT(IF(KLL!H30="",INPUTS!$B$18,KLL!H30)*SUMPRODUCT((CLASS!$E30:$H30="RES")*1,TRIB!$E30:$H30)))))</f>
        <v>0.619947717750243</v>
      </c>
      <c r="I30" s="15" t="n">
        <f aca="false">IF(IF(KLL!I30="",INPUTS!$B$18,KLL!I30)*SUMPRODUCT((CLASS!$E30:$I30="RES")*1,TRIB!$E30:$I30)&lt;400,1,MAX(IF(SUMPRODUCT((CLASS!$E30:$I30="RES")*1)&gt;=2,0.4,0.5),MIN(1,0.25+15/SQRT(IF(KLL!I30="",INPUTS!$B$18,KLL!I30)*SUMPRODUCT((CLASS!$E30:$I30="RES")*1,TRIB!$E30:$I30)))))</f>
        <v>0.552061046665089</v>
      </c>
      <c r="J30" s="15" t="n">
        <f aca="false">IF(IF(KLL!J30="",INPUTS!$B$18,KLL!J30)*SUMPRODUCT((CLASS!$E30:$J30="RES")*1,TRIB!$E30:$J30)&lt;400,1,MAX(IF(SUMPRODUCT((CLASS!$E30:$J30="RES")*1)&gt;=2,0.4,0.5),MIN(1,0.25+15/SQRT(IF(KLL!J30="",INPUTS!$B$18,KLL!J30)*SUMPRODUCT((CLASS!$E30:$J30="RES")*1,TRIB!$E30:$J30)))))</f>
        <v>0.511592539905683</v>
      </c>
      <c r="K30" s="15" t="n">
        <f aca="false">IF(IF(KLL!K30="",INPUTS!$B$18,KLL!K30)*SUMPRODUCT((CLASS!$E30:$K30="RES")*1,TRIB!$E30:$K30)&lt;400,1,MAX(IF(SUMPRODUCT((CLASS!$E30:$K30="RES")*1)&gt;=2,0.4,0.5),MIN(1,0.25+15/SQRT(IF(KLL!K30="",INPUTS!$B$18,KLL!K30)*SUMPRODUCT((CLASS!$E30:$K30="RES")*1,TRIB!$E30:$K30)))))</f>
        <v>0.483975480654374</v>
      </c>
      <c r="L30" s="15" t="n">
        <f aca="false">IF(IF(KLL!L30="",INPUTS!$B$18,KLL!L30)*SUMPRODUCT((CLASS!$E30:$L30="RES")*1,TRIB!$E30:$L30)&lt;400,1,MAX(IF(SUMPRODUCT((CLASS!$E30:$L30="RES")*1)&gt;=2,0.4,0.5),MIN(1,0.25+15/SQRT(IF(KLL!L30="",INPUTS!$B$18,KLL!L30)*SUMPRODUCT((CLASS!$E30:$L30="RES")*1,TRIB!$E30:$L30)))))</f>
        <v>0.46358941442919</v>
      </c>
      <c r="M30" s="15" t="n">
        <f aca="false">IF(IF(KLL!M30="",INPUTS!$B$18,KLL!M30)*SUMPRODUCT((CLASS!$E30:$M30="RES")*1,TRIB!$E30:$M30)&lt;400,1,MAX(IF(SUMPRODUCT((CLASS!$E30:$M30="RES")*1)&gt;=2,0.4,0.5),MIN(1,0.25+15/SQRT(IF(KLL!M30="",INPUTS!$B$18,KLL!M30)*SUMPRODUCT((CLASS!$E30:$M30="RES")*1,TRIB!$E30:$M30)))))</f>
        <v>0.447745372977194</v>
      </c>
      <c r="N30" s="15" t="n">
        <f aca="false">IF(IF(KLL!N30="",INPUTS!$B$18,KLL!N30)*SUMPRODUCT((CLASS!$E30:$N30="RES")*1,TRIB!$E30:$N30)&lt;400,1,MAX(IF(SUMPRODUCT((CLASS!$E30:$N30="RES")*1)&gt;=2,0.4,0.5),MIN(1,0.25+15/SQRT(IF(KLL!N30="",INPUTS!$B$18,KLL!N30)*SUMPRODUCT((CLASS!$E30:$N30="RES")*1,TRIB!$E30:$N30)))))</f>
        <v>0.434973858875121</v>
      </c>
      <c r="O30" s="15" t="n">
        <f aca="false">IF(IF(KLL!O30="",INPUTS!$B$18,KLL!O30)*SUMPRODUCT((CLASS!$E30:$O30="RES")*1,TRIB!$E30:$O30)&lt;400,1,MAX(IF(SUMPRODUCT((CLASS!$E30:$O30="RES")*1)&gt;=2,0.4,0.5),MIN(1,0.25+15/SQRT(IF(KLL!O30="",INPUTS!$B$18,KLL!O30)*SUMPRODUCT((CLASS!$E30:$O30="RES")*1,TRIB!$E30:$O30)))))</f>
        <v>0.424395026603789</v>
      </c>
      <c r="P30" s="15" t="n">
        <f aca="false">IF(IF(KLL!P30="",INPUTS!$B$18,KLL!P30)*SUMPRODUCT((CLASS!$E30:$P30="RES")*1,TRIB!$E30:$P30)&lt;400,1,MAX(IF(SUMPRODUCT((CLASS!$E30:$P30="RES")*1)&gt;=2,0.4,0.5),MIN(1,0.25+15/SQRT(IF(KLL!P30="",INPUTS!$B$18,KLL!P30)*SUMPRODUCT((CLASS!$E30:$P30="RES")*1,TRIB!$E30:$P30)))))</f>
        <v>0.41544564900209</v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15" t="n">
        <f aca="false">IF(IF(KLL!E31="",INPUTS!$B$18,KLL!E31)*SUMPRODUCT((CLASS!$E31:$E31="RES")*1,TRIB!$E31:$E31)&lt;400,1,MAX(IF(SUMPRODUCT((CLASS!$E31:$E31="RES")*1)&gt;=2,0.4,0.5),MIN(1,0.25+15/SQRT(IF(KLL!E31="",INPUTS!$B$18,KLL!E31)*SUMPRODUCT((CLASS!$E31:$E31="RES")*1,TRIB!$E31:$E31)))))</f>
        <v>1</v>
      </c>
      <c r="F31" s="15" t="n">
        <f aca="false">IF(IF(KLL!F31="",INPUTS!$B$18,KLL!F31)*SUMPRODUCT((CLASS!$E31:$F31="RES")*1,TRIB!$E31:$F31)&lt;400,1,MAX(IF(SUMPRODUCT((CLASS!$E31:$F31="RES")*1)&gt;=2,0.4,0.5),MIN(1,0.25+15/SQRT(IF(KLL!F31="",INPUTS!$B$18,KLL!F31)*SUMPRODUCT((CLASS!$E31:$F31="RES")*1,TRIB!$E31:$F31)))))</f>
        <v>1</v>
      </c>
      <c r="G31" s="15" t="n">
        <f aca="false">IF(IF(KLL!G31="",INPUTS!$B$18,KLL!G31)*SUMPRODUCT((CLASS!$E31:$G31="RES")*1,TRIB!$E31:$G31)&lt;400,1,MAX(IF(SUMPRODUCT((CLASS!$E31:$G31="RES")*1)&gt;=2,0.4,0.5),MIN(1,0.25+15/SQRT(IF(KLL!G31="",INPUTS!$B$18,KLL!G31)*SUMPRODUCT((CLASS!$E31:$G31="RES")*1,TRIB!$E31:$G31)))))</f>
        <v>0.908426921959221</v>
      </c>
      <c r="H31" s="15" t="n">
        <f aca="false">IF(IF(KLL!H31="",INPUTS!$B$18,KLL!H31)*SUMPRODUCT((CLASS!$E31:$H31="RES")*1,TRIB!$E31:$H31)&lt;400,1,MAX(IF(SUMPRODUCT((CLASS!$E31:$H31="RES")*1)&gt;=2,0.4,0.5),MIN(1,0.25+15/SQRT(IF(KLL!H31="",INPUTS!$B$18,KLL!H31)*SUMPRODUCT((CLASS!$E31:$H31="RES")*1,TRIB!$E31:$H31)))))</f>
        <v>0.715578141433151</v>
      </c>
      <c r="I31" s="15" t="n">
        <f aca="false">IF(IF(KLL!I31="",INPUTS!$B$18,KLL!I31)*SUMPRODUCT((CLASS!$E31:$I31="RES")*1,TRIB!$E31:$I31)&lt;400,1,MAX(IF(SUMPRODUCT((CLASS!$E31:$I31="RES")*1)&gt;=2,0.4,0.5),MIN(1,0.25+15/SQRT(IF(KLL!I31="",INPUTS!$B$18,KLL!I31)*SUMPRODUCT((CLASS!$E31:$I31="RES")*1,TRIB!$E31:$I31)))))</f>
        <v>0.630142960634853</v>
      </c>
      <c r="J31" s="15" t="n">
        <f aca="false">IF(IF(KLL!J31="",INPUTS!$B$18,KLL!J31)*SUMPRODUCT((CLASS!$E31:$J31="RES")*1,TRIB!$E31:$J31)&lt;400,1,MAX(IF(SUMPRODUCT((CLASS!$E31:$J31="RES")*1)&gt;=2,0.4,0.5),MIN(1,0.25+15/SQRT(IF(KLL!J31="",INPUTS!$B$18,KLL!J31)*SUMPRODUCT((CLASS!$E31:$J31="RES")*1,TRIB!$E31:$J31)))))</f>
        <v>0.57921346097961</v>
      </c>
      <c r="K31" s="15" t="n">
        <f aca="false">IF(IF(KLL!K31="",INPUTS!$B$18,KLL!K31)*SUMPRODUCT((CLASS!$E31:$K31="RES")*1,TRIB!$E31:$K31)&lt;400,1,MAX(IF(SUMPRODUCT((CLASS!$E31:$K31="RES")*1)&gt;=2,0.4,0.5),MIN(1,0.25+15/SQRT(IF(KLL!K31="",INPUTS!$B$18,KLL!K31)*SUMPRODUCT((CLASS!$E31:$K31="RES")*1,TRIB!$E31:$K31)))))</f>
        <v>0.54686968499788</v>
      </c>
      <c r="L31" s="15" t="n">
        <f aca="false">IF(IF(KLL!L31="",INPUTS!$B$18,KLL!L31)*SUMPRODUCT((CLASS!$E31:$L31="RES")*1,TRIB!$E31:$L31)&lt;400,1,MAX(IF(SUMPRODUCT((CLASS!$E31:$L31="RES")*1)&gt;=2,0.4,0.5),MIN(1,0.25+15/SQRT(IF(KLL!L31="",INPUTS!$B$18,KLL!L31)*SUMPRODUCT((CLASS!$E31:$L31="RES")*1,TRIB!$E31:$L31)))))</f>
        <v>0.522502157317285</v>
      </c>
      <c r="M31" s="15" t="n">
        <f aca="false">IF(IF(KLL!M31="",INPUTS!$B$18,KLL!M31)*SUMPRODUCT((CLASS!$E31:$M31="RES")*1,TRIB!$E31:$M31)&lt;400,1,MAX(IF(SUMPRODUCT((CLASS!$E31:$M31="RES")*1)&gt;=2,0.4,0.5),MIN(1,0.25+15/SQRT(IF(KLL!M31="",INPUTS!$B$18,KLL!M31)*SUMPRODUCT((CLASS!$E31:$M31="RES")*1,TRIB!$E31:$M31)))))</f>
        <v>0.503293109828793</v>
      </c>
      <c r="N31" s="15" t="n">
        <f aca="false">IF(IF(KLL!N31="",INPUTS!$B$18,KLL!N31)*SUMPRODUCT((CLASS!$E31:$N31="RES")*1,TRIB!$E31:$N31)&lt;400,1,MAX(IF(SUMPRODUCT((CLASS!$E31:$N31="RES")*1)&gt;=2,0.4,0.5),MIN(1,0.25+15/SQRT(IF(KLL!N31="",INPUTS!$B$18,KLL!N31)*SUMPRODUCT((CLASS!$E31:$N31="RES")*1,TRIB!$E31:$N31)))))</f>
        <v>0.487646593946679</v>
      </c>
      <c r="O31" s="15" t="n">
        <f aca="false">IF(IF(KLL!O31="",INPUTS!$B$18,KLL!O31)*SUMPRODUCT((CLASS!$E31:$O31="RES")*1,TRIB!$E31:$O31)&lt;400,1,MAX(IF(SUMPRODUCT((CLASS!$E31:$O31="RES")*1)&gt;=2,0.4,0.5),MIN(1,0.25+15/SQRT(IF(KLL!O31="",INPUTS!$B$18,KLL!O31)*SUMPRODUCT((CLASS!$E31:$O31="RES")*1,TRIB!$E31:$O31)))))</f>
        <v>0.474582104633444</v>
      </c>
      <c r="P31" s="15" t="n">
        <f aca="false">IF(IF(KLL!P31="",INPUTS!$B$18,KLL!P31)*SUMPRODUCT((CLASS!$E31:$P31="RES")*1,TRIB!$E31:$P31)&lt;400,1,MAX(IF(SUMPRODUCT((CLASS!$E31:$P31="RES")*1)&gt;=2,0.4,0.5),MIN(1,0.25+15/SQRT(IF(KLL!P31="",INPUTS!$B$18,KLL!P31)*SUMPRODUCT((CLASS!$E31:$P31="RES")*1,TRIB!$E31:$P31)))))</f>
        <v>0.46345961228142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15" t="n">
        <f aca="false">IF(IF(KLL!E32="",INPUTS!$B$18,KLL!E32)*SUMPRODUCT((CLASS!$E32:$E32="RES")*1,TRIB!$E32:$E32)&lt;400,1,MAX(IF(SUMPRODUCT((CLASS!$E32:$E32="RES")*1)&gt;=2,0.4,0.5),MIN(1,0.25+15/SQRT(IF(KLL!E32="",INPUTS!$B$18,KLL!E32)*SUMPRODUCT((CLASS!$E32:$E32="RES")*1,TRIB!$E32:$E32)))))</f>
        <v>1</v>
      </c>
      <c r="F32" s="15" t="n">
        <f aca="false">IF(IF(KLL!F32="",INPUTS!$B$18,KLL!F32)*SUMPRODUCT((CLASS!$E32:$F32="RES")*1,TRIB!$E32:$F32)&lt;400,1,MAX(IF(SUMPRODUCT((CLASS!$E32:$F32="RES")*1)&gt;=2,0.4,0.5),MIN(1,0.25+15/SQRT(IF(KLL!F32="",INPUTS!$B$18,KLL!F32)*SUMPRODUCT((CLASS!$E32:$F32="RES")*1,TRIB!$E32:$F32)))))</f>
        <v>1</v>
      </c>
      <c r="G32" s="15" t="n">
        <f aca="false">IF(IF(KLL!G32="",INPUTS!$B$18,KLL!G32)*SUMPRODUCT((CLASS!$E32:$G32="RES")*1,TRIB!$E32:$G32)&lt;400,1,MAX(IF(SUMPRODUCT((CLASS!$E32:$G32="RES")*1)&gt;=2,0.4,0.5),MIN(1,0.25+15/SQRT(IF(KLL!G32="",INPUTS!$B$18,KLL!G32)*SUMPRODUCT((CLASS!$E32:$G32="RES")*1,TRIB!$E32:$G32)))))</f>
        <v>0.6652273992687</v>
      </c>
      <c r="H32" s="15" t="n">
        <f aca="false">IF(IF(KLL!H32="",INPUTS!$B$18,KLL!H32)*SUMPRODUCT((CLASS!$E32:$H32="RES")*1,TRIB!$E32:$H32)&lt;400,1,MAX(IF(SUMPRODUCT((CLASS!$E32:$H32="RES")*1)&gt;=2,0.4,0.5),MIN(1,0.25+15/SQRT(IF(KLL!H32="",INPUTS!$B$18,KLL!H32)*SUMPRODUCT((CLASS!$E32:$H32="RES")*1,TRIB!$E32:$H32)))))</f>
        <v>0.543610109757352</v>
      </c>
      <c r="I32" s="15" t="n">
        <f aca="false">IF(IF(KLL!I32="",INPUTS!$B$18,KLL!I32)*SUMPRODUCT((CLASS!$E32:$I32="RES")*1,TRIB!$E32:$I32)&lt;400,1,MAX(IF(SUMPRODUCT((CLASS!$E32:$I32="RES")*1)&gt;=2,0.4,0.5),MIN(1,0.25+15/SQRT(IF(KLL!I32="",INPUTS!$B$18,KLL!I32)*SUMPRODUCT((CLASS!$E32:$I32="RES")*1,TRIB!$E32:$I32)))))</f>
        <v>0.489731650742692</v>
      </c>
      <c r="J32" s="15" t="n">
        <f aca="false">IF(IF(KLL!J32="",INPUTS!$B$18,KLL!J32)*SUMPRODUCT((CLASS!$E32:$J32="RES")*1,TRIB!$E32:$J32)&lt;400,1,MAX(IF(SUMPRODUCT((CLASS!$E32:$J32="RES")*1)&gt;=2,0.4,0.5),MIN(1,0.25+15/SQRT(IF(KLL!J32="",INPUTS!$B$18,KLL!J32)*SUMPRODUCT((CLASS!$E32:$J32="RES")*1,TRIB!$E32:$J32)))))</f>
        <v>0.45761369963435</v>
      </c>
      <c r="K32" s="15" t="n">
        <f aca="false">IF(IF(KLL!K32="",INPUTS!$B$18,KLL!K32)*SUMPRODUCT((CLASS!$E32:$K32="RES")*1,TRIB!$E32:$K32)&lt;400,1,MAX(IF(SUMPRODUCT((CLASS!$E32:$K32="RES")*1)&gt;=2,0.4,0.5),MIN(1,0.25+15/SQRT(IF(KLL!K32="",INPUTS!$B$18,KLL!K32)*SUMPRODUCT((CLASS!$E32:$K32="RES")*1,TRIB!$E32:$K32)))))</f>
        <v>0.435695338177052</v>
      </c>
      <c r="L32" s="15" t="n">
        <f aca="false">IF(IF(KLL!L32="",INPUTS!$B$18,KLL!L32)*SUMPRODUCT((CLASS!$E32:$L32="RES")*1,TRIB!$E32:$L32)&lt;400,1,MAX(IF(SUMPRODUCT((CLASS!$E32:$L32="RES")*1)&gt;=2,0.4,0.5),MIN(1,0.25+15/SQRT(IF(KLL!L32="",INPUTS!$B$18,KLL!L32)*SUMPRODUCT((CLASS!$E32:$L32="RES")*1,TRIB!$E32:$L32)))))</f>
        <v>0.419515875905203</v>
      </c>
      <c r="M32" s="15" t="n">
        <f aca="false">IF(IF(KLL!M32="",INPUTS!$B$18,KLL!M32)*SUMPRODUCT((CLASS!$E32:$M32="RES")*1,TRIB!$E32:$M32)&lt;400,1,MAX(IF(SUMPRODUCT((CLASS!$E32:$M32="RES")*1)&gt;=2,0.4,0.5),MIN(1,0.25+15/SQRT(IF(KLL!M32="",INPUTS!$B$18,KLL!M32)*SUMPRODUCT((CLASS!$E32:$M32="RES")*1,TRIB!$E32:$M32)))))</f>
        <v>0.406941205143586</v>
      </c>
      <c r="N32" s="15" t="n">
        <f aca="false">IF(IF(KLL!N32="",INPUTS!$B$18,KLL!N32)*SUMPRODUCT((CLASS!$E32:$N32="RES")*1,TRIB!$E32:$N32)&lt;400,1,MAX(IF(SUMPRODUCT((CLASS!$E32:$N32="RES")*1)&gt;=2,0.4,0.5),MIN(1,0.25+15/SQRT(IF(KLL!N32="",INPUTS!$B$18,KLL!N32)*SUMPRODUCT((CLASS!$E32:$N32="RES")*1,TRIB!$E32:$N32)))))</f>
        <v>0.4</v>
      </c>
      <c r="O32" s="15" t="n">
        <f aca="false">IF(IF(KLL!O32="",INPUTS!$B$18,KLL!O32)*SUMPRODUCT((CLASS!$E32:$O32="RES")*1,TRIB!$E32:$O32)&lt;400,1,MAX(IF(SUMPRODUCT((CLASS!$E32:$O32="RES")*1)&gt;=2,0.4,0.5),MIN(1,0.25+15/SQRT(IF(KLL!O32="",INPUTS!$B$18,KLL!O32)*SUMPRODUCT((CLASS!$E32:$O32="RES")*1,TRIB!$E32:$O32)))))</f>
        <v>0.4</v>
      </c>
      <c r="P32" s="15" t="n">
        <f aca="false">IF(IF(KLL!P32="",INPUTS!$B$18,KLL!P32)*SUMPRODUCT((CLASS!$E32:$P32="RES")*1,TRIB!$E32:$P32)&lt;400,1,MAX(IF(SUMPRODUCT((CLASS!$E32:$P32="RES")*1)&gt;=2,0.4,0.5),MIN(1,0.25+15/SQRT(IF(KLL!P32="",INPUTS!$B$18,KLL!P32)*SUMPRODUCT((CLASS!$E32:$P32="RES")*1,TRIB!$E32:$P32)))))</f>
        <v>0.4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15" t="n">
        <f aca="false">IF(IF(KLL!E33="",INPUTS!$B$18,KLL!E33)*SUMPRODUCT((CLASS!$E33:$E33="RES")*1,TRIB!$E33:$E33)&lt;400,1,MAX(IF(SUMPRODUCT((CLASS!$E33:$E33="RES")*1)&gt;=2,0.4,0.5),MIN(1,0.25+15/SQRT(IF(KLL!E33="",INPUTS!$B$18,KLL!E33)*SUMPRODUCT((CLASS!$E33:$E33="RES")*1,TRIB!$E33:$E33)))))</f>
        <v>1</v>
      </c>
      <c r="F33" s="15" t="n">
        <f aca="false">IF(IF(KLL!F33="",INPUTS!$B$18,KLL!F33)*SUMPRODUCT((CLASS!$E33:$F33="RES")*1,TRIB!$E33:$F33)&lt;400,1,MAX(IF(SUMPRODUCT((CLASS!$E33:$F33="RES")*1)&gt;=2,0.4,0.5),MIN(1,0.25+15/SQRT(IF(KLL!F33="",INPUTS!$B$18,KLL!F33)*SUMPRODUCT((CLASS!$E33:$F33="RES")*1,TRIB!$E33:$F33)))))</f>
        <v>1</v>
      </c>
      <c r="G33" s="15" t="n">
        <f aca="false">IF(IF(KLL!G33="",INPUTS!$B$18,KLL!G33)*SUMPRODUCT((CLASS!$E33:$G33="RES")*1,TRIB!$E33:$G33)&lt;400,1,MAX(IF(SUMPRODUCT((CLASS!$E33:$G33="RES")*1)&gt;=2,0.4,0.5),MIN(1,0.25+15/SQRT(IF(KLL!G33="",INPUTS!$B$18,KLL!G33)*SUMPRODUCT((CLASS!$E33:$G33="RES")*1,TRIB!$E33:$G33)))))</f>
        <v>0.660997468263393</v>
      </c>
      <c r="H33" s="15" t="n">
        <f aca="false">IF(IF(KLL!H33="",INPUTS!$B$18,KLL!H33)*SUMPRODUCT((CLASS!$E33:$H33="RES")*1,TRIB!$E33:$H33)&lt;400,1,MAX(IF(SUMPRODUCT((CLASS!$E33:$H33="RES")*1)&gt;=2,0.4,0.5),MIN(1,0.25+15/SQRT(IF(KLL!H33="",INPUTS!$B$18,KLL!H33)*SUMPRODUCT((CLASS!$E33:$H33="RES")*1,TRIB!$E33:$H33)))))</f>
        <v>0.540619096859548</v>
      </c>
      <c r="I33" s="15" t="n">
        <f aca="false">IF(IF(KLL!I33="",INPUTS!$B$18,KLL!I33)*SUMPRODUCT((CLASS!$E33:$I33="RES")*1,TRIB!$E33:$I33)&lt;400,1,MAX(IF(SUMPRODUCT((CLASS!$E33:$I33="RES")*1)&gt;=2,0.4,0.5),MIN(1,0.25+15/SQRT(IF(KLL!I33="",INPUTS!$B$18,KLL!I33)*SUMPRODUCT((CLASS!$E33:$I33="RES")*1,TRIB!$E33:$I33)))))</f>
        <v>0.487289498938125</v>
      </c>
      <c r="J33" s="15" t="n">
        <f aca="false">IF(IF(KLL!J33="",INPUTS!$B$18,KLL!J33)*SUMPRODUCT((CLASS!$E33:$J33="RES")*1,TRIB!$E33:$J33)&lt;400,1,MAX(IF(SUMPRODUCT((CLASS!$E33:$J33="RES")*1)&gt;=2,0.4,0.5),MIN(1,0.25+15/SQRT(IF(KLL!J33="",INPUTS!$B$18,KLL!J33)*SUMPRODUCT((CLASS!$E33:$J33="RES")*1,TRIB!$E33:$J33)))))</f>
        <v>0.455498734131697</v>
      </c>
      <c r="K33" s="15" t="n">
        <f aca="false">IF(IF(KLL!K33="",INPUTS!$B$18,KLL!K33)*SUMPRODUCT((CLASS!$E33:$K33="RES")*1,TRIB!$E33:$K33)&lt;400,1,MAX(IF(SUMPRODUCT((CLASS!$E33:$K33="RES")*1)&gt;=2,0.4,0.5),MIN(1,0.25+15/SQRT(IF(KLL!K33="",INPUTS!$B$18,KLL!K33)*SUMPRODUCT((CLASS!$E33:$K33="RES")*1,TRIB!$E33:$K33)))))</f>
        <v>0.409178634991753</v>
      </c>
      <c r="L33" s="15" t="n">
        <f aca="false">IF(IF(KLL!L33="",INPUTS!$B$18,KLL!L33)*SUMPRODUCT((CLASS!$E33:$L33="RES")*1,TRIB!$E33:$L33)&lt;400,1,MAX(IF(SUMPRODUCT((CLASS!$E33:$L33="RES")*1)&gt;=2,0.4,0.5),MIN(1,0.25+15/SQRT(IF(KLL!L33="",INPUTS!$B$18,KLL!L33)*SUMPRODUCT((CLASS!$E33:$L33="RES")*1,TRIB!$E33:$L33)))))</f>
        <v>0.4</v>
      </c>
      <c r="M33" s="15" t="n">
        <f aca="false">IF(IF(KLL!M33="",INPUTS!$B$18,KLL!M33)*SUMPRODUCT((CLASS!$E33:$M33="RES")*1,TRIB!$E33:$M33)&lt;400,1,MAX(IF(SUMPRODUCT((CLASS!$E33:$M33="RES")*1)&gt;=2,0.4,0.5),MIN(1,0.25+15/SQRT(IF(KLL!M33="",INPUTS!$B$18,KLL!M33)*SUMPRODUCT((CLASS!$E33:$M33="RES")*1,TRIB!$E33:$M33)))))</f>
        <v>0.4</v>
      </c>
      <c r="N33" s="15" t="n">
        <f aca="false">IF(IF(KLL!N33="",INPUTS!$B$18,KLL!N33)*SUMPRODUCT((CLASS!$E33:$N33="RES")*1,TRIB!$E33:$N33)&lt;400,1,MAX(IF(SUMPRODUCT((CLASS!$E33:$N33="RES")*1)&gt;=2,0.4,0.5),MIN(1,0.25+15/SQRT(IF(KLL!N33="",INPUTS!$B$18,KLL!N33)*SUMPRODUCT((CLASS!$E33:$N33="RES")*1,TRIB!$E33:$N33)))))</f>
        <v>0.4</v>
      </c>
      <c r="O33" s="15" t="n">
        <f aca="false">IF(IF(KLL!O33="",INPUTS!$B$18,KLL!O33)*SUMPRODUCT((CLASS!$E33:$O33="RES")*1,TRIB!$E33:$O33)&lt;400,1,MAX(IF(SUMPRODUCT((CLASS!$E33:$O33="RES")*1)&gt;=2,0.4,0.5),MIN(1,0.25+15/SQRT(IF(KLL!O33="",INPUTS!$B$18,KLL!O33)*SUMPRODUCT((CLASS!$E33:$O33="RES")*1,TRIB!$E33:$O33)))))</f>
        <v>0.4</v>
      </c>
      <c r="P33" s="15" t="n">
        <f aca="false">IF(IF(KLL!P33="",INPUTS!$B$18,KLL!P33)*SUMPRODUCT((CLASS!$E33:$P33="RES")*1,TRIB!$E33:$P33)&lt;400,1,MAX(IF(SUMPRODUCT((CLASS!$E33:$P33="RES")*1)&gt;=2,0.4,0.5),MIN(1,0.25+15/SQRT(IF(KLL!P33="",INPUTS!$B$18,KLL!P33)*SUMPRODUCT((CLASS!$E33:$P33="RES")*1,TRIB!$E33:$P33)))))</f>
        <v>0.4</v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15" t="n">
        <f aca="false">IF(IF(KLL!E34="",INPUTS!$B$18,KLL!E34)*SUMPRODUCT((CLASS!$E34:$E34="RES")*1,TRIB!$E34:$E34)&lt;400,1,MAX(IF(SUMPRODUCT((CLASS!$E34:$E34="RES")*1)&gt;=2,0.4,0.5),MIN(1,0.25+15/SQRT(IF(KLL!E34="",INPUTS!$B$18,KLL!E34)*SUMPRODUCT((CLASS!$E34:$E34="RES")*1,TRIB!$E34:$E34)))))</f>
        <v>1</v>
      </c>
      <c r="F34" s="15" t="n">
        <f aca="false">IF(IF(KLL!F34="",INPUTS!$B$18,KLL!F34)*SUMPRODUCT((CLASS!$E34:$F34="RES")*1,TRIB!$E34:$F34)&lt;400,1,MAX(IF(SUMPRODUCT((CLASS!$E34:$F34="RES")*1)&gt;=2,0.4,0.5),MIN(1,0.25+15/SQRT(IF(KLL!F34="",INPUTS!$B$18,KLL!F34)*SUMPRODUCT((CLASS!$E34:$F34="RES")*1,TRIB!$E34:$F34)))))</f>
        <v>1</v>
      </c>
      <c r="G34" s="15" t="n">
        <f aca="false">IF(IF(KLL!G34="",INPUTS!$B$18,KLL!G34)*SUMPRODUCT((CLASS!$E34:$G34="RES")*1,TRIB!$E34:$G34)&lt;400,1,MAX(IF(SUMPRODUCT((CLASS!$E34:$G34="RES")*1)&gt;=2,0.4,0.5),MIN(1,0.25+15/SQRT(IF(KLL!G34="",INPUTS!$B$18,KLL!G34)*SUMPRODUCT((CLASS!$E34:$G34="RES")*1,TRIB!$E34:$G34)))))</f>
        <v>0.743463771219827</v>
      </c>
      <c r="H34" s="15" t="n">
        <f aca="false">IF(IF(KLL!H34="",INPUTS!$B$18,KLL!H34)*SUMPRODUCT((CLASS!$E34:$H34="RES")*1,TRIB!$E34:$H34)&lt;400,1,MAX(IF(SUMPRODUCT((CLASS!$E34:$H34="RES")*1)&gt;=2,0.4,0.5),MIN(1,0.25+15/SQRT(IF(KLL!H34="",INPUTS!$B$18,KLL!H34)*SUMPRODUCT((CLASS!$E34:$H34="RES")*1,TRIB!$E34:$H34)))))</f>
        <v>0.609907875374347</v>
      </c>
      <c r="I34" s="15" t="n">
        <f aca="false">IF(IF(KLL!I34="",INPUTS!$B$18,KLL!I34)*SUMPRODUCT((CLASS!$E34:$I34="RES")*1,TRIB!$E34:$I34)&lt;400,1,MAX(IF(SUMPRODUCT((CLASS!$E34:$I34="RES")*1)&gt;=2,0.4,0.5),MIN(1,0.25+15/SQRT(IF(KLL!I34="",INPUTS!$B$18,KLL!I34)*SUMPRODUCT((CLASS!$E34:$I34="RES")*1,TRIB!$E34:$I34)))))</f>
        <v>0.547044262893002</v>
      </c>
      <c r="J34" s="15" t="n">
        <f aca="false">IF(IF(KLL!J34="",INPUTS!$B$18,KLL!J34)*SUMPRODUCT((CLASS!$E34:$J34="RES")*1,TRIB!$E34:$J34)&lt;400,1,MAX(IF(SUMPRODUCT((CLASS!$E34:$J34="RES")*1)&gt;=2,0.4,0.5),MIN(1,0.25+15/SQRT(IF(KLL!J34="",INPUTS!$B$18,KLL!J34)*SUMPRODUCT((CLASS!$E34:$J34="RES")*1,TRIB!$E34:$J34)))))</f>
        <v>0.508659137687743</v>
      </c>
      <c r="K34" s="15" t="n">
        <f aca="false">IF(IF(KLL!K34="",INPUTS!$B$18,KLL!K34)*SUMPRODUCT((CLASS!$E34:$K34="RES")*1,TRIB!$E34:$K34)&lt;400,1,MAX(IF(SUMPRODUCT((CLASS!$E34:$K34="RES")*1)&gt;=2,0.4,0.5),MIN(1,0.25+15/SQRT(IF(KLL!K34="",INPUTS!$B$18,KLL!K34)*SUMPRODUCT((CLASS!$E34:$K34="RES")*1,TRIB!$E34:$K34)))))</f>
        <v>0.482119172721315</v>
      </c>
      <c r="L34" s="15" t="n">
        <f aca="false">IF(IF(KLL!L34="",INPUTS!$B$18,KLL!L34)*SUMPRODUCT((CLASS!$E34:$L34="RES")*1,TRIB!$E34:$L34)&lt;400,1,MAX(IF(SUMPRODUCT((CLASS!$E34:$L34="RES")*1)&gt;=2,0.4,0.5),MIN(1,0.25+15/SQRT(IF(KLL!L34="",INPUTS!$B$18,KLL!L34)*SUMPRODUCT((CLASS!$E34:$L34="RES")*1,TRIB!$E34:$L34)))))</f>
        <v>0.462365765320629</v>
      </c>
      <c r="M34" s="15" t="n">
        <f aca="false">IF(IF(KLL!M34="",INPUTS!$B$18,KLL!M34)*SUMPRODUCT((CLASS!$E34:$M34="RES")*1,TRIB!$E34:$M34)&lt;400,1,MAX(IF(SUMPRODUCT((CLASS!$E34:$M34="RES")*1)&gt;=2,0.4,0.5),MIN(1,0.25+15/SQRT(IF(KLL!M34="",INPUTS!$B$18,KLL!M34)*SUMPRODUCT((CLASS!$E34:$M34="RES")*1,TRIB!$E34:$M34)))))</f>
        <v>0.446925699509225</v>
      </c>
      <c r="N34" s="15" t="n">
        <f aca="false">IF(IF(KLL!N34="",INPUTS!$B$18,KLL!N34)*SUMPRODUCT((CLASS!$E34:$N34="RES")*1,TRIB!$E34:$N34)&lt;400,1,MAX(IF(SUMPRODUCT((CLASS!$E34:$N34="RES")*1)&gt;=2,0.4,0.5),MIN(1,0.25+15/SQRT(IF(KLL!N34="",INPUTS!$B$18,KLL!N34)*SUMPRODUCT((CLASS!$E34:$N34="RES")*1,TRIB!$E34:$N34)))))</f>
        <v>0.434427778390829</v>
      </c>
      <c r="O34" s="15" t="n">
        <f aca="false">IF(IF(KLL!O34="",INPUTS!$B$18,KLL!O34)*SUMPRODUCT((CLASS!$E34:$O34="RES")*1,TRIB!$E34:$O34)&lt;400,1,MAX(IF(SUMPRODUCT((CLASS!$E34:$O34="RES")*1)&gt;=2,0.4,0.5),MIN(1,0.25+15/SQRT(IF(KLL!O34="",INPUTS!$B$18,KLL!O34)*SUMPRODUCT((CLASS!$E34:$O34="RES")*1,TRIB!$E34:$O34)))))</f>
        <v>0.424042499405616</v>
      </c>
      <c r="P34" s="15" t="n">
        <f aca="false">IF(IF(KLL!P34="",INPUTS!$B$18,KLL!P34)*SUMPRODUCT((CLASS!$E34:$P34="RES")*1,TRIB!$E34:$P34)&lt;400,1,MAX(IF(SUMPRODUCT((CLASS!$E34:$P34="RES")*1)&gt;=2,0.4,0.5),MIN(1,0.25+15/SQRT(IF(KLL!P34="",INPUTS!$B$18,KLL!P34)*SUMPRODUCT((CLASS!$E34:$P34="RES")*1,TRIB!$E34:$P34)))))</f>
        <v>0.415234717390409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15" t="n">
        <f aca="false">IF(IF(KLL!E35="",INPUTS!$B$18,KLL!E35)*SUMPRODUCT((CLASS!$E35:$E35="RES")*1,TRIB!$E35:$E35)&lt;400,1,MAX(IF(SUMPRODUCT((CLASS!$E35:$E35="RES")*1)&gt;=2,0.4,0.5),MIN(1,0.25+15/SQRT(IF(KLL!E35="",INPUTS!$B$18,KLL!E35)*SUMPRODUCT((CLASS!$E35:$E35="RES")*1,TRIB!$E35:$E35)))))</f>
        <v>1</v>
      </c>
      <c r="F35" s="15" t="n">
        <f aca="false">IF(IF(KLL!F35="",INPUTS!$B$18,KLL!F35)*SUMPRODUCT((CLASS!$E35:$F35="RES")*1,TRIB!$E35:$F35)&lt;400,1,MAX(IF(SUMPRODUCT((CLASS!$E35:$F35="RES")*1)&gt;=2,0.4,0.5),MIN(1,0.25+15/SQRT(IF(KLL!F35="",INPUTS!$B$18,KLL!F35)*SUMPRODUCT((CLASS!$E35:$F35="RES")*1,TRIB!$E35:$F35)))))</f>
        <v>1</v>
      </c>
      <c r="G35" s="15" t="n">
        <f aca="false">IF(IF(KLL!G35="",INPUTS!$B$18,KLL!G35)*SUMPRODUCT((CLASS!$E35:$G35="RES")*1,TRIB!$E35:$G35)&lt;400,1,MAX(IF(SUMPRODUCT((CLASS!$E35:$G35="RES")*1)&gt;=2,0.4,0.5),MIN(1,0.25+15/SQRT(IF(KLL!G35="",INPUTS!$B$18,KLL!G35)*SUMPRODUCT((CLASS!$E35:$G35="RES")*1,TRIB!$E35:$G35)))))</f>
        <v>0.675115150948852</v>
      </c>
      <c r="H35" s="15" t="n">
        <f aca="false">IF(IF(KLL!H35="",INPUTS!$B$18,KLL!H35)*SUMPRODUCT((CLASS!$E35:$H35="RES")*1,TRIB!$E35:$H35)&lt;400,1,MAX(IF(SUMPRODUCT((CLASS!$E35:$H35="RES")*1)&gt;=2,0.4,0.5),MIN(1,0.25+15/SQRT(IF(KLL!H35="",INPUTS!$B$18,KLL!H35)*SUMPRODUCT((CLASS!$E35:$H35="RES")*1,TRIB!$E35:$H35)))))</f>
        <v>0.550601806021076</v>
      </c>
      <c r="I35" s="15" t="n">
        <f aca="false">IF(IF(KLL!I35="",INPUTS!$B$18,KLL!I35)*SUMPRODUCT((CLASS!$E35:$I35="RES")*1,TRIB!$E35:$I35)&lt;400,1,MAX(IF(SUMPRODUCT((CLASS!$E35:$I35="RES")*1)&gt;=2,0.4,0.5),MIN(1,0.25+15/SQRT(IF(KLL!I35="",INPUTS!$B$18,KLL!I35)*SUMPRODUCT((CLASS!$E35:$I35="RES")*1,TRIB!$E35:$I35)))))</f>
        <v>0.495440346836908</v>
      </c>
      <c r="J35" s="15" t="n">
        <f aca="false">IF(IF(KLL!J35="",INPUTS!$B$18,KLL!J35)*SUMPRODUCT((CLASS!$E35:$J35="RES")*1,TRIB!$E35:$J35)&lt;400,1,MAX(IF(SUMPRODUCT((CLASS!$E35:$J35="RES")*1)&gt;=2,0.4,0.5),MIN(1,0.25+15/SQRT(IF(KLL!J35="",INPUTS!$B$18,KLL!J35)*SUMPRODUCT((CLASS!$E35:$J35="RES")*1,TRIB!$E35:$J35)))))</f>
        <v>0.462557575474426</v>
      </c>
      <c r="K35" s="15" t="n">
        <f aca="false">IF(IF(KLL!K35="",INPUTS!$B$18,KLL!K35)*SUMPRODUCT((CLASS!$E35:$K35="RES")*1,TRIB!$E35:$K35)&lt;400,1,MAX(IF(SUMPRODUCT((CLASS!$E35:$K35="RES")*1)&gt;=2,0.4,0.5),MIN(1,0.25+15/SQRT(IF(KLL!K35="",INPUTS!$B$18,KLL!K35)*SUMPRODUCT((CLASS!$E35:$K35="RES")*1,TRIB!$E35:$K35)))))</f>
        <v>0.414646389984536</v>
      </c>
      <c r="L35" s="15" t="n">
        <f aca="false">IF(IF(KLL!L35="",INPUTS!$B$18,KLL!L35)*SUMPRODUCT((CLASS!$E35:$L35="RES")*1,TRIB!$E35:$L35)&lt;400,1,MAX(IF(SUMPRODUCT((CLASS!$E35:$L35="RES")*1)&gt;=2,0.4,0.5),MIN(1,0.25+15/SQRT(IF(KLL!L35="",INPUTS!$B$18,KLL!L35)*SUMPRODUCT((CLASS!$E35:$L35="RES")*1,TRIB!$E35:$L35)))))</f>
        <v>0.400300903010538</v>
      </c>
      <c r="M35" s="15" t="n">
        <f aca="false">IF(IF(KLL!M35="",INPUTS!$B$18,KLL!M35)*SUMPRODUCT((CLASS!$E35:$M35="RES")*1,TRIB!$E35:$M35)&lt;400,1,MAX(IF(SUMPRODUCT((CLASS!$E35:$M35="RES")*1)&gt;=2,0.4,0.5),MIN(1,0.25+15/SQRT(IF(KLL!M35="",INPUTS!$B$18,KLL!M35)*SUMPRODUCT((CLASS!$E35:$M35="RES")*1,TRIB!$E35:$M35)))))</f>
        <v>0.4</v>
      </c>
      <c r="N35" s="15" t="n">
        <f aca="false">IF(IF(KLL!N35="",INPUTS!$B$18,KLL!N35)*SUMPRODUCT((CLASS!$E35:$N35="RES")*1,TRIB!$E35:$N35)&lt;400,1,MAX(IF(SUMPRODUCT((CLASS!$E35:$N35="RES")*1)&gt;=2,0.4,0.5),MIN(1,0.25+15/SQRT(IF(KLL!N35="",INPUTS!$B$18,KLL!N35)*SUMPRODUCT((CLASS!$E35:$N35="RES")*1,TRIB!$E35:$N35)))))</f>
        <v>0.4</v>
      </c>
      <c r="O35" s="15" t="n">
        <f aca="false">IF(IF(KLL!O35="",INPUTS!$B$18,KLL!O35)*SUMPRODUCT((CLASS!$E35:$O35="RES")*1,TRIB!$E35:$O35)&lt;400,1,MAX(IF(SUMPRODUCT((CLASS!$E35:$O35="RES")*1)&gt;=2,0.4,0.5),MIN(1,0.25+15/SQRT(IF(KLL!O35="",INPUTS!$B$18,KLL!O35)*SUMPRODUCT((CLASS!$E35:$O35="RES")*1,TRIB!$E35:$O35)))))</f>
        <v>0.4</v>
      </c>
      <c r="P35" s="15" t="n">
        <f aca="false">IF(IF(KLL!P35="",INPUTS!$B$18,KLL!P35)*SUMPRODUCT((CLASS!$E35:$P35="RES")*1,TRIB!$E35:$P35)&lt;400,1,MAX(IF(SUMPRODUCT((CLASS!$E35:$P35="RES")*1)&gt;=2,0.4,0.5),MIN(1,0.25+15/SQRT(IF(KLL!P35="",INPUTS!$B$18,KLL!P35)*SUMPRODUCT((CLASS!$E35:$P35="RES")*1,TRIB!$E35:$P35)))))</f>
        <v>0.4</v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15" t="n">
        <f aca="false">IF(IF(KLL!E36="",INPUTS!$B$18,KLL!E36)*SUMPRODUCT((CLASS!$E36:$E36="RES")*1,TRIB!$E36:$E36)&lt;400,1,MAX(IF(SUMPRODUCT((CLASS!$E36:$E36="RES")*1)&gt;=2,0.4,0.5),MIN(1,0.25+15/SQRT(IF(KLL!E36="",INPUTS!$B$18,KLL!E36)*SUMPRODUCT((CLASS!$E36:$E36="RES")*1,TRIB!$E36:$E36)))))</f>
        <v>1</v>
      </c>
      <c r="F36" s="15" t="n">
        <f aca="false">IF(IF(KLL!F36="",INPUTS!$B$18,KLL!F36)*SUMPRODUCT((CLASS!$E36:$F36="RES")*1,TRIB!$E36:$F36)&lt;400,1,MAX(IF(SUMPRODUCT((CLASS!$E36:$F36="RES")*1)&gt;=2,0.4,0.5),MIN(1,0.25+15/SQRT(IF(KLL!F36="",INPUTS!$B$18,KLL!F36)*SUMPRODUCT((CLASS!$E36:$F36="RES")*1,TRIB!$E36:$F36)))))</f>
        <v>1</v>
      </c>
      <c r="G36" s="15" t="n">
        <f aca="false">IF(IF(KLL!G36="",INPUTS!$B$18,KLL!G36)*SUMPRODUCT((CLASS!$E36:$G36="RES")*1,TRIB!$E36:$G36)&lt;400,1,MAX(IF(SUMPRODUCT((CLASS!$E36:$G36="RES")*1)&gt;=2,0.4,0.5),MIN(1,0.25+15/SQRT(IF(KLL!G36="",INPUTS!$B$18,KLL!G36)*SUMPRODUCT((CLASS!$E36:$G36="RES")*1,TRIB!$E36:$G36)))))</f>
        <v>0.600643436659138</v>
      </c>
      <c r="H36" s="15" t="n">
        <f aca="false">IF(IF(KLL!H36="",INPUTS!$B$18,KLL!H36)*SUMPRODUCT((CLASS!$E36:$H36="RES")*1,TRIB!$E36:$H36)&lt;400,1,MAX(IF(SUMPRODUCT((CLASS!$E36:$H36="RES")*1)&gt;=2,0.4,0.5),MIN(1,0.25+15/SQRT(IF(KLL!H36="",INPUTS!$B$18,KLL!H36)*SUMPRODUCT((CLASS!$E36:$H36="RES")*1,TRIB!$E36:$H36)))))</f>
        <v>0.497942351840232</v>
      </c>
      <c r="I36" s="15" t="n">
        <f aca="false">IF(IF(KLL!I36="",INPUTS!$B$18,KLL!I36)*SUMPRODUCT((CLASS!$E36:$I36="RES")*1,TRIB!$E36:$I36)&lt;400,1,MAX(IF(SUMPRODUCT((CLASS!$E36:$I36="RES")*1)&gt;=2,0.4,0.5),MIN(1,0.25+15/SQRT(IF(KLL!I36="",INPUTS!$B$18,KLL!I36)*SUMPRODUCT((CLASS!$E36:$I36="RES")*1,TRIB!$E36:$I36)))))</f>
        <v>0.452444082544729</v>
      </c>
      <c r="J36" s="15" t="n">
        <f aca="false">IF(IF(KLL!J36="",INPUTS!$B$18,KLL!J36)*SUMPRODUCT((CLASS!$E36:$J36="RES")*1,TRIB!$E36:$J36)&lt;400,1,MAX(IF(SUMPRODUCT((CLASS!$E36:$J36="RES")*1)&gt;=2,0.4,0.5),MIN(1,0.25+15/SQRT(IF(KLL!J36="",INPUTS!$B$18,KLL!J36)*SUMPRODUCT((CLASS!$E36:$J36="RES")*1,TRIB!$E36:$J36)))))</f>
        <v>0.425321718329569</v>
      </c>
      <c r="K36" s="15" t="n">
        <f aca="false">IF(IF(KLL!K36="",INPUTS!$B$18,KLL!K36)*SUMPRODUCT((CLASS!$E36:$K36="RES")*1,TRIB!$E36:$K36)&lt;400,1,MAX(IF(SUMPRODUCT((CLASS!$E36:$K36="RES")*1)&gt;=2,0.4,0.5),MIN(1,0.25+15/SQRT(IF(KLL!K36="",INPUTS!$B$18,KLL!K36)*SUMPRODUCT((CLASS!$E36:$K36="RES")*1,TRIB!$E36:$K36)))))</f>
        <v>0.4</v>
      </c>
      <c r="L36" s="15" t="n">
        <f aca="false">IF(IF(KLL!L36="",INPUTS!$B$18,KLL!L36)*SUMPRODUCT((CLASS!$E36:$L36="RES")*1,TRIB!$E36:$L36)&lt;400,1,MAX(IF(SUMPRODUCT((CLASS!$E36:$L36="RES")*1)&gt;=2,0.4,0.5),MIN(1,0.25+15/SQRT(IF(KLL!L36="",INPUTS!$B$18,KLL!L36)*SUMPRODUCT((CLASS!$E36:$L36="RES")*1,TRIB!$E36:$L36)))))</f>
        <v>0.4</v>
      </c>
      <c r="M36" s="15" t="n">
        <f aca="false">IF(IF(KLL!M36="",INPUTS!$B$18,KLL!M36)*SUMPRODUCT((CLASS!$E36:$M36="RES")*1,TRIB!$E36:$M36)&lt;400,1,MAX(IF(SUMPRODUCT((CLASS!$E36:$M36="RES")*1)&gt;=2,0.4,0.5),MIN(1,0.25+15/SQRT(IF(KLL!M36="",INPUTS!$B$18,KLL!M36)*SUMPRODUCT((CLASS!$E36:$M36="RES")*1,TRIB!$E36:$M36)))))</f>
        <v>0.4</v>
      </c>
      <c r="N36" s="15" t="n">
        <f aca="false">IF(IF(KLL!N36="",INPUTS!$B$18,KLL!N36)*SUMPRODUCT((CLASS!$E36:$N36="RES")*1,TRIB!$E36:$N36)&lt;400,1,MAX(IF(SUMPRODUCT((CLASS!$E36:$N36="RES")*1)&gt;=2,0.4,0.5),MIN(1,0.25+15/SQRT(IF(KLL!N36="",INPUTS!$B$18,KLL!N36)*SUMPRODUCT((CLASS!$E36:$N36="RES")*1,TRIB!$E36:$N36)))))</f>
        <v>0.4</v>
      </c>
      <c r="O36" s="15" t="n">
        <f aca="false">IF(IF(KLL!O36="",INPUTS!$B$18,KLL!O36)*SUMPRODUCT((CLASS!$E36:$O36="RES")*1,TRIB!$E36:$O36)&lt;400,1,MAX(IF(SUMPRODUCT((CLASS!$E36:$O36="RES")*1)&gt;=2,0.4,0.5),MIN(1,0.25+15/SQRT(IF(KLL!O36="",INPUTS!$B$18,KLL!O36)*SUMPRODUCT((CLASS!$E36:$O36="RES")*1,TRIB!$E36:$O36)))))</f>
        <v>0.4</v>
      </c>
      <c r="P36" s="15" t="n">
        <f aca="false">IF(IF(KLL!P36="",INPUTS!$B$18,KLL!P36)*SUMPRODUCT((CLASS!$E36:$P36="RES")*1,TRIB!$E36:$P36)&lt;400,1,MAX(IF(SUMPRODUCT((CLASS!$E36:$P36="RES")*1)&gt;=2,0.4,0.5),MIN(1,0.25+15/SQRT(IF(KLL!P36="",INPUTS!$B$18,KLL!P36)*SUMPRODUCT((CLASS!$E36:$P36="RES")*1,TRIB!$E36:$P36)))))</f>
        <v>0.4</v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15" t="n">
        <f aca="false">IF(IF(KLL!E37="",INPUTS!$B$18,KLL!E37)*SUMPRODUCT((CLASS!$E37:$E37="RES")*1,TRIB!$E37:$E37)&lt;400,1,MAX(IF(SUMPRODUCT((CLASS!$E37:$E37="RES")*1)&gt;=2,0.4,0.5),MIN(1,0.25+15/SQRT(IF(KLL!E37="",INPUTS!$B$18,KLL!E37)*SUMPRODUCT((CLASS!$E37:$E37="RES")*1,TRIB!$E37:$E37)))))</f>
        <v>1</v>
      </c>
      <c r="F37" s="15" t="n">
        <f aca="false">IF(IF(KLL!F37="",INPUTS!$B$18,KLL!F37)*SUMPRODUCT((CLASS!$E37:$F37="RES")*1,TRIB!$E37:$F37)&lt;400,1,MAX(IF(SUMPRODUCT((CLASS!$E37:$F37="RES")*1)&gt;=2,0.4,0.5),MIN(1,0.25+15/SQRT(IF(KLL!F37="",INPUTS!$B$18,KLL!F37)*SUMPRODUCT((CLASS!$E37:$F37="RES")*1,TRIB!$E37:$F37)))))</f>
        <v>1</v>
      </c>
      <c r="G37" s="15" t="n">
        <f aca="false">IF(IF(KLL!G37="",INPUTS!$B$18,KLL!G37)*SUMPRODUCT((CLASS!$E37:$G37="RES")*1,TRIB!$E37:$G37)&lt;400,1,MAX(IF(SUMPRODUCT((CLASS!$E37:$G37="RES")*1)&gt;=2,0.4,0.5),MIN(1,0.25+15/SQRT(IF(KLL!G37="",INPUTS!$B$18,KLL!G37)*SUMPRODUCT((CLASS!$E37:$G37="RES")*1,TRIB!$E37:$G37)))))</f>
        <v>0.762989176042577</v>
      </c>
      <c r="H37" s="15" t="n">
        <f aca="false">IF(IF(KLL!H37="",INPUTS!$B$18,KLL!H37)*SUMPRODUCT((CLASS!$E37:$H37="RES")*1,TRIB!$E37:$H37)&lt;400,1,MAX(IF(SUMPRODUCT((CLASS!$E37:$H37="RES")*1)&gt;=2,0.4,0.5),MIN(1,0.25+15/SQRT(IF(KLL!H37="",INPUTS!$B$18,KLL!H37)*SUMPRODUCT((CLASS!$E37:$H37="RES")*1,TRIB!$E37:$H37)))))</f>
        <v>0.612738125055006</v>
      </c>
      <c r="I37" s="15" t="n">
        <f aca="false">IF(IF(KLL!I37="",INPUTS!$B$18,KLL!I37)*SUMPRODUCT((CLASS!$E37:$I37="RES")*1,TRIB!$E37:$I37)&lt;400,1,MAX(IF(SUMPRODUCT((CLASS!$E37:$I37="RES")*1)&gt;=2,0.4,0.5),MIN(1,0.25+15/SQRT(IF(KLL!I37="",INPUTS!$B$18,KLL!I37)*SUMPRODUCT((CLASS!$E37:$I37="RES")*1,TRIB!$E37:$I37)))))</f>
        <v>0.546174438879546</v>
      </c>
      <c r="J37" s="15" t="n">
        <f aca="false">IF(IF(KLL!J37="",INPUTS!$B$18,KLL!J37)*SUMPRODUCT((CLASS!$E37:$J37="RES")*1,TRIB!$E37:$J37)&lt;400,1,MAX(IF(SUMPRODUCT((CLASS!$E37:$J37="RES")*1)&gt;=2,0.4,0.5),MIN(1,0.25+15/SQRT(IF(KLL!J37="",INPUTS!$B$18,KLL!J37)*SUMPRODUCT((CLASS!$E37:$J37="RES")*1,TRIB!$E37:$J37)))))</f>
        <v>0.506494588021289</v>
      </c>
      <c r="K37" s="15" t="n">
        <f aca="false">IF(IF(KLL!K37="",INPUTS!$B$18,KLL!K37)*SUMPRODUCT((CLASS!$E37:$K37="RES")*1,TRIB!$E37:$K37)&lt;400,1,MAX(IF(SUMPRODUCT((CLASS!$E37:$K37="RES")*1)&gt;=2,0.4,0.5),MIN(1,0.25+15/SQRT(IF(KLL!K37="",INPUTS!$B$18,KLL!K37)*SUMPRODUCT((CLASS!$E37:$K37="RES")*1,TRIB!$E37:$K37)))))</f>
        <v>0.480143654474581</v>
      </c>
      <c r="L37" s="15" t="n">
        <f aca="false">IF(IF(KLL!L37="",INPUTS!$B$18,KLL!L37)*SUMPRODUCT((CLASS!$E37:$L37="RES")*1,TRIB!$E37:$L37)&lt;400,1,MAX(IF(SUMPRODUCT((CLASS!$E37:$L37="RES")*1)&gt;=2,0.4,0.5),MIN(1,0.25+15/SQRT(IF(KLL!L37="",INPUTS!$B$18,KLL!L37)*SUMPRODUCT((CLASS!$E37:$L37="RES")*1,TRIB!$E37:$L37)))))</f>
        <v>0.46053798026663</v>
      </c>
      <c r="M37" s="15" t="n">
        <f aca="false">IF(IF(KLL!M37="",INPUTS!$B$18,KLL!M37)*SUMPRODUCT((CLASS!$E37:$M37="RES")*1,TRIB!$E37:$M37)&lt;400,1,MAX(IF(SUMPRODUCT((CLASS!$E37:$M37="RES")*1)&gt;=2,0.4,0.5),MIN(1,0.25+15/SQRT(IF(KLL!M37="",INPUTS!$B$18,KLL!M37)*SUMPRODUCT((CLASS!$E37:$M37="RES")*1,TRIB!$E37:$M37)))))</f>
        <v>0.445217202360758</v>
      </c>
      <c r="N37" s="15" t="n">
        <f aca="false">IF(IF(KLL!N37="",INPUTS!$B$18,KLL!N37)*SUMPRODUCT((CLASS!$E37:$N37="RES")*1,TRIB!$E37:$N37)&lt;400,1,MAX(IF(SUMPRODUCT((CLASS!$E37:$N37="RES")*1)&gt;=2,0.4,0.5),MIN(1,0.25+15/SQRT(IF(KLL!N37="",INPUTS!$B$18,KLL!N37)*SUMPRODUCT((CLASS!$E37:$N37="RES")*1,TRIB!$E37:$N37)))))</f>
        <v>0.432818106031783</v>
      </c>
      <c r="O37" s="15" t="n">
        <f aca="false">IF(IF(KLL!O37="",INPUTS!$B$18,KLL!O37)*SUMPRODUCT((CLASS!$E37:$O37="RES")*1,TRIB!$E37:$O37)&lt;400,1,MAX(IF(SUMPRODUCT((CLASS!$E37:$O37="RES")*1)&gt;=2,0.4,0.5),MIN(1,0.25+15/SQRT(IF(KLL!O37="",INPUTS!$B$18,KLL!O37)*SUMPRODUCT((CLASS!$E37:$O37="RES")*1,TRIB!$E37:$O37)))))</f>
        <v>0.422516389835589</v>
      </c>
      <c r="P37" s="15" t="n">
        <f aca="false">IF(IF(KLL!P37="",INPUTS!$B$18,KLL!P37)*SUMPRODUCT((CLASS!$E37:$P37="RES")*1,TRIB!$E37:$P37)&lt;400,1,MAX(IF(SUMPRODUCT((CLASS!$E37:$P37="RES")*1)&gt;=2,0.4,0.5),MIN(1,0.25+15/SQRT(IF(KLL!P37="",INPUTS!$B$18,KLL!P37)*SUMPRODUCT((CLASS!$E37:$P37="RES")*1,TRIB!$E37:$P37)))))</f>
        <v>0.413780445520105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15" t="n">
        <f aca="false">IF(IF(KLL!E38="",INPUTS!$B$18,KLL!E38)*SUMPRODUCT((CLASS!$E38:$E38="RES")*1,TRIB!$E38:$E38)&lt;400,1,MAX(IF(SUMPRODUCT((CLASS!$E38:$E38="RES")*1)&gt;=2,0.4,0.5),MIN(1,0.25+15/SQRT(IF(KLL!E38="",INPUTS!$B$18,KLL!E38)*SUMPRODUCT((CLASS!$E38:$E38="RES")*1,TRIB!$E38:$E38)))))</f>
        <v>1</v>
      </c>
      <c r="F38" s="15" t="n">
        <f aca="false">IF(IF(KLL!F38="",INPUTS!$B$18,KLL!F38)*SUMPRODUCT((CLASS!$E38:$F38="RES")*1,TRIB!$E38:$F38)&lt;400,1,MAX(IF(SUMPRODUCT((CLASS!$E38:$F38="RES")*1)&gt;=2,0.4,0.5),MIN(1,0.25+15/SQRT(IF(KLL!F38="",INPUTS!$B$18,KLL!F38)*SUMPRODUCT((CLASS!$E38:$F38="RES")*1,TRIB!$E38:$F38)))))</f>
        <v>1</v>
      </c>
      <c r="G38" s="15" t="n">
        <f aca="false">IF(IF(KLL!G38="",INPUTS!$B$18,KLL!G38)*SUMPRODUCT((CLASS!$E38:$G38="RES")*1,TRIB!$E38:$G38)&lt;400,1,MAX(IF(SUMPRODUCT((CLASS!$E38:$G38="RES")*1)&gt;=2,0.4,0.5),MIN(1,0.25+15/SQRT(IF(KLL!G38="",INPUTS!$B$18,KLL!G38)*SUMPRODUCT((CLASS!$E38:$G38="RES")*1,TRIB!$E38:$G38)))))</f>
        <v>0.783001790889026</v>
      </c>
      <c r="H38" s="15" t="n">
        <f aca="false">IF(IF(KLL!H38="",INPUTS!$B$18,KLL!H38)*SUMPRODUCT((CLASS!$E38:$H38="RES")*1,TRIB!$E38:$H38)&lt;400,1,MAX(IF(SUMPRODUCT((CLASS!$E38:$H38="RES")*1)&gt;=2,0.4,0.5),MIN(1,0.25+15/SQRT(IF(KLL!H38="",INPUTS!$B$18,KLL!H38)*SUMPRODUCT((CLASS!$E38:$H38="RES")*1,TRIB!$E38:$H38)))))</f>
        <v>0.637298334620742</v>
      </c>
      <c r="I38" s="15" t="n">
        <f aca="false">IF(IF(KLL!I38="",INPUTS!$B$18,KLL!I38)*SUMPRODUCT((CLASS!$E38:$I38="RES")*1,TRIB!$E38:$I38)&lt;400,1,MAX(IF(SUMPRODUCT((CLASS!$E38:$I38="RES")*1)&gt;=2,0.4,0.5),MIN(1,0.25+15/SQRT(IF(KLL!I38="",INPUTS!$B$18,KLL!I38)*SUMPRODUCT((CLASS!$E38:$I38="RES")*1,TRIB!$E38:$I38)))))</f>
        <v>0.569221199034531</v>
      </c>
      <c r="J38" s="15" t="n">
        <f aca="false">IF(IF(KLL!J38="",INPUTS!$B$18,KLL!J38)*SUMPRODUCT((CLASS!$E38:$J38="RES")*1,TRIB!$E38:$J38)&lt;400,1,MAX(IF(SUMPRODUCT((CLASS!$E38:$J38="RES")*1)&gt;=2,0.4,0.5),MIN(1,0.25+15/SQRT(IF(KLL!J38="",INPUTS!$B$18,KLL!J38)*SUMPRODUCT((CLASS!$E38:$J38="RES")*1,TRIB!$E38:$J38)))))</f>
        <v>0.527777777777778</v>
      </c>
      <c r="K38" s="15" t="n">
        <f aca="false">IF(IF(KLL!K38="",INPUTS!$B$18,KLL!K38)*SUMPRODUCT((CLASS!$E38:$K38="RES")*1,TRIB!$E38:$K38)&lt;400,1,MAX(IF(SUMPRODUCT((CLASS!$E38:$K38="RES")*1)&gt;=2,0.4,0.5),MIN(1,0.25+15/SQRT(IF(KLL!K38="",INPUTS!$B$18,KLL!K38)*SUMPRODUCT((CLASS!$E38:$K38="RES")*1,TRIB!$E38:$K38)))))</f>
        <v>0.499170810319411</v>
      </c>
      <c r="L38" s="15" t="n">
        <f aca="false">IF(IF(KLL!L38="",INPUTS!$B$18,KLL!L38)*SUMPRODUCT((CLASS!$E38:$L38="RES")*1,TRIB!$E38:$L38)&lt;400,1,MAX(IF(SUMPRODUCT((CLASS!$E38:$L38="RES")*1)&gt;=2,0.4,0.5),MIN(1,0.25+15/SQRT(IF(KLL!L38="",INPUTS!$B$18,KLL!L38)*SUMPRODUCT((CLASS!$E38:$L38="RES")*1,TRIB!$E38:$L38)))))</f>
        <v>0.477901422048537</v>
      </c>
      <c r="M38" s="15" t="n">
        <f aca="false">IF(IF(KLL!M38="",INPUTS!$B$18,KLL!M38)*SUMPRODUCT((CLASS!$E38:$M38="RES")*1,TRIB!$E38:$M38)&lt;400,1,MAX(IF(SUMPRODUCT((CLASS!$E38:$M38="RES")*1)&gt;=2,0.4,0.5),MIN(1,0.25+15/SQRT(IF(KLL!M38="",INPUTS!$B$18,KLL!M38)*SUMPRODUCT((CLASS!$E38:$M38="RES")*1,TRIB!$E38:$M38)))))</f>
        <v>0.461288563682129</v>
      </c>
      <c r="N38" s="15" t="n">
        <f aca="false">IF(IF(KLL!N38="",INPUTS!$B$18,KLL!N38)*SUMPRODUCT((CLASS!$E38:$N38="RES")*1,TRIB!$E38:$N38)&lt;400,1,MAX(IF(SUMPRODUCT((CLASS!$E38:$N38="RES")*1)&gt;=2,0.4,0.5),MIN(1,0.25+15/SQRT(IF(KLL!N38="",INPUTS!$B$18,KLL!N38)*SUMPRODUCT((CLASS!$E38:$N38="RES")*1,TRIB!$E38:$N38)))))</f>
        <v>0.447848553455374</v>
      </c>
      <c r="O38" s="15" t="n">
        <f aca="false">IF(IF(KLL!O38="",INPUTS!$B$18,KLL!O38)*SUMPRODUCT((CLASS!$E38:$O38="RES")*1,TRIB!$E38:$O38)&lt;400,1,MAX(IF(SUMPRODUCT((CLASS!$E38:$O38="RES")*1)&gt;=2,0.4,0.5),MIN(1,0.25+15/SQRT(IF(KLL!O38="",INPUTS!$B$18,KLL!O38)*SUMPRODUCT((CLASS!$E38:$O38="RES")*1,TRIB!$E38:$O38)))))</f>
        <v>0.436685031845731</v>
      </c>
      <c r="P38" s="15" t="n">
        <f aca="false">IF(IF(KLL!P38="",INPUTS!$B$18,KLL!P38)*SUMPRODUCT((CLASS!$E38:$P38="RES")*1,TRIB!$E38:$P38)&lt;400,1,MAX(IF(SUMPRODUCT((CLASS!$E38:$P38="RES")*1)&gt;=2,0.4,0.5),MIN(1,0.25+15/SQRT(IF(KLL!P38="",INPUTS!$B$18,KLL!P38)*SUMPRODUCT((CLASS!$E38:$P38="RES")*1,TRIB!$E38:$P38)))))</f>
        <v>0.427220301252084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15" t="n">
        <f aca="false">IF(IF(KLL!E39="",INPUTS!$B$18,KLL!E39)*SUMPRODUCT((CLASS!$E39:$E39="RES")*1,TRIB!$E39:$E39)&lt;400,1,MAX(IF(SUMPRODUCT((CLASS!$E39:$E39="RES")*1)&gt;=2,0.4,0.5),MIN(1,0.25+15/SQRT(IF(KLL!E39="",INPUTS!$B$18,KLL!E39)*SUMPRODUCT((CLASS!$E39:$E39="RES")*1,TRIB!$E39:$E39)))))</f>
        <v>1</v>
      </c>
      <c r="F39" s="15" t="n">
        <f aca="false">IF(IF(KLL!F39="",INPUTS!$B$18,KLL!F39)*SUMPRODUCT((CLASS!$E39:$F39="RES")*1,TRIB!$E39:$F39)&lt;400,1,MAX(IF(SUMPRODUCT((CLASS!$E39:$F39="RES")*1)&gt;=2,0.4,0.5),MIN(1,0.25+15/SQRT(IF(KLL!F39="",INPUTS!$B$18,KLL!F39)*SUMPRODUCT((CLASS!$E39:$F39="RES")*1,TRIB!$E39:$F39)))))</f>
        <v>1</v>
      </c>
      <c r="G39" s="15" t="n">
        <f aca="false">IF(IF(KLL!G39="",INPUTS!$B$18,KLL!G39)*SUMPRODUCT((CLASS!$E39:$G39="RES")*1,TRIB!$E39:$G39)&lt;400,1,MAX(IF(SUMPRODUCT((CLASS!$E39:$G39="RES")*1)&gt;=2,0.4,0.5),MIN(1,0.25+15/SQRT(IF(KLL!G39="",INPUTS!$B$18,KLL!G39)*SUMPRODUCT((CLASS!$E39:$G39="RES")*1,TRIB!$E39:$G39)))))</f>
        <v>0.706435464587639</v>
      </c>
      <c r="H39" s="15" t="n">
        <f aca="false">IF(IF(KLL!H39="",INPUTS!$B$18,KLL!H39)*SUMPRODUCT((CLASS!$E39:$H39="RES")*1,TRIB!$E39:$H39)&lt;400,1,MAX(IF(SUMPRODUCT((CLASS!$E39:$H39="RES")*1)&gt;=2,0.4,0.5),MIN(1,0.25+15/SQRT(IF(KLL!H39="",INPUTS!$B$18,KLL!H39)*SUMPRODUCT((CLASS!$E39:$H39="RES")*1,TRIB!$E39:$H39)))))</f>
        <v>0.572748612183951</v>
      </c>
      <c r="I39" s="15" t="n">
        <f aca="false">IF(IF(KLL!I39="",INPUTS!$B$18,KLL!I39)*SUMPRODUCT((CLASS!$E39:$I39="RES")*1,TRIB!$E39:$I39)&lt;400,1,MAX(IF(SUMPRODUCT((CLASS!$E39:$I39="RES")*1)&gt;=2,0.4,0.5),MIN(1,0.25+15/SQRT(IF(KLL!I39="",INPUTS!$B$18,KLL!I39)*SUMPRODUCT((CLASS!$E39:$I39="RES")*1,TRIB!$E39:$I39)))))</f>
        <v>0.513523138347365</v>
      </c>
      <c r="J39" s="15" t="n">
        <f aca="false">IF(IF(KLL!J39="",INPUTS!$B$18,KLL!J39)*SUMPRODUCT((CLASS!$E39:$J39="RES")*1,TRIB!$E39:$J39)&lt;400,1,MAX(IF(SUMPRODUCT((CLASS!$E39:$J39="RES")*1)&gt;=2,0.4,0.5),MIN(1,0.25+15/SQRT(IF(KLL!J39="",INPUTS!$B$18,KLL!J39)*SUMPRODUCT((CLASS!$E39:$J39="RES")*1,TRIB!$E39:$J39)))))</f>
        <v>0.478217732293819</v>
      </c>
      <c r="K39" s="15" t="n">
        <f aca="false">IF(IF(KLL!K39="",INPUTS!$B$18,KLL!K39)*SUMPRODUCT((CLASS!$E39:$K39="RES")*1,TRIB!$E39:$K39)&lt;400,1,MAX(IF(SUMPRODUCT((CLASS!$E39:$K39="RES")*1)&gt;=2,0.4,0.5),MIN(1,0.25+15/SQRT(IF(KLL!K39="",INPUTS!$B$18,KLL!K39)*SUMPRODUCT((CLASS!$E39:$K39="RES")*1,TRIB!$E39:$K39)))))</f>
        <v>0.454124145231931</v>
      </c>
      <c r="L39" s="15" t="n">
        <f aca="false">IF(IF(KLL!L39="",INPUTS!$B$18,KLL!L39)*SUMPRODUCT((CLASS!$E39:$L39="RES")*1,TRIB!$E39:$L39)&lt;400,1,MAX(IF(SUMPRODUCT((CLASS!$E39:$L39="RES")*1)&gt;=2,0.4,0.5),MIN(1,0.25+15/SQRT(IF(KLL!L39="",INPUTS!$B$18,KLL!L39)*SUMPRODUCT((CLASS!$E39:$L39="RES")*1,TRIB!$E39:$L39)))))</f>
        <v>0.436338998124982</v>
      </c>
      <c r="M39" s="15" t="n">
        <f aca="false">IF(IF(KLL!M39="",INPUTS!$B$18,KLL!M39)*SUMPRODUCT((CLASS!$E39:$M39="RES")*1,TRIB!$E39:$M39)&lt;400,1,MAX(IF(SUMPRODUCT((CLASS!$E39:$M39="RES")*1)&gt;=2,0.4,0.5),MIN(1,0.25+15/SQRT(IF(KLL!M39="",INPUTS!$B$18,KLL!M39)*SUMPRODUCT((CLASS!$E39:$M39="RES")*1,TRIB!$E39:$M39)))))</f>
        <v>0.422516389835589</v>
      </c>
      <c r="N39" s="15" t="n">
        <f aca="false">IF(IF(KLL!N39="",INPUTS!$B$18,KLL!N39)*SUMPRODUCT((CLASS!$E39:$N39="RES")*1,TRIB!$E39:$N39)&lt;400,1,MAX(IF(SUMPRODUCT((CLASS!$E39:$N39="RES")*1)&gt;=2,0.4,0.5),MIN(1,0.25+15/SQRT(IF(KLL!N39="",INPUTS!$B$18,KLL!N39)*SUMPRODUCT((CLASS!$E39:$N39="RES")*1,TRIB!$E39:$N39)))))</f>
        <v>0.411374306091976</v>
      </c>
      <c r="O39" s="15" t="n">
        <f aca="false">IF(IF(KLL!O39="",INPUTS!$B$18,KLL!O39)*SUMPRODUCT((CLASS!$E39:$O39="RES")*1,TRIB!$E39:$O39)&lt;400,1,MAX(IF(SUMPRODUCT((CLASS!$E39:$O39="RES")*1)&gt;=2,0.4,0.5),MIN(1,0.25+15/SQRT(IF(KLL!O39="",INPUTS!$B$18,KLL!O39)*SUMPRODUCT((CLASS!$E39:$O39="RES")*1,TRIB!$E39:$O39)))))</f>
        <v>0.402145154862546</v>
      </c>
      <c r="P39" s="15" t="n">
        <f aca="false">IF(IF(KLL!P39="",INPUTS!$B$18,KLL!P39)*SUMPRODUCT((CLASS!$E39:$P39="RES")*1,TRIB!$E39:$P39)&lt;400,1,MAX(IF(SUMPRODUCT((CLASS!$E39:$P39="RES")*1)&gt;=2,0.4,0.5),MIN(1,0.25+15/SQRT(IF(KLL!P39="",INPUTS!$B$18,KLL!P39)*SUMPRODUCT((CLASS!$E39:$P39="RES")*1,TRIB!$E39:$P39)))))</f>
        <v>0.4</v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15" t="n">
        <f aca="false">IF(IF(KLL!E40="",INPUTS!$B$18,KLL!E40)*SUMPRODUCT((CLASS!$E40:$E40="RES")*1,TRIB!$E40:$E40)&lt;400,1,MAX(IF(SUMPRODUCT((CLASS!$E40:$E40="RES")*1)&gt;=2,0.4,0.5),MIN(1,0.25+15/SQRT(IF(KLL!E40="",INPUTS!$B$18,KLL!E40)*SUMPRODUCT((CLASS!$E40:$E40="RES")*1,TRIB!$E40:$E40)))))</f>
        <v>1</v>
      </c>
      <c r="F40" s="15" t="n">
        <f aca="false">IF(IF(KLL!F40="",INPUTS!$B$18,KLL!F40)*SUMPRODUCT((CLASS!$E40:$F40="RES")*1,TRIB!$E40:$F40)&lt;400,1,MAX(IF(SUMPRODUCT((CLASS!$E40:$F40="RES")*1)&gt;=2,0.4,0.5),MIN(1,0.25+15/SQRT(IF(KLL!F40="",INPUTS!$B$18,KLL!F40)*SUMPRODUCT((CLASS!$E40:$F40="RES")*1,TRIB!$E40:$F40)))))</f>
        <v>1</v>
      </c>
      <c r="G40" s="15" t="n">
        <f aca="false">IF(IF(KLL!G40="",INPUTS!$B$18,KLL!G40)*SUMPRODUCT((CLASS!$E40:$G40="RES")*1,TRIB!$E40:$G40)&lt;400,1,MAX(IF(SUMPRODUCT((CLASS!$E40:$G40="RES")*1)&gt;=2,0.4,0.5),MIN(1,0.25+15/SQRT(IF(KLL!G40="",INPUTS!$B$18,KLL!G40)*SUMPRODUCT((CLASS!$E40:$G40="RES")*1,TRIB!$E40:$G40)))))</f>
        <v>1</v>
      </c>
      <c r="H40" s="15" t="n">
        <f aca="false">IF(IF(KLL!H40="",INPUTS!$B$18,KLL!H40)*SUMPRODUCT((CLASS!$E40:$H40="RES")*1,TRIB!$E40:$H40)&lt;400,1,MAX(IF(SUMPRODUCT((CLASS!$E40:$H40="RES")*1)&gt;=2,0.4,0.5),MIN(1,0.25+15/SQRT(IF(KLL!H40="",INPUTS!$B$18,KLL!H40)*SUMPRODUCT((CLASS!$E40:$H40="RES")*1,TRIB!$E40:$H40)))))</f>
        <v>0.795544725589981</v>
      </c>
      <c r="I40" s="15" t="n">
        <f aca="false">IF(IF(KLL!I40="",INPUTS!$B$18,KLL!I40)*SUMPRODUCT((CLASS!$E40:$I40="RES")*1,TRIB!$E40:$I40)&lt;400,1,MAX(IF(SUMPRODUCT((CLASS!$E40:$I40="RES")*1)&gt;=2,0.4,0.5),MIN(1,0.25+15/SQRT(IF(KLL!I40="",INPUTS!$B$18,KLL!I40)*SUMPRODUCT((CLASS!$E40:$I40="RES")*1,TRIB!$E40:$I40)))))</f>
        <v>0.695435403187374</v>
      </c>
      <c r="J40" s="15" t="n">
        <f aca="false">IF(IF(KLL!J40="",INPUTS!$B$18,KLL!J40)*SUMPRODUCT((CLASS!$E40:$J40="RES")*1,TRIB!$E40:$J40)&lt;400,1,MAX(IF(SUMPRODUCT((CLASS!$E40:$J40="RES")*1)&gt;=2,0.4,0.5),MIN(1,0.25+15/SQRT(IF(KLL!J40="",INPUTS!$B$18,KLL!J40)*SUMPRODUCT((CLASS!$E40:$J40="RES")*1,TRIB!$E40:$J40)))))</f>
        <v>0.63575837490523</v>
      </c>
      <c r="K40" s="15" t="n">
        <f aca="false">IF(IF(KLL!K40="",INPUTS!$B$18,KLL!K40)*SUMPRODUCT((CLASS!$E40:$K40="RES")*1,TRIB!$E40:$K40)&lt;400,1,MAX(IF(SUMPRODUCT((CLASS!$E40:$K40="RES")*1)&gt;=2,0.4,0.5),MIN(1,0.25+15/SQRT(IF(KLL!K40="",INPUTS!$B$18,KLL!K40)*SUMPRODUCT((CLASS!$E40:$K40="RES")*1,TRIB!$E40:$K40)))))</f>
        <v>0.598931578899427</v>
      </c>
      <c r="L40" s="15" t="n">
        <f aca="false">IF(IF(KLL!L40="",INPUTS!$B$18,KLL!L40)*SUMPRODUCT((CLASS!$E40:$L40="RES")*1,TRIB!$E40:$L40)&lt;400,1,MAX(IF(SUMPRODUCT((CLASS!$E40:$L40="RES")*1)&gt;=2,0.4,0.5),MIN(1,0.25+15/SQRT(IF(KLL!L40="",INPUTS!$B$18,KLL!L40)*SUMPRODUCT((CLASS!$E40:$L40="RES")*1,TRIB!$E40:$L40)))))</f>
        <v>0.571191043434267</v>
      </c>
      <c r="M40" s="15" t="n">
        <f aca="false">IF(IF(KLL!M40="",INPUTS!$B$18,KLL!M40)*SUMPRODUCT((CLASS!$E40:$M40="RES")*1,TRIB!$E40:$M40)&lt;400,1,MAX(IF(SUMPRODUCT((CLASS!$E40:$M40="RES")*1)&gt;=2,0.4,0.5),MIN(1,0.25+15/SQRT(IF(KLL!M40="",INPUTS!$B$18,KLL!M40)*SUMPRODUCT((CLASS!$E40:$M40="RES")*1,TRIB!$E40:$M40)))))</f>
        <v>0.549163511616269</v>
      </c>
      <c r="N40" s="15" t="n">
        <f aca="false">IF(IF(KLL!N40="",INPUTS!$B$18,KLL!N40)*SUMPRODUCT((CLASS!$E40:$N40="RES")*1,TRIB!$E40:$N40)&lt;400,1,MAX(IF(SUMPRODUCT((CLASS!$E40:$N40="RES")*1)&gt;=2,0.4,0.5),MIN(1,0.25+15/SQRT(IF(KLL!N40="",INPUTS!$B$18,KLL!N40)*SUMPRODUCT((CLASS!$E40:$N40="RES")*1,TRIB!$E40:$N40)))))</f>
        <v>0.531123742296188</v>
      </c>
      <c r="O40" s="15" t="n">
        <f aca="false">IF(IF(KLL!O40="",INPUTS!$B$18,KLL!O40)*SUMPRODUCT((CLASS!$E40:$O40="RES")*1,TRIB!$E40:$O40)&lt;400,1,MAX(IF(SUMPRODUCT((CLASS!$E40:$O40="RES")*1)&gt;=2,0.4,0.5),MIN(1,0.25+15/SQRT(IF(KLL!O40="",INPUTS!$B$18,KLL!O40)*SUMPRODUCT((CLASS!$E40:$O40="RES")*1,TRIB!$E40:$O40)))))</f>
        <v>0.515997588299466</v>
      </c>
      <c r="P40" s="15" t="n">
        <f aca="false">IF(IF(KLL!P40="",INPUTS!$B$18,KLL!P40)*SUMPRODUCT((CLASS!$E40:$P40="RES")*1,TRIB!$E40:$P40)&lt;400,1,MAX(IF(SUMPRODUCT((CLASS!$E40:$P40="RES")*1)&gt;=2,0.4,0.5),MIN(1,0.25+15/SQRT(IF(KLL!P40="",INPUTS!$B$18,KLL!P40)*SUMPRODUCT((CLASS!$E40:$P40="RES")*1,TRIB!$E40:$P40)))))</f>
        <v>0.503076712429333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15" t="n">
        <f aca="false">IF(IF(KLL!E41="",INPUTS!$B$18,KLL!E41)*SUMPRODUCT((CLASS!$E41:$E41="RES")*1,TRIB!$E41:$E41)&lt;400,1,MAX(IF(SUMPRODUCT((CLASS!$E41:$E41="RES")*1)&gt;=2,0.4,0.5),MIN(1,0.25+15/SQRT(IF(KLL!E41="",INPUTS!$B$18,KLL!E41)*SUMPRODUCT((CLASS!$E41:$E41="RES")*1,TRIB!$E41:$E41)))))</f>
        <v>1</v>
      </c>
      <c r="F41" s="15" t="n">
        <f aca="false">IF(IF(KLL!F41="",INPUTS!$B$18,KLL!F41)*SUMPRODUCT((CLASS!$E41:$F41="RES")*1,TRIB!$E41:$F41)&lt;400,1,MAX(IF(SUMPRODUCT((CLASS!$E41:$F41="RES")*1)&gt;=2,0.4,0.5),MIN(1,0.25+15/SQRT(IF(KLL!F41="",INPUTS!$B$18,KLL!F41)*SUMPRODUCT((CLASS!$E41:$F41="RES")*1,TRIB!$E41:$F41)))))</f>
        <v>1</v>
      </c>
      <c r="G41" s="15" t="n">
        <f aca="false">IF(IF(KLL!G41="",INPUTS!$B$18,KLL!G41)*SUMPRODUCT((CLASS!$E41:$G41="RES")*1,TRIB!$E41:$G41)&lt;400,1,MAX(IF(SUMPRODUCT((CLASS!$E41:$G41="RES")*1)&gt;=2,0.4,0.5),MIN(1,0.25+15/SQRT(IF(KLL!G41="",INPUTS!$B$18,KLL!G41)*SUMPRODUCT((CLASS!$E41:$G41="RES")*1,TRIB!$E41:$G41)))))</f>
        <v>1</v>
      </c>
      <c r="H41" s="15" t="n">
        <f aca="false">IF(IF(KLL!H41="",INPUTS!$B$18,KLL!H41)*SUMPRODUCT((CLASS!$E41:$H41="RES")*1,TRIB!$E41:$H41)&lt;400,1,MAX(IF(SUMPRODUCT((CLASS!$E41:$H41="RES")*1)&gt;=2,0.4,0.5),MIN(1,0.25+15/SQRT(IF(KLL!H41="",INPUTS!$B$18,KLL!H41)*SUMPRODUCT((CLASS!$E41:$H41="RES")*1,TRIB!$E41:$H41)))))</f>
        <v>0.627246591120893</v>
      </c>
      <c r="I41" s="15" t="n">
        <f aca="false">IF(IF(KLL!I41="",INPUTS!$B$18,KLL!I41)*SUMPRODUCT((CLASS!$E41:$I41="RES")*1,TRIB!$E41:$I41)&lt;400,1,MAX(IF(SUMPRODUCT((CLASS!$E41:$I41="RES")*1)&gt;=2,0.4,0.5),MIN(1,0.25+15/SQRT(IF(KLL!I41="",INPUTS!$B$18,KLL!I41)*SUMPRODUCT((CLASS!$E41:$I41="RES")*1,TRIB!$E41:$I41)))))</f>
        <v>0.587611852454758</v>
      </c>
      <c r="J41" s="15" t="n">
        <f aca="false">IF(IF(KLL!J41="",INPUTS!$B$18,KLL!J41)*SUMPRODUCT((CLASS!$E41:$J41="RES")*1,TRIB!$E41:$J41)&lt;400,1,MAX(IF(SUMPRODUCT((CLASS!$E41:$J41="RES")*1)&gt;=2,0.4,0.5),MIN(1,0.25+15/SQRT(IF(KLL!J41="",INPUTS!$B$18,KLL!J41)*SUMPRODUCT((CLASS!$E41:$J41="RES")*1,TRIB!$E41:$J41)))))</f>
        <v>0.558508776171148</v>
      </c>
      <c r="K41" s="15" t="n">
        <f aca="false">IF(IF(KLL!K41="",INPUTS!$B$18,KLL!K41)*SUMPRODUCT((CLASS!$E41:$K41="RES")*1,TRIB!$E41:$K41)&lt;400,1,MAX(IF(SUMPRODUCT((CLASS!$E41:$K41="RES")*1)&gt;=2,0.4,0.5),MIN(1,0.25+15/SQRT(IF(KLL!K41="",INPUTS!$B$18,KLL!K41)*SUMPRODUCT((CLASS!$E41:$K41="RES")*1,TRIB!$E41:$K41)))))</f>
        <v>0.538354918040797</v>
      </c>
      <c r="L41" s="15" t="n">
        <f aca="false">IF(IF(KLL!L41="",INPUTS!$B$18,KLL!L41)*SUMPRODUCT((CLASS!$E41:$L41="RES")*1,TRIB!$E41:$L41)&lt;400,1,MAX(IF(SUMPRODUCT((CLASS!$E41:$L41="RES")*1)&gt;=2,0.4,0.5),MIN(1,0.25+15/SQRT(IF(KLL!L41="",INPUTS!$B$18,KLL!L41)*SUMPRODUCT((CLASS!$E41:$L41="RES")*1,TRIB!$E41:$L41)))))</f>
        <v>0.521562723296784</v>
      </c>
      <c r="M41" s="15" t="n">
        <f aca="false">IF(IF(KLL!M41="",INPUTS!$B$18,KLL!M41)*SUMPRODUCT((CLASS!$E41:$M41="RES")*1,TRIB!$E41:$M41)&lt;400,1,MAX(IF(SUMPRODUCT((CLASS!$E41:$M41="RES")*1)&gt;=2,0.4,0.5),MIN(1,0.25+15/SQRT(IF(KLL!M41="",INPUTS!$B$18,KLL!M41)*SUMPRODUCT((CLASS!$E41:$M41="RES")*1,TRIB!$E41:$M41)))))</f>
        <v>0.507399333645468</v>
      </c>
      <c r="N41" s="15" t="n">
        <f aca="false">IF(IF(KLL!N41="",INPUTS!$B$18,KLL!N41)*SUMPRODUCT((CLASS!$E41:$N41="RES")*1,TRIB!$E41:$N41)&lt;400,1,MAX(IF(SUMPRODUCT((CLASS!$E41:$N41="RES")*1)&gt;=2,0.4,0.5),MIN(1,0.25+15/SQRT(IF(KLL!N41="",INPUTS!$B$18,KLL!N41)*SUMPRODUCT((CLASS!$E41:$N41="RES")*1,TRIB!$E41:$N41)))))</f>
        <v>0.495243443197643</v>
      </c>
      <c r="O41" s="15" t="n">
        <f aca="false">IF(IF(KLL!O41="",INPUTS!$B$18,KLL!O41)*SUMPRODUCT((CLASS!$E41:$O41="RES")*1,TRIB!$E41:$O41)&lt;400,1,MAX(IF(SUMPRODUCT((CLASS!$E41:$O41="RES")*1)&gt;=2,0.4,0.5),MIN(1,0.25+15/SQRT(IF(KLL!O41="",INPUTS!$B$18,KLL!O41)*SUMPRODUCT((CLASS!$E41:$O41="RES")*1,TRIB!$E41:$O41)))))</f>
        <v>0.484661627231966</v>
      </c>
      <c r="P41" s="15" t="n">
        <f aca="false">IF(IF(KLL!P41="",INPUTS!$B$18,KLL!P41)*SUMPRODUCT((CLASS!$E41:$P41="RES")*1,TRIB!$E41:$P41)&lt;400,1,MAX(IF(SUMPRODUCT((CLASS!$E41:$P41="RES")*1)&gt;=2,0.4,0.5),MIN(1,0.25+15/SQRT(IF(KLL!P41="",INPUTS!$B$18,KLL!P41)*SUMPRODUCT((CLASS!$E41:$P41="RES")*1,TRIB!$E41:$P41)))))</f>
        <v>0.475341086535445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15" t="n">
        <f aca="false">IF(IF(KLL!E42="",INPUTS!$B$18,KLL!E42)*SUMPRODUCT((CLASS!$E42:$E42="RES")*1,TRIB!$E42:$E42)&lt;400,1,MAX(IF(SUMPRODUCT((CLASS!$E42:$E42="RES")*1)&gt;=2,0.4,0.5),MIN(1,0.25+15/SQRT(IF(KLL!E42="",INPUTS!$B$18,KLL!E42)*SUMPRODUCT((CLASS!$E42:$E42="RES")*1,TRIB!$E42:$E42)))))</f>
        <v>1</v>
      </c>
      <c r="F42" s="15" t="n">
        <f aca="false">IF(IF(KLL!F42="",INPUTS!$B$18,KLL!F42)*SUMPRODUCT((CLASS!$E42:$F42="RES")*1,TRIB!$E42:$F42)&lt;400,1,MAX(IF(SUMPRODUCT((CLASS!$E42:$F42="RES")*1)&gt;=2,0.4,0.5),MIN(1,0.25+15/SQRT(IF(KLL!F42="",INPUTS!$B$18,KLL!F42)*SUMPRODUCT((CLASS!$E42:$F42="RES")*1,TRIB!$E42:$F42)))))</f>
        <v>1</v>
      </c>
      <c r="G42" s="15" t="n">
        <f aca="false">IF(IF(KLL!G42="",INPUTS!$B$18,KLL!G42)*SUMPRODUCT((CLASS!$E42:$G42="RES")*1,TRIB!$E42:$G42)&lt;400,1,MAX(IF(SUMPRODUCT((CLASS!$E42:$G42="RES")*1)&gt;=2,0.4,0.5),MIN(1,0.25+15/SQRT(IF(KLL!G42="",INPUTS!$B$18,KLL!G42)*SUMPRODUCT((CLASS!$E42:$G42="RES")*1,TRIB!$E42:$G42)))))</f>
        <v>0.875</v>
      </c>
      <c r="H42" s="15" t="n">
        <f aca="false">IF(IF(KLL!H42="",INPUTS!$B$18,KLL!H42)*SUMPRODUCT((CLASS!$E42:$H42="RES")*1,TRIB!$E42:$H42)&lt;400,1,MAX(IF(SUMPRODUCT((CLASS!$E42:$H42="RES")*1)&gt;=2,0.4,0.5),MIN(1,0.25+15/SQRT(IF(KLL!H42="",INPUTS!$B$18,KLL!H42)*SUMPRODUCT((CLASS!$E42:$H42="RES")*1,TRIB!$E42:$H42)))))</f>
        <v>0.691941738241592</v>
      </c>
      <c r="I42" s="15" t="n">
        <f aca="false">IF(IF(KLL!I42="",INPUTS!$B$18,KLL!I42)*SUMPRODUCT((CLASS!$E42:$I42="RES")*1,TRIB!$E42:$I42)&lt;400,1,MAX(IF(SUMPRODUCT((CLASS!$E42:$I42="RES")*1)&gt;=2,0.4,0.5),MIN(1,0.25+15/SQRT(IF(KLL!I42="",INPUTS!$B$18,KLL!I42)*SUMPRODUCT((CLASS!$E42:$I42="RES")*1,TRIB!$E42:$I42)))))</f>
        <v>0.610843918243516</v>
      </c>
      <c r="J42" s="15" t="n">
        <f aca="false">IF(IF(KLL!J42="",INPUTS!$B$18,KLL!J42)*SUMPRODUCT((CLASS!$E42:$J42="RES")*1,TRIB!$E42:$J42)&lt;400,1,MAX(IF(SUMPRODUCT((CLASS!$E42:$J42="RES")*1)&gt;=2,0.4,0.5),MIN(1,0.25+15/SQRT(IF(KLL!J42="",INPUTS!$B$18,KLL!J42)*SUMPRODUCT((CLASS!$E42:$J42="RES")*1,TRIB!$E42:$J42)))))</f>
        <v>0.5625</v>
      </c>
      <c r="K42" s="15" t="n">
        <f aca="false">IF(IF(KLL!K42="",INPUTS!$B$18,KLL!K42)*SUMPRODUCT((CLASS!$E42:$K42="RES")*1,TRIB!$E42:$K42)&lt;400,1,MAX(IF(SUMPRODUCT((CLASS!$E42:$K42="RES")*1)&gt;=2,0.4,0.5),MIN(1,0.25+15/SQRT(IF(KLL!K42="",INPUTS!$B$18,KLL!K42)*SUMPRODUCT((CLASS!$E42:$K42="RES")*1,TRIB!$E42:$K42)))))</f>
        <v>0.529363033478851</v>
      </c>
      <c r="L42" s="15" t="n">
        <f aca="false">IF(IF(KLL!L42="",INPUTS!$B$18,KLL!L42)*SUMPRODUCT((CLASS!$E42:$L42="RES")*1,TRIB!$E42:$L42)&lt;400,1,MAX(IF(SUMPRODUCT((CLASS!$E42:$L42="RES")*1)&gt;=2,0.4,0.5),MIN(1,0.25+15/SQRT(IF(KLL!L42="",INPUTS!$B$18,KLL!L42)*SUMPRODUCT((CLASS!$E42:$L42="RES")*1,TRIB!$E42:$L42)))))</f>
        <v>0.504933980647412</v>
      </c>
      <c r="M42" s="15" t="n">
        <f aca="false">IF(IF(KLL!M42="",INPUTS!$B$18,KLL!M42)*SUMPRODUCT((CLASS!$E42:$M42="RES")*1,TRIB!$E42:$M42)&lt;400,1,MAX(IF(SUMPRODUCT((CLASS!$E42:$M42="RES")*1)&gt;=2,0.4,0.5),MIN(1,0.25+15/SQRT(IF(KLL!M42="",INPUTS!$B$18,KLL!M42)*SUMPRODUCT((CLASS!$E42:$M42="RES")*1,TRIB!$E42:$M42)))))</f>
        <v>0.485964589091504</v>
      </c>
      <c r="N42" s="15" t="n">
        <f aca="false">IF(IF(KLL!N42="",INPUTS!$B$18,KLL!N42)*SUMPRODUCT((CLASS!$E42:$N42="RES")*1,TRIB!$E42:$N42)&lt;400,1,MAX(IF(SUMPRODUCT((CLASS!$E42:$N42="RES")*1)&gt;=2,0.4,0.5),MIN(1,0.25+15/SQRT(IF(KLL!N42="",INPUTS!$B$18,KLL!N42)*SUMPRODUCT((CLASS!$E42:$N42="RES")*1,TRIB!$E42:$N42)))))</f>
        <v>0.470683707376187</v>
      </c>
      <c r="O42" s="15" t="n">
        <f aca="false">IF(IF(KLL!O42="",INPUTS!$B$18,KLL!O42)*SUMPRODUCT((CLASS!$E42:$O42="RES")*1,TRIB!$E42:$O42)&lt;400,1,MAX(IF(SUMPRODUCT((CLASS!$E42:$O42="RES")*1)&gt;=2,0.4,0.5),MIN(1,0.25+15/SQRT(IF(KLL!O42="",INPUTS!$B$18,KLL!O42)*SUMPRODUCT((CLASS!$E42:$O42="RES")*1,TRIB!$E42:$O42)))))</f>
        <v>0.458032577678712</v>
      </c>
      <c r="P42" s="15" t="n">
        <f aca="false">IF(IF(KLL!P42="",INPUTS!$B$18,KLL!P42)*SUMPRODUCT((CLASS!$E42:$P42="RES")*1,TRIB!$E42:$P42)&lt;400,1,MAX(IF(SUMPRODUCT((CLASS!$E42:$P42="RES")*1)&gt;=2,0.4,0.5),MIN(1,0.25+15/SQRT(IF(KLL!P42="",INPUTS!$B$18,KLL!P42)*SUMPRODUCT((CLASS!$E42:$P42="RES")*1,TRIB!$E42:$P42)))))</f>
        <v>0.447334259490965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15" t="n">
        <f aca="false">IF(IF(KLL!E43="",INPUTS!$B$18,KLL!E43)*SUMPRODUCT((CLASS!$E43:$E43="RES")*1,TRIB!$E43:$E43)&lt;400,1,MAX(IF(SUMPRODUCT((CLASS!$E43:$E43="RES")*1)&gt;=2,0.4,0.5),MIN(1,0.25+15/SQRT(IF(KLL!E43="",INPUTS!$B$18,KLL!E43)*SUMPRODUCT((CLASS!$E43:$E43="RES")*1,TRIB!$E43:$E43)))))</f>
        <v>1</v>
      </c>
      <c r="F43" s="15" t="n">
        <f aca="false">IF(IF(KLL!F43="",INPUTS!$B$18,KLL!F43)*SUMPRODUCT((CLASS!$E43:$F43="RES")*1,TRIB!$E43:$F43)&lt;400,1,MAX(IF(SUMPRODUCT((CLASS!$E43:$F43="RES")*1)&gt;=2,0.4,0.5),MIN(1,0.25+15/SQRT(IF(KLL!F43="",INPUTS!$B$18,KLL!F43)*SUMPRODUCT((CLASS!$E43:$F43="RES")*1,TRIB!$E43:$F43)))))</f>
        <v>1</v>
      </c>
      <c r="G43" s="15" t="n">
        <f aca="false">IF(IF(KLL!G43="",INPUTS!$B$18,KLL!G43)*SUMPRODUCT((CLASS!$E43:$G43="RES")*1,TRIB!$E43:$G43)&lt;400,1,MAX(IF(SUMPRODUCT((CLASS!$E43:$G43="RES")*1)&gt;=2,0.4,0.5),MIN(1,0.25+15/SQRT(IF(KLL!G43="",INPUTS!$B$18,KLL!G43)*SUMPRODUCT((CLASS!$E43:$G43="RES")*1,TRIB!$E43:$G43)))))</f>
        <v>0.904653670707977</v>
      </c>
      <c r="H43" s="15" t="n">
        <f aca="false">IF(IF(KLL!H43="",INPUTS!$B$18,KLL!H43)*SUMPRODUCT((CLASS!$E43:$H43="RES")*1,TRIB!$E43:$H43)&lt;400,1,MAX(IF(SUMPRODUCT((CLASS!$E43:$H43="RES")*1)&gt;=2,0.4,0.5),MIN(1,0.25+15/SQRT(IF(KLL!H43="",INPUTS!$B$18,KLL!H43)*SUMPRODUCT((CLASS!$E43:$H43="RES")*1,TRIB!$E43:$H43)))))</f>
        <v>0.712910049886276</v>
      </c>
      <c r="I43" s="15" t="n">
        <f aca="false">IF(IF(KLL!I43="",INPUTS!$B$18,KLL!I43)*SUMPRODUCT((CLASS!$E43:$I43="RES")*1,TRIB!$E43:$I43)&lt;400,1,MAX(IF(SUMPRODUCT((CLASS!$E43:$I43="RES")*1)&gt;=2,0.4,0.5),MIN(1,0.25+15/SQRT(IF(KLL!I43="",INPUTS!$B$18,KLL!I43)*SUMPRODUCT((CLASS!$E43:$I43="RES")*1,TRIB!$E43:$I43)))))</f>
        <v>0.627964473009227</v>
      </c>
      <c r="J43" s="15" t="n">
        <f aca="false">IF(IF(KLL!J43="",INPUTS!$B$18,KLL!J43)*SUMPRODUCT((CLASS!$E43:$J43="RES")*1,TRIB!$E43:$J43)&lt;400,1,MAX(IF(SUMPRODUCT((CLASS!$E43:$J43="RES")*1)&gt;=2,0.4,0.5),MIN(1,0.25+15/SQRT(IF(KLL!J43="",INPUTS!$B$18,KLL!J43)*SUMPRODUCT((CLASS!$E43:$J43="RES")*1,TRIB!$E43:$J43)))))</f>
        <v>0.577326835353989</v>
      </c>
      <c r="K43" s="15" t="n">
        <f aca="false">IF(IF(KLL!K43="",INPUTS!$B$18,KLL!K43)*SUMPRODUCT((CLASS!$E43:$K43="RES")*1,TRIB!$E43:$K43)&lt;400,1,MAX(IF(SUMPRODUCT((CLASS!$E43:$K43="RES")*1)&gt;=2,0.4,0.5),MIN(1,0.25+15/SQRT(IF(KLL!K43="",INPUTS!$B$18,KLL!K43)*SUMPRODUCT((CLASS!$E43:$K43="RES")*1,TRIB!$E43:$K43)))))</f>
        <v>0.543948175626108</v>
      </c>
      <c r="L43" s="15" t="n">
        <f aca="false">IF(IF(KLL!L43="",INPUTS!$B$18,KLL!L43)*SUMPRODUCT((CLASS!$E43:$L43="RES")*1,TRIB!$E43:$L43)&lt;400,1,MAX(IF(SUMPRODUCT((CLASS!$E43:$L43="RES")*1)&gt;=2,0.4,0.5),MIN(1,0.25+15/SQRT(IF(KLL!L43="",INPUTS!$B$18,KLL!L43)*SUMPRODUCT((CLASS!$E43:$L43="RES")*1,TRIB!$E43:$L43)))))</f>
        <v>0.519061001250316</v>
      </c>
      <c r="M43" s="15" t="n">
        <f aca="false">IF(IF(KLL!M43="",INPUTS!$B$18,KLL!M43)*SUMPRODUCT((CLASS!$E43:$M43="RES")*1,TRIB!$E43:$M43)&lt;400,1,MAX(IF(SUMPRODUCT((CLASS!$E43:$M43="RES")*1)&gt;=2,0.4,0.5),MIN(1,0.25+15/SQRT(IF(KLL!M43="",INPUTS!$B$18,KLL!M43)*SUMPRODUCT((CLASS!$E43:$M43="RES")*1,TRIB!$E43:$M43)))))</f>
        <v>0.499584372114896</v>
      </c>
      <c r="N43" s="15" t="n">
        <f aca="false">IF(IF(KLL!N43="",INPUTS!$B$18,KLL!N43)*SUMPRODUCT((CLASS!$E43:$N43="RES")*1,TRIB!$E43:$N43)&lt;400,1,MAX(IF(SUMPRODUCT((CLASS!$E43:$N43="RES")*1)&gt;=2,0.4,0.5),MIN(1,0.25+15/SQRT(IF(KLL!N43="",INPUTS!$B$18,KLL!N43)*SUMPRODUCT((CLASS!$E43:$N43="RES")*1,TRIB!$E43:$N43)))))</f>
        <v>0.483804882395706</v>
      </c>
      <c r="O43" s="15" t="n">
        <f aca="false">IF(IF(KLL!O43="",INPUTS!$B$18,KLL!O43)*SUMPRODUCT((CLASS!$E43:$O43="RES")*1,TRIB!$E43:$O43)&lt;400,1,MAX(IF(SUMPRODUCT((CLASS!$E43:$O43="RES")*1)&gt;=2,0.4,0.5),MIN(1,0.25+15/SQRT(IF(KLL!O43="",INPUTS!$B$18,KLL!O43)*SUMPRODUCT((CLASS!$E43:$O43="RES")*1,TRIB!$E43:$O43)))))</f>
        <v>0.470683707376187</v>
      </c>
      <c r="P43" s="15" t="n">
        <f aca="false">IF(IF(KLL!P43="",INPUTS!$B$18,KLL!P43)*SUMPRODUCT((CLASS!$E43:$P43="RES")*1,TRIB!$E43:$P43)&lt;400,1,MAX(IF(SUMPRODUCT((CLASS!$E43:$P43="RES")*1)&gt;=2,0.4,0.5),MIN(1,0.25+15/SQRT(IF(KLL!P43="",INPUTS!$B$18,KLL!P43)*SUMPRODUCT((CLASS!$E43:$P43="RES")*1,TRIB!$E43:$P43)))))</f>
        <v>0.459549533585167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15" t="n">
        <f aca="false">IF(IF(KLL!E44="",INPUTS!$B$18,KLL!E44)*SUMPRODUCT((CLASS!$E44:$E44="RES")*1,TRIB!$E44:$E44)&lt;400,1,MAX(IF(SUMPRODUCT((CLASS!$E44:$E44="RES")*1)&gt;=2,0.4,0.5),MIN(1,0.25+15/SQRT(IF(KLL!E44="",INPUTS!$B$18,KLL!E44)*SUMPRODUCT((CLASS!$E44:$E44="RES")*1,TRIB!$E44:$E44)))))</f>
        <v>1</v>
      </c>
      <c r="F44" s="15" t="n">
        <f aca="false">IF(IF(KLL!F44="",INPUTS!$B$18,KLL!F44)*SUMPRODUCT((CLASS!$E44:$F44="RES")*1,TRIB!$E44:$F44)&lt;400,1,MAX(IF(SUMPRODUCT((CLASS!$E44:$F44="RES")*1)&gt;=2,0.4,0.5),MIN(1,0.25+15/SQRT(IF(KLL!F44="",INPUTS!$B$18,KLL!F44)*SUMPRODUCT((CLASS!$E44:$F44="RES")*1,TRIB!$E44:$F44)))))</f>
        <v>1</v>
      </c>
      <c r="G44" s="15" t="n">
        <f aca="false">IF(IF(KLL!G44="",INPUTS!$B$18,KLL!G44)*SUMPRODUCT((CLASS!$E44:$G44="RES")*1,TRIB!$E44:$G44)&lt;400,1,MAX(IF(SUMPRODUCT((CLASS!$E44:$G44="RES")*1)&gt;=2,0.4,0.5),MIN(1,0.25+15/SQRT(IF(KLL!G44="",INPUTS!$B$18,KLL!G44)*SUMPRODUCT((CLASS!$E44:$G44="RES")*1,TRIB!$E44:$G44)))))</f>
        <v>0.643241878819807</v>
      </c>
      <c r="H44" s="15" t="n">
        <f aca="false">IF(IF(KLL!H44="",INPUTS!$B$18,KLL!H44)*SUMPRODUCT((CLASS!$E44:$H44="RES")*1,TRIB!$E44:$H44)&lt;400,1,MAX(IF(SUMPRODUCT((CLASS!$E44:$H44="RES")*1)&gt;=2,0.4,0.5),MIN(1,0.25+15/SQRT(IF(KLL!H44="",INPUTS!$B$18,KLL!H44)*SUMPRODUCT((CLASS!$E44:$H44="RES")*1,TRIB!$E44:$H44)))))</f>
        <v>0.528063999160024</v>
      </c>
      <c r="I44" s="15" t="n">
        <f aca="false">IF(IF(KLL!I44="",INPUTS!$B$18,KLL!I44)*SUMPRODUCT((CLASS!$E44:$I44="RES")*1,TRIB!$E44:$I44)&lt;400,1,MAX(IF(SUMPRODUCT((CLASS!$E44:$I44="RES")*1)&gt;=2,0.4,0.5),MIN(1,0.25+15/SQRT(IF(KLL!I44="",INPUTS!$B$18,KLL!I44)*SUMPRODUCT((CLASS!$E44:$I44="RES")*1,TRIB!$E44:$I44)))))</f>
        <v>0.47703830459325</v>
      </c>
      <c r="J44" s="15" t="n">
        <f aca="false">IF(IF(KLL!J44="",INPUTS!$B$18,KLL!J44)*SUMPRODUCT((CLASS!$E44:$J44="RES")*1,TRIB!$E44:$J44)&lt;400,1,MAX(IF(SUMPRODUCT((CLASS!$E44:$J44="RES")*1)&gt;=2,0.4,0.5),MIN(1,0.25+15/SQRT(IF(KLL!J44="",INPUTS!$B$18,KLL!J44)*SUMPRODUCT((CLASS!$E44:$J44="RES")*1,TRIB!$E44:$J44)))))</f>
        <v>0.446570283492688</v>
      </c>
      <c r="K44" s="15" t="n">
        <f aca="false">IF(IF(KLL!K44="",INPUTS!$B$18,KLL!K44)*SUMPRODUCT((CLASS!$E44:$K44="RES")*1,TRIB!$E44:$K44)&lt;400,1,MAX(IF(SUMPRODUCT((CLASS!$E44:$K44="RES")*1)&gt;=2,0.4,0.5),MIN(1,0.25+15/SQRT(IF(KLL!K44="",INPUTS!$B$18,KLL!K44)*SUMPRODUCT((CLASS!$E44:$K44="RES")*1,TRIB!$E44:$K44)))))</f>
        <v>0.402239158674334</v>
      </c>
      <c r="L44" s="15" t="n">
        <f aca="false">IF(IF(KLL!L44="",INPUTS!$B$18,KLL!L44)*SUMPRODUCT((CLASS!$E44:$L44="RES")*1,TRIB!$E44:$L44)&lt;400,1,MAX(IF(SUMPRODUCT((CLASS!$E44:$L44="RES")*1)&gt;=2,0.4,0.5),MIN(1,0.25+15/SQRT(IF(KLL!L44="",INPUTS!$B$18,KLL!L44)*SUMPRODUCT((CLASS!$E44:$L44="RES")*1,TRIB!$E44:$L44)))))</f>
        <v>0.4</v>
      </c>
      <c r="M44" s="15" t="n">
        <f aca="false">IF(IF(KLL!M44="",INPUTS!$B$18,KLL!M44)*SUMPRODUCT((CLASS!$E44:$M44="RES")*1,TRIB!$E44:$M44)&lt;400,1,MAX(IF(SUMPRODUCT((CLASS!$E44:$M44="RES")*1)&gt;=2,0.4,0.5),MIN(1,0.25+15/SQRT(IF(KLL!M44="",INPUTS!$B$18,KLL!M44)*SUMPRODUCT((CLASS!$E44:$M44="RES")*1,TRIB!$E44:$M44)))))</f>
        <v>0.4</v>
      </c>
      <c r="N44" s="15" t="n">
        <f aca="false">IF(IF(KLL!N44="",INPUTS!$B$18,KLL!N44)*SUMPRODUCT((CLASS!$E44:$N44="RES")*1,TRIB!$E44:$N44)&lt;400,1,MAX(IF(SUMPRODUCT((CLASS!$E44:$N44="RES")*1)&gt;=2,0.4,0.5),MIN(1,0.25+15/SQRT(IF(KLL!N44="",INPUTS!$B$18,KLL!N44)*SUMPRODUCT((CLASS!$E44:$N44="RES")*1,TRIB!$E44:$N44)))))</f>
        <v>0.4</v>
      </c>
      <c r="O44" s="15" t="n">
        <f aca="false">IF(IF(KLL!O44="",INPUTS!$B$18,KLL!O44)*SUMPRODUCT((CLASS!$E44:$O44="RES")*1,TRIB!$E44:$O44)&lt;400,1,MAX(IF(SUMPRODUCT((CLASS!$E44:$O44="RES")*1)&gt;=2,0.4,0.5),MIN(1,0.25+15/SQRT(IF(KLL!O44="",INPUTS!$B$18,KLL!O44)*SUMPRODUCT((CLASS!$E44:$O44="RES")*1,TRIB!$E44:$O44)))))</f>
        <v>0.4</v>
      </c>
      <c r="P44" s="15" t="n">
        <f aca="false">IF(IF(KLL!P44="",INPUTS!$B$18,KLL!P44)*SUMPRODUCT((CLASS!$E44:$P44="RES")*1,TRIB!$E44:$P44)&lt;400,1,MAX(IF(SUMPRODUCT((CLASS!$E44:$P44="RES")*1)&gt;=2,0.4,0.5),MIN(1,0.25+15/SQRT(IF(KLL!P44="",INPUTS!$B$18,KLL!P44)*SUMPRODUCT((CLASS!$E44:$P44="RES")*1,TRIB!$E44:$P44)))))</f>
        <v>0.4</v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15" t="n">
        <f aca="false">IF(IF(KLL!E45="",INPUTS!$B$18,KLL!E45)*SUMPRODUCT((CLASS!$E45:$E45="RES")*1,TRIB!$E45:$E45)&lt;400,1,MAX(IF(SUMPRODUCT((CLASS!$E45:$E45="RES")*1)&gt;=2,0.4,0.5),MIN(1,0.25+15/SQRT(IF(KLL!E45="",INPUTS!$B$18,KLL!E45)*SUMPRODUCT((CLASS!$E45:$E45="RES")*1,TRIB!$E45:$E45)))))</f>
        <v>1</v>
      </c>
      <c r="F45" s="15" t="n">
        <f aca="false">IF(IF(KLL!F45="",INPUTS!$B$18,KLL!F45)*SUMPRODUCT((CLASS!$E45:$F45="RES")*1,TRIB!$E45:$F45)&lt;400,1,MAX(IF(SUMPRODUCT((CLASS!$E45:$F45="RES")*1)&gt;=2,0.4,0.5),MIN(1,0.25+15/SQRT(IF(KLL!F45="",INPUTS!$B$18,KLL!F45)*SUMPRODUCT((CLASS!$E45:$F45="RES")*1,TRIB!$E45:$F45)))))</f>
        <v>1</v>
      </c>
      <c r="G45" s="15" t="n">
        <f aca="false">IF(IF(KLL!G45="",INPUTS!$B$18,KLL!G45)*SUMPRODUCT((CLASS!$E45:$G45="RES")*1,TRIB!$E45:$G45)&lt;400,1,MAX(IF(SUMPRODUCT((CLASS!$E45:$G45="RES")*1)&gt;=2,0.4,0.5),MIN(1,0.25+15/SQRT(IF(KLL!G45="",INPUTS!$B$18,KLL!G45)*SUMPRODUCT((CLASS!$E45:$G45="RES")*1,TRIB!$E45:$G45)))))</f>
        <v>0.828637562357845</v>
      </c>
      <c r="H45" s="15" t="n">
        <f aca="false">IF(IF(KLL!H45="",INPUTS!$B$18,KLL!H45)*SUMPRODUCT((CLASS!$E45:$H45="RES")*1,TRIB!$E45:$H45)&lt;400,1,MAX(IF(SUMPRODUCT((CLASS!$E45:$H45="RES")*1)&gt;=2,0.4,0.5),MIN(1,0.25+15/SQRT(IF(KLL!H45="",INPUTS!$B$18,KLL!H45)*SUMPRODUCT((CLASS!$E45:$H45="RES")*1,TRIB!$E45:$H45)))))</f>
        <v>0.659158544192486</v>
      </c>
      <c r="I45" s="15" t="n">
        <f aca="false">IF(IF(KLL!I45="",INPUTS!$B$18,KLL!I45)*SUMPRODUCT((CLASS!$E45:$I45="RES")*1,TRIB!$E45:$I45)&lt;400,1,MAX(IF(SUMPRODUCT((CLASS!$E45:$I45="RES")*1)&gt;=2,0.4,0.5),MIN(1,0.25+15/SQRT(IF(KLL!I45="",INPUTS!$B$18,KLL!I45)*SUMPRODUCT((CLASS!$E45:$I45="RES")*1,TRIB!$E45:$I45)))))</f>
        <v>0.584076552390531</v>
      </c>
      <c r="J45" s="15" t="n">
        <f aca="false">IF(IF(KLL!J45="",INPUTS!$B$18,KLL!J45)*SUMPRODUCT((CLASS!$E45:$J45="RES")*1,TRIB!$E45:$J45)&lt;400,1,MAX(IF(SUMPRODUCT((CLASS!$E45:$J45="RES")*1)&gt;=2,0.4,0.5),MIN(1,0.25+15/SQRT(IF(KLL!J45="",INPUTS!$B$18,KLL!J45)*SUMPRODUCT((CLASS!$E45:$J45="RES")*1,TRIB!$E45:$J45)))))</f>
        <v>0.539318781178922</v>
      </c>
      <c r="K45" s="15" t="n">
        <f aca="false">IF(IF(KLL!K45="",INPUTS!$B$18,KLL!K45)*SUMPRODUCT((CLASS!$E45:$K45="RES")*1,TRIB!$E45:$K45)&lt;400,1,MAX(IF(SUMPRODUCT((CLASS!$E45:$K45="RES")*1)&gt;=2,0.4,0.5),MIN(1,0.25+15/SQRT(IF(KLL!K45="",INPUTS!$B$18,KLL!K45)*SUMPRODUCT((CLASS!$E45:$K45="RES")*1,TRIB!$E45:$K45)))))</f>
        <v>0.508774584753383</v>
      </c>
      <c r="L45" s="15" t="n">
        <f aca="false">IF(IF(KLL!L45="",INPUTS!$B$18,KLL!L45)*SUMPRODUCT((CLASS!$E45:$L45="RES")*1,TRIB!$E45:$L45)&lt;400,1,MAX(IF(SUMPRODUCT((CLASS!$E45:$L45="RES")*1)&gt;=2,0.4,0.5),MIN(1,0.25+15/SQRT(IF(KLL!L45="",INPUTS!$B$18,KLL!L45)*SUMPRODUCT((CLASS!$E45:$L45="RES")*1,TRIB!$E45:$L45)))))</f>
        <v>0.486227795630767</v>
      </c>
      <c r="M45" s="15" t="n">
        <f aca="false">IF(IF(KLL!M45="",INPUTS!$B$18,KLL!M45)*SUMPRODUCT((CLASS!$E45:$M45="RES")*1,TRIB!$E45:$M45)&lt;400,1,MAX(IF(SUMPRODUCT((CLASS!$E45:$M45="RES")*1)&gt;=2,0.4,0.5),MIN(1,0.25+15/SQRT(IF(KLL!M45="",INPUTS!$B$18,KLL!M45)*SUMPRODUCT((CLASS!$E45:$M45="RES")*1,TRIB!$E45:$M45)))))</f>
        <v>0.468704441319927</v>
      </c>
      <c r="N45" s="15" t="n">
        <f aca="false">IF(IF(KLL!N45="",INPUTS!$B$18,KLL!N45)*SUMPRODUCT((CLASS!$E45:$N45="RES")*1,TRIB!$E45:$N45)&lt;400,1,MAX(IF(SUMPRODUCT((CLASS!$E45:$N45="RES")*1)&gt;=2,0.4,0.5),MIN(1,0.25+15/SQRT(IF(KLL!N45="",INPUTS!$B$18,KLL!N45)*SUMPRODUCT((CLASS!$E45:$N45="RES")*1,TRIB!$E45:$N45)))))</f>
        <v>0.454579272096243</v>
      </c>
      <c r="O45" s="15" t="n">
        <f aca="false">IF(IF(KLL!O45="",INPUTS!$B$18,KLL!O45)*SUMPRODUCT((CLASS!$E45:$O45="RES")*1,TRIB!$E45:$O45)&lt;400,1,MAX(IF(SUMPRODUCT((CLASS!$E45:$O45="RES")*1)&gt;=2,0.4,0.5),MIN(1,0.25+15/SQRT(IF(KLL!O45="",INPUTS!$B$18,KLL!O45)*SUMPRODUCT((CLASS!$E45:$O45="RES")*1,TRIB!$E45:$O45)))))</f>
        <v>0.442879187452615</v>
      </c>
      <c r="P45" s="15" t="n">
        <f aca="false">IF(IF(KLL!P45="",INPUTS!$B$18,KLL!P45)*SUMPRODUCT((CLASS!$E45:$P45="RES")*1,TRIB!$E45:$P45)&lt;400,1,MAX(IF(SUMPRODUCT((CLASS!$E45:$P45="RES")*1)&gt;=2,0.4,0.5),MIN(1,0.25+15/SQRT(IF(KLL!P45="",INPUTS!$B$18,KLL!P45)*SUMPRODUCT((CLASS!$E45:$P45="RES")*1,TRIB!$E45:$P45)))))</f>
        <v>0.43298126367785</v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15" t="n">
        <f aca="false">IF(IF(KLL!E46="",INPUTS!$B$18,KLL!E46)*SUMPRODUCT((CLASS!$E46:$E46="RES")*1,TRIB!$E46:$E46)&lt;400,1,MAX(IF(SUMPRODUCT((CLASS!$E46:$E46="RES")*1)&gt;=2,0.4,0.5),MIN(1,0.25+15/SQRT(IF(KLL!E46="",INPUTS!$B$18,KLL!E46)*SUMPRODUCT((CLASS!$E46:$E46="RES")*1,TRIB!$E46:$E46)))))</f>
        <v>1</v>
      </c>
      <c r="F46" s="15" t="n">
        <f aca="false">IF(IF(KLL!F46="",INPUTS!$B$18,KLL!F46)*SUMPRODUCT((CLASS!$E46:$F46="RES")*1,TRIB!$E46:$F46)&lt;400,1,MAX(IF(SUMPRODUCT((CLASS!$E46:$F46="RES")*1)&gt;=2,0.4,0.5),MIN(1,0.25+15/SQRT(IF(KLL!F46="",INPUTS!$B$18,KLL!F46)*SUMPRODUCT((CLASS!$E46:$F46="RES")*1,TRIB!$E46:$F46)))))</f>
        <v>1</v>
      </c>
      <c r="G46" s="15" t="n">
        <f aca="false">IF(IF(KLL!G46="",INPUTS!$B$18,KLL!G46)*SUMPRODUCT((CLASS!$E46:$G46="RES")*1,TRIB!$E46:$G46)&lt;400,1,MAX(IF(SUMPRODUCT((CLASS!$E46:$G46="RES")*1)&gt;=2,0.4,0.5),MIN(1,0.25+15/SQRT(IF(KLL!G46="",INPUTS!$B$18,KLL!G46)*SUMPRODUCT((CLASS!$E46:$G46="RES")*1,TRIB!$E46:$G46)))))</f>
        <v>0.803283335172488</v>
      </c>
      <c r="H46" s="15" t="n">
        <f aca="false">IF(IF(KLL!H46="",INPUTS!$B$18,KLL!H46)*SUMPRODUCT((CLASS!$E46:$H46="RES")*1,TRIB!$E46:$H46)&lt;400,1,MAX(IF(SUMPRODUCT((CLASS!$E46:$H46="RES")*1)&gt;=2,0.4,0.5),MIN(1,0.25+15/SQRT(IF(KLL!H46="",INPUTS!$B$18,KLL!H46)*SUMPRODUCT((CLASS!$E46:$H46="RES")*1,TRIB!$E46:$H46)))))</f>
        <v>0.641630224993979</v>
      </c>
      <c r="I46" s="15" t="n">
        <f aca="false">IF(IF(KLL!I46="",INPUTS!$B$18,KLL!I46)*SUMPRODUCT((CLASS!$E46:$I46="RES")*1,TRIB!$E46:$I46)&lt;400,1,MAX(IF(SUMPRODUCT((CLASS!$E46:$I46="RES")*1)&gt;=2,0.4,0.5),MIN(1,0.25+15/SQRT(IF(KLL!I46="",INPUTS!$B$18,KLL!I46)*SUMPRODUCT((CLASS!$E46:$I46="RES")*1,TRIB!$E46:$I46)))))</f>
        <v>0.569873781383175</v>
      </c>
      <c r="J46" s="15" t="n">
        <f aca="false">IF(IF(KLL!J46="",INPUTS!$B$18,KLL!J46)*SUMPRODUCT((CLASS!$E46:$J46="RES")*1,TRIB!$E46:$J46)&lt;400,1,MAX(IF(SUMPRODUCT((CLASS!$E46:$J46="RES")*1)&gt;=2,0.4,0.5),MIN(1,0.25+15/SQRT(IF(KLL!J46="",INPUTS!$B$18,KLL!J46)*SUMPRODUCT((CLASS!$E46:$J46="RES")*1,TRIB!$E46:$J46)))))</f>
        <v>0.527066073360065</v>
      </c>
      <c r="K46" s="15" t="n">
        <f aca="false">IF(IF(KLL!K46="",INPUTS!$B$18,KLL!K46)*SUMPRODUCT((CLASS!$E46:$K46="RES")*1,TRIB!$E46:$K46)&lt;400,1,MAX(IF(SUMPRODUCT((CLASS!$E46:$K46="RES")*1)&gt;=2,0.4,0.5),MIN(1,0.25+15/SQRT(IF(KLL!K46="",INPUTS!$B$18,KLL!K46)*SUMPRODUCT((CLASS!$E46:$K46="RES")*1,TRIB!$E46:$K46)))))</f>
        <v>0.497840798548305</v>
      </c>
      <c r="L46" s="15" t="n">
        <f aca="false">IF(IF(KLL!L46="",INPUTS!$B$18,KLL!L46)*SUMPRODUCT((CLASS!$E46:$L46="RES")*1,TRIB!$E46:$L46)&lt;400,1,MAX(IF(SUMPRODUCT((CLASS!$E46:$L46="RES")*1)&gt;=2,0.4,0.5),MIN(1,0.25+15/SQRT(IF(KLL!L46="",INPUTS!$B$18,KLL!L46)*SUMPRODUCT((CLASS!$E46:$L46="RES")*1,TRIB!$E46:$L46)))))</f>
        <v>0.476262102989314</v>
      </c>
      <c r="M46" s="15" t="n">
        <f aca="false">IF(IF(KLL!M46="",INPUTS!$B$18,KLL!M46)*SUMPRODUCT((CLASS!$E46:$M46="RES")*1,TRIB!$E46:$M46)&lt;400,1,MAX(IF(SUMPRODUCT((CLASS!$E46:$M46="RES")*1)&gt;=2,0.4,0.5),MIN(1,0.25+15/SQRT(IF(KLL!M46="",INPUTS!$B$18,KLL!M46)*SUMPRODUCT((CLASS!$E46:$M46="RES")*1,TRIB!$E46:$M46)))))</f>
        <v>0.459488216968321</v>
      </c>
      <c r="N46" s="15" t="n">
        <f aca="false">IF(IF(KLL!N46="",INPUTS!$B$18,KLL!N46)*SUMPRODUCT((CLASS!$E46:$N46="RES")*1,TRIB!$E46:$N46)&lt;400,1,MAX(IF(SUMPRODUCT((CLASS!$E46:$N46="RES")*1)&gt;=2,0.4,0.5),MIN(1,0.25+15/SQRT(IF(KLL!N46="",INPUTS!$B$18,KLL!N46)*SUMPRODUCT((CLASS!$E46:$N46="RES")*1,TRIB!$E46:$N46)))))</f>
        <v>0.445965450417405</v>
      </c>
      <c r="O46" s="15" t="n">
        <f aca="false">IF(IF(KLL!O46="",INPUTS!$B$18,KLL!O46)*SUMPRODUCT((CLASS!$E46:$O46="RES")*1,TRIB!$E46:$O46)&lt;400,1,MAX(IF(SUMPRODUCT((CLASS!$E46:$O46="RES")*1)&gt;=2,0.4,0.5),MIN(1,0.25+15/SQRT(IF(KLL!O46="",INPUTS!$B$18,KLL!O46)*SUMPRODUCT((CLASS!$E46:$O46="RES")*1,TRIB!$E46:$O46)))))</f>
        <v>0.434763254390485</v>
      </c>
      <c r="P46" s="15" t="n">
        <f aca="false">IF(IF(KLL!P46="",INPUTS!$B$18,KLL!P46)*SUMPRODUCT((CLASS!$E46:$P46="RES")*1,TRIB!$E46:$P46)&lt;400,1,MAX(IF(SUMPRODUCT((CLASS!$E46:$P46="RES")*1)&gt;=2,0.4,0.5),MIN(1,0.25+15/SQRT(IF(KLL!P46="",INPUTS!$B$18,KLL!P46)*SUMPRODUCT((CLASS!$E46:$P46="RES")*1,TRIB!$E46:$P46)))))</f>
        <v>0.425285802787181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15" t="n">
        <f aca="false">IF(IF(KLL!E47="",INPUTS!$B$18,KLL!E47)*SUMPRODUCT((CLASS!$E47:$E47="RES")*1,TRIB!$E47:$E47)&lt;400,1,MAX(IF(SUMPRODUCT((CLASS!$E47:$E47="RES")*1)&gt;=2,0.4,0.5),MIN(1,0.25+15/SQRT(IF(KLL!E47="",INPUTS!$B$18,KLL!E47)*SUMPRODUCT((CLASS!$E47:$E47="RES")*1,TRIB!$E47:$E47)))))</f>
        <v>1</v>
      </c>
      <c r="F47" s="15" t="n">
        <f aca="false">IF(IF(KLL!F47="",INPUTS!$B$18,KLL!F47)*SUMPRODUCT((CLASS!$E47:$F47="RES")*1,TRIB!$E47:$F47)&lt;400,1,MAX(IF(SUMPRODUCT((CLASS!$E47:$F47="RES")*1)&gt;=2,0.4,0.5),MIN(1,0.25+15/SQRT(IF(KLL!F47="",INPUTS!$B$18,KLL!F47)*SUMPRODUCT((CLASS!$E47:$F47="RES")*1,TRIB!$E47:$F47)))))</f>
        <v>1</v>
      </c>
      <c r="G47" s="15" t="n">
        <f aca="false">IF(IF(KLL!G47="",INPUTS!$B$18,KLL!G47)*SUMPRODUCT((CLASS!$E47:$G47="RES")*1,TRIB!$E47:$G47)&lt;400,1,MAX(IF(SUMPRODUCT((CLASS!$E47:$G47="RES")*1)&gt;=2,0.4,0.5),MIN(1,0.25+15/SQRT(IF(KLL!G47="",INPUTS!$B$18,KLL!G47)*SUMPRODUCT((CLASS!$E47:$G47="RES")*1,TRIB!$E47:$G47)))))</f>
        <v>0.647778642087865</v>
      </c>
      <c r="H47" s="15" t="n">
        <f aca="false">IF(IF(KLL!H47="",INPUTS!$B$18,KLL!H47)*SUMPRODUCT((CLASS!$E47:$H47="RES")*1,TRIB!$E47:$H47)&lt;400,1,MAX(IF(SUMPRODUCT((CLASS!$E47:$H47="RES")*1)&gt;=2,0.4,0.5),MIN(1,0.25+15/SQRT(IF(KLL!H47="",INPUTS!$B$18,KLL!H47)*SUMPRODUCT((CLASS!$E47:$H47="RES")*1,TRIB!$E47:$H47)))))</f>
        <v>0.531271975231506</v>
      </c>
      <c r="I47" s="15" t="n">
        <f aca="false">IF(IF(KLL!I47="",INPUTS!$B$18,KLL!I47)*SUMPRODUCT((CLASS!$E47:$I47="RES")*1,TRIB!$E47:$I47)&lt;400,1,MAX(IF(SUMPRODUCT((CLASS!$E47:$I47="RES")*1)&gt;=2,0.4,0.5),MIN(1,0.25+15/SQRT(IF(KLL!I47="",INPUTS!$B$18,KLL!I47)*SUMPRODUCT((CLASS!$E47:$I47="RES")*1,TRIB!$E47:$I47)))))</f>
        <v>0.479657606087313</v>
      </c>
      <c r="J47" s="15" t="n">
        <f aca="false">IF(IF(KLL!J47="",INPUTS!$B$18,KLL!J47)*SUMPRODUCT((CLASS!$E47:$J47="RES")*1,TRIB!$E47:$J47)&lt;400,1,MAX(IF(SUMPRODUCT((CLASS!$E47:$J47="RES")*1)&gt;=2,0.4,0.5),MIN(1,0.25+15/SQRT(IF(KLL!J47="",INPUTS!$B$18,KLL!J47)*SUMPRODUCT((CLASS!$E47:$J47="RES")*1,TRIB!$E47:$J47)))))</f>
        <v>0.448836892066867</v>
      </c>
      <c r="K47" s="15" t="n">
        <f aca="false">IF(IF(KLL!K47="",INPUTS!$B$18,KLL!K47)*SUMPRODUCT((CLASS!$E47:$K47="RES")*1,TRIB!$E47:$K47)&lt;400,1,MAX(IF(SUMPRODUCT((CLASS!$E47:$K47="RES")*1)&gt;=2,0.4,0.5),MIN(1,0.25+15/SQRT(IF(KLL!K47="",INPUTS!$B$18,KLL!K47)*SUMPRODUCT((CLASS!$E47:$K47="RES")*1,TRIB!$E47:$K47)))))</f>
        <v>0.403994042941222</v>
      </c>
      <c r="L47" s="15" t="n">
        <f aca="false">IF(IF(KLL!L47="",INPUTS!$B$18,KLL!L47)*SUMPRODUCT((CLASS!$E47:$L47="RES")*1,TRIB!$E47:$L47)&lt;400,1,MAX(IF(SUMPRODUCT((CLASS!$E47:$L47="RES")*1)&gt;=2,0.4,0.5),MIN(1,0.25+15/SQRT(IF(KLL!L47="",INPUTS!$B$18,KLL!L47)*SUMPRODUCT((CLASS!$E47:$L47="RES")*1,TRIB!$E47:$L47)))))</f>
        <v>0.4</v>
      </c>
      <c r="M47" s="15" t="n">
        <f aca="false">IF(IF(KLL!M47="",INPUTS!$B$18,KLL!M47)*SUMPRODUCT((CLASS!$E47:$M47="RES")*1,TRIB!$E47:$M47)&lt;400,1,MAX(IF(SUMPRODUCT((CLASS!$E47:$M47="RES")*1)&gt;=2,0.4,0.5),MIN(1,0.25+15/SQRT(IF(KLL!M47="",INPUTS!$B$18,KLL!M47)*SUMPRODUCT((CLASS!$E47:$M47="RES")*1,TRIB!$E47:$M47)))))</f>
        <v>0.4</v>
      </c>
      <c r="N47" s="15" t="n">
        <f aca="false">IF(IF(KLL!N47="",INPUTS!$B$18,KLL!N47)*SUMPRODUCT((CLASS!$E47:$N47="RES")*1,TRIB!$E47:$N47)&lt;400,1,MAX(IF(SUMPRODUCT((CLASS!$E47:$N47="RES")*1)&gt;=2,0.4,0.5),MIN(1,0.25+15/SQRT(IF(KLL!N47="",INPUTS!$B$18,KLL!N47)*SUMPRODUCT((CLASS!$E47:$N47="RES")*1,TRIB!$E47:$N47)))))</f>
        <v>0.4</v>
      </c>
      <c r="O47" s="15" t="n">
        <f aca="false">IF(IF(KLL!O47="",INPUTS!$B$18,KLL!O47)*SUMPRODUCT((CLASS!$E47:$O47="RES")*1,TRIB!$E47:$O47)&lt;400,1,MAX(IF(SUMPRODUCT((CLASS!$E47:$O47="RES")*1)&gt;=2,0.4,0.5),MIN(1,0.25+15/SQRT(IF(KLL!O47="",INPUTS!$B$18,KLL!O47)*SUMPRODUCT((CLASS!$E47:$O47="RES")*1,TRIB!$E47:$O47)))))</f>
        <v>0.4</v>
      </c>
      <c r="P47" s="15" t="n">
        <f aca="false">IF(IF(KLL!P47="",INPUTS!$B$18,KLL!P47)*SUMPRODUCT((CLASS!$E47:$P47="RES")*1,TRIB!$E47:$P47)&lt;400,1,MAX(IF(SUMPRODUCT((CLASS!$E47:$P47="RES")*1)&gt;=2,0.4,0.5),MIN(1,0.25+15/SQRT(IF(KLL!P47="",INPUTS!$B$18,KLL!P47)*SUMPRODUCT((CLASS!$E47:$P47="RES")*1,TRIB!$E47:$P47)))))</f>
        <v>0.4</v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15" t="n">
        <f aca="false">IF(IF(KLL!E48="",INPUTS!$B$18,KLL!E48)*SUMPRODUCT((CLASS!$E48:$E48="RES")*1,TRIB!$E48:$E48)&lt;400,1,MAX(IF(SUMPRODUCT((CLASS!$E48:$E48="RES")*1)&gt;=2,0.4,0.5),MIN(1,0.25+15/SQRT(IF(KLL!E48="",INPUTS!$B$18,KLL!E48)*SUMPRODUCT((CLASS!$E48:$E48="RES")*1,TRIB!$E48:$E48)))))</f>
        <v>1</v>
      </c>
      <c r="F48" s="15" t="n">
        <f aca="false">IF(IF(KLL!F48="",INPUTS!$B$18,KLL!F48)*SUMPRODUCT((CLASS!$E48:$F48="RES")*1,TRIB!$E48:$F48)&lt;400,1,MAX(IF(SUMPRODUCT((CLASS!$E48:$F48="RES")*1)&gt;=2,0.4,0.5),MIN(1,0.25+15/SQRT(IF(KLL!F48="",INPUTS!$B$18,KLL!F48)*SUMPRODUCT((CLASS!$E48:$F48="RES")*1,TRIB!$E48:$F48)))))</f>
        <v>1</v>
      </c>
      <c r="G48" s="15" t="n">
        <f aca="false">IF(IF(KLL!G48="",INPUTS!$B$18,KLL!G48)*SUMPRODUCT((CLASS!$E48:$G48="RES")*1,TRIB!$E48:$G48)&lt;400,1,MAX(IF(SUMPRODUCT((CLASS!$E48:$G48="RES")*1)&gt;=2,0.4,0.5),MIN(1,0.25+15/SQRT(IF(KLL!G48="",INPUTS!$B$18,KLL!G48)*SUMPRODUCT((CLASS!$E48:$G48="RES")*1,TRIB!$E48:$G48)))))</f>
        <v>0.850480576769077</v>
      </c>
      <c r="H48" s="15" t="n">
        <f aca="false">IF(IF(KLL!H48="",INPUTS!$B$18,KLL!H48)*SUMPRODUCT((CLASS!$E48:$H48="RES")*1,TRIB!$E48:$H48)&lt;400,1,MAX(IF(SUMPRODUCT((CLASS!$E48:$H48="RES")*1)&gt;=2,0.4,0.5),MIN(1,0.25+15/SQRT(IF(KLL!H48="",INPUTS!$B$18,KLL!H48)*SUMPRODUCT((CLASS!$E48:$H48="RES")*1,TRIB!$E48:$H48)))))</f>
        <v>0.674603887804223</v>
      </c>
      <c r="I48" s="15" t="n">
        <f aca="false">IF(IF(KLL!I48="",INPUTS!$B$18,KLL!I48)*SUMPRODUCT((CLASS!$E48:$I48="RES")*1,TRIB!$E48:$I48)&lt;400,1,MAX(IF(SUMPRODUCT((CLASS!$E48:$I48="RES")*1)&gt;=2,0.4,0.5),MIN(1,0.25+15/SQRT(IF(KLL!I48="",INPUTS!$B$18,KLL!I48)*SUMPRODUCT((CLASS!$E48:$I48="RES")*1,TRIB!$E48:$I48)))))</f>
        <v>0.596687622640768</v>
      </c>
      <c r="J48" s="15" t="n">
        <f aca="false">IF(IF(KLL!J48="",INPUTS!$B$18,KLL!J48)*SUMPRODUCT((CLASS!$E48:$J48="RES")*1,TRIB!$E48:$J48)&lt;400,1,MAX(IF(SUMPRODUCT((CLASS!$E48:$J48="RES")*1)&gt;=2,0.4,0.5),MIN(1,0.25+15/SQRT(IF(KLL!J48="",INPUTS!$B$18,KLL!J48)*SUMPRODUCT((CLASS!$E48:$J48="RES")*1,TRIB!$E48:$J48)))))</f>
        <v>0.550240288384538</v>
      </c>
      <c r="K48" s="15" t="n">
        <f aca="false">IF(IF(KLL!K48="",INPUTS!$B$18,KLL!K48)*SUMPRODUCT((CLASS!$E48:$K48="RES")*1,TRIB!$E48:$K48)&lt;400,1,MAX(IF(SUMPRODUCT((CLASS!$E48:$K48="RES")*1)&gt;=2,0.4,0.5),MIN(1,0.25+15/SQRT(IF(KLL!K48="",INPUTS!$B$18,KLL!K48)*SUMPRODUCT((CLASS!$E48:$K48="RES")*1,TRIB!$E48:$K48)))))</f>
        <v>0.518543077764787</v>
      </c>
      <c r="L48" s="15" t="n">
        <f aca="false">IF(IF(KLL!L48="",INPUTS!$B$18,KLL!L48)*SUMPRODUCT((CLASS!$E48:$L48="RES")*1,TRIB!$E48:$L48)&lt;400,1,MAX(IF(SUMPRODUCT((CLASS!$E48:$L48="RES")*1)&gt;=2,0.4,0.5),MIN(1,0.25+15/SQRT(IF(KLL!L48="",INPUTS!$B$18,KLL!L48)*SUMPRODUCT((CLASS!$E48:$L48="RES")*1,TRIB!$E48:$L48)))))</f>
        <v>0.49514516892273</v>
      </c>
      <c r="M48" s="15" t="n">
        <f aca="false">IF(IF(KLL!M48="",INPUTS!$B$18,KLL!M48)*SUMPRODUCT((CLASS!$E48:$M48="RES")*1,TRIB!$E48:$M48)&lt;400,1,MAX(IF(SUMPRODUCT((CLASS!$E48:$M48="RES")*1)&gt;=2,0.4,0.5),MIN(1,0.25+15/SQRT(IF(KLL!M48="",INPUTS!$B$18,KLL!M48)*SUMPRODUCT((CLASS!$E48:$M48="RES")*1,TRIB!$E48:$M48)))))</f>
        <v>0.476960324750801</v>
      </c>
      <c r="N48" s="15" t="n">
        <f aca="false">IF(IF(KLL!N48="",INPUTS!$B$18,KLL!N48)*SUMPRODUCT((CLASS!$E48:$N48="RES")*1,TRIB!$E48:$N48)&lt;400,1,MAX(IF(SUMPRODUCT((CLASS!$E48:$N48="RES")*1)&gt;=2,0.4,0.5),MIN(1,0.25+15/SQRT(IF(KLL!N48="",INPUTS!$B$18,KLL!N48)*SUMPRODUCT((CLASS!$E48:$N48="RES")*1,TRIB!$E48:$N48)))))</f>
        <v>0.462301943902112</v>
      </c>
      <c r="O48" s="15" t="n">
        <f aca="false">IF(IF(KLL!O48="",INPUTS!$B$18,KLL!O48)*SUMPRODUCT((CLASS!$E48:$O48="RES")*1,TRIB!$E48:$O48)&lt;400,1,MAX(IF(SUMPRODUCT((CLASS!$E48:$O48="RES")*1)&gt;=2,0.4,0.5),MIN(1,0.25+15/SQRT(IF(KLL!O48="",INPUTS!$B$18,KLL!O48)*SUMPRODUCT((CLASS!$E48:$O48="RES")*1,TRIB!$E48:$O48)))))</f>
        <v>0.450160192256359</v>
      </c>
      <c r="P48" s="15" t="n">
        <f aca="false">IF(IF(KLL!P48="",INPUTS!$B$18,KLL!P48)*SUMPRODUCT((CLASS!$E48:$P48="RES")*1,TRIB!$E48:$P48)&lt;400,1,MAX(IF(SUMPRODUCT((CLASS!$E48:$P48="RES")*1)&gt;=2,0.4,0.5),MIN(1,0.25+15/SQRT(IF(KLL!P48="",INPUTS!$B$18,KLL!P48)*SUMPRODUCT((CLASS!$E48:$P48="RES")*1,TRIB!$E48:$P48)))))</f>
        <v>0.439888631328188</v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15" t="n">
        <f aca="false">IF(IF(KLL!E49="",INPUTS!$B$18,KLL!E49)*SUMPRODUCT((CLASS!$E49:$E49="RES")*1,TRIB!$E49:$E49)&lt;400,1,MAX(IF(SUMPRODUCT((CLASS!$E49:$E49="RES")*1)&gt;=2,0.4,0.5),MIN(1,0.25+15/SQRT(IF(KLL!E49="",INPUTS!$B$18,KLL!E49)*SUMPRODUCT((CLASS!$E49:$E49="RES")*1,TRIB!$E49:$E49)))))</f>
        <v>1</v>
      </c>
      <c r="F49" s="15" t="n">
        <f aca="false">IF(IF(KLL!F49="",INPUTS!$B$18,KLL!F49)*SUMPRODUCT((CLASS!$E49:$F49="RES")*1,TRIB!$E49:$F49)&lt;400,1,MAX(IF(SUMPRODUCT((CLASS!$E49:$F49="RES")*1)&gt;=2,0.4,0.5),MIN(1,0.25+15/SQRT(IF(KLL!F49="",INPUTS!$B$18,KLL!F49)*SUMPRODUCT((CLASS!$E49:$F49="RES")*1,TRIB!$E49:$F49)))))</f>
        <v>1</v>
      </c>
      <c r="G49" s="15" t="n">
        <f aca="false">IF(IF(KLL!G49="",INPUTS!$B$18,KLL!G49)*SUMPRODUCT((CLASS!$E49:$G49="RES")*1,TRIB!$E49:$G49)&lt;400,1,MAX(IF(SUMPRODUCT((CLASS!$E49:$G49="RES")*1)&gt;=2,0.4,0.5),MIN(1,0.25+15/SQRT(IF(KLL!G49="",INPUTS!$B$18,KLL!G49)*SUMPRODUCT((CLASS!$E49:$G49="RES")*1,TRIB!$E49:$G49)))))</f>
        <v>0.774142418360959</v>
      </c>
      <c r="H49" s="15" t="n">
        <f aca="false">IF(IF(KLL!H49="",INPUTS!$B$18,KLL!H49)*SUMPRODUCT((CLASS!$E49:$H49="RES")*1,TRIB!$E49:$H49)&lt;400,1,MAX(IF(SUMPRODUCT((CLASS!$E49:$H49="RES")*1)&gt;=2,0.4,0.5),MIN(1,0.25+15/SQRT(IF(KLL!H49="",INPUTS!$B$18,KLL!H49)*SUMPRODUCT((CLASS!$E49:$H49="RES")*1,TRIB!$E49:$H49)))))</f>
        <v>0.620624658330551</v>
      </c>
      <c r="I49" s="15" t="n">
        <f aca="false">IF(IF(KLL!I49="",INPUTS!$B$18,KLL!I49)*SUMPRODUCT((CLASS!$E49:$I49="RES")*1,TRIB!$E49:$I49)&lt;400,1,MAX(IF(SUMPRODUCT((CLASS!$E49:$I49="RES")*1)&gt;=2,0.4,0.5),MIN(1,0.25+15/SQRT(IF(KLL!I49="",INPUTS!$B$18,KLL!I49)*SUMPRODUCT((CLASS!$E49:$I49="RES")*1,TRIB!$E49:$I49)))))</f>
        <v>0.552613766334401</v>
      </c>
      <c r="J49" s="15" t="n">
        <f aca="false">IF(IF(KLL!J49="",INPUTS!$B$18,KLL!J49)*SUMPRODUCT((CLASS!$E49:$J49="RES")*1,TRIB!$E49:$J49)&lt;400,1,MAX(IF(SUMPRODUCT((CLASS!$E49:$J49="RES")*1)&gt;=2,0.4,0.5),MIN(1,0.25+15/SQRT(IF(KLL!J49="",INPUTS!$B$18,KLL!J49)*SUMPRODUCT((CLASS!$E49:$J49="RES")*1,TRIB!$E49:$J49)))))</f>
        <v>0.511951295557556</v>
      </c>
      <c r="K49" s="15" t="n">
        <f aca="false">IF(IF(KLL!K49="",INPUTS!$B$18,KLL!K49)*SUMPRODUCT((CLASS!$E49:$K49="RES")*1,TRIB!$E49:$K49)&lt;400,1,MAX(IF(SUMPRODUCT((CLASS!$E49:$K49="RES")*1)&gt;=2,0.4,0.5),MIN(1,0.25+15/SQRT(IF(KLL!K49="",INPUTS!$B$18,KLL!K49)*SUMPRODUCT((CLASS!$E49:$K49="RES")*1,TRIB!$E49:$K49)))))</f>
        <v>0.484232079686691</v>
      </c>
      <c r="L49" s="15" t="n">
        <f aca="false">IF(IF(KLL!L49="",INPUTS!$B$18,KLL!L49)*SUMPRODUCT((CLASS!$E49:$L49="RES")*1,TRIB!$E49:$L49)&lt;400,1,MAX(IF(SUMPRODUCT((CLASS!$E49:$L49="RES")*1)&gt;=2,0.4,0.5),MIN(1,0.25+15/SQRT(IF(KLL!L49="",INPUTS!$B$18,KLL!L49)*SUMPRODUCT((CLASS!$E49:$L49="RES")*1,TRIB!$E49:$L49)))))</f>
        <v>0.463784562404506</v>
      </c>
      <c r="M49" s="15" t="n">
        <f aca="false">IF(IF(KLL!M49="",INPUTS!$B$18,KLL!M49)*SUMPRODUCT((CLASS!$E49:$M49="RES")*1,TRIB!$E49:$M49)&lt;400,1,MAX(IF(SUMPRODUCT((CLASS!$E49:$M49="RES")*1)&gt;=2,0.4,0.5),MIN(1,0.25+15/SQRT(IF(KLL!M49="",INPUTS!$B$18,KLL!M49)*SUMPRODUCT((CLASS!$E49:$M49="RES")*1,TRIB!$E49:$M49)))))</f>
        <v>0.447900204299083</v>
      </c>
      <c r="N49" s="15" t="n">
        <f aca="false">IF(IF(KLL!N49="",INPUTS!$B$18,KLL!N49)*SUMPRODUCT((CLASS!$E49:$N49="RES")*1,TRIB!$E49:$N49)&lt;400,1,MAX(IF(SUMPRODUCT((CLASS!$E49:$N49="RES")*1)&gt;=2,0.4,0.5),MIN(1,0.25+15/SQRT(IF(KLL!N49="",INPUTS!$B$18,KLL!N49)*SUMPRODUCT((CLASS!$E49:$N49="RES")*1,TRIB!$E49:$N49)))))</f>
        <v>0.435100567778352</v>
      </c>
      <c r="O49" s="15" t="n">
        <f aca="false">IF(IF(KLL!O49="",INPUTS!$B$18,KLL!O49)*SUMPRODUCT((CLASS!$E49:$O49="RES")*1,TRIB!$E49:$O49)&lt;400,1,MAX(IF(SUMPRODUCT((CLASS!$E49:$O49="RES")*1)&gt;=2,0.4,0.5),MIN(1,0.25+15/SQRT(IF(KLL!O49="",INPUTS!$B$18,KLL!O49)*SUMPRODUCT((CLASS!$E49:$O49="RES")*1,TRIB!$E49:$O49)))))</f>
        <v>0.424501203189944</v>
      </c>
      <c r="P49" s="15" t="n">
        <f aca="false">IF(IF(KLL!P49="",INPUTS!$B$18,KLL!P49)*SUMPRODUCT((CLASS!$E49:$P49="RES")*1,TRIB!$E49:$P49)&lt;400,1,MAX(IF(SUMPRODUCT((CLASS!$E49:$P49="RES")*1)&gt;=2,0.4,0.5),MIN(1,0.25+15/SQRT(IF(KLL!P49="",INPUTS!$B$18,KLL!P49)*SUMPRODUCT((CLASS!$E49:$P49="RES")*1,TRIB!$E49:$P49)))))</f>
        <v>0.415536295880776</v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15" t="n">
        <f aca="false">IF(IF(KLL!E50="",INPUTS!$B$18,KLL!E50)*SUMPRODUCT((CLASS!$E50:$E50="RES")*1,TRIB!$E50:$E50)&lt;400,1,MAX(IF(SUMPRODUCT((CLASS!$E50:$E50="RES")*1)&gt;=2,0.4,0.5),MIN(1,0.25+15/SQRT(IF(KLL!E50="",INPUTS!$B$18,KLL!E50)*SUMPRODUCT((CLASS!$E50:$E50="RES")*1,TRIB!$E50:$E50)))))</f>
        <v>1</v>
      </c>
      <c r="F50" s="15" t="n">
        <f aca="false">IF(IF(KLL!F50="",INPUTS!$B$18,KLL!F50)*SUMPRODUCT((CLASS!$E50:$F50="RES")*1,TRIB!$E50:$F50)&lt;400,1,MAX(IF(SUMPRODUCT((CLASS!$E50:$F50="RES")*1)&gt;=2,0.4,0.5),MIN(1,0.25+15/SQRT(IF(KLL!F50="",INPUTS!$B$18,KLL!F50)*SUMPRODUCT((CLASS!$E50:$F50="RES")*1,TRIB!$E50:$F50)))))</f>
        <v>1</v>
      </c>
      <c r="G50" s="15" t="n">
        <f aca="false">IF(IF(KLL!G50="",INPUTS!$B$18,KLL!G50)*SUMPRODUCT((CLASS!$E50:$G50="RES")*1,TRIB!$E50:$G50)&lt;400,1,MAX(IF(SUMPRODUCT((CLASS!$E50:$G50="RES")*1)&gt;=2,0.4,0.5),MIN(1,0.25+15/SQRT(IF(KLL!G50="",INPUTS!$B$18,KLL!G50)*SUMPRODUCT((CLASS!$E50:$G50="RES")*1,TRIB!$E50:$G50)))))</f>
        <v>0.891940738766369</v>
      </c>
      <c r="H50" s="15" t="n">
        <f aca="false">IF(IF(KLL!H50="",INPUTS!$B$18,KLL!H50)*SUMPRODUCT((CLASS!$E50:$H50="RES")*1,TRIB!$E50:$H50)&lt;400,1,MAX(IF(SUMPRODUCT((CLASS!$E50:$H50="RES")*1)&gt;=2,0.4,0.5),MIN(1,0.25+15/SQRT(IF(KLL!H50="",INPUTS!$B$18,KLL!H50)*SUMPRODUCT((CLASS!$E50:$H50="RES")*1,TRIB!$E50:$H50)))))</f>
        <v>0.52372445072568</v>
      </c>
      <c r="I50" s="15" t="n">
        <f aca="false">IF(IF(KLL!I50="",INPUTS!$B$18,KLL!I50)*SUMPRODUCT((CLASS!$E50:$I50="RES")*1,TRIB!$E50:$I50)&lt;400,1,MAX(IF(SUMPRODUCT((CLASS!$E50:$I50="RES")*1)&gt;=2,0.4,0.5),MIN(1,0.25+15/SQRT(IF(KLL!I50="",INPUTS!$B$18,KLL!I50)*SUMPRODUCT((CLASS!$E50:$I50="RES")*1,TRIB!$E50:$I50)))))</f>
        <v>0.501896360929939</v>
      </c>
      <c r="J50" s="15" t="n">
        <f aca="false">IF(IF(KLL!J50="",INPUTS!$B$18,KLL!J50)*SUMPRODUCT((CLASS!$E50:$J50="RES")*1,TRIB!$E50:$J50)&lt;400,1,MAX(IF(SUMPRODUCT((CLASS!$E50:$J50="RES")*1)&gt;=2,0.4,0.5),MIN(1,0.25+15/SQRT(IF(KLL!J50="",INPUTS!$B$18,KLL!J50)*SUMPRODUCT((CLASS!$E50:$J50="RES")*1,TRIB!$E50:$J50)))))</f>
        <v>0.484661627231966</v>
      </c>
      <c r="K50" s="15" t="n">
        <f aca="false">IF(IF(KLL!K50="",INPUTS!$B$18,KLL!K50)*SUMPRODUCT((CLASS!$E50:$K50="RES")*1,TRIB!$E50:$K50)&lt;400,1,MAX(IF(SUMPRODUCT((CLASS!$E50:$K50="RES")*1)&gt;=2,0.4,0.5),MIN(1,0.25+15/SQRT(IF(KLL!K50="",INPUTS!$B$18,KLL!K50)*SUMPRODUCT((CLASS!$E50:$K50="RES")*1,TRIB!$E50:$K50)))))</f>
        <v>0.470755392844174</v>
      </c>
      <c r="L50" s="15" t="n">
        <f aca="false">IF(IF(KLL!L50="",INPUTS!$B$18,KLL!L50)*SUMPRODUCT((CLASS!$E50:$L50="RES")*1,TRIB!$E50:$L50)&lt;400,1,MAX(IF(SUMPRODUCT((CLASS!$E50:$L50="RES")*1)&gt;=2,0.4,0.5),MIN(1,0.25+15/SQRT(IF(KLL!L50="",INPUTS!$B$18,KLL!L50)*SUMPRODUCT((CLASS!$E50:$L50="RES")*1,TRIB!$E50:$L50)))))</f>
        <v>0.45893877876365</v>
      </c>
      <c r="M50" s="15" t="n">
        <f aca="false">IF(IF(KLL!M50="",INPUTS!$B$18,KLL!M50)*SUMPRODUCT((CLASS!$E50:$M50="RES")*1,TRIB!$E50:$M50)&lt;400,1,MAX(IF(SUMPRODUCT((CLASS!$E50:$M50="RES")*1)&gt;=2,0.4,0.5),MIN(1,0.25+15/SQRT(IF(KLL!M50="",INPUTS!$B$18,KLL!M50)*SUMPRODUCT((CLASS!$E50:$M50="RES")*1,TRIB!$E50:$M50)))))</f>
        <v>0.448836892066867</v>
      </c>
      <c r="N50" s="15" t="n">
        <f aca="false">IF(IF(KLL!N50="",INPUTS!$B$18,KLL!N50)*SUMPRODUCT((CLASS!$E50:$N50="RES")*1,TRIB!$E50:$N50)&lt;400,1,MAX(IF(SUMPRODUCT((CLASS!$E50:$N50="RES")*1)&gt;=2,0.4,0.5),MIN(1,0.25+15/SQRT(IF(KLL!N50="",INPUTS!$B$18,KLL!N50)*SUMPRODUCT((CLASS!$E50:$N50="RES")*1,TRIB!$E50:$N50)))))</f>
        <v>0.440071480317426</v>
      </c>
      <c r="O50" s="15" t="n">
        <f aca="false">IF(IF(KLL!O50="",INPUTS!$B$18,KLL!O50)*SUMPRODUCT((CLASS!$E50:$O50="RES")*1,TRIB!$E50:$O50)&lt;400,1,MAX(IF(SUMPRODUCT((CLASS!$E50:$O50="RES")*1)&gt;=2,0.4,0.5),MIN(1,0.25+15/SQRT(IF(KLL!O50="",INPUTS!$B$18,KLL!O50)*SUMPRODUCT((CLASS!$E50:$O50="RES")*1,TRIB!$E50:$O50)))))</f>
        <v>0.432371663104019</v>
      </c>
      <c r="P50" s="15" t="n">
        <f aca="false">IF(IF(KLL!P50="",INPUTS!$B$18,KLL!P50)*SUMPRODUCT((CLASS!$E50:$P50="RES")*1,TRIB!$E50:$P50)&lt;400,1,MAX(IF(SUMPRODUCT((CLASS!$E50:$P50="RES")*1)&gt;=2,0.4,0.5),MIN(1,0.25+15/SQRT(IF(KLL!P50="",INPUTS!$B$18,KLL!P50)*SUMPRODUCT((CLASS!$E50:$P50="RES")*1,TRIB!$E50:$P50)))))</f>
        <v>0.425537676183963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15" t="n">
        <f aca="false">IF(IF(KLL!E51="",INPUTS!$B$18,KLL!E51)*SUMPRODUCT((CLASS!$E51:$E51="RES")*1,TRIB!$E51:$E51)&lt;400,1,MAX(IF(SUMPRODUCT((CLASS!$E51:$E51="RES")*1)&gt;=2,0.4,0.5),MIN(1,0.25+15/SQRT(IF(KLL!E51="",INPUTS!$B$18,KLL!E51)*SUMPRODUCT((CLASS!$E51:$E51="RES")*1,TRIB!$E51:$E51)))))</f>
        <v>1</v>
      </c>
      <c r="F51" s="15" t="n">
        <f aca="false">IF(IF(KLL!F51="",INPUTS!$B$18,KLL!F51)*SUMPRODUCT((CLASS!$E51:$F51="RES")*1,TRIB!$E51:$F51)&lt;400,1,MAX(IF(SUMPRODUCT((CLASS!$E51:$F51="RES")*1)&gt;=2,0.4,0.5),MIN(1,0.25+15/SQRT(IF(KLL!F51="",INPUTS!$B$18,KLL!F51)*SUMPRODUCT((CLASS!$E51:$F51="RES")*1,TRIB!$E51:$F51)))))</f>
        <v>1</v>
      </c>
      <c r="G51" s="15" t="n">
        <f aca="false">IF(IF(KLL!G51="",INPUTS!$B$18,KLL!G51)*SUMPRODUCT((CLASS!$E51:$G51="RES")*1,TRIB!$E51:$G51)&lt;400,1,MAX(IF(SUMPRODUCT((CLASS!$E51:$G51="RES")*1)&gt;=2,0.4,0.5),MIN(1,0.25+15/SQRT(IF(KLL!G51="",INPUTS!$B$18,KLL!G51)*SUMPRODUCT((CLASS!$E51:$G51="RES")*1,TRIB!$E51:$G51)))))</f>
        <v>1</v>
      </c>
      <c r="H51" s="15" t="n">
        <f aca="false">IF(IF(KLL!H51="",INPUTS!$B$18,KLL!H51)*SUMPRODUCT((CLASS!$E51:$H51="RES")*1,TRIB!$E51:$H51)&lt;400,1,MAX(IF(SUMPRODUCT((CLASS!$E51:$H51="RES")*1)&gt;=2,0.4,0.5),MIN(1,0.25+15/SQRT(IF(KLL!H51="",INPUTS!$B$18,KLL!H51)*SUMPRODUCT((CLASS!$E51:$H51="RES")*1,TRIB!$E51:$H51)))))</f>
        <v>0.902791209833867</v>
      </c>
      <c r="I51" s="15" t="n">
        <f aca="false">IF(IF(KLL!I51="",INPUTS!$B$18,KLL!I51)*SUMPRODUCT((CLASS!$E51:$I51="RES")*1,TRIB!$E51:$I51)&lt;400,1,MAX(IF(SUMPRODUCT((CLASS!$E51:$I51="RES")*1)&gt;=2,0.4,0.5),MIN(1,0.25+15/SQRT(IF(KLL!I51="",INPUTS!$B$18,KLL!I51)*SUMPRODUCT((CLASS!$E51:$I51="RES")*1,TRIB!$E51:$I51)))))</f>
        <v>0.783001790889026</v>
      </c>
      <c r="J51" s="15" t="n">
        <f aca="false">IF(IF(KLL!J51="",INPUTS!$B$18,KLL!J51)*SUMPRODUCT((CLASS!$E51:$J51="RES")*1,TRIB!$E51:$J51)&lt;400,1,MAX(IF(SUMPRODUCT((CLASS!$E51:$J51="RES")*1)&gt;=2,0.4,0.5),MIN(1,0.25+15/SQRT(IF(KLL!J51="",INPUTS!$B$18,KLL!J51)*SUMPRODUCT((CLASS!$E51:$J51="RES")*1,TRIB!$E51:$J51)))))</f>
        <v>0.71357277041156</v>
      </c>
      <c r="K51" s="15" t="n">
        <f aca="false">IF(IF(KLL!K51="",INPUTS!$B$18,KLL!K51)*SUMPRODUCT((CLASS!$E51:$K51="RES")*1,TRIB!$E51:$K51)&lt;400,1,MAX(IF(SUMPRODUCT((CLASS!$E51:$K51="RES")*1)&gt;=2,0.4,0.5),MIN(1,0.25+15/SQRT(IF(KLL!K51="",INPUTS!$B$18,KLL!K51)*SUMPRODUCT((CLASS!$E51:$K51="RES")*1,TRIB!$E51:$K51)))))</f>
        <v>0.61001152055299</v>
      </c>
      <c r="L51" s="15" t="n">
        <f aca="false">IF(IF(KLL!L51="",INPUTS!$B$18,KLL!L51)*SUMPRODUCT((CLASS!$E51:$L51="RES")*1,TRIB!$E51:$L51)&lt;400,1,MAX(IF(SUMPRODUCT((CLASS!$E51:$L51="RES")*1)&gt;=2,0.4,0.5),MIN(1,0.25+15/SQRT(IF(KLL!L51="",INPUTS!$B$18,KLL!L51)*SUMPRODUCT((CLASS!$E51:$L51="RES")*1,TRIB!$E51:$L51)))))</f>
        <v>0.57921346097961</v>
      </c>
      <c r="M51" s="15" t="n">
        <f aca="false">IF(IF(KLL!M51="",INPUTS!$B$18,KLL!M51)*SUMPRODUCT((CLASS!$E51:$M51="RES")*1,TRIB!$E51:$M51)&lt;400,1,MAX(IF(SUMPRODUCT((CLASS!$E51:$M51="RES")*1)&gt;=2,0.4,0.5),MIN(1,0.25+15/SQRT(IF(KLL!M51="",INPUTS!$B$18,KLL!M51)*SUMPRODUCT((CLASS!$E51:$M51="RES")*1,TRIB!$E51:$M51)))))</f>
        <v>0.555170672039185</v>
      </c>
      <c r="N51" s="15" t="n">
        <f aca="false">IF(IF(KLL!N51="",INPUTS!$B$18,KLL!N51)*SUMPRODUCT((CLASS!$E51:$N51="RES")*1,TRIB!$E51:$N51)&lt;400,1,MAX(IF(SUMPRODUCT((CLASS!$E51:$N51="RES")*1)&gt;=2,0.4,0.5),MIN(1,0.25+15/SQRT(IF(KLL!N51="",INPUTS!$B$18,KLL!N51)*SUMPRODUCT((CLASS!$E51:$N51="RES")*1,TRIB!$E51:$N51)))))</f>
        <v>0.535727244159797</v>
      </c>
      <c r="O51" s="15" t="n">
        <f aca="false">IF(IF(KLL!O51="",INPUTS!$B$18,KLL!O51)*SUMPRODUCT((CLASS!$E51:$O51="RES")*1,TRIB!$E51:$O51)&lt;400,1,MAX(IF(SUMPRODUCT((CLASS!$E51:$O51="RES")*1)&gt;=2,0.4,0.5),MIN(1,0.25+15/SQRT(IF(KLL!O51="",INPUTS!$B$18,KLL!O51)*SUMPRODUCT((CLASS!$E51:$O51="RES")*1,TRIB!$E51:$O51)))))</f>
        <v>0.519581933008596</v>
      </c>
      <c r="P51" s="15" t="n">
        <f aca="false">IF(IF(KLL!P51="",INPUTS!$B$18,KLL!P51)*SUMPRODUCT((CLASS!$E51:$P51="RES")*1,TRIB!$E51:$P51)&lt;400,1,MAX(IF(SUMPRODUCT((CLASS!$E51:$P51="RES")*1)&gt;=2,0.4,0.5),MIN(1,0.25+15/SQRT(IF(KLL!P51="",INPUTS!$B$18,KLL!P51)*SUMPRODUCT((CLASS!$E51:$P51="RES")*1,TRIB!$E51:$P51)))))</f>
        <v>0.505896697725603</v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15" t="n">
        <f aca="false">IF(IF(KLL!E52="",INPUTS!$B$18,KLL!E52)*SUMPRODUCT((CLASS!$E52:$E52="RES")*1,TRIB!$E52:$E52)&lt;400,1,MAX(IF(SUMPRODUCT((CLASS!$E52:$E52="RES")*1)&gt;=2,0.4,0.5),MIN(1,0.25+15/SQRT(IF(KLL!E52="",INPUTS!$B$18,KLL!E52)*SUMPRODUCT((CLASS!$E52:$E52="RES")*1,TRIB!$E52:$E52)))))</f>
        <v>1</v>
      </c>
      <c r="F52" s="15" t="n">
        <f aca="false">IF(IF(KLL!F52="",INPUTS!$B$18,KLL!F52)*SUMPRODUCT((CLASS!$E52:$F52="RES")*1,TRIB!$E52:$F52)&lt;400,1,MAX(IF(SUMPRODUCT((CLASS!$E52:$F52="RES")*1)&gt;=2,0.4,0.5),MIN(1,0.25+15/SQRT(IF(KLL!F52="",INPUTS!$B$18,KLL!F52)*SUMPRODUCT((CLASS!$E52:$F52="RES")*1,TRIB!$E52:$F52)))))</f>
        <v>1</v>
      </c>
      <c r="G52" s="15" t="n">
        <f aca="false">IF(IF(KLL!G52="",INPUTS!$B$18,KLL!G52)*SUMPRODUCT((CLASS!$E52:$G52="RES")*1,TRIB!$E52:$G52)&lt;400,1,MAX(IF(SUMPRODUCT((CLASS!$E52:$G52="RES")*1)&gt;=2,0.4,0.5),MIN(1,0.25+15/SQRT(IF(KLL!G52="",INPUTS!$B$18,KLL!G52)*SUMPRODUCT((CLASS!$E52:$G52="RES")*1,TRIB!$E52:$G52)))))</f>
        <v>0.814932682866032</v>
      </c>
      <c r="H52" s="15" t="n">
        <f aca="false">IF(IF(KLL!H52="",INPUTS!$B$18,KLL!H52)*SUMPRODUCT((CLASS!$E52:$H52="RES")*1,TRIB!$E52:$H52)&lt;400,1,MAX(IF(SUMPRODUCT((CLASS!$E52:$H52="RES")*1)&gt;=2,0.4,0.5),MIN(1,0.25+15/SQRT(IF(KLL!H52="",INPUTS!$B$18,KLL!H52)*SUMPRODUCT((CLASS!$E52:$H52="RES")*1,TRIB!$E52:$H52)))))</f>
        <v>0.649467730968481</v>
      </c>
      <c r="I52" s="15" t="n">
        <f aca="false">IF(IF(KLL!I52="",INPUTS!$B$18,KLL!I52)*SUMPRODUCT((CLASS!$E52:$I52="RES")*1,TRIB!$E52:$I52)&lt;400,1,MAX(IF(SUMPRODUCT((CLASS!$E52:$I52="RES")*1)&gt;=2,0.4,0.5),MIN(1,0.25+15/SQRT(IF(KLL!I52="",INPUTS!$B$18,KLL!I52)*SUMPRODUCT((CLASS!$E52:$I52="RES")*1,TRIB!$E52:$I52)))))</f>
        <v>0.576164036526721</v>
      </c>
      <c r="J52" s="15" t="n">
        <f aca="false">IF(IF(KLL!J52="",INPUTS!$B$18,KLL!J52)*SUMPRODUCT((CLASS!$E52:$J52="RES")*1,TRIB!$E52:$J52)&lt;400,1,MAX(IF(SUMPRODUCT((CLASS!$E52:$J52="RES")*1)&gt;=2,0.4,0.5),MIN(1,0.25+15/SQRT(IF(KLL!J52="",INPUTS!$B$18,KLL!J52)*SUMPRODUCT((CLASS!$E52:$J52="RES")*1,TRIB!$E52:$J52)))))</f>
        <v>0.532466341433016</v>
      </c>
      <c r="K52" s="15" t="n">
        <f aca="false">IF(IF(KLL!K52="",INPUTS!$B$18,KLL!K52)*SUMPRODUCT((CLASS!$E52:$K52="RES")*1,TRIB!$E52:$K52)&lt;400,1,MAX(IF(SUMPRODUCT((CLASS!$E52:$K52="RES")*1)&gt;=2,0.4,0.5),MIN(1,0.25+15/SQRT(IF(KLL!K52="",INPUTS!$B$18,KLL!K52)*SUMPRODUCT((CLASS!$E52:$K52="RES")*1,TRIB!$E52:$K52)))))</f>
        <v>0.502645576319956</v>
      </c>
      <c r="L52" s="15" t="n">
        <f aca="false">IF(IF(KLL!L52="",INPUTS!$B$18,KLL!L52)*SUMPRODUCT((CLASS!$E52:$L52="RES")*1,TRIB!$E52:$L52)&lt;400,1,MAX(IF(SUMPRODUCT((CLASS!$E52:$L52="RES")*1)&gt;=2,0.4,0.5),MIN(1,0.25+15/SQRT(IF(KLL!L52="",INPUTS!$B$18,KLL!L52)*SUMPRODUCT((CLASS!$E52:$L52="RES")*1,TRIB!$E52:$L52)))))</f>
        <v>0.480632802007221</v>
      </c>
      <c r="M52" s="15" t="n">
        <f aca="false">IF(IF(KLL!M52="",INPUTS!$B$18,KLL!M52)*SUMPRODUCT((CLASS!$E52:$M52="RES")*1,TRIB!$E52:$M52)&lt;400,1,MAX(IF(SUMPRODUCT((CLASS!$E52:$M52="RES")*1)&gt;=2,0.4,0.5),MIN(1,0.25+15/SQRT(IF(KLL!M52="",INPUTS!$B$18,KLL!M52)*SUMPRODUCT((CLASS!$E52:$M52="RES")*1,TRIB!$E52:$M52)))))</f>
        <v>0.463524483765149</v>
      </c>
      <c r="N52" s="15" t="n">
        <f aca="false">IF(IF(KLL!N52="",INPUTS!$B$18,KLL!N52)*SUMPRODUCT((CLASS!$E52:$N52="RES")*1,TRIB!$E52:$N52)&lt;400,1,MAX(IF(SUMPRODUCT((CLASS!$E52:$N52="RES")*1)&gt;=2,0.4,0.5),MIN(1,0.25+15/SQRT(IF(KLL!N52="",INPUTS!$B$18,KLL!N52)*SUMPRODUCT((CLASS!$E52:$N52="RES")*1,TRIB!$E52:$N52)))))</f>
        <v>0.44973386548424</v>
      </c>
      <c r="O52" s="15" t="n">
        <f aca="false">IF(IF(KLL!O52="",INPUTS!$B$18,KLL!O52)*SUMPRODUCT((CLASS!$E52:$O52="RES")*1,TRIB!$E52:$O52)&lt;400,1,MAX(IF(SUMPRODUCT((CLASS!$E52:$O52="RES")*1)&gt;=2,0.4,0.5),MIN(1,0.25+15/SQRT(IF(KLL!O52="",INPUTS!$B$18,KLL!O52)*SUMPRODUCT((CLASS!$E52:$O52="RES")*1,TRIB!$E52:$O52)))))</f>
        <v>0.438310894288677</v>
      </c>
      <c r="P52" s="15" t="n">
        <f aca="false">IF(IF(KLL!P52="",INPUTS!$B$18,KLL!P52)*SUMPRODUCT((CLASS!$E52:$P52="RES")*1,TRIB!$E52:$P52)&lt;400,1,MAX(IF(SUMPRODUCT((CLASS!$E52:$P52="RES")*1)&gt;=2,0.4,0.5),MIN(1,0.25+15/SQRT(IF(KLL!P52="",INPUTS!$B$18,KLL!P52)*SUMPRODUCT((CLASS!$E52:$P52="RES")*1,TRIB!$E52:$P52)))))</f>
        <v>0.428647400252624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15" t="n">
        <f aca="false">IF(IF(KLL!E53="",INPUTS!$B$18,KLL!E53)*SUMPRODUCT((CLASS!$E53:$E53="RES")*1,TRIB!$E53:$E53)&lt;400,1,MAX(IF(SUMPRODUCT((CLASS!$E53:$E53="RES")*1)&gt;=2,0.4,0.5),MIN(1,0.25+15/SQRT(IF(KLL!E53="",INPUTS!$B$18,KLL!E53)*SUMPRODUCT((CLASS!$E53:$E53="RES")*1,TRIB!$E53:$E53)))))</f>
        <v>1</v>
      </c>
      <c r="F53" s="15" t="n">
        <f aca="false">IF(IF(KLL!F53="",INPUTS!$B$18,KLL!F53)*SUMPRODUCT((CLASS!$E53:$F53="RES")*1,TRIB!$E53:$F53)&lt;400,1,MAX(IF(SUMPRODUCT((CLASS!$E53:$F53="RES")*1)&gt;=2,0.4,0.5),MIN(1,0.25+15/SQRT(IF(KLL!F53="",INPUTS!$B$18,KLL!F53)*SUMPRODUCT((CLASS!$E53:$F53="RES")*1,TRIB!$E53:$F53)))))</f>
        <v>1</v>
      </c>
      <c r="G53" s="15" t="n">
        <f aca="false">IF(IF(KLL!G53="",INPUTS!$B$18,KLL!G53)*SUMPRODUCT((CLASS!$E53:$G53="RES")*1,TRIB!$E53:$G53)&lt;400,1,MAX(IF(SUMPRODUCT((CLASS!$E53:$G53="RES")*1)&gt;=2,0.4,0.5),MIN(1,0.25+15/SQRT(IF(KLL!G53="",INPUTS!$B$18,KLL!G53)*SUMPRODUCT((CLASS!$E53:$G53="RES")*1,TRIB!$E53:$G53)))))</f>
        <v>1</v>
      </c>
      <c r="H53" s="15" t="n">
        <f aca="false">IF(IF(KLL!H53="",INPUTS!$B$18,KLL!H53)*SUMPRODUCT((CLASS!$E53:$H53="RES")*1,TRIB!$E53:$H53)&lt;400,1,MAX(IF(SUMPRODUCT((CLASS!$E53:$H53="RES")*1)&gt;=2,0.4,0.5),MIN(1,0.25+15/SQRT(IF(KLL!H53="",INPUTS!$B$18,KLL!H53)*SUMPRODUCT((CLASS!$E53:$H53="RES")*1,TRIB!$E53:$H53)))))</f>
        <v>1</v>
      </c>
      <c r="I53" s="15" t="n">
        <f aca="false">IF(IF(KLL!I53="",INPUTS!$B$18,KLL!I53)*SUMPRODUCT((CLASS!$E53:$I53="RES")*1,TRIB!$E53:$I53)&lt;400,1,MAX(IF(SUMPRODUCT((CLASS!$E53:$I53="RES")*1)&gt;=2,0.4,0.5),MIN(1,0.25+15/SQRT(IF(KLL!I53="",INPUTS!$B$18,KLL!I53)*SUMPRODUCT((CLASS!$E53:$I53="RES")*1,TRIB!$E53:$I53)))))</f>
        <v>1</v>
      </c>
      <c r="J53" s="15" t="n">
        <f aca="false">IF(IF(KLL!J53="",INPUTS!$B$18,KLL!J53)*SUMPRODUCT((CLASS!$E53:$J53="RES")*1,TRIB!$E53:$J53)&lt;400,1,MAX(IF(SUMPRODUCT((CLASS!$E53:$J53="RES")*1)&gt;=2,0.4,0.5),MIN(1,0.25+15/SQRT(IF(KLL!J53="",INPUTS!$B$18,KLL!J53)*SUMPRODUCT((CLASS!$E53:$J53="RES")*1,TRIB!$E53:$J53)))))</f>
        <v>1</v>
      </c>
      <c r="K53" s="15" t="n">
        <f aca="false">IF(IF(KLL!K53="",INPUTS!$B$18,KLL!K53)*SUMPRODUCT((CLASS!$E53:$K53="RES")*1,TRIB!$E53:$K53)&lt;400,1,MAX(IF(SUMPRODUCT((CLASS!$E53:$K53="RES")*1)&gt;=2,0.4,0.5),MIN(1,0.25+15/SQRT(IF(KLL!K53="",INPUTS!$B$18,KLL!K53)*SUMPRODUCT((CLASS!$E53:$K53="RES")*1,TRIB!$E53:$K53)))))</f>
        <v>0.648058669325706</v>
      </c>
      <c r="L53" s="15" t="n">
        <f aca="false">IF(IF(KLL!L53="",INPUTS!$B$18,KLL!L53)*SUMPRODUCT((CLASS!$E53:$L53="RES")*1,TRIB!$E53:$L53)&lt;400,1,MAX(IF(SUMPRODUCT((CLASS!$E53:$L53="RES")*1)&gt;=2,0.4,0.5),MIN(1,0.25+15/SQRT(IF(KLL!L53="",INPUTS!$B$18,KLL!L53)*SUMPRODUCT((CLASS!$E53:$L53="RES")*1,TRIB!$E53:$L53)))))</f>
        <v>0.531469984390301</v>
      </c>
      <c r="M53" s="15" t="n">
        <f aca="false">IF(IF(KLL!M53="",INPUTS!$B$18,KLL!M53)*SUMPRODUCT((CLASS!$E53:$M53="RES")*1,TRIB!$E53:$M53)&lt;400,1,MAX(IF(SUMPRODUCT((CLASS!$E53:$M53="RES")*1)&gt;=2,0.4,0.5),MIN(1,0.25+15/SQRT(IF(KLL!M53="",INPUTS!$B$18,KLL!M53)*SUMPRODUCT((CLASS!$E53:$M53="RES")*1,TRIB!$E53:$M53)))))</f>
        <v>0.479819279888461</v>
      </c>
      <c r="N53" s="15" t="n">
        <f aca="false">IF(IF(KLL!N53="",INPUTS!$B$18,KLL!N53)*SUMPRODUCT((CLASS!$E53:$N53="RES")*1,TRIB!$E53:$N53)&lt;400,1,MAX(IF(SUMPRODUCT((CLASS!$E53:$N53="RES")*1)&gt;=2,0.4,0.5),MIN(1,0.25+15/SQRT(IF(KLL!N53="",INPUTS!$B$18,KLL!N53)*SUMPRODUCT((CLASS!$E53:$N53="RES")*1,TRIB!$E53:$N53)))))</f>
        <v>0.449029334662853</v>
      </c>
      <c r="O53" s="15" t="n">
        <f aca="false">IF(IF(KLL!O53="",INPUTS!$B$18,KLL!O53)*SUMPRODUCT((CLASS!$E53:$O53="RES")*1,TRIB!$E53:$O53)&lt;400,1,MAX(IF(SUMPRODUCT((CLASS!$E53:$O53="RES")*1)&gt;=2,0.4,0.5),MIN(1,0.25+15/SQRT(IF(KLL!O53="",INPUTS!$B$18,KLL!O53)*SUMPRODUCT((CLASS!$E53:$O53="RES")*1,TRIB!$E53:$O53)))))</f>
        <v>0.428017248729078</v>
      </c>
      <c r="P53" s="15" t="n">
        <f aca="false">IF(IF(KLL!P53="",INPUTS!$B$18,KLL!P53)*SUMPRODUCT((CLASS!$E53:$P53="RES")*1,TRIB!$E53:$P53)&lt;400,1,MAX(IF(SUMPRODUCT((CLASS!$E53:$P53="RES")*1)&gt;=2,0.4,0.5),MIN(1,0.25+15/SQRT(IF(KLL!P53="",INPUTS!$B$18,KLL!P53)*SUMPRODUCT((CLASS!$E53:$P53="RES")*1,TRIB!$E53:$P53)))))</f>
        <v>0.41250677125654</v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15" t="n">
        <f aca="false">IF(IF(KLL!E54="",INPUTS!$B$18,KLL!E54)*SUMPRODUCT((CLASS!$E54:$E54="RES")*1,TRIB!$E54:$E54)&lt;400,1,MAX(IF(SUMPRODUCT((CLASS!$E54:$E54="RES")*1)&gt;=2,0.4,0.5),MIN(1,0.25+15/SQRT(IF(KLL!E54="",INPUTS!$B$18,KLL!E54)*SUMPRODUCT((CLASS!$E54:$E54="RES")*1,TRIB!$E54:$E54)))))</f>
        <v>1</v>
      </c>
      <c r="F54" s="15" t="n">
        <f aca="false">IF(IF(KLL!F54="",INPUTS!$B$18,KLL!F54)*SUMPRODUCT((CLASS!$E54:$F54="RES")*1,TRIB!$E54:$F54)&lt;400,1,MAX(IF(SUMPRODUCT((CLASS!$E54:$F54="RES")*1)&gt;=2,0.4,0.5),MIN(1,0.25+15/SQRT(IF(KLL!F54="",INPUTS!$B$18,KLL!F54)*SUMPRODUCT((CLASS!$E54:$F54="RES")*1,TRIB!$E54:$F54)))))</f>
        <v>1</v>
      </c>
      <c r="G54" s="15" t="n">
        <f aca="false">IF(IF(KLL!G54="",INPUTS!$B$18,KLL!G54)*SUMPRODUCT((CLASS!$E54:$G54="RES")*1,TRIB!$E54:$G54)&lt;400,1,MAX(IF(SUMPRODUCT((CLASS!$E54:$G54="RES")*1)&gt;=2,0.4,0.5),MIN(1,0.25+15/SQRT(IF(KLL!G54="",INPUTS!$B$18,KLL!G54)*SUMPRODUCT((CLASS!$E54:$G54="RES")*1,TRIB!$E54:$G54)))))</f>
        <v>1</v>
      </c>
      <c r="H54" s="15" t="n">
        <f aca="false">IF(IF(KLL!H54="",INPUTS!$B$18,KLL!H54)*SUMPRODUCT((CLASS!$E54:$H54="RES")*1,TRIB!$E54:$H54)&lt;400,1,MAX(IF(SUMPRODUCT((CLASS!$E54:$H54="RES")*1)&gt;=2,0.4,0.5),MIN(1,0.25+15/SQRT(IF(KLL!H54="",INPUTS!$B$18,KLL!H54)*SUMPRODUCT((CLASS!$E54:$H54="RES")*1,TRIB!$E54:$H54)))))</f>
        <v>1</v>
      </c>
      <c r="I54" s="15" t="n">
        <f aca="false">IF(IF(KLL!I54="",INPUTS!$B$18,KLL!I54)*SUMPRODUCT((CLASS!$E54:$I54="RES")*1,TRIB!$E54:$I54)&lt;400,1,MAX(IF(SUMPRODUCT((CLASS!$E54:$I54="RES")*1)&gt;=2,0.4,0.5),MIN(1,0.25+15/SQRT(IF(KLL!I54="",INPUTS!$B$18,KLL!I54)*SUMPRODUCT((CLASS!$E54:$I54="RES")*1,TRIB!$E54:$I54)))))</f>
        <v>1</v>
      </c>
      <c r="J54" s="15" t="n">
        <f aca="false">IF(IF(KLL!J54="",INPUTS!$B$18,KLL!J54)*SUMPRODUCT((CLASS!$E54:$J54="RES")*1,TRIB!$E54:$J54)&lt;400,1,MAX(IF(SUMPRODUCT((CLASS!$E54:$J54="RES")*1)&gt;=2,0.4,0.5),MIN(1,0.25+15/SQRT(IF(KLL!J54="",INPUTS!$B$18,KLL!J54)*SUMPRODUCT((CLASS!$E54:$J54="RES")*1,TRIB!$E54:$J54)))))</f>
        <v>1</v>
      </c>
      <c r="K54" s="15" t="n">
        <f aca="false">IF(IF(KLL!K54="",INPUTS!$B$18,KLL!K54)*SUMPRODUCT((CLASS!$E54:$K54="RES")*1,TRIB!$E54:$K54)&lt;400,1,MAX(IF(SUMPRODUCT((CLASS!$E54:$K54="RES")*1)&gt;=2,0.4,0.5),MIN(1,0.25+15/SQRT(IF(KLL!K54="",INPUTS!$B$18,KLL!K54)*SUMPRODUCT((CLASS!$E54:$K54="RES")*1,TRIB!$E54:$K54)))))</f>
        <v>0.863909131802544</v>
      </c>
      <c r="L54" s="15" t="n">
        <f aca="false">IF(IF(KLL!L54="",INPUTS!$B$18,KLL!L54)*SUMPRODUCT((CLASS!$E54:$L54="RES")*1,TRIB!$E54:$L54)&lt;400,1,MAX(IF(SUMPRODUCT((CLASS!$E54:$L54="RES")*1)&gt;=2,0.4,0.5),MIN(1,0.25+15/SQRT(IF(KLL!L54="",INPUTS!$B$18,KLL!L54)*SUMPRODUCT((CLASS!$E54:$L54="RES")*1,TRIB!$E54:$L54)))))</f>
        <v>0.684099310129925</v>
      </c>
      <c r="M54" s="15" t="n">
        <f aca="false">IF(IF(KLL!M54="",INPUTS!$B$18,KLL!M54)*SUMPRODUCT((CLASS!$E54:$M54="RES")*1,TRIB!$E54:$M54)&lt;400,1,MAX(IF(SUMPRODUCT((CLASS!$E54:$M54="RES")*1)&gt;=2,0.4,0.5),MIN(1,0.25+15/SQRT(IF(KLL!M54="",INPUTS!$B$18,KLL!M54)*SUMPRODUCT((CLASS!$E54:$M54="RES")*1,TRIB!$E54:$M54)))))</f>
        <v>0.604440602504168</v>
      </c>
      <c r="N54" s="15" t="n">
        <f aca="false">IF(IF(KLL!N54="",INPUTS!$B$18,KLL!N54)*SUMPRODUCT((CLASS!$E54:$N54="RES")*1,TRIB!$E54:$N54)&lt;400,1,MAX(IF(SUMPRODUCT((CLASS!$E54:$N54="RES")*1)&gt;=2,0.4,0.5),MIN(1,0.25+15/SQRT(IF(KLL!N54="",INPUTS!$B$18,KLL!N54)*SUMPRODUCT((CLASS!$E54:$N54="RES")*1,TRIB!$E54:$N54)))))</f>
        <v>0.556954565901272</v>
      </c>
      <c r="O54" s="15" t="n">
        <f aca="false">IF(IF(KLL!O54="",INPUTS!$B$18,KLL!O54)*SUMPRODUCT((CLASS!$E54:$O54="RES")*1,TRIB!$E54:$O54)&lt;400,1,MAX(IF(SUMPRODUCT((CLASS!$E54:$O54="RES")*1)&gt;=2,0.4,0.5),MIN(1,0.25+15/SQRT(IF(KLL!O54="",INPUTS!$B$18,KLL!O54)*SUMPRODUCT((CLASS!$E54:$O54="RES")*1,TRIB!$E54:$O54)))))</f>
        <v>0.524548510143673</v>
      </c>
      <c r="P54" s="15" t="n">
        <f aca="false">IF(IF(KLL!P54="",INPUTS!$B$18,KLL!P54)*SUMPRODUCT((CLASS!$E54:$P54="RES")*1,TRIB!$E54:$P54)&lt;400,1,MAX(IF(SUMPRODUCT((CLASS!$E54:$P54="RES")*1)&gt;=2,0.4,0.5),MIN(1,0.25+15/SQRT(IF(KLL!P54="",INPUTS!$B$18,KLL!P54)*SUMPRODUCT((CLASS!$E54:$P54="RES")*1,TRIB!$E54:$P54)))))</f>
        <v>0.500627353558543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15" t="n">
        <f aca="false">IF(IF(KLL!E55="",INPUTS!$B$18,KLL!E55)*SUMPRODUCT((CLASS!$E55:$E55="RES")*1,TRIB!$E55:$E55)&lt;400,1,MAX(IF(SUMPRODUCT((CLASS!$E55:$E55="RES")*1)&gt;=2,0.4,0.5),MIN(1,0.25+15/SQRT(IF(KLL!E55="",INPUTS!$B$18,KLL!E55)*SUMPRODUCT((CLASS!$E55:$E55="RES")*1,TRIB!$E55:$E55)))))</f>
        <v>1</v>
      </c>
      <c r="F55" s="15" t="n">
        <f aca="false">IF(IF(KLL!F55="",INPUTS!$B$18,KLL!F55)*SUMPRODUCT((CLASS!$E55:$F55="RES")*1,TRIB!$E55:$F55)&lt;400,1,MAX(IF(SUMPRODUCT((CLASS!$E55:$F55="RES")*1)&gt;=2,0.4,0.5),MIN(1,0.25+15/SQRT(IF(KLL!F55="",INPUTS!$B$18,KLL!F55)*SUMPRODUCT((CLASS!$E55:$F55="RES")*1,TRIB!$E55:$F55)))))</f>
        <v>1</v>
      </c>
      <c r="G55" s="15" t="n">
        <f aca="false">IF(IF(KLL!G55="",INPUTS!$B$18,KLL!G55)*SUMPRODUCT((CLASS!$E55:$G55="RES")*1,TRIB!$E55:$G55)&lt;400,1,MAX(IF(SUMPRODUCT((CLASS!$E55:$G55="RES")*1)&gt;=2,0.4,0.5),MIN(1,0.25+15/SQRT(IF(KLL!G55="",INPUTS!$B$18,KLL!G55)*SUMPRODUCT((CLASS!$E55:$G55="RES")*1,TRIB!$E55:$G55)))))</f>
        <v>1</v>
      </c>
      <c r="H55" s="15" t="n">
        <f aca="false">IF(IF(KLL!H55="",INPUTS!$B$18,KLL!H55)*SUMPRODUCT((CLASS!$E55:$H55="RES")*1,TRIB!$E55:$H55)&lt;400,1,MAX(IF(SUMPRODUCT((CLASS!$E55:$H55="RES")*1)&gt;=2,0.4,0.5),MIN(1,0.25+15/SQRT(IF(KLL!H55="",INPUTS!$B$18,KLL!H55)*SUMPRODUCT((CLASS!$E55:$H55="RES")*1,TRIB!$E55:$H55)))))</f>
        <v>1</v>
      </c>
      <c r="I55" s="15" t="n">
        <f aca="false">IF(IF(KLL!I55="",INPUTS!$B$18,KLL!I55)*SUMPRODUCT((CLASS!$E55:$I55="RES")*1,TRIB!$E55:$I55)&lt;400,1,MAX(IF(SUMPRODUCT((CLASS!$E55:$I55="RES")*1)&gt;=2,0.4,0.5),MIN(1,0.25+15/SQRT(IF(KLL!I55="",INPUTS!$B$18,KLL!I55)*SUMPRODUCT((CLASS!$E55:$I55="RES")*1,TRIB!$E55:$I55)))))</f>
        <v>1</v>
      </c>
      <c r="J55" s="15" t="n">
        <f aca="false">IF(IF(KLL!J55="",INPUTS!$B$18,KLL!J55)*SUMPRODUCT((CLASS!$E55:$J55="RES")*1,TRIB!$E55:$J55)&lt;400,1,MAX(IF(SUMPRODUCT((CLASS!$E55:$J55="RES")*1)&gt;=2,0.4,0.5),MIN(1,0.25+15/SQRT(IF(KLL!J55="",INPUTS!$B$18,KLL!J55)*SUMPRODUCT((CLASS!$E55:$J55="RES")*1,TRIB!$E55:$J55)))))</f>
        <v>1</v>
      </c>
      <c r="K55" s="15" t="n">
        <f aca="false">IF(IF(KLL!K55="",INPUTS!$B$18,KLL!K55)*SUMPRODUCT((CLASS!$E55:$K55="RES")*1,TRIB!$E55:$K55)&lt;400,1,MAX(IF(SUMPRODUCT((CLASS!$E55:$K55="RES")*1)&gt;=2,0.4,0.5),MIN(1,0.25+15/SQRT(IF(KLL!K55="",INPUTS!$B$18,KLL!K55)*SUMPRODUCT((CLASS!$E55:$K55="RES")*1,TRIB!$E55:$K55)))))</f>
        <v>0.618604890387243</v>
      </c>
      <c r="L55" s="15" t="n">
        <f aca="false">IF(IF(KLL!L55="",INPUTS!$B$18,KLL!L55)*SUMPRODUCT((CLASS!$E55:$L55="RES")*1,TRIB!$E55:$L55)&lt;400,1,MAX(IF(SUMPRODUCT((CLASS!$E55:$L55="RES")*1)&gt;=2,0.4,0.5),MIN(1,0.25+15/SQRT(IF(KLL!L55="",INPUTS!$B$18,KLL!L55)*SUMPRODUCT((CLASS!$E55:$L55="RES")*1,TRIB!$E55:$L55)))))</f>
        <v>0.510643017571343</v>
      </c>
      <c r="M55" s="15" t="n">
        <f aca="false">IF(IF(KLL!M55="",INPUTS!$B$18,KLL!M55)*SUMPRODUCT((CLASS!$E55:$M55="RES")*1,TRIB!$E55:$M55)&lt;400,1,MAX(IF(SUMPRODUCT((CLASS!$E55:$M55="RES")*1)&gt;=2,0.4,0.5),MIN(1,0.25+15/SQRT(IF(KLL!M55="",INPUTS!$B$18,KLL!M55)*SUMPRODUCT((CLASS!$E55:$M55="RES")*1,TRIB!$E55:$M55)))))</f>
        <v>0.462814132689687</v>
      </c>
      <c r="N55" s="15" t="n">
        <f aca="false">IF(IF(KLL!N55="",INPUTS!$B$18,KLL!N55)*SUMPRODUCT((CLASS!$E55:$N55="RES")*1,TRIB!$E55:$N55)&lt;400,1,MAX(IF(SUMPRODUCT((CLASS!$E55:$N55="RES")*1)&gt;=2,0.4,0.5),MIN(1,0.25+15/SQRT(IF(KLL!N55="",INPUTS!$B$18,KLL!N55)*SUMPRODUCT((CLASS!$E55:$N55="RES")*1,TRIB!$E55:$N55)))))</f>
        <v>0.434302445193621</v>
      </c>
      <c r="O55" s="15" t="n">
        <f aca="false">IF(IF(KLL!O55="",INPUTS!$B$18,KLL!O55)*SUMPRODUCT((CLASS!$E55:$O55="RES")*1,TRIB!$E55:$O55)&lt;400,1,MAX(IF(SUMPRODUCT((CLASS!$E55:$O55="RES")*1)&gt;=2,0.4,0.5),MIN(1,0.25+15/SQRT(IF(KLL!O55="",INPUTS!$B$18,KLL!O55)*SUMPRODUCT((CLASS!$E55:$O55="RES")*1,TRIB!$E55:$O55)))))</f>
        <v>0.414845118348947</v>
      </c>
      <c r="P55" s="15" t="n">
        <f aca="false">IF(IF(KLL!P55="",INPUTS!$B$18,KLL!P55)*SUMPRODUCT((CLASS!$E55:$P55="RES")*1,TRIB!$E55:$P55)&lt;400,1,MAX(IF(SUMPRODUCT((CLASS!$E55:$P55="RES")*1)&gt;=2,0.4,0.5),MIN(1,0.25+15/SQRT(IF(KLL!P55="",INPUTS!$B$18,KLL!P55)*SUMPRODUCT((CLASS!$E55:$P55="RES")*1,TRIB!$E55:$P55)))))</f>
        <v>0.400482316357212</v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15" t="n">
        <f aca="false">IF(IF(KLL!E56="",INPUTS!$B$18,KLL!E56)*SUMPRODUCT((CLASS!$E56:$E56="RES")*1,TRIB!$E56:$E56)&lt;400,1,MAX(IF(SUMPRODUCT((CLASS!$E56:$E56="RES")*1)&gt;=2,0.4,0.5),MIN(1,0.25+15/SQRT(IF(KLL!E56="",INPUTS!$B$18,KLL!E56)*SUMPRODUCT((CLASS!$E56:$E56="RES")*1,TRIB!$E56:$E56)))))</f>
        <v>1</v>
      </c>
      <c r="F56" s="15" t="n">
        <f aca="false">IF(IF(KLL!F56="",INPUTS!$B$18,KLL!F56)*SUMPRODUCT((CLASS!$E56:$F56="RES")*1,TRIB!$E56:$F56)&lt;400,1,MAX(IF(SUMPRODUCT((CLASS!$E56:$F56="RES")*1)&gt;=2,0.4,0.5),MIN(1,0.25+15/SQRT(IF(KLL!F56="",INPUTS!$B$18,KLL!F56)*SUMPRODUCT((CLASS!$E56:$F56="RES")*1,TRIB!$E56:$F56)))))</f>
        <v>1</v>
      </c>
      <c r="G56" s="15" t="n">
        <f aca="false">IF(IF(KLL!G56="",INPUTS!$B$18,KLL!G56)*SUMPRODUCT((CLASS!$E56:$G56="RES")*1,TRIB!$E56:$G56)&lt;400,1,MAX(IF(SUMPRODUCT((CLASS!$E56:$G56="RES")*1)&gt;=2,0.4,0.5),MIN(1,0.25+15/SQRT(IF(KLL!G56="",INPUTS!$B$18,KLL!G56)*SUMPRODUCT((CLASS!$E56:$G56="RES")*1,TRIB!$E56:$G56)))))</f>
        <v>1</v>
      </c>
      <c r="H56" s="15" t="n">
        <f aca="false">IF(IF(KLL!H56="",INPUTS!$B$18,KLL!H56)*SUMPRODUCT((CLASS!$E56:$H56="RES")*1,TRIB!$E56:$H56)&lt;400,1,MAX(IF(SUMPRODUCT((CLASS!$E56:$H56="RES")*1)&gt;=2,0.4,0.5),MIN(1,0.25+15/SQRT(IF(KLL!H56="",INPUTS!$B$18,KLL!H56)*SUMPRODUCT((CLASS!$E56:$H56="RES")*1,TRIB!$E56:$H56)))))</f>
        <v>1</v>
      </c>
      <c r="I56" s="15" t="n">
        <f aca="false">IF(IF(KLL!I56="",INPUTS!$B$18,KLL!I56)*SUMPRODUCT((CLASS!$E56:$I56="RES")*1,TRIB!$E56:$I56)&lt;400,1,MAX(IF(SUMPRODUCT((CLASS!$E56:$I56="RES")*1)&gt;=2,0.4,0.5),MIN(1,0.25+15/SQRT(IF(KLL!I56="",INPUTS!$B$18,KLL!I56)*SUMPRODUCT((CLASS!$E56:$I56="RES")*1,TRIB!$E56:$I56)))))</f>
        <v>1</v>
      </c>
      <c r="J56" s="15" t="n">
        <f aca="false">IF(IF(KLL!J56="",INPUTS!$B$18,KLL!J56)*SUMPRODUCT((CLASS!$E56:$J56="RES")*1,TRIB!$E56:$J56)&lt;400,1,MAX(IF(SUMPRODUCT((CLASS!$E56:$J56="RES")*1)&gt;=2,0.4,0.5),MIN(1,0.25+15/SQRT(IF(KLL!J56="",INPUTS!$B$18,KLL!J56)*SUMPRODUCT((CLASS!$E56:$J56="RES")*1,TRIB!$E56:$J56)))))</f>
        <v>1</v>
      </c>
      <c r="K56" s="15" t="n">
        <f aca="false">IF(IF(KLL!K56="",INPUTS!$B$18,KLL!K56)*SUMPRODUCT((CLASS!$E56:$K56="RES")*1,TRIB!$E56:$K56)&lt;400,1,MAX(IF(SUMPRODUCT((CLASS!$E56:$K56="RES")*1)&gt;=2,0.4,0.5),MIN(1,0.25+15/SQRT(IF(KLL!K56="",INPUTS!$B$18,KLL!K56)*SUMPRODUCT((CLASS!$E56:$K56="RES")*1,TRIB!$E56:$K56)))))</f>
        <v>1</v>
      </c>
      <c r="L56" s="15" t="n">
        <f aca="false">IF(IF(KLL!L56="",INPUTS!$B$18,KLL!L56)*SUMPRODUCT((CLASS!$E56:$L56="RES")*1,TRIB!$E56:$L56)&lt;400,1,MAX(IF(SUMPRODUCT((CLASS!$E56:$L56="RES")*1)&gt;=2,0.4,0.5),MIN(1,0.25+15/SQRT(IF(KLL!L56="",INPUTS!$B$18,KLL!L56)*SUMPRODUCT((CLASS!$E56:$L56="RES")*1,TRIB!$E56:$L56)))))</f>
        <v>1</v>
      </c>
      <c r="M56" s="15" t="n">
        <f aca="false">IF(IF(KLL!M56="",INPUTS!$B$18,KLL!M56)*SUMPRODUCT((CLASS!$E56:$M56="RES")*1,TRIB!$E56:$M56)&lt;400,1,MAX(IF(SUMPRODUCT((CLASS!$E56:$M56="RES")*1)&gt;=2,0.4,0.5),MIN(1,0.25+15/SQRT(IF(KLL!M56="",INPUTS!$B$18,KLL!M56)*SUMPRODUCT((CLASS!$E56:$M56="RES")*1,TRIB!$E56:$M56)))))</f>
        <v>0.970023041105979</v>
      </c>
      <c r="N56" s="15" t="n">
        <f aca="false">IF(IF(KLL!N56="",INPUTS!$B$18,KLL!N56)*SUMPRODUCT((CLASS!$E56:$N56="RES")*1,TRIB!$E56:$N56)&lt;400,1,MAX(IF(SUMPRODUCT((CLASS!$E56:$N56="RES")*1)&gt;=2,0.4,0.5),MIN(1,0.25+15/SQRT(IF(KLL!N56="",INPUTS!$B$18,KLL!N56)*SUMPRODUCT((CLASS!$E56:$N56="RES")*1,TRIB!$E56:$N56)))))</f>
        <v>0.87284109890305</v>
      </c>
      <c r="O56" s="15" t="n">
        <f aca="false">IF(IF(KLL!O56="",INPUTS!$B$18,KLL!O56)*SUMPRODUCT((CLASS!$E56:$O56="RES")*1,TRIB!$E56:$O56)&lt;400,1,MAX(IF(SUMPRODUCT((CLASS!$E56:$O56="RES")*1)&gt;=2,0.4,0.5),MIN(1,0.25+15/SQRT(IF(KLL!O56="",INPUTS!$B$18,KLL!O56)*SUMPRODUCT((CLASS!$E56:$O56="RES")*1,TRIB!$E56:$O56)))))</f>
        <v>0.806702214268904</v>
      </c>
      <c r="P56" s="15" t="n">
        <f aca="false">IF(IF(KLL!P56="",INPUTS!$B$18,KLL!P56)*SUMPRODUCT((CLASS!$E56:$P56="RES")*1,TRIB!$E56:$P56)&lt;400,1,MAX(IF(SUMPRODUCT((CLASS!$E56:$P56="RES")*1)&gt;=2,0.4,0.5),MIN(1,0.25+15/SQRT(IF(KLL!P56="",INPUTS!$B$18,KLL!P56)*SUMPRODUCT((CLASS!$E56:$P56="RES")*1,TRIB!$E56:$P56)))))</f>
        <v>0.757964096108947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15" t="n">
        <f aca="false">IF(IF(KLL!E57="",INPUTS!$B$18,KLL!E57)*SUMPRODUCT((CLASS!$E57:$E57="RES")*1,TRIB!$E57:$E57)&lt;400,1,MAX(IF(SUMPRODUCT((CLASS!$E57:$E57="RES")*1)&gt;=2,0.4,0.5),MIN(1,0.25+15/SQRT(IF(KLL!E57="",INPUTS!$B$18,KLL!E57)*SUMPRODUCT((CLASS!$E57:$E57="RES")*1,TRIB!$E57:$E57)))))</f>
        <v>1</v>
      </c>
      <c r="F57" s="15" t="n">
        <f aca="false">IF(IF(KLL!F57="",INPUTS!$B$18,KLL!F57)*SUMPRODUCT((CLASS!$E57:$F57="RES")*1,TRIB!$E57:$F57)&lt;400,1,MAX(IF(SUMPRODUCT((CLASS!$E57:$F57="RES")*1)&gt;=2,0.4,0.5),MIN(1,0.25+15/SQRT(IF(KLL!F57="",INPUTS!$B$18,KLL!F57)*SUMPRODUCT((CLASS!$E57:$F57="RES")*1,TRIB!$E57:$F57)))))</f>
        <v>1</v>
      </c>
      <c r="G57" s="15" t="n">
        <f aca="false">IF(IF(KLL!G57="",INPUTS!$B$18,KLL!G57)*SUMPRODUCT((CLASS!$E57:$G57="RES")*1,TRIB!$E57:$G57)&lt;400,1,MAX(IF(SUMPRODUCT((CLASS!$E57:$G57="RES")*1)&gt;=2,0.4,0.5),MIN(1,0.25+15/SQRT(IF(KLL!G57="",INPUTS!$B$18,KLL!G57)*SUMPRODUCT((CLASS!$E57:$G57="RES")*1,TRIB!$E57:$G57)))))</f>
        <v>1</v>
      </c>
      <c r="H57" s="15" t="n">
        <f aca="false">IF(IF(KLL!H57="",INPUTS!$B$18,KLL!H57)*SUMPRODUCT((CLASS!$E57:$H57="RES")*1,TRIB!$E57:$H57)&lt;400,1,MAX(IF(SUMPRODUCT((CLASS!$E57:$H57="RES")*1)&gt;=2,0.4,0.5),MIN(1,0.25+15/SQRT(IF(KLL!H57="",INPUTS!$B$18,KLL!H57)*SUMPRODUCT((CLASS!$E57:$H57="RES")*1,TRIB!$E57:$H57)))))</f>
        <v>1</v>
      </c>
      <c r="I57" s="15" t="n">
        <f aca="false">IF(IF(KLL!I57="",INPUTS!$B$18,KLL!I57)*SUMPRODUCT((CLASS!$E57:$I57="RES")*1,TRIB!$E57:$I57)&lt;400,1,MAX(IF(SUMPRODUCT((CLASS!$E57:$I57="RES")*1)&gt;=2,0.4,0.5),MIN(1,0.25+15/SQRT(IF(KLL!I57="",INPUTS!$B$18,KLL!I57)*SUMPRODUCT((CLASS!$E57:$I57="RES")*1,TRIB!$E57:$I57)))))</f>
        <v>1</v>
      </c>
      <c r="J57" s="15" t="n">
        <f aca="false">IF(IF(KLL!J57="",INPUTS!$B$18,KLL!J57)*SUMPRODUCT((CLASS!$E57:$J57="RES")*1,TRIB!$E57:$J57)&lt;400,1,MAX(IF(SUMPRODUCT((CLASS!$E57:$J57="RES")*1)&gt;=2,0.4,0.5),MIN(1,0.25+15/SQRT(IF(KLL!J57="",INPUTS!$B$18,KLL!J57)*SUMPRODUCT((CLASS!$E57:$J57="RES")*1,TRIB!$E57:$J57)))))</f>
        <v>1</v>
      </c>
      <c r="K57" s="15" t="n">
        <f aca="false">IF(IF(KLL!K57="",INPUTS!$B$18,KLL!K57)*SUMPRODUCT((CLASS!$E57:$K57="RES")*1,TRIB!$E57:$K57)&lt;400,1,MAX(IF(SUMPRODUCT((CLASS!$E57:$K57="RES")*1)&gt;=2,0.4,0.5),MIN(1,0.25+15/SQRT(IF(KLL!K57="",INPUTS!$B$18,KLL!K57)*SUMPRODUCT((CLASS!$E57:$K57="RES")*1,TRIB!$E57:$K57)))))</f>
        <v>1</v>
      </c>
      <c r="L57" s="15" t="n">
        <f aca="false">IF(IF(KLL!L57="",INPUTS!$B$18,KLL!L57)*SUMPRODUCT((CLASS!$E57:$L57="RES")*1,TRIB!$E57:$L57)&lt;400,1,MAX(IF(SUMPRODUCT((CLASS!$E57:$L57="RES")*1)&gt;=2,0.4,0.5),MIN(1,0.25+15/SQRT(IF(KLL!L57="",INPUTS!$B$18,KLL!L57)*SUMPRODUCT((CLASS!$E57:$L57="RES")*1,TRIB!$E57:$L57)))))</f>
        <v>1</v>
      </c>
      <c r="M57" s="15" t="n">
        <f aca="false">IF(IF(KLL!M57="",INPUTS!$B$18,KLL!M57)*SUMPRODUCT((CLASS!$E57:$M57="RES")*1,TRIB!$E57:$M57)&lt;400,1,MAX(IF(SUMPRODUCT((CLASS!$E57:$M57="RES")*1)&gt;=2,0.4,0.5),MIN(1,0.25+15/SQRT(IF(KLL!M57="",INPUTS!$B$18,KLL!M57)*SUMPRODUCT((CLASS!$E57:$M57="RES")*1,TRIB!$E57:$M57)))))</f>
        <v>1</v>
      </c>
      <c r="N57" s="15" t="n">
        <f aca="false">IF(IF(KLL!N57="",INPUTS!$B$18,KLL!N57)*SUMPRODUCT((CLASS!$E57:$N57="RES")*1,TRIB!$E57:$N57)&lt;400,1,MAX(IF(SUMPRODUCT((CLASS!$E57:$N57="RES")*1)&gt;=2,0.4,0.5),MIN(1,0.25+15/SQRT(IF(KLL!N57="",INPUTS!$B$18,KLL!N57)*SUMPRODUCT((CLASS!$E57:$N57="RES")*1,TRIB!$E57:$N57)))))</f>
        <v>1</v>
      </c>
      <c r="O57" s="15" t="n">
        <f aca="false">IF(IF(KLL!O57="",INPUTS!$B$18,KLL!O57)*SUMPRODUCT((CLASS!$E57:$O57="RES")*1,TRIB!$E57:$O57)&lt;400,1,MAX(IF(SUMPRODUCT((CLASS!$E57:$O57="RES")*1)&gt;=2,0.4,0.5),MIN(1,0.25+15/SQRT(IF(KLL!O57="",INPUTS!$B$18,KLL!O57)*SUMPRODUCT((CLASS!$E57:$O57="RES")*1,TRIB!$E57:$O57)))))</f>
        <v>1</v>
      </c>
      <c r="P57" s="15" t="n">
        <f aca="false">IF(IF(KLL!P57="",INPUTS!$B$18,KLL!P57)*SUMPRODUCT((CLASS!$E57:$P57="RES")*1,TRIB!$E57:$P57)&lt;400,1,MAX(IF(SUMPRODUCT((CLASS!$E57:$P57="RES")*1)&gt;=2,0.4,0.5),MIN(1,0.25+15/SQRT(IF(KLL!P57="",INPUTS!$B$18,KLL!P57)*SUMPRODUCT((CLASS!$E57:$P57="RES")*1,TRIB!$E57:$P57)))))</f>
        <v>1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15" t="n">
        <f aca="false">IF(IF(KLL!E58="",INPUTS!$B$18,KLL!E58)*SUMPRODUCT((CLASS!$E58:$E58="RES")*1,TRIB!$E58:$E58)&lt;400,1,MAX(IF(SUMPRODUCT((CLASS!$E58:$E58="RES")*1)&gt;=2,0.4,0.5),MIN(1,0.25+15/SQRT(IF(KLL!E58="",INPUTS!$B$18,KLL!E58)*SUMPRODUCT((CLASS!$E58:$E58="RES")*1,TRIB!$E58:$E58)))))</f>
        <v>1</v>
      </c>
      <c r="F58" s="15" t="n">
        <f aca="false">IF(IF(KLL!F58="",INPUTS!$B$18,KLL!F58)*SUMPRODUCT((CLASS!$E58:$F58="RES")*1,TRIB!$E58:$F58)&lt;400,1,MAX(IF(SUMPRODUCT((CLASS!$E58:$F58="RES")*1)&gt;=2,0.4,0.5),MIN(1,0.25+15/SQRT(IF(KLL!F58="",INPUTS!$B$18,KLL!F58)*SUMPRODUCT((CLASS!$E58:$F58="RES")*1,TRIB!$E58:$F58)))))</f>
        <v>1</v>
      </c>
      <c r="G58" s="15" t="n">
        <f aca="false">IF(IF(KLL!G58="",INPUTS!$B$18,KLL!G58)*SUMPRODUCT((CLASS!$E58:$G58="RES")*1,TRIB!$E58:$G58)&lt;400,1,MAX(IF(SUMPRODUCT((CLASS!$E58:$G58="RES")*1)&gt;=2,0.4,0.5),MIN(1,0.25+15/SQRT(IF(KLL!G58="",INPUTS!$B$18,KLL!G58)*SUMPRODUCT((CLASS!$E58:$G58="RES")*1,TRIB!$E58:$G58)))))</f>
        <v>1</v>
      </c>
      <c r="H58" s="15" t="n">
        <f aca="false">IF(IF(KLL!H58="",INPUTS!$B$18,KLL!H58)*SUMPRODUCT((CLASS!$E58:$H58="RES")*1,TRIB!$E58:$H58)&lt;400,1,MAX(IF(SUMPRODUCT((CLASS!$E58:$H58="RES")*1)&gt;=2,0.4,0.5),MIN(1,0.25+15/SQRT(IF(KLL!H58="",INPUTS!$B$18,KLL!H58)*SUMPRODUCT((CLASS!$E58:$H58="RES")*1,TRIB!$E58:$H58)))))</f>
        <v>1</v>
      </c>
      <c r="I58" s="15" t="n">
        <f aca="false">IF(IF(KLL!I58="",INPUTS!$B$18,KLL!I58)*SUMPRODUCT((CLASS!$E58:$I58="RES")*1,TRIB!$E58:$I58)&lt;400,1,MAX(IF(SUMPRODUCT((CLASS!$E58:$I58="RES")*1)&gt;=2,0.4,0.5),MIN(1,0.25+15/SQRT(IF(KLL!I58="",INPUTS!$B$18,KLL!I58)*SUMPRODUCT((CLASS!$E58:$I58="RES")*1,TRIB!$E58:$I58)))))</f>
        <v>1</v>
      </c>
      <c r="J58" s="15" t="n">
        <f aca="false">IF(IF(KLL!J58="",INPUTS!$B$18,KLL!J58)*SUMPRODUCT((CLASS!$E58:$J58="RES")*1,TRIB!$E58:$J58)&lt;400,1,MAX(IF(SUMPRODUCT((CLASS!$E58:$J58="RES")*1)&gt;=2,0.4,0.5),MIN(1,0.25+15/SQRT(IF(KLL!J58="",INPUTS!$B$18,KLL!J58)*SUMPRODUCT((CLASS!$E58:$J58="RES")*1,TRIB!$E58:$J58)))))</f>
        <v>1</v>
      </c>
      <c r="K58" s="15" t="n">
        <f aca="false">IF(IF(KLL!K58="",INPUTS!$B$18,KLL!K58)*SUMPRODUCT((CLASS!$E58:$K58="RES")*1,TRIB!$E58:$K58)&lt;400,1,MAX(IF(SUMPRODUCT((CLASS!$E58:$K58="RES")*1)&gt;=2,0.4,0.5),MIN(1,0.25+15/SQRT(IF(KLL!K58="",INPUTS!$B$18,KLL!K58)*SUMPRODUCT((CLASS!$E58:$K58="RES")*1,TRIB!$E58:$K58)))))</f>
        <v>0.741077953353738</v>
      </c>
      <c r="L58" s="15" t="n">
        <f aca="false">IF(IF(KLL!L58="",INPUTS!$B$18,KLL!L58)*SUMPRODUCT((CLASS!$E58:$L58="RES")*1,TRIB!$E58:$L58)&lt;400,1,MAX(IF(SUMPRODUCT((CLASS!$E58:$L58="RES")*1)&gt;=2,0.4,0.5),MIN(1,0.25+15/SQRT(IF(KLL!L58="",INPUTS!$B$18,KLL!L58)*SUMPRODUCT((CLASS!$E58:$L58="RES")*1,TRIB!$E58:$L58)))))</f>
        <v>0.597244550907639</v>
      </c>
      <c r="M58" s="15" t="n">
        <f aca="false">IF(IF(KLL!M58="",INPUTS!$B$18,KLL!M58)*SUMPRODUCT((CLASS!$E58:$M58="RES")*1,TRIB!$E58:$M58)&lt;400,1,MAX(IF(SUMPRODUCT((CLASS!$E58:$M58="RES")*1)&gt;=2,0.4,0.5),MIN(1,0.25+15/SQRT(IF(KLL!M58="",INPUTS!$B$18,KLL!M58)*SUMPRODUCT((CLASS!$E58:$M58="RES")*1,TRIB!$E58:$M58)))))</f>
        <v>0.533523988561871</v>
      </c>
      <c r="N58" s="15" t="n">
        <f aca="false">IF(IF(KLL!N58="",INPUTS!$B$18,KLL!N58)*SUMPRODUCT((CLASS!$E58:$N58="RES")*1,TRIB!$E58:$N58)&lt;400,1,MAX(IF(SUMPRODUCT((CLASS!$E58:$N58="RES")*1)&gt;=2,0.4,0.5),MIN(1,0.25+15/SQRT(IF(KLL!N58="",INPUTS!$B$18,KLL!N58)*SUMPRODUCT((CLASS!$E58:$N58="RES")*1,TRIB!$E58:$N58)))))</f>
        <v>0.495538976676869</v>
      </c>
      <c r="O58" s="15" t="n">
        <f aca="false">IF(IF(KLL!O58="",INPUTS!$B$18,KLL!O58)*SUMPRODUCT((CLASS!$E58:$O58="RES")*1,TRIB!$E58:$O58)&lt;400,1,MAX(IF(SUMPRODUCT((CLASS!$E58:$O58="RES")*1)&gt;=2,0.4,0.5),MIN(1,0.25+15/SQRT(IF(KLL!O58="",INPUTS!$B$18,KLL!O58)*SUMPRODUCT((CLASS!$E58:$O58="RES")*1,TRIB!$E58:$O58)))))</f>
        <v>0.469616737190086</v>
      </c>
      <c r="P58" s="15" t="n">
        <f aca="false">IF(IF(KLL!P58="",INPUTS!$B$18,KLL!P58)*SUMPRODUCT((CLASS!$E58:$P58="RES")*1,TRIB!$E58:$P58)&lt;400,1,MAX(IF(SUMPRODUCT((CLASS!$E58:$P58="RES")*1)&gt;=2,0.4,0.5),MIN(1,0.25+15/SQRT(IF(KLL!P58="",INPUTS!$B$18,KLL!P58)*SUMPRODUCT((CLASS!$E58:$P58="RES")*1,TRIB!$E58:$P58)))))</f>
        <v>0.450481734941156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15" t="n">
        <f aca="false">IF(IF(KLL!E59="",INPUTS!$B$18,KLL!E59)*SUMPRODUCT((CLASS!$E59:$E59="RES")*1,TRIB!$E59:$E59)&lt;400,1,MAX(IF(SUMPRODUCT((CLASS!$E59:$E59="RES")*1)&gt;=2,0.4,0.5),MIN(1,0.25+15/SQRT(IF(KLL!E59="",INPUTS!$B$18,KLL!E59)*SUMPRODUCT((CLASS!$E59:$E59="RES")*1,TRIB!$E59:$E59)))))</f>
        <v>1</v>
      </c>
      <c r="F59" s="15" t="n">
        <f aca="false">IF(IF(KLL!F59="",INPUTS!$B$18,KLL!F59)*SUMPRODUCT((CLASS!$E59:$F59="RES")*1,TRIB!$E59:$F59)&lt;400,1,MAX(IF(SUMPRODUCT((CLASS!$E59:$F59="RES")*1)&gt;=2,0.4,0.5),MIN(1,0.25+15/SQRT(IF(KLL!F59="",INPUTS!$B$18,KLL!F59)*SUMPRODUCT((CLASS!$E59:$F59="RES")*1,TRIB!$E59:$F59)))))</f>
        <v>1</v>
      </c>
      <c r="G59" s="15" t="n">
        <f aca="false">IF(IF(KLL!G59="",INPUTS!$B$18,KLL!G59)*SUMPRODUCT((CLASS!$E59:$G59="RES")*1,TRIB!$E59:$G59)&lt;400,1,MAX(IF(SUMPRODUCT((CLASS!$E59:$G59="RES")*1)&gt;=2,0.4,0.5),MIN(1,0.25+15/SQRT(IF(KLL!G59="",INPUTS!$B$18,KLL!G59)*SUMPRODUCT((CLASS!$E59:$G59="RES")*1,TRIB!$E59:$G59)))))</f>
        <v>1</v>
      </c>
      <c r="H59" s="15" t="n">
        <f aca="false">IF(IF(KLL!H59="",INPUTS!$B$18,KLL!H59)*SUMPRODUCT((CLASS!$E59:$H59="RES")*1,TRIB!$E59:$H59)&lt;400,1,MAX(IF(SUMPRODUCT((CLASS!$E59:$H59="RES")*1)&gt;=2,0.4,0.5),MIN(1,0.25+15/SQRT(IF(KLL!H59="",INPUTS!$B$18,KLL!H59)*SUMPRODUCT((CLASS!$E59:$H59="RES")*1,TRIB!$E59:$H59)))))</f>
        <v>1</v>
      </c>
      <c r="I59" s="15" t="n">
        <f aca="false">IF(IF(KLL!I59="",INPUTS!$B$18,KLL!I59)*SUMPRODUCT((CLASS!$E59:$I59="RES")*1,TRIB!$E59:$I59)&lt;400,1,MAX(IF(SUMPRODUCT((CLASS!$E59:$I59="RES")*1)&gt;=2,0.4,0.5),MIN(1,0.25+15/SQRT(IF(KLL!I59="",INPUTS!$B$18,KLL!I59)*SUMPRODUCT((CLASS!$E59:$I59="RES")*1,TRIB!$E59:$I59)))))</f>
        <v>1</v>
      </c>
      <c r="J59" s="15" t="n">
        <f aca="false">IF(IF(KLL!J59="",INPUTS!$B$18,KLL!J59)*SUMPRODUCT((CLASS!$E59:$J59="RES")*1,TRIB!$E59:$J59)&lt;400,1,MAX(IF(SUMPRODUCT((CLASS!$E59:$J59="RES")*1)&gt;=2,0.4,0.5),MIN(1,0.25+15/SQRT(IF(KLL!J59="",INPUTS!$B$18,KLL!J59)*SUMPRODUCT((CLASS!$E59:$J59="RES")*1,TRIB!$E59:$J59)))))</f>
        <v>1</v>
      </c>
      <c r="K59" s="15" t="n">
        <f aca="false">IF(IF(KLL!K59="",INPUTS!$B$18,KLL!K59)*SUMPRODUCT((CLASS!$E59:$K59="RES")*1,TRIB!$E59:$K59)&lt;400,1,MAX(IF(SUMPRODUCT((CLASS!$E59:$K59="RES")*1)&gt;=2,0.4,0.5),MIN(1,0.25+15/SQRT(IF(KLL!K59="",INPUTS!$B$18,KLL!K59)*SUMPRODUCT((CLASS!$E59:$K59="RES")*1,TRIB!$E59:$K59)))))</f>
        <v>0.893711613134312</v>
      </c>
      <c r="L59" s="15" t="n">
        <f aca="false">IF(IF(KLL!L59="",INPUTS!$B$18,KLL!L59)*SUMPRODUCT((CLASS!$E59:$L59="RES")*1,TRIB!$E59:$L59)&lt;400,1,MAX(IF(SUMPRODUCT((CLASS!$E59:$L59="RES")*1)&gt;=2,0.4,0.5),MIN(1,0.25+15/SQRT(IF(KLL!L59="",INPUTS!$B$18,KLL!L59)*SUMPRODUCT((CLASS!$E59:$L59="RES")*1,TRIB!$E59:$L59)))))</f>
        <v>0.705172846775803</v>
      </c>
      <c r="M59" s="15" t="n">
        <f aca="false">IF(IF(KLL!M59="",INPUTS!$B$18,KLL!M59)*SUMPRODUCT((CLASS!$E59:$M59="RES")*1,TRIB!$E59:$M59)&lt;400,1,MAX(IF(SUMPRODUCT((CLASS!$E59:$M59="RES")*1)&gt;=2,0.4,0.5),MIN(1,0.25+15/SQRT(IF(KLL!M59="",INPUTS!$B$18,KLL!M59)*SUMPRODUCT((CLASS!$E59:$M59="RES")*1,TRIB!$E59:$M59)))))</f>
        <v>0.621647073123583</v>
      </c>
      <c r="N59" s="15" t="n">
        <f aca="false">IF(IF(KLL!N59="",INPUTS!$B$18,KLL!N59)*SUMPRODUCT((CLASS!$E59:$N59="RES")*1,TRIB!$E59:$N59)&lt;400,1,MAX(IF(SUMPRODUCT((CLASS!$E59:$N59="RES")*1)&gt;=2,0.4,0.5),MIN(1,0.25+15/SQRT(IF(KLL!N59="",INPUTS!$B$18,KLL!N59)*SUMPRODUCT((CLASS!$E59:$N59="RES")*1,TRIB!$E59:$N59)))))</f>
        <v>0.571855806567156</v>
      </c>
      <c r="O59" s="15" t="n">
        <f aca="false">IF(IF(KLL!O59="",INPUTS!$B$18,KLL!O59)*SUMPRODUCT((CLASS!$E59:$O59="RES")*1,TRIB!$E59:$O59)&lt;400,1,MAX(IF(SUMPRODUCT((CLASS!$E59:$O59="RES")*1)&gt;=2,0.4,0.5),MIN(1,0.25+15/SQRT(IF(KLL!O59="",INPUTS!$B$18,KLL!O59)*SUMPRODUCT((CLASS!$E59:$O59="RES")*1,TRIB!$E59:$O59)))))</f>
        <v>0.537876584974874</v>
      </c>
      <c r="P59" s="15" t="n">
        <f aca="false">IF(IF(KLL!P59="",INPUTS!$B$18,KLL!P59)*SUMPRODUCT((CLASS!$E59:$P59="RES")*1,TRIB!$E59:$P59)&lt;400,1,MAX(IF(SUMPRODUCT((CLASS!$E59:$P59="RES")*1)&gt;=2,0.4,0.5),MIN(1,0.25+15/SQRT(IF(KLL!P59="",INPUTS!$B$18,KLL!P59)*SUMPRODUCT((CLASS!$E59:$P59="RES")*1,TRIB!$E59:$P59)))))</f>
        <v>0.512794165613818</v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15" t="n">
        <f aca="false">IF(IF(KLL!E60="",INPUTS!$B$18,KLL!E60)*SUMPRODUCT((CLASS!$E60:$E60="RES")*1,TRIB!$E60:$E60)&lt;400,1,MAX(IF(SUMPRODUCT((CLASS!$E60:$E60="RES")*1)&gt;=2,0.4,0.5),MIN(1,0.25+15/SQRT(IF(KLL!E60="",INPUTS!$B$18,KLL!E60)*SUMPRODUCT((CLASS!$E60:$E60="RES")*1,TRIB!$E60:$E60)))))</f>
        <v>1</v>
      </c>
      <c r="F60" s="15" t="n">
        <f aca="false">IF(IF(KLL!F60="",INPUTS!$B$18,KLL!F60)*SUMPRODUCT((CLASS!$E60:$F60="RES")*1,TRIB!$E60:$F60)&lt;400,1,MAX(IF(SUMPRODUCT((CLASS!$E60:$F60="RES")*1)&gt;=2,0.4,0.5),MIN(1,0.25+15/SQRT(IF(KLL!F60="",INPUTS!$B$18,KLL!F60)*SUMPRODUCT((CLASS!$E60:$F60="RES")*1,TRIB!$E60:$F60)))))</f>
        <v>1</v>
      </c>
      <c r="G60" s="15" t="n">
        <f aca="false">IF(IF(KLL!G60="",INPUTS!$B$18,KLL!G60)*SUMPRODUCT((CLASS!$E60:$G60="RES")*1,TRIB!$E60:$G60)&lt;400,1,MAX(IF(SUMPRODUCT((CLASS!$E60:$G60="RES")*1)&gt;=2,0.4,0.5),MIN(1,0.25+15/SQRT(IF(KLL!G60="",INPUTS!$B$18,KLL!G60)*SUMPRODUCT((CLASS!$E60:$G60="RES")*1,TRIB!$E60:$G60)))))</f>
        <v>1</v>
      </c>
      <c r="H60" s="15" t="n">
        <f aca="false">IF(IF(KLL!H60="",INPUTS!$B$18,KLL!H60)*SUMPRODUCT((CLASS!$E60:$H60="RES")*1,TRIB!$E60:$H60)&lt;400,1,MAX(IF(SUMPRODUCT((CLASS!$E60:$H60="RES")*1)&gt;=2,0.4,0.5),MIN(1,0.25+15/SQRT(IF(KLL!H60="",INPUTS!$B$18,KLL!H60)*SUMPRODUCT((CLASS!$E60:$H60="RES")*1,TRIB!$E60:$H60)))))</f>
        <v>1</v>
      </c>
      <c r="I60" s="15" t="n">
        <f aca="false">IF(IF(KLL!I60="",INPUTS!$B$18,KLL!I60)*SUMPRODUCT((CLASS!$E60:$I60="RES")*1,TRIB!$E60:$I60)&lt;400,1,MAX(IF(SUMPRODUCT((CLASS!$E60:$I60="RES")*1)&gt;=2,0.4,0.5),MIN(1,0.25+15/SQRT(IF(KLL!I60="",INPUTS!$B$18,KLL!I60)*SUMPRODUCT((CLASS!$E60:$I60="RES")*1,TRIB!$E60:$I60)))))</f>
        <v>1</v>
      </c>
      <c r="J60" s="15" t="n">
        <f aca="false">IF(IF(KLL!J60="",INPUTS!$B$18,KLL!J60)*SUMPRODUCT((CLASS!$E60:$J60="RES")*1,TRIB!$E60:$J60)&lt;400,1,MAX(IF(SUMPRODUCT((CLASS!$E60:$J60="RES")*1)&gt;=2,0.4,0.5),MIN(1,0.25+15/SQRT(IF(KLL!J60="",INPUTS!$B$18,KLL!J60)*SUMPRODUCT((CLASS!$E60:$J60="RES")*1,TRIB!$E60:$J60)))))</f>
        <v>1</v>
      </c>
      <c r="K60" s="15" t="n">
        <f aca="false">IF(IF(KLL!K60="",INPUTS!$B$18,KLL!K60)*SUMPRODUCT((CLASS!$E60:$K60="RES")*1,TRIB!$E60:$K60)&lt;400,1,MAX(IF(SUMPRODUCT((CLASS!$E60:$K60="RES")*1)&gt;=2,0.4,0.5),MIN(1,0.25+15/SQRT(IF(KLL!K60="",INPUTS!$B$18,KLL!K60)*SUMPRODUCT((CLASS!$E60:$K60="RES")*1,TRIB!$E60:$K60)))))</f>
        <v>1</v>
      </c>
      <c r="L60" s="15" t="n">
        <f aca="false">IF(IF(KLL!L60="",INPUTS!$B$18,KLL!L60)*SUMPRODUCT((CLASS!$E60:$L60="RES")*1,TRIB!$E60:$L60)&lt;400,1,MAX(IF(SUMPRODUCT((CLASS!$E60:$L60="RES")*1)&gt;=2,0.4,0.5),MIN(1,0.25+15/SQRT(IF(KLL!L60="",INPUTS!$B$18,KLL!L60)*SUMPRODUCT((CLASS!$E60:$L60="RES")*1,TRIB!$E60:$L60)))))</f>
        <v>1</v>
      </c>
      <c r="M60" s="15" t="n">
        <f aca="false">IF(IF(KLL!M60="",INPUTS!$B$18,KLL!M60)*SUMPRODUCT((CLASS!$E60:$M60="RES")*1,TRIB!$E60:$M60)&lt;400,1,MAX(IF(SUMPRODUCT((CLASS!$E60:$M60="RES")*1)&gt;=2,0.4,0.5),MIN(1,0.25+15/SQRT(IF(KLL!M60="",INPUTS!$B$18,KLL!M60)*SUMPRODUCT((CLASS!$E60:$M60="RES")*1,TRIB!$E60:$M60)))))</f>
        <v>1</v>
      </c>
      <c r="N60" s="15" t="n">
        <f aca="false">IF(IF(KLL!N60="",INPUTS!$B$18,KLL!N60)*SUMPRODUCT((CLASS!$E60:$N60="RES")*1,TRIB!$E60:$N60)&lt;400,1,MAX(IF(SUMPRODUCT((CLASS!$E60:$N60="RES")*1)&gt;=2,0.4,0.5),MIN(1,0.25+15/SQRT(IF(KLL!N60="",INPUTS!$B$18,KLL!N60)*SUMPRODUCT((CLASS!$E60:$N60="RES")*1,TRIB!$E60:$N60)))))</f>
        <v>1</v>
      </c>
      <c r="O60" s="15" t="n">
        <f aca="false">IF(IF(KLL!O60="",INPUTS!$B$18,KLL!O60)*SUMPRODUCT((CLASS!$E60:$O60="RES")*1,TRIB!$E60:$O60)&lt;400,1,MAX(IF(SUMPRODUCT((CLASS!$E60:$O60="RES")*1)&gt;=2,0.4,0.5),MIN(1,0.25+15/SQRT(IF(KLL!O60="",INPUTS!$B$18,KLL!O60)*SUMPRODUCT((CLASS!$E60:$O60="RES")*1,TRIB!$E60:$O60)))))</f>
        <v>1</v>
      </c>
      <c r="P60" s="15" t="n">
        <f aca="false">IF(IF(KLL!P60="",INPUTS!$B$18,KLL!P60)*SUMPRODUCT((CLASS!$E60:$P60="RES")*1,TRIB!$E60:$P60)&lt;400,1,MAX(IF(SUMPRODUCT((CLASS!$E60:$P60="RES")*1)&gt;=2,0.4,0.5),MIN(1,0.25+15/SQRT(IF(KLL!P60="",INPUTS!$B$18,KLL!P60)*SUMPRODUCT((CLASS!$E60:$P60="RES")*1,TRIB!$E60:$P60)))))</f>
        <v>1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15" t="n">
        <f aca="false">IF(IF(KLL!E61="",INPUTS!$B$18,KLL!E61)*SUMPRODUCT((CLASS!$E61:$E61="RES")*1,TRIB!$E61:$E61)&lt;400,1,MAX(IF(SUMPRODUCT((CLASS!$E61:$E61="RES")*1)&gt;=2,0.4,0.5),MIN(1,0.25+15/SQRT(IF(KLL!E61="",INPUTS!$B$18,KLL!E61)*SUMPRODUCT((CLASS!$E61:$E61="RES")*1,TRIB!$E61:$E61)))))</f>
        <v>1</v>
      </c>
      <c r="F61" s="15" t="n">
        <f aca="false">IF(IF(KLL!F61="",INPUTS!$B$18,KLL!F61)*SUMPRODUCT((CLASS!$E61:$F61="RES")*1,TRIB!$E61:$F61)&lt;400,1,MAX(IF(SUMPRODUCT((CLASS!$E61:$F61="RES")*1)&gt;=2,0.4,0.5),MIN(1,0.25+15/SQRT(IF(KLL!F61="",INPUTS!$B$18,KLL!F61)*SUMPRODUCT((CLASS!$E61:$F61="RES")*1,TRIB!$E61:$F61)))))</f>
        <v>1</v>
      </c>
      <c r="G61" s="15" t="n">
        <f aca="false">IF(IF(KLL!G61="",INPUTS!$B$18,KLL!G61)*SUMPRODUCT((CLASS!$E61:$G61="RES")*1,TRIB!$E61:$G61)&lt;400,1,MAX(IF(SUMPRODUCT((CLASS!$E61:$G61="RES")*1)&gt;=2,0.4,0.5),MIN(1,0.25+15/SQRT(IF(KLL!G61="",INPUTS!$B$18,KLL!G61)*SUMPRODUCT((CLASS!$E61:$G61="RES")*1,TRIB!$E61:$G61)))))</f>
        <v>1</v>
      </c>
      <c r="H61" s="15" t="n">
        <f aca="false">IF(IF(KLL!H61="",INPUTS!$B$18,KLL!H61)*SUMPRODUCT((CLASS!$E61:$H61="RES")*1,TRIB!$E61:$H61)&lt;400,1,MAX(IF(SUMPRODUCT((CLASS!$E61:$H61="RES")*1)&gt;=2,0.4,0.5),MIN(1,0.25+15/SQRT(IF(KLL!H61="",INPUTS!$B$18,KLL!H61)*SUMPRODUCT((CLASS!$E61:$H61="RES")*1,TRIB!$E61:$H61)))))</f>
        <v>1</v>
      </c>
      <c r="I61" s="15" t="n">
        <f aca="false">IF(IF(KLL!I61="",INPUTS!$B$18,KLL!I61)*SUMPRODUCT((CLASS!$E61:$I61="RES")*1,TRIB!$E61:$I61)&lt;400,1,MAX(IF(SUMPRODUCT((CLASS!$E61:$I61="RES")*1)&gt;=2,0.4,0.5),MIN(1,0.25+15/SQRT(IF(KLL!I61="",INPUTS!$B$18,KLL!I61)*SUMPRODUCT((CLASS!$E61:$I61="RES")*1,TRIB!$E61:$I61)))))</f>
        <v>1</v>
      </c>
      <c r="J61" s="15" t="n">
        <f aca="false">IF(IF(KLL!J61="",INPUTS!$B$18,KLL!J61)*SUMPRODUCT((CLASS!$E61:$J61="RES")*1,TRIB!$E61:$J61)&lt;400,1,MAX(IF(SUMPRODUCT((CLASS!$E61:$J61="RES")*1)&gt;=2,0.4,0.5),MIN(1,0.25+15/SQRT(IF(KLL!J61="",INPUTS!$B$18,KLL!J61)*SUMPRODUCT((CLASS!$E61:$J61="RES")*1,TRIB!$E61:$J61)))))</f>
        <v>1</v>
      </c>
      <c r="K61" s="15" t="n">
        <f aca="false">IF(IF(KLL!K61="",INPUTS!$B$18,KLL!K61)*SUMPRODUCT((CLASS!$E61:$K61="RES")*1,TRIB!$E61:$K61)&lt;400,1,MAX(IF(SUMPRODUCT((CLASS!$E61:$K61="RES")*1)&gt;=2,0.4,0.5),MIN(1,0.25+15/SQRT(IF(KLL!K61="",INPUTS!$B$18,KLL!K61)*SUMPRODUCT((CLASS!$E61:$K61="RES")*1,TRIB!$E61:$K61)))))</f>
        <v>0.680331482911935</v>
      </c>
      <c r="L61" s="15" t="n">
        <f aca="false">IF(IF(KLL!L61="",INPUTS!$B$18,KLL!L61)*SUMPRODUCT((CLASS!$E61:$L61="RES")*1,TRIB!$E61:$L61)&lt;400,1,MAX(IF(SUMPRODUCT((CLASS!$E61:$L61="RES")*1)&gt;=2,0.4,0.5),MIN(1,0.25+15/SQRT(IF(KLL!L61="",INPUTS!$B$18,KLL!L61)*SUMPRODUCT((CLASS!$E61:$L61="RES")*1,TRIB!$E61:$L61)))))</f>
        <v>0.554290309725092</v>
      </c>
      <c r="M61" s="15" t="n">
        <f aca="false">IF(IF(KLL!M61="",INPUTS!$B$18,KLL!M61)*SUMPRODUCT((CLASS!$E61:$M61="RES")*1,TRIB!$E61:$M61)&lt;400,1,MAX(IF(SUMPRODUCT((CLASS!$E61:$M61="RES")*1)&gt;=2,0.4,0.5),MIN(1,0.25+15/SQRT(IF(KLL!M61="",INPUTS!$B$18,KLL!M61)*SUMPRODUCT((CLASS!$E61:$M61="RES")*1,TRIB!$E61:$M61)))))</f>
        <v>0.498451997499977</v>
      </c>
      <c r="N61" s="15" t="n">
        <f aca="false">IF(IF(KLL!N61="",INPUTS!$B$18,KLL!N61)*SUMPRODUCT((CLASS!$E61:$N61="RES")*1,TRIB!$E61:$N61)&lt;400,1,MAX(IF(SUMPRODUCT((CLASS!$E61:$N61="RES")*1)&gt;=2,0.4,0.5),MIN(1,0.25+15/SQRT(IF(KLL!N61="",INPUTS!$B$18,KLL!N61)*SUMPRODUCT((CLASS!$E61:$N61="RES")*1,TRIB!$E61:$N61)))))</f>
        <v>0.465165741455968</v>
      </c>
      <c r="O61" s="15" t="n">
        <f aca="false">IF(IF(KLL!O61="",INPUTS!$B$18,KLL!O61)*SUMPRODUCT((CLASS!$E61:$O61="RES")*1,TRIB!$E61:$O61)&lt;400,1,MAX(IF(SUMPRODUCT((CLASS!$E61:$O61="RES")*1)&gt;=2,0.4,0.5),MIN(1,0.25+15/SQRT(IF(KLL!O61="",INPUTS!$B$18,KLL!O61)*SUMPRODUCT((CLASS!$E61:$O61="RES")*1,TRIB!$E61:$O61)))))</f>
        <v>0.442450089729875</v>
      </c>
      <c r="P61" s="15" t="n">
        <f aca="false">IF(IF(KLL!P61="",INPUTS!$B$18,KLL!P61)*SUMPRODUCT((CLASS!$E61:$P61="RES")*1,TRIB!$E61:$P61)&lt;400,1,MAX(IF(SUMPRODUCT((CLASS!$E61:$P61="RES")*1)&gt;=2,0.4,0.5),MIN(1,0.25+15/SQRT(IF(KLL!P61="",INPUTS!$B$18,KLL!P61)*SUMPRODUCT((CLASS!$E61:$P61="RES")*1,TRIB!$E61:$P61)))))</f>
        <v>0.425682092231577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15" t="n">
        <f aca="false">IF(IF(KLL!E62="",INPUTS!$B$18,KLL!E62)*SUMPRODUCT((CLASS!$E62:$E62="RES")*1,TRIB!$E62:$E62)&lt;400,1,MAX(IF(SUMPRODUCT((CLASS!$E62:$E62="RES")*1)&gt;=2,0.4,0.5),MIN(1,0.25+15/SQRT(IF(KLL!E62="",INPUTS!$B$18,KLL!E62)*SUMPRODUCT((CLASS!$E62:$E62="RES")*1,TRIB!$E62:$E62)))))</f>
        <v>1</v>
      </c>
      <c r="F62" s="15" t="n">
        <f aca="false">IF(IF(KLL!F62="",INPUTS!$B$18,KLL!F62)*SUMPRODUCT((CLASS!$E62:$F62="RES")*1,TRIB!$E62:$F62)&lt;400,1,MAX(IF(SUMPRODUCT((CLASS!$E62:$F62="RES")*1)&gt;=2,0.4,0.5),MIN(1,0.25+15/SQRT(IF(KLL!F62="",INPUTS!$B$18,KLL!F62)*SUMPRODUCT((CLASS!$E62:$F62="RES")*1,TRIB!$E62:$F62)))))</f>
        <v>1</v>
      </c>
      <c r="G62" s="15" t="n">
        <f aca="false">IF(IF(KLL!G62="",INPUTS!$B$18,KLL!G62)*SUMPRODUCT((CLASS!$E62:$G62="RES")*1,TRIB!$E62:$G62)&lt;400,1,MAX(IF(SUMPRODUCT((CLASS!$E62:$G62="RES")*1)&gt;=2,0.4,0.5),MIN(1,0.25+15/SQRT(IF(KLL!G62="",INPUTS!$B$18,KLL!G62)*SUMPRODUCT((CLASS!$E62:$G62="RES")*1,TRIB!$E62:$G62)))))</f>
        <v>1</v>
      </c>
      <c r="H62" s="15" t="n">
        <f aca="false">IF(IF(KLL!H62="",INPUTS!$B$18,KLL!H62)*SUMPRODUCT((CLASS!$E62:$H62="RES")*1,TRIB!$E62:$H62)&lt;400,1,MAX(IF(SUMPRODUCT((CLASS!$E62:$H62="RES")*1)&gt;=2,0.4,0.5),MIN(1,0.25+15/SQRT(IF(KLL!H62="",INPUTS!$B$18,KLL!H62)*SUMPRODUCT((CLASS!$E62:$H62="RES")*1,TRIB!$E62:$H62)))))</f>
        <v>1</v>
      </c>
      <c r="I62" s="15" t="n">
        <f aca="false">IF(IF(KLL!I62="",INPUTS!$B$18,KLL!I62)*SUMPRODUCT((CLASS!$E62:$I62="RES")*1,TRIB!$E62:$I62)&lt;400,1,MAX(IF(SUMPRODUCT((CLASS!$E62:$I62="RES")*1)&gt;=2,0.4,0.5),MIN(1,0.25+15/SQRT(IF(KLL!I62="",INPUTS!$B$18,KLL!I62)*SUMPRODUCT((CLASS!$E62:$I62="RES")*1,TRIB!$E62:$I62)))))</f>
        <v>1</v>
      </c>
      <c r="J62" s="15" t="n">
        <f aca="false">IF(IF(KLL!J62="",INPUTS!$B$18,KLL!J62)*SUMPRODUCT((CLASS!$E62:$J62="RES")*1,TRIB!$E62:$J62)&lt;400,1,MAX(IF(SUMPRODUCT((CLASS!$E62:$J62="RES")*1)&gt;=2,0.4,0.5),MIN(1,0.25+15/SQRT(IF(KLL!J62="",INPUTS!$B$18,KLL!J62)*SUMPRODUCT((CLASS!$E62:$J62="RES")*1,TRIB!$E62:$J62)))))</f>
        <v>1</v>
      </c>
      <c r="K62" s="15" t="n">
        <f aca="false">IF(IF(KLL!K62="",INPUTS!$B$18,KLL!K62)*SUMPRODUCT((CLASS!$E62:$K62="RES")*1,TRIB!$E62:$K62)&lt;400,1,MAX(IF(SUMPRODUCT((CLASS!$E62:$K62="RES")*1)&gt;=2,0.4,0.5),MIN(1,0.25+15/SQRT(IF(KLL!K62="",INPUTS!$B$18,KLL!K62)*SUMPRODUCT((CLASS!$E62:$K62="RES")*1,TRIB!$E62:$K62)))))</f>
        <v>0.683012701892219</v>
      </c>
      <c r="L62" s="15" t="n">
        <f aca="false">IF(IF(KLL!L62="",INPUTS!$B$18,KLL!L62)*SUMPRODUCT((CLASS!$E62:$L62="RES")*1,TRIB!$E62:$L62)&lt;400,1,MAX(IF(SUMPRODUCT((CLASS!$E62:$L62="RES")*1)&gt;=2,0.4,0.5),MIN(1,0.25+15/SQRT(IF(KLL!L62="",INPUTS!$B$18,KLL!L62)*SUMPRODUCT((CLASS!$E62:$L62="RES")*1,TRIB!$E62:$L62)))))</f>
        <v>0.542602867990326</v>
      </c>
      <c r="M62" s="15" t="n">
        <f aca="false">IF(IF(KLL!M62="",INPUTS!$B$18,KLL!M62)*SUMPRODUCT((CLASS!$E62:$M62="RES")*1,TRIB!$E62:$M62)&lt;400,1,MAX(IF(SUMPRODUCT((CLASS!$E62:$M62="RES")*1)&gt;=2,0.4,0.5),MIN(1,0.25+15/SQRT(IF(KLL!M62="",INPUTS!$B$18,KLL!M62)*SUMPRODUCT((CLASS!$E62:$M62="RES")*1,TRIB!$E62:$M62)))))</f>
        <v>0.485527859882998</v>
      </c>
      <c r="N62" s="15" t="n">
        <f aca="false">IF(IF(KLL!N62="",INPUTS!$B$18,KLL!N62)*SUMPRODUCT((CLASS!$E62:$N62="RES")*1,TRIB!$E62:$N62)&lt;400,1,MAX(IF(SUMPRODUCT((CLASS!$E62:$N62="RES")*1)&gt;=2,0.4,0.5),MIN(1,0.25+15/SQRT(IF(KLL!N62="",INPUTS!$B$18,KLL!N62)*SUMPRODUCT((CLASS!$E62:$N62="RES")*1,TRIB!$E62:$N62)))))</f>
        <v>0.452554798485488</v>
      </c>
      <c r="O62" s="15" t="n">
        <f aca="false">IF(IF(KLL!O62="",INPUTS!$B$18,KLL!O62)*SUMPRODUCT((CLASS!$E62:$O62="RES")*1,TRIB!$E62:$O62)&lt;400,1,MAX(IF(SUMPRODUCT((CLASS!$E62:$O62="RES")*1)&gt;=2,0.4,0.5),MIN(1,0.25+15/SQRT(IF(KLL!O62="",INPUTS!$B$18,KLL!O62)*SUMPRODUCT((CLASS!$E62:$O62="RES")*1,TRIB!$E62:$O62)))))</f>
        <v>0.430421959121758</v>
      </c>
      <c r="P62" s="15" t="n">
        <f aca="false">IF(IF(KLL!P62="",INPUTS!$B$18,KLL!P62)*SUMPRODUCT((CLASS!$E62:$P62="RES")*1,TRIB!$E62:$P62)&lt;400,1,MAX(IF(SUMPRODUCT((CLASS!$E62:$P62="RES")*1)&gt;=2,0.4,0.5),MIN(1,0.25+15/SQRT(IF(KLL!P62="",INPUTS!$B$18,KLL!P62)*SUMPRODUCT((CLASS!$E62:$P62="RES")*1,TRIB!$E62:$P62)))))</f>
        <v>0.414251079954401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15" t="n">
        <f aca="false">IF(IF(KLL!E63="",INPUTS!$B$18,KLL!E63)*SUMPRODUCT((CLASS!$E63:$E63="RES")*1,TRIB!$E63:$E63)&lt;400,1,MAX(IF(SUMPRODUCT((CLASS!$E63:$E63="RES")*1)&gt;=2,0.4,0.5),MIN(1,0.25+15/SQRT(IF(KLL!E63="",INPUTS!$B$18,KLL!E63)*SUMPRODUCT((CLASS!$E63:$E63="RES")*1,TRIB!$E63:$E63)))))</f>
        <v>1</v>
      </c>
      <c r="F63" s="15" t="n">
        <f aca="false">IF(IF(KLL!F63="",INPUTS!$B$18,KLL!F63)*SUMPRODUCT((CLASS!$E63:$F63="RES")*1,TRIB!$E63:$F63)&lt;400,1,MAX(IF(SUMPRODUCT((CLASS!$E63:$F63="RES")*1)&gt;=2,0.4,0.5),MIN(1,0.25+15/SQRT(IF(KLL!F63="",INPUTS!$B$18,KLL!F63)*SUMPRODUCT((CLASS!$E63:$F63="RES")*1,TRIB!$E63:$F63)))))</f>
        <v>1</v>
      </c>
      <c r="G63" s="15" t="n">
        <f aca="false">IF(IF(KLL!G63="",INPUTS!$B$18,KLL!G63)*SUMPRODUCT((CLASS!$E63:$G63="RES")*1,TRIB!$E63:$G63)&lt;400,1,MAX(IF(SUMPRODUCT((CLASS!$E63:$G63="RES")*1)&gt;=2,0.4,0.5),MIN(1,0.25+15/SQRT(IF(KLL!G63="",INPUTS!$B$18,KLL!G63)*SUMPRODUCT((CLASS!$E63:$G63="RES")*1,TRIB!$E63:$G63)))))</f>
        <v>1</v>
      </c>
      <c r="H63" s="15" t="n">
        <f aca="false">IF(IF(KLL!H63="",INPUTS!$B$18,KLL!H63)*SUMPRODUCT((CLASS!$E63:$H63="RES")*1,TRIB!$E63:$H63)&lt;400,1,MAX(IF(SUMPRODUCT((CLASS!$E63:$H63="RES")*1)&gt;=2,0.4,0.5),MIN(1,0.25+15/SQRT(IF(KLL!H63="",INPUTS!$B$18,KLL!H63)*SUMPRODUCT((CLASS!$E63:$H63="RES")*1,TRIB!$E63:$H63)))))</f>
        <v>1</v>
      </c>
      <c r="I63" s="15" t="n">
        <f aca="false">IF(IF(KLL!I63="",INPUTS!$B$18,KLL!I63)*SUMPRODUCT((CLASS!$E63:$I63="RES")*1,TRIB!$E63:$I63)&lt;400,1,MAX(IF(SUMPRODUCT((CLASS!$E63:$I63="RES")*1)&gt;=2,0.4,0.5),MIN(1,0.25+15/SQRT(IF(KLL!I63="",INPUTS!$B$18,KLL!I63)*SUMPRODUCT((CLASS!$E63:$I63="RES")*1,TRIB!$E63:$I63)))))</f>
        <v>1</v>
      </c>
      <c r="J63" s="15" t="n">
        <f aca="false">IF(IF(KLL!J63="",INPUTS!$B$18,KLL!J63)*SUMPRODUCT((CLASS!$E63:$J63="RES")*1,TRIB!$E63:$J63)&lt;400,1,MAX(IF(SUMPRODUCT((CLASS!$E63:$J63="RES")*1)&gt;=2,0.4,0.5),MIN(1,0.25+15/SQRT(IF(KLL!J63="",INPUTS!$B$18,KLL!J63)*SUMPRODUCT((CLASS!$E63:$J63="RES")*1,TRIB!$E63:$J63)))))</f>
        <v>1</v>
      </c>
      <c r="K63" s="15" t="n">
        <f aca="false">IF(IF(KLL!K63="",INPUTS!$B$18,KLL!K63)*SUMPRODUCT((CLASS!$E63:$K63="RES")*1,TRIB!$E63:$K63)&lt;400,1,MAX(IF(SUMPRODUCT((CLASS!$E63:$K63="RES")*1)&gt;=2,0.4,0.5),MIN(1,0.25+15/SQRT(IF(KLL!K63="",INPUTS!$B$18,KLL!K63)*SUMPRODUCT((CLASS!$E63:$K63="RES")*1,TRIB!$E63:$K63)))))</f>
        <v>0.736408326344141</v>
      </c>
      <c r="L63" s="15" t="n">
        <f aca="false">IF(IF(KLL!L63="",INPUTS!$B$18,KLL!L63)*SUMPRODUCT((CLASS!$E63:$L63="RES")*1,TRIB!$E63:$L63)&lt;400,1,MAX(IF(SUMPRODUCT((CLASS!$E63:$L63="RES")*1)&gt;=2,0.4,0.5),MIN(1,0.25+15/SQRT(IF(KLL!L63="",INPUTS!$B$18,KLL!L63)*SUMPRODUCT((CLASS!$E63:$L63="RES")*1,TRIB!$E63:$L63)))))</f>
        <v>0.776396804757697</v>
      </c>
      <c r="M63" s="15" t="n">
        <f aca="false">IF(IF(KLL!M63="",INPUTS!$B$18,KLL!M63)*SUMPRODUCT((CLASS!$E63:$M63="RES")*1,TRIB!$E63:$M63)&lt;400,1,MAX(IF(SUMPRODUCT((CLASS!$E63:$M63="RES")*1)&gt;=2,0.4,0.5),MIN(1,0.25+15/SQRT(IF(KLL!M63="",INPUTS!$B$18,KLL!M63)*SUMPRODUCT((CLASS!$E63:$M63="RES")*1,TRIB!$E63:$M63)))))</f>
        <v>0.726731294622796</v>
      </c>
      <c r="N63" s="15" t="n">
        <f aca="false">IF(IF(KLL!N63="",INPUTS!$B$18,KLL!N63)*SUMPRODUCT((CLASS!$E63:$N63="RES")*1,TRIB!$E63:$N63)&lt;400,1,MAX(IF(SUMPRODUCT((CLASS!$E63:$N63="RES")*1)&gt;=2,0.4,0.5),MIN(1,0.25+15/SQRT(IF(KLL!N63="",INPUTS!$B$18,KLL!N63)*SUMPRODUCT((CLASS!$E63:$N63="RES")*1,TRIB!$E63:$N63)))))</f>
        <v>0.68890430198549</v>
      </c>
      <c r="O63" s="15" t="n">
        <f aca="false">IF(IF(KLL!O63="",INPUTS!$B$18,KLL!O63)*SUMPRODUCT((CLASS!$E63:$O63="RES")*1,TRIB!$E63:$O63)&lt;400,1,MAX(IF(SUMPRODUCT((CLASS!$E63:$O63="RES")*1)&gt;=2,0.4,0.5),MIN(1,0.25+15/SQRT(IF(KLL!O63="",INPUTS!$B$18,KLL!O63)*SUMPRODUCT((CLASS!$E63:$O63="RES")*1,TRIB!$E63:$O63)))))</f>
        <v>0.658854450100538</v>
      </c>
      <c r="P63" s="15" t="n">
        <f aca="false">IF(IF(KLL!P63="",INPUTS!$B$18,KLL!P63)*SUMPRODUCT((CLASS!$E63:$P63="RES")*1,TRIB!$E63:$P63)&lt;400,1,MAX(IF(SUMPRODUCT((CLASS!$E63:$P63="RES")*1)&gt;=2,0.4,0.5),MIN(1,0.25+15/SQRT(IF(KLL!P63="",INPUTS!$B$18,KLL!P63)*SUMPRODUCT((CLASS!$E63:$P63="RES")*1,TRIB!$E63:$P63)))))</f>
        <v>0.63423663968392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15" t="n">
        <f aca="false">IF(IF(KLL!E64="",INPUTS!$B$18,KLL!E64)*SUMPRODUCT((CLASS!$E64:$E64="RES")*1,TRIB!$E64:$E64)&lt;400,1,MAX(IF(SUMPRODUCT((CLASS!$E64:$E64="RES")*1)&gt;=2,0.4,0.5),MIN(1,0.25+15/SQRT(IF(KLL!E64="",INPUTS!$B$18,KLL!E64)*SUMPRODUCT((CLASS!$E64:$E64="RES")*1,TRIB!$E64:$E64)))))</f>
        <v>1</v>
      </c>
      <c r="F64" s="15" t="n">
        <f aca="false">IF(IF(KLL!F64="",INPUTS!$B$18,KLL!F64)*SUMPRODUCT((CLASS!$E64:$F64="RES")*1,TRIB!$E64:$F64)&lt;400,1,MAX(IF(SUMPRODUCT((CLASS!$E64:$F64="RES")*1)&gt;=2,0.4,0.5),MIN(1,0.25+15/SQRT(IF(KLL!F64="",INPUTS!$B$18,KLL!F64)*SUMPRODUCT((CLASS!$E64:$F64="RES")*1,TRIB!$E64:$F64)))))</f>
        <v>1</v>
      </c>
      <c r="G64" s="15" t="n">
        <f aca="false">IF(IF(KLL!G64="",INPUTS!$B$18,KLL!G64)*SUMPRODUCT((CLASS!$E64:$G64="RES")*1,TRIB!$E64:$G64)&lt;400,1,MAX(IF(SUMPRODUCT((CLASS!$E64:$G64="RES")*1)&gt;=2,0.4,0.5),MIN(1,0.25+15/SQRT(IF(KLL!G64="",INPUTS!$B$18,KLL!G64)*SUMPRODUCT((CLASS!$E64:$G64="RES")*1,TRIB!$E64:$G64)))))</f>
        <v>1</v>
      </c>
      <c r="H64" s="15" t="n">
        <f aca="false">IF(IF(KLL!H64="",INPUTS!$B$18,KLL!H64)*SUMPRODUCT((CLASS!$E64:$H64="RES")*1,TRIB!$E64:$H64)&lt;400,1,MAX(IF(SUMPRODUCT((CLASS!$E64:$H64="RES")*1)&gt;=2,0.4,0.5),MIN(1,0.25+15/SQRT(IF(KLL!H64="",INPUTS!$B$18,KLL!H64)*SUMPRODUCT((CLASS!$E64:$H64="RES")*1,TRIB!$E64:$H64)))))</f>
        <v>1</v>
      </c>
      <c r="I64" s="15" t="n">
        <f aca="false">IF(IF(KLL!I64="",INPUTS!$B$18,KLL!I64)*SUMPRODUCT((CLASS!$E64:$I64="RES")*1,TRIB!$E64:$I64)&lt;400,1,MAX(IF(SUMPRODUCT((CLASS!$E64:$I64="RES")*1)&gt;=2,0.4,0.5),MIN(1,0.25+15/SQRT(IF(KLL!I64="",INPUTS!$B$18,KLL!I64)*SUMPRODUCT((CLASS!$E64:$I64="RES")*1,TRIB!$E64:$I64)))))</f>
        <v>1</v>
      </c>
      <c r="J64" s="15" t="n">
        <f aca="false">IF(IF(KLL!J64="",INPUTS!$B$18,KLL!J64)*SUMPRODUCT((CLASS!$E64:$J64="RES")*1,TRIB!$E64:$J64)&lt;400,1,MAX(IF(SUMPRODUCT((CLASS!$E64:$J64="RES")*1)&gt;=2,0.4,0.5),MIN(1,0.25+15/SQRT(IF(KLL!J64="",INPUTS!$B$18,KLL!J64)*SUMPRODUCT((CLASS!$E64:$J64="RES")*1,TRIB!$E64:$J64)))))</f>
        <v>1</v>
      </c>
      <c r="K64" s="15" t="n">
        <f aca="false">IF(IF(KLL!K64="",INPUTS!$B$18,KLL!K64)*SUMPRODUCT((CLASS!$E64:$K64="RES")*1,TRIB!$E64:$K64)&lt;400,1,MAX(IF(SUMPRODUCT((CLASS!$E64:$K64="RES")*1)&gt;=2,0.4,0.5),MIN(1,0.25+15/SQRT(IF(KLL!K64="",INPUTS!$B$18,KLL!K64)*SUMPRODUCT((CLASS!$E64:$K64="RES")*1,TRIB!$E64:$K64)))))</f>
        <v>1</v>
      </c>
      <c r="L64" s="15" t="n">
        <f aca="false">IF(IF(KLL!L64="",INPUTS!$B$18,KLL!L64)*SUMPRODUCT((CLASS!$E64:$L64="RES")*1,TRIB!$E64:$L64)&lt;400,1,MAX(IF(SUMPRODUCT((CLASS!$E64:$L64="RES")*1)&gt;=2,0.4,0.5),MIN(1,0.25+15/SQRT(IF(KLL!L64="",INPUTS!$B$18,KLL!L64)*SUMPRODUCT((CLASS!$E64:$L64="RES")*1,TRIB!$E64:$L64)))))</f>
        <v>1</v>
      </c>
      <c r="M64" s="15" t="n">
        <f aca="false">IF(IF(KLL!M64="",INPUTS!$B$18,KLL!M64)*SUMPRODUCT((CLASS!$E64:$M64="RES")*1,TRIB!$E64:$M64)&lt;400,1,MAX(IF(SUMPRODUCT((CLASS!$E64:$M64="RES")*1)&gt;=2,0.4,0.5),MIN(1,0.25+15/SQRT(IF(KLL!M64="",INPUTS!$B$18,KLL!M64)*SUMPRODUCT((CLASS!$E64:$M64="RES")*1,TRIB!$E64:$M64)))))</f>
        <v>1</v>
      </c>
      <c r="N64" s="15" t="n">
        <f aca="false">IF(IF(KLL!N64="",INPUTS!$B$18,KLL!N64)*SUMPRODUCT((CLASS!$E64:$N64="RES")*1,TRIB!$E64:$N64)&lt;400,1,MAX(IF(SUMPRODUCT((CLASS!$E64:$N64="RES")*1)&gt;=2,0.4,0.5),MIN(1,0.25+15/SQRT(IF(KLL!N64="",INPUTS!$B$18,KLL!N64)*SUMPRODUCT((CLASS!$E64:$N64="RES")*1,TRIB!$E64:$N64)))))</f>
        <v>1</v>
      </c>
      <c r="O64" s="15" t="n">
        <f aca="false">IF(IF(KLL!O64="",INPUTS!$B$18,KLL!O64)*SUMPRODUCT((CLASS!$E64:$O64="RES")*1,TRIB!$E64:$O64)&lt;400,1,MAX(IF(SUMPRODUCT((CLASS!$E64:$O64="RES")*1)&gt;=2,0.4,0.5),MIN(1,0.25+15/SQRT(IF(KLL!O64="",INPUTS!$B$18,KLL!O64)*SUMPRODUCT((CLASS!$E64:$O64="RES")*1,TRIB!$E64:$O64)))))</f>
        <v>1</v>
      </c>
      <c r="P64" s="15" t="n">
        <f aca="false">IF(IF(KLL!P64="",INPUTS!$B$18,KLL!P64)*SUMPRODUCT((CLASS!$E64:$P64="RES")*1,TRIB!$E64:$P64)&lt;400,1,MAX(IF(SUMPRODUCT((CLASS!$E64:$P64="RES")*1)&gt;=2,0.4,0.5),MIN(1,0.25+15/SQRT(IF(KLL!P64="",INPUTS!$B$18,KLL!P64)*SUMPRODUCT((CLASS!$E64:$P64="RES")*1,TRIB!$E64:$P64)))))</f>
        <v>1</v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15" t="n">
        <f aca="false">IF(IF(KLL!E65="",INPUTS!$B$18,KLL!E65)*SUMPRODUCT((CLASS!$E65:$E65="RES")*1,TRIB!$E65:$E65)&lt;400,1,MAX(IF(SUMPRODUCT((CLASS!$E65:$E65="RES")*1)&gt;=2,0.4,0.5),MIN(1,0.25+15/SQRT(IF(KLL!E65="",INPUTS!$B$18,KLL!E65)*SUMPRODUCT((CLASS!$E65:$E65="RES")*1,TRIB!$E65:$E65)))))</f>
        <v>1</v>
      </c>
      <c r="F65" s="15" t="n">
        <f aca="false">IF(IF(KLL!F65="",INPUTS!$B$18,KLL!F65)*SUMPRODUCT((CLASS!$E65:$F65="RES")*1,TRIB!$E65:$F65)&lt;400,1,MAX(IF(SUMPRODUCT((CLASS!$E65:$F65="RES")*1)&gt;=2,0.4,0.5),MIN(1,0.25+15/SQRT(IF(KLL!F65="",INPUTS!$B$18,KLL!F65)*SUMPRODUCT((CLASS!$E65:$F65="RES")*1,TRIB!$E65:$F65)))))</f>
        <v>1</v>
      </c>
      <c r="G65" s="15" t="n">
        <f aca="false">IF(IF(KLL!G65="",INPUTS!$B$18,KLL!G65)*SUMPRODUCT((CLASS!$E65:$G65="RES")*1,TRIB!$E65:$G65)&lt;400,1,MAX(IF(SUMPRODUCT((CLASS!$E65:$G65="RES")*1)&gt;=2,0.4,0.5),MIN(1,0.25+15/SQRT(IF(KLL!G65="",INPUTS!$B$18,KLL!G65)*SUMPRODUCT((CLASS!$E65:$G65="RES")*1,TRIB!$E65:$G65)))))</f>
        <v>1</v>
      </c>
      <c r="H65" s="15" t="n">
        <f aca="false">IF(IF(KLL!H65="",INPUTS!$B$18,KLL!H65)*SUMPRODUCT((CLASS!$E65:$H65="RES")*1,TRIB!$E65:$H65)&lt;400,1,MAX(IF(SUMPRODUCT((CLASS!$E65:$H65="RES")*1)&gt;=2,0.4,0.5),MIN(1,0.25+15/SQRT(IF(KLL!H65="",INPUTS!$B$18,KLL!H65)*SUMPRODUCT((CLASS!$E65:$H65="RES")*1,TRIB!$E65:$H65)))))</f>
        <v>1</v>
      </c>
      <c r="I65" s="15" t="n">
        <f aca="false">IF(IF(KLL!I65="",INPUTS!$B$18,KLL!I65)*SUMPRODUCT((CLASS!$E65:$I65="RES")*1,TRIB!$E65:$I65)&lt;400,1,MAX(IF(SUMPRODUCT((CLASS!$E65:$I65="RES")*1)&gt;=2,0.4,0.5),MIN(1,0.25+15/SQRT(IF(KLL!I65="",INPUTS!$B$18,KLL!I65)*SUMPRODUCT((CLASS!$E65:$I65="RES")*1,TRIB!$E65:$I65)))))</f>
        <v>1</v>
      </c>
      <c r="J65" s="15" t="n">
        <f aca="false">IF(IF(KLL!J65="",INPUTS!$B$18,KLL!J65)*SUMPRODUCT((CLASS!$E65:$J65="RES")*1,TRIB!$E65:$J65)&lt;400,1,MAX(IF(SUMPRODUCT((CLASS!$E65:$J65="RES")*1)&gt;=2,0.4,0.5),MIN(1,0.25+15/SQRT(IF(KLL!J65="",INPUTS!$B$18,KLL!J65)*SUMPRODUCT((CLASS!$E65:$J65="RES")*1,TRIB!$E65:$J65)))))</f>
        <v>1</v>
      </c>
      <c r="K65" s="15" t="n">
        <f aca="false">IF(IF(KLL!K65="",INPUTS!$B$18,KLL!K65)*SUMPRODUCT((CLASS!$E65:$K65="RES")*1,TRIB!$E65:$K65)&lt;400,1,MAX(IF(SUMPRODUCT((CLASS!$E65:$K65="RES")*1)&gt;=2,0.4,0.5),MIN(1,0.25+15/SQRT(IF(KLL!K65="",INPUTS!$B$18,KLL!K65)*SUMPRODUCT((CLASS!$E65:$K65="RES")*1,TRIB!$E65:$K65)))))</f>
        <v>1</v>
      </c>
      <c r="L65" s="15" t="n">
        <f aca="false">IF(IF(KLL!L65="",INPUTS!$B$18,KLL!L65)*SUMPRODUCT((CLASS!$E65:$L65="RES")*1,TRIB!$E65:$L65)&lt;400,1,MAX(IF(SUMPRODUCT((CLASS!$E65:$L65="RES")*1)&gt;=2,0.4,0.5),MIN(1,0.25+15/SQRT(IF(KLL!L65="",INPUTS!$B$18,KLL!L65)*SUMPRODUCT((CLASS!$E65:$L65="RES")*1,TRIB!$E65:$L65)))))</f>
        <v>1</v>
      </c>
      <c r="M65" s="15" t="n">
        <f aca="false">IF(IF(KLL!M65="",INPUTS!$B$18,KLL!M65)*SUMPRODUCT((CLASS!$E65:$M65="RES")*1,TRIB!$E65:$M65)&lt;400,1,MAX(IF(SUMPRODUCT((CLASS!$E65:$M65="RES")*1)&gt;=2,0.4,0.5),MIN(1,0.25+15/SQRT(IF(KLL!M65="",INPUTS!$B$18,KLL!M65)*SUMPRODUCT((CLASS!$E65:$M65="RES")*1,TRIB!$E65:$M65)))))</f>
        <v>1</v>
      </c>
      <c r="N65" s="15" t="n">
        <f aca="false">IF(IF(KLL!N65="",INPUTS!$B$18,KLL!N65)*SUMPRODUCT((CLASS!$E65:$N65="RES")*1,TRIB!$E65:$N65)&lt;400,1,MAX(IF(SUMPRODUCT((CLASS!$E65:$N65="RES")*1)&gt;=2,0.4,0.5),MIN(1,0.25+15/SQRT(IF(KLL!N65="",INPUTS!$B$18,KLL!N65)*SUMPRODUCT((CLASS!$E65:$N65="RES")*1,TRIB!$E65:$N65)))))</f>
        <v>1</v>
      </c>
      <c r="O65" s="15" t="n">
        <f aca="false">IF(IF(KLL!O65="",INPUTS!$B$18,KLL!O65)*SUMPRODUCT((CLASS!$E65:$O65="RES")*1,TRIB!$E65:$O65)&lt;400,1,MAX(IF(SUMPRODUCT((CLASS!$E65:$O65="RES")*1)&gt;=2,0.4,0.5),MIN(1,0.25+15/SQRT(IF(KLL!O65="",INPUTS!$B$18,KLL!O65)*SUMPRODUCT((CLASS!$E65:$O65="RES")*1,TRIB!$E65:$O65)))))</f>
        <v>1</v>
      </c>
      <c r="P65" s="15" t="n">
        <f aca="false">IF(IF(KLL!P65="",INPUTS!$B$18,KLL!P65)*SUMPRODUCT((CLASS!$E65:$P65="RES")*1,TRIB!$E65:$P65)&lt;400,1,MAX(IF(SUMPRODUCT((CLASS!$E65:$P65="RES")*1)&gt;=2,0.4,0.5),MIN(1,0.25+15/SQRT(IF(KLL!P65="",INPUTS!$B$18,KLL!P65)*SUMPRODUCT((CLASS!$E65:$P65="RES")*1,TRIB!$E65:$P65)))))</f>
        <v>1</v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15" t="n">
        <f aca="false">IF(IF(KLL!E66="",INPUTS!$B$18,KLL!E66)*SUMPRODUCT((CLASS!$E66:$E66="RES")*1,TRIB!$E66:$E66)&lt;400,1,MAX(IF(SUMPRODUCT((CLASS!$E66:$E66="RES")*1)&gt;=2,0.4,0.5),MIN(1,0.25+15/SQRT(IF(KLL!E66="",INPUTS!$B$18,KLL!E66)*SUMPRODUCT((CLASS!$E66:$E66="RES")*1,TRIB!$E66:$E66)))))</f>
        <v>1</v>
      </c>
      <c r="F66" s="15" t="n">
        <f aca="false">IF(IF(KLL!F66="",INPUTS!$B$18,KLL!F66)*SUMPRODUCT((CLASS!$E66:$F66="RES")*1,TRIB!$E66:$F66)&lt;400,1,MAX(IF(SUMPRODUCT((CLASS!$E66:$F66="RES")*1)&gt;=2,0.4,0.5),MIN(1,0.25+15/SQRT(IF(KLL!F66="",INPUTS!$B$18,KLL!F66)*SUMPRODUCT((CLASS!$E66:$F66="RES")*1,TRIB!$E66:$F66)))))</f>
        <v>1</v>
      </c>
      <c r="G66" s="15" t="n">
        <f aca="false">IF(IF(KLL!G66="",INPUTS!$B$18,KLL!G66)*SUMPRODUCT((CLASS!$E66:$G66="RES")*1,TRIB!$E66:$G66)&lt;400,1,MAX(IF(SUMPRODUCT((CLASS!$E66:$G66="RES")*1)&gt;=2,0.4,0.5),MIN(1,0.25+15/SQRT(IF(KLL!G66="",INPUTS!$B$18,KLL!G66)*SUMPRODUCT((CLASS!$E66:$G66="RES")*1,TRIB!$E66:$G66)))))</f>
        <v>1</v>
      </c>
      <c r="H66" s="15" t="n">
        <f aca="false">IF(IF(KLL!H66="",INPUTS!$B$18,KLL!H66)*SUMPRODUCT((CLASS!$E66:$H66="RES")*1,TRIB!$E66:$H66)&lt;400,1,MAX(IF(SUMPRODUCT((CLASS!$E66:$H66="RES")*1)&gt;=2,0.4,0.5),MIN(1,0.25+15/SQRT(IF(KLL!H66="",INPUTS!$B$18,KLL!H66)*SUMPRODUCT((CLASS!$E66:$H66="RES")*1,TRIB!$E66:$H66)))))</f>
        <v>1</v>
      </c>
      <c r="I66" s="15" t="n">
        <f aca="false">IF(IF(KLL!I66="",INPUTS!$B$18,KLL!I66)*SUMPRODUCT((CLASS!$E66:$I66="RES")*1,TRIB!$E66:$I66)&lt;400,1,MAX(IF(SUMPRODUCT((CLASS!$E66:$I66="RES")*1)&gt;=2,0.4,0.5),MIN(1,0.25+15/SQRT(IF(KLL!I66="",INPUTS!$B$18,KLL!I66)*SUMPRODUCT((CLASS!$E66:$I66="RES")*1,TRIB!$E66:$I66)))))</f>
        <v>1</v>
      </c>
      <c r="J66" s="15" t="n">
        <f aca="false">IF(IF(KLL!J66="",INPUTS!$B$18,KLL!J66)*SUMPRODUCT((CLASS!$E66:$J66="RES")*1,TRIB!$E66:$J66)&lt;400,1,MAX(IF(SUMPRODUCT((CLASS!$E66:$J66="RES")*1)&gt;=2,0.4,0.5),MIN(1,0.25+15/SQRT(IF(KLL!J66="",INPUTS!$B$18,KLL!J66)*SUMPRODUCT((CLASS!$E66:$J66="RES")*1,TRIB!$E66:$J66)))))</f>
        <v>1</v>
      </c>
      <c r="K66" s="15" t="n">
        <f aca="false">IF(IF(KLL!K66="",INPUTS!$B$18,KLL!K66)*SUMPRODUCT((CLASS!$E66:$K66="RES")*1,TRIB!$E66:$K66)&lt;400,1,MAX(IF(SUMPRODUCT((CLASS!$E66:$K66="RES")*1)&gt;=2,0.4,0.5),MIN(1,0.25+15/SQRT(IF(KLL!K66="",INPUTS!$B$18,KLL!K66)*SUMPRODUCT((CLASS!$E66:$K66="RES")*1,TRIB!$E66:$K66)))))</f>
        <v>1</v>
      </c>
      <c r="L66" s="15" t="n">
        <f aca="false">IF(IF(KLL!L66="",INPUTS!$B$18,KLL!L66)*SUMPRODUCT((CLASS!$E66:$L66="RES")*1,TRIB!$E66:$L66)&lt;400,1,MAX(IF(SUMPRODUCT((CLASS!$E66:$L66="RES")*1)&gt;=2,0.4,0.5),MIN(1,0.25+15/SQRT(IF(KLL!L66="",INPUTS!$B$18,KLL!L66)*SUMPRODUCT((CLASS!$E66:$L66="RES")*1,TRIB!$E66:$L66)))))</f>
        <v>1</v>
      </c>
      <c r="M66" s="15" t="n">
        <f aca="false">IF(IF(KLL!M66="",INPUTS!$B$18,KLL!M66)*SUMPRODUCT((CLASS!$E66:$M66="RES")*1,TRIB!$E66:$M66)&lt;400,1,MAX(IF(SUMPRODUCT((CLASS!$E66:$M66="RES")*1)&gt;=2,0.4,0.5),MIN(1,0.25+15/SQRT(IF(KLL!M66="",INPUTS!$B$18,KLL!M66)*SUMPRODUCT((CLASS!$E66:$M66="RES")*1,TRIB!$E66:$M66)))))</f>
        <v>1</v>
      </c>
      <c r="N66" s="15" t="n">
        <f aca="false">IF(IF(KLL!N66="",INPUTS!$B$18,KLL!N66)*SUMPRODUCT((CLASS!$E66:$N66="RES")*1,TRIB!$E66:$N66)&lt;400,1,MAX(IF(SUMPRODUCT((CLASS!$E66:$N66="RES")*1)&gt;=2,0.4,0.5),MIN(1,0.25+15/SQRT(IF(KLL!N66="",INPUTS!$B$18,KLL!N66)*SUMPRODUCT((CLASS!$E66:$N66="RES")*1,TRIB!$E66:$N66)))))</f>
        <v>1</v>
      </c>
      <c r="O66" s="15" t="n">
        <f aca="false">IF(IF(KLL!O66="",INPUTS!$B$18,KLL!O66)*SUMPRODUCT((CLASS!$E66:$O66="RES")*1,TRIB!$E66:$O66)&lt;400,1,MAX(IF(SUMPRODUCT((CLASS!$E66:$O66="RES")*1)&gt;=2,0.4,0.5),MIN(1,0.25+15/SQRT(IF(KLL!O66="",INPUTS!$B$18,KLL!O66)*SUMPRODUCT((CLASS!$E66:$O66="RES")*1,TRIB!$E66:$O66)))))</f>
        <v>1</v>
      </c>
      <c r="P66" s="15" t="n">
        <f aca="false">IF(IF(KLL!P66="",INPUTS!$B$18,KLL!P66)*SUMPRODUCT((CLASS!$E66:$P66="RES")*1,TRIB!$E66:$P66)&lt;400,1,MAX(IF(SUMPRODUCT((CLASS!$E66:$P66="RES")*1)&gt;=2,0.4,0.5),MIN(1,0.25+15/SQRT(IF(KLL!P66="",INPUTS!$B$18,KLL!P66)*SUMPRODUCT((CLASS!$E66:$P66="RES")*1,TRIB!$E66:$P66)))))</f>
        <v>1</v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15" t="n">
        <f aca="false">IF(IF(KLL!E67="",INPUTS!$B$18,KLL!E67)*SUMPRODUCT((CLASS!$E67:$E67="RES")*1,TRIB!$E67:$E67)&lt;400,1,MAX(IF(SUMPRODUCT((CLASS!$E67:$E67="RES")*1)&gt;=2,0.4,0.5),MIN(1,0.25+15/SQRT(IF(KLL!E67="",INPUTS!$B$18,KLL!E67)*SUMPRODUCT((CLASS!$E67:$E67="RES")*1,TRIB!$E67:$E67)))))</f>
        <v>1</v>
      </c>
      <c r="F67" s="15" t="n">
        <f aca="false">IF(IF(KLL!F67="",INPUTS!$B$18,KLL!F67)*SUMPRODUCT((CLASS!$E67:$F67="RES")*1,TRIB!$E67:$F67)&lt;400,1,MAX(IF(SUMPRODUCT((CLASS!$E67:$F67="RES")*1)&gt;=2,0.4,0.5),MIN(1,0.25+15/SQRT(IF(KLL!F67="",INPUTS!$B$18,KLL!F67)*SUMPRODUCT((CLASS!$E67:$F67="RES")*1,TRIB!$E67:$F67)))))</f>
        <v>1</v>
      </c>
      <c r="G67" s="15" t="n">
        <f aca="false">IF(IF(KLL!G67="",INPUTS!$B$18,KLL!G67)*SUMPRODUCT((CLASS!$E67:$G67="RES")*1,TRIB!$E67:$G67)&lt;400,1,MAX(IF(SUMPRODUCT((CLASS!$E67:$G67="RES")*1)&gt;=2,0.4,0.5),MIN(1,0.25+15/SQRT(IF(KLL!G67="",INPUTS!$B$18,KLL!G67)*SUMPRODUCT((CLASS!$E67:$G67="RES")*1,TRIB!$E67:$G67)))))</f>
        <v>1</v>
      </c>
      <c r="H67" s="15" t="n">
        <f aca="false">IF(IF(KLL!H67="",INPUTS!$B$18,KLL!H67)*SUMPRODUCT((CLASS!$E67:$H67="RES")*1,TRIB!$E67:$H67)&lt;400,1,MAX(IF(SUMPRODUCT((CLASS!$E67:$H67="RES")*1)&gt;=2,0.4,0.5),MIN(1,0.25+15/SQRT(IF(KLL!H67="",INPUTS!$B$18,KLL!H67)*SUMPRODUCT((CLASS!$E67:$H67="RES")*1,TRIB!$E67:$H67)))))</f>
        <v>1</v>
      </c>
      <c r="I67" s="15" t="n">
        <f aca="false">IF(IF(KLL!I67="",INPUTS!$B$18,KLL!I67)*SUMPRODUCT((CLASS!$E67:$I67="RES")*1,TRIB!$E67:$I67)&lt;400,1,MAX(IF(SUMPRODUCT((CLASS!$E67:$I67="RES")*1)&gt;=2,0.4,0.5),MIN(1,0.25+15/SQRT(IF(KLL!I67="",INPUTS!$B$18,KLL!I67)*SUMPRODUCT((CLASS!$E67:$I67="RES")*1,TRIB!$E67:$I67)))))</f>
        <v>1</v>
      </c>
      <c r="J67" s="15" t="n">
        <f aca="false">IF(IF(KLL!J67="",INPUTS!$B$18,KLL!J67)*SUMPRODUCT((CLASS!$E67:$J67="RES")*1,TRIB!$E67:$J67)&lt;400,1,MAX(IF(SUMPRODUCT((CLASS!$E67:$J67="RES")*1)&gt;=2,0.4,0.5),MIN(1,0.25+15/SQRT(IF(KLL!J67="",INPUTS!$B$18,KLL!J67)*SUMPRODUCT((CLASS!$E67:$J67="RES")*1,TRIB!$E67:$J67)))))</f>
        <v>1</v>
      </c>
      <c r="K67" s="15" t="n">
        <f aca="false">IF(IF(KLL!K67="",INPUTS!$B$18,KLL!K67)*SUMPRODUCT((CLASS!$E67:$K67="RES")*1,TRIB!$E67:$K67)&lt;400,1,MAX(IF(SUMPRODUCT((CLASS!$E67:$K67="RES")*1)&gt;=2,0.4,0.5),MIN(1,0.25+15/SQRT(IF(KLL!K67="",INPUTS!$B$18,KLL!K67)*SUMPRODUCT((CLASS!$E67:$K67="RES")*1,TRIB!$E67:$K67)))))</f>
        <v>1</v>
      </c>
      <c r="L67" s="15" t="n">
        <f aca="false">IF(IF(KLL!L67="",INPUTS!$B$18,KLL!L67)*SUMPRODUCT((CLASS!$E67:$L67="RES")*1,TRIB!$E67:$L67)&lt;400,1,MAX(IF(SUMPRODUCT((CLASS!$E67:$L67="RES")*1)&gt;=2,0.4,0.5),MIN(1,0.25+15/SQRT(IF(KLL!L67="",INPUTS!$B$18,KLL!L67)*SUMPRODUCT((CLASS!$E67:$L67="RES")*1,TRIB!$E67:$L67)))))</f>
        <v>1</v>
      </c>
      <c r="M67" s="15" t="n">
        <f aca="false">IF(IF(KLL!M67="",INPUTS!$B$18,KLL!M67)*SUMPRODUCT((CLASS!$E67:$M67="RES")*1,TRIB!$E67:$M67)&lt;400,1,MAX(IF(SUMPRODUCT((CLASS!$E67:$M67="RES")*1)&gt;=2,0.4,0.5),MIN(1,0.25+15/SQRT(IF(KLL!M67="",INPUTS!$B$18,KLL!M67)*SUMPRODUCT((CLASS!$E67:$M67="RES")*1,TRIB!$E67:$M67)))))</f>
        <v>1</v>
      </c>
      <c r="N67" s="15" t="n">
        <f aca="false">IF(IF(KLL!N67="",INPUTS!$B$18,KLL!N67)*SUMPRODUCT((CLASS!$E67:$N67="RES")*1,TRIB!$E67:$N67)&lt;400,1,MAX(IF(SUMPRODUCT((CLASS!$E67:$N67="RES")*1)&gt;=2,0.4,0.5),MIN(1,0.25+15/SQRT(IF(KLL!N67="",INPUTS!$B$18,KLL!N67)*SUMPRODUCT((CLASS!$E67:$N67="RES")*1,TRIB!$E67:$N67)))))</f>
        <v>1</v>
      </c>
      <c r="O67" s="15" t="n">
        <f aca="false">IF(IF(KLL!O67="",INPUTS!$B$18,KLL!O67)*SUMPRODUCT((CLASS!$E67:$O67="RES")*1,TRIB!$E67:$O67)&lt;400,1,MAX(IF(SUMPRODUCT((CLASS!$E67:$O67="RES")*1)&gt;=2,0.4,0.5),MIN(1,0.25+15/SQRT(IF(KLL!O67="",INPUTS!$B$18,KLL!O67)*SUMPRODUCT((CLASS!$E67:$O67="RES")*1,TRIB!$E67:$O67)))))</f>
        <v>1</v>
      </c>
      <c r="P67" s="15" t="n">
        <f aca="false">IF(IF(KLL!P67="",INPUTS!$B$18,KLL!P67)*SUMPRODUCT((CLASS!$E67:$P67="RES")*1,TRIB!$E67:$P67)&lt;400,1,MAX(IF(SUMPRODUCT((CLASS!$E67:$P67="RES")*1)&gt;=2,0.4,0.5),MIN(1,0.25+15/SQRT(IF(KLL!P67="",INPUTS!$B$18,KLL!P67)*SUMPRODUCT((CLASS!$E67:$P67="RES")*1,TRIB!$E67:$P67)))))</f>
        <v>1</v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15" t="n">
        <f aca="false">IF(IF(KLL!E68="",INPUTS!$B$18,KLL!E68)*SUMPRODUCT((CLASS!$E68:$E68="RES")*1,TRIB!$E68:$E68)&lt;400,1,MAX(IF(SUMPRODUCT((CLASS!$E68:$E68="RES")*1)&gt;=2,0.4,0.5),MIN(1,0.25+15/SQRT(IF(KLL!E68="",INPUTS!$B$18,KLL!E68)*SUMPRODUCT((CLASS!$E68:$E68="RES")*1,TRIB!$E68:$E68)))))</f>
        <v>1</v>
      </c>
      <c r="F68" s="15" t="n">
        <f aca="false">IF(IF(KLL!F68="",INPUTS!$B$18,KLL!F68)*SUMPRODUCT((CLASS!$E68:$F68="RES")*1,TRIB!$E68:$F68)&lt;400,1,MAX(IF(SUMPRODUCT((CLASS!$E68:$F68="RES")*1)&gt;=2,0.4,0.5),MIN(1,0.25+15/SQRT(IF(KLL!F68="",INPUTS!$B$18,KLL!F68)*SUMPRODUCT((CLASS!$E68:$F68="RES")*1,TRIB!$E68:$F68)))))</f>
        <v>1</v>
      </c>
      <c r="G68" s="15" t="n">
        <f aca="false">IF(IF(KLL!G68="",INPUTS!$B$18,KLL!G68)*SUMPRODUCT((CLASS!$E68:$G68="RES")*1,TRIB!$E68:$G68)&lt;400,1,MAX(IF(SUMPRODUCT((CLASS!$E68:$G68="RES")*1)&gt;=2,0.4,0.5),MIN(1,0.25+15/SQRT(IF(KLL!G68="",INPUTS!$B$18,KLL!G68)*SUMPRODUCT((CLASS!$E68:$G68="RES")*1,TRIB!$E68:$G68)))))</f>
        <v>1</v>
      </c>
      <c r="H68" s="15" t="n">
        <f aca="false">IF(IF(KLL!H68="",INPUTS!$B$18,KLL!H68)*SUMPRODUCT((CLASS!$E68:$H68="RES")*1,TRIB!$E68:$H68)&lt;400,1,MAX(IF(SUMPRODUCT((CLASS!$E68:$H68="RES")*1)&gt;=2,0.4,0.5),MIN(1,0.25+15/SQRT(IF(KLL!H68="",INPUTS!$B$18,KLL!H68)*SUMPRODUCT((CLASS!$E68:$H68="RES")*1,TRIB!$E68:$H68)))))</f>
        <v>1</v>
      </c>
      <c r="I68" s="15" t="n">
        <f aca="false">IF(IF(KLL!I68="",INPUTS!$B$18,KLL!I68)*SUMPRODUCT((CLASS!$E68:$I68="RES")*1,TRIB!$E68:$I68)&lt;400,1,MAX(IF(SUMPRODUCT((CLASS!$E68:$I68="RES")*1)&gt;=2,0.4,0.5),MIN(1,0.25+15/SQRT(IF(KLL!I68="",INPUTS!$B$18,KLL!I68)*SUMPRODUCT((CLASS!$E68:$I68="RES")*1,TRIB!$E68:$I68)))))</f>
        <v>1</v>
      </c>
      <c r="J68" s="15" t="n">
        <f aca="false">IF(IF(KLL!J68="",INPUTS!$B$18,KLL!J68)*SUMPRODUCT((CLASS!$E68:$J68="RES")*1,TRIB!$E68:$J68)&lt;400,1,MAX(IF(SUMPRODUCT((CLASS!$E68:$J68="RES")*1)&gt;=2,0.4,0.5),MIN(1,0.25+15/SQRT(IF(KLL!J68="",INPUTS!$B$18,KLL!J68)*SUMPRODUCT((CLASS!$E68:$J68="RES")*1,TRIB!$E68:$J68)))))</f>
        <v>1</v>
      </c>
      <c r="K68" s="15" t="n">
        <f aca="false">IF(IF(KLL!K68="",INPUTS!$B$18,KLL!K68)*SUMPRODUCT((CLASS!$E68:$K68="RES")*1,TRIB!$E68:$K68)&lt;400,1,MAX(IF(SUMPRODUCT((CLASS!$E68:$K68="RES")*1)&gt;=2,0.4,0.5),MIN(1,0.25+15/SQRT(IF(KLL!K68="",INPUTS!$B$18,KLL!K68)*SUMPRODUCT((CLASS!$E68:$K68="RES")*1,TRIB!$E68:$K68)))))</f>
        <v>1</v>
      </c>
      <c r="L68" s="15" t="n">
        <f aca="false">IF(IF(KLL!L68="",INPUTS!$B$18,KLL!L68)*SUMPRODUCT((CLASS!$E68:$L68="RES")*1,TRIB!$E68:$L68)&lt;400,1,MAX(IF(SUMPRODUCT((CLASS!$E68:$L68="RES")*1)&gt;=2,0.4,0.5),MIN(1,0.25+15/SQRT(IF(KLL!L68="",INPUTS!$B$18,KLL!L68)*SUMPRODUCT((CLASS!$E68:$L68="RES")*1,TRIB!$E68:$L68)))))</f>
        <v>1</v>
      </c>
      <c r="M68" s="15" t="n">
        <f aca="false">IF(IF(KLL!M68="",INPUTS!$B$18,KLL!M68)*SUMPRODUCT((CLASS!$E68:$M68="RES")*1,TRIB!$E68:$M68)&lt;400,1,MAX(IF(SUMPRODUCT((CLASS!$E68:$M68="RES")*1)&gt;=2,0.4,0.5),MIN(1,0.25+15/SQRT(IF(KLL!M68="",INPUTS!$B$18,KLL!M68)*SUMPRODUCT((CLASS!$E68:$M68="RES")*1,TRIB!$E68:$M68)))))</f>
        <v>1</v>
      </c>
      <c r="N68" s="15" t="n">
        <f aca="false">IF(IF(KLL!N68="",INPUTS!$B$18,KLL!N68)*SUMPRODUCT((CLASS!$E68:$N68="RES")*1,TRIB!$E68:$N68)&lt;400,1,MAX(IF(SUMPRODUCT((CLASS!$E68:$N68="RES")*1)&gt;=2,0.4,0.5),MIN(1,0.25+15/SQRT(IF(KLL!N68="",INPUTS!$B$18,KLL!N68)*SUMPRODUCT((CLASS!$E68:$N68="RES")*1,TRIB!$E68:$N68)))))</f>
        <v>1</v>
      </c>
      <c r="O68" s="15" t="n">
        <f aca="false">IF(IF(KLL!O68="",INPUTS!$B$18,KLL!O68)*SUMPRODUCT((CLASS!$E68:$O68="RES")*1,TRIB!$E68:$O68)&lt;400,1,MAX(IF(SUMPRODUCT((CLASS!$E68:$O68="RES")*1)&gt;=2,0.4,0.5),MIN(1,0.25+15/SQRT(IF(KLL!O68="",INPUTS!$B$18,KLL!O68)*SUMPRODUCT((CLASS!$E68:$O68="RES")*1,TRIB!$E68:$O68)))))</f>
        <v>1</v>
      </c>
      <c r="P68" s="15" t="n">
        <f aca="false">IF(IF(KLL!P68="",INPUTS!$B$18,KLL!P68)*SUMPRODUCT((CLASS!$E68:$P68="RES")*1,TRIB!$E68:$P68)&lt;400,1,MAX(IF(SUMPRODUCT((CLASS!$E68:$P68="RES")*1)&gt;=2,0.4,0.5),MIN(1,0.25+15/SQRT(IF(KLL!P68="",INPUTS!$B$18,KLL!P68)*SUMPRODUCT((CLASS!$E68:$P68="RES")*1,TRIB!$E68:$P68)))))</f>
        <v>1</v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15" t="n">
        <f aca="false">IF(IF(KLL!E69="",INPUTS!$B$18,KLL!E69)*SUMPRODUCT((CLASS!$E69:$E69="RES")*1,TRIB!$E69:$E69)&lt;400,1,MAX(IF(SUMPRODUCT((CLASS!$E69:$E69="RES")*1)&gt;=2,0.4,0.5),MIN(1,0.25+15/SQRT(IF(KLL!E69="",INPUTS!$B$18,KLL!E69)*SUMPRODUCT((CLASS!$E69:$E69="RES")*1,TRIB!$E69:$E69)))))</f>
        <v>1</v>
      </c>
      <c r="F69" s="15" t="n">
        <f aca="false">IF(IF(KLL!F69="",INPUTS!$B$18,KLL!F69)*SUMPRODUCT((CLASS!$E69:$F69="RES")*1,TRIB!$E69:$F69)&lt;400,1,MAX(IF(SUMPRODUCT((CLASS!$E69:$F69="RES")*1)&gt;=2,0.4,0.5),MIN(1,0.25+15/SQRT(IF(KLL!F69="",INPUTS!$B$18,KLL!F69)*SUMPRODUCT((CLASS!$E69:$F69="RES")*1,TRIB!$E69:$F69)))))</f>
        <v>1</v>
      </c>
      <c r="G69" s="15" t="n">
        <f aca="false">IF(IF(KLL!G69="",INPUTS!$B$18,KLL!G69)*SUMPRODUCT((CLASS!$E69:$G69="RES")*1,TRIB!$E69:$G69)&lt;400,1,MAX(IF(SUMPRODUCT((CLASS!$E69:$G69="RES")*1)&gt;=2,0.4,0.5),MIN(1,0.25+15/SQRT(IF(KLL!G69="",INPUTS!$B$18,KLL!G69)*SUMPRODUCT((CLASS!$E69:$G69="RES")*1,TRIB!$E69:$G69)))))</f>
        <v>1</v>
      </c>
      <c r="H69" s="15" t="n">
        <f aca="false">IF(IF(KLL!H69="",INPUTS!$B$18,KLL!H69)*SUMPRODUCT((CLASS!$E69:$H69="RES")*1,TRIB!$E69:$H69)&lt;400,1,MAX(IF(SUMPRODUCT((CLASS!$E69:$H69="RES")*1)&gt;=2,0.4,0.5),MIN(1,0.25+15/SQRT(IF(KLL!H69="",INPUTS!$B$18,KLL!H69)*SUMPRODUCT((CLASS!$E69:$H69="RES")*1,TRIB!$E69:$H69)))))</f>
        <v>1</v>
      </c>
      <c r="I69" s="15" t="n">
        <f aca="false">IF(IF(KLL!I69="",INPUTS!$B$18,KLL!I69)*SUMPRODUCT((CLASS!$E69:$I69="RES")*1,TRIB!$E69:$I69)&lt;400,1,MAX(IF(SUMPRODUCT((CLASS!$E69:$I69="RES")*1)&gt;=2,0.4,0.5),MIN(1,0.25+15/SQRT(IF(KLL!I69="",INPUTS!$B$18,KLL!I69)*SUMPRODUCT((CLASS!$E69:$I69="RES")*1,TRIB!$E69:$I69)))))</f>
        <v>1</v>
      </c>
      <c r="J69" s="15" t="n">
        <f aca="false">IF(IF(KLL!J69="",INPUTS!$B$18,KLL!J69)*SUMPRODUCT((CLASS!$E69:$J69="RES")*1,TRIB!$E69:$J69)&lt;400,1,MAX(IF(SUMPRODUCT((CLASS!$E69:$J69="RES")*1)&gt;=2,0.4,0.5),MIN(1,0.25+15/SQRT(IF(KLL!J69="",INPUTS!$B$18,KLL!J69)*SUMPRODUCT((CLASS!$E69:$J69="RES")*1,TRIB!$E69:$J69)))))</f>
        <v>1</v>
      </c>
      <c r="K69" s="15" t="n">
        <f aca="false">IF(IF(KLL!K69="",INPUTS!$B$18,KLL!K69)*SUMPRODUCT((CLASS!$E69:$K69="RES")*1,TRIB!$E69:$K69)&lt;400,1,MAX(IF(SUMPRODUCT((CLASS!$E69:$K69="RES")*1)&gt;=2,0.4,0.5),MIN(1,0.25+15/SQRT(IF(KLL!K69="",INPUTS!$B$18,KLL!K69)*SUMPRODUCT((CLASS!$E69:$K69="RES")*1,TRIB!$E69:$K69)))))</f>
        <v>1</v>
      </c>
      <c r="L69" s="15" t="n">
        <f aca="false">IF(IF(KLL!L69="",INPUTS!$B$18,KLL!L69)*SUMPRODUCT((CLASS!$E69:$L69="RES")*1,TRIB!$E69:$L69)&lt;400,1,MAX(IF(SUMPRODUCT((CLASS!$E69:$L69="RES")*1)&gt;=2,0.4,0.5),MIN(1,0.25+15/SQRT(IF(KLL!L69="",INPUTS!$B$18,KLL!L69)*SUMPRODUCT((CLASS!$E69:$L69="RES")*1,TRIB!$E69:$L69)))))</f>
        <v>1</v>
      </c>
      <c r="M69" s="15" t="n">
        <f aca="false">IF(IF(KLL!M69="",INPUTS!$B$18,KLL!M69)*SUMPRODUCT((CLASS!$E69:$M69="RES")*1,TRIB!$E69:$M69)&lt;400,1,MAX(IF(SUMPRODUCT((CLASS!$E69:$M69="RES")*1)&gt;=2,0.4,0.5),MIN(1,0.25+15/SQRT(IF(KLL!M69="",INPUTS!$B$18,KLL!M69)*SUMPRODUCT((CLASS!$E69:$M69="RES")*1,TRIB!$E69:$M69)))))</f>
        <v>1</v>
      </c>
      <c r="N69" s="15" t="n">
        <f aca="false">IF(IF(KLL!N69="",INPUTS!$B$18,KLL!N69)*SUMPRODUCT((CLASS!$E69:$N69="RES")*1,TRIB!$E69:$N69)&lt;400,1,MAX(IF(SUMPRODUCT((CLASS!$E69:$N69="RES")*1)&gt;=2,0.4,0.5),MIN(1,0.25+15/SQRT(IF(KLL!N69="",INPUTS!$B$18,KLL!N69)*SUMPRODUCT((CLASS!$E69:$N69="RES")*1,TRIB!$E69:$N69)))))</f>
        <v>1</v>
      </c>
      <c r="O69" s="15" t="n">
        <f aca="false">IF(IF(KLL!O69="",INPUTS!$B$18,KLL!O69)*SUMPRODUCT((CLASS!$E69:$O69="RES")*1,TRIB!$E69:$O69)&lt;400,1,MAX(IF(SUMPRODUCT((CLASS!$E69:$O69="RES")*1)&gt;=2,0.4,0.5),MIN(1,0.25+15/SQRT(IF(KLL!O69="",INPUTS!$B$18,KLL!O69)*SUMPRODUCT((CLASS!$E69:$O69="RES")*1,TRIB!$E69:$O69)))))</f>
        <v>1</v>
      </c>
      <c r="P69" s="15" t="n">
        <f aca="false">IF(IF(KLL!P69="",INPUTS!$B$18,KLL!P69)*SUMPRODUCT((CLASS!$E69:$P69="RES")*1,TRIB!$E69:$P69)&lt;400,1,MAX(IF(SUMPRODUCT((CLASS!$E69:$P69="RES")*1)&gt;=2,0.4,0.5),MIN(1,0.25+15/SQRT(IF(KLL!P69="",INPUTS!$B$18,KLL!P69)*SUMPRODUCT((CLASS!$E69:$P69="RES")*1,TRIB!$E69:$P69)))))</f>
        <v>1</v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15" t="n">
        <f aca="false">IF(IF(KLL!E70="",INPUTS!$B$18,KLL!E70)*SUMPRODUCT((CLASS!$E70:$E70="RES")*1,TRIB!$E70:$E70)&lt;400,1,MAX(IF(SUMPRODUCT((CLASS!$E70:$E70="RES")*1)&gt;=2,0.4,0.5),MIN(1,0.25+15/SQRT(IF(KLL!E70="",INPUTS!$B$18,KLL!E70)*SUMPRODUCT((CLASS!$E70:$E70="RES")*1,TRIB!$E70:$E70)))))</f>
        <v>1</v>
      </c>
      <c r="F70" s="15" t="n">
        <f aca="false">IF(IF(KLL!F70="",INPUTS!$B$18,KLL!F70)*SUMPRODUCT((CLASS!$E70:$F70="RES")*1,TRIB!$E70:$F70)&lt;400,1,MAX(IF(SUMPRODUCT((CLASS!$E70:$F70="RES")*1)&gt;=2,0.4,0.5),MIN(1,0.25+15/SQRT(IF(KLL!F70="",INPUTS!$B$18,KLL!F70)*SUMPRODUCT((CLASS!$E70:$F70="RES")*1,TRIB!$E70:$F70)))))</f>
        <v>1</v>
      </c>
      <c r="G70" s="15" t="n">
        <f aca="false">IF(IF(KLL!G70="",INPUTS!$B$18,KLL!G70)*SUMPRODUCT((CLASS!$E70:$G70="RES")*1,TRIB!$E70:$G70)&lt;400,1,MAX(IF(SUMPRODUCT((CLASS!$E70:$G70="RES")*1)&gt;=2,0.4,0.5),MIN(1,0.25+15/SQRT(IF(KLL!G70="",INPUTS!$B$18,KLL!G70)*SUMPRODUCT((CLASS!$E70:$G70="RES")*1,TRIB!$E70:$G70)))))</f>
        <v>1</v>
      </c>
      <c r="H70" s="15" t="n">
        <f aca="false">IF(IF(KLL!H70="",INPUTS!$B$18,KLL!H70)*SUMPRODUCT((CLASS!$E70:$H70="RES")*1,TRIB!$E70:$H70)&lt;400,1,MAX(IF(SUMPRODUCT((CLASS!$E70:$H70="RES")*1)&gt;=2,0.4,0.5),MIN(1,0.25+15/SQRT(IF(KLL!H70="",INPUTS!$B$18,KLL!H70)*SUMPRODUCT((CLASS!$E70:$H70="RES")*1,TRIB!$E70:$H70)))))</f>
        <v>1</v>
      </c>
      <c r="I70" s="15" t="n">
        <f aca="false">IF(IF(KLL!I70="",INPUTS!$B$18,KLL!I70)*SUMPRODUCT((CLASS!$E70:$I70="RES")*1,TRIB!$E70:$I70)&lt;400,1,MAX(IF(SUMPRODUCT((CLASS!$E70:$I70="RES")*1)&gt;=2,0.4,0.5),MIN(1,0.25+15/SQRT(IF(KLL!I70="",INPUTS!$B$18,KLL!I70)*SUMPRODUCT((CLASS!$E70:$I70="RES")*1,TRIB!$E70:$I70)))))</f>
        <v>1</v>
      </c>
      <c r="J70" s="15" t="n">
        <f aca="false">IF(IF(KLL!J70="",INPUTS!$B$18,KLL!J70)*SUMPRODUCT((CLASS!$E70:$J70="RES")*1,TRIB!$E70:$J70)&lt;400,1,MAX(IF(SUMPRODUCT((CLASS!$E70:$J70="RES")*1)&gt;=2,0.4,0.5),MIN(1,0.25+15/SQRT(IF(KLL!J70="",INPUTS!$B$18,KLL!J70)*SUMPRODUCT((CLASS!$E70:$J70="RES")*1,TRIB!$E70:$J70)))))</f>
        <v>1</v>
      </c>
      <c r="K70" s="15" t="n">
        <f aca="false">IF(IF(KLL!K70="",INPUTS!$B$18,KLL!K70)*SUMPRODUCT((CLASS!$E70:$K70="RES")*1,TRIB!$E70:$K70)&lt;400,1,MAX(IF(SUMPRODUCT((CLASS!$E70:$K70="RES")*1)&gt;=2,0.4,0.5),MIN(1,0.25+15/SQRT(IF(KLL!K70="",INPUTS!$B$18,KLL!K70)*SUMPRODUCT((CLASS!$E70:$K70="RES")*1,TRIB!$E70:$K70)))))</f>
        <v>1</v>
      </c>
      <c r="L70" s="15" t="n">
        <f aca="false">IF(IF(KLL!L70="",INPUTS!$B$18,KLL!L70)*SUMPRODUCT((CLASS!$E70:$L70="RES")*1,TRIB!$E70:$L70)&lt;400,1,MAX(IF(SUMPRODUCT((CLASS!$E70:$L70="RES")*1)&gt;=2,0.4,0.5),MIN(1,0.25+15/SQRT(IF(KLL!L70="",INPUTS!$B$18,KLL!L70)*SUMPRODUCT((CLASS!$E70:$L70="RES")*1,TRIB!$E70:$L70)))))</f>
        <v>1</v>
      </c>
      <c r="M70" s="15" t="n">
        <f aca="false">IF(IF(KLL!M70="",INPUTS!$B$18,KLL!M70)*SUMPRODUCT((CLASS!$E70:$M70="RES")*1,TRIB!$E70:$M70)&lt;400,1,MAX(IF(SUMPRODUCT((CLASS!$E70:$M70="RES")*1)&gt;=2,0.4,0.5),MIN(1,0.25+15/SQRT(IF(KLL!M70="",INPUTS!$B$18,KLL!M70)*SUMPRODUCT((CLASS!$E70:$M70="RES")*1,TRIB!$E70:$M70)))))</f>
        <v>1</v>
      </c>
      <c r="N70" s="15" t="n">
        <f aca="false">IF(IF(KLL!N70="",INPUTS!$B$18,KLL!N70)*SUMPRODUCT((CLASS!$E70:$N70="RES")*1,TRIB!$E70:$N70)&lt;400,1,MAX(IF(SUMPRODUCT((CLASS!$E70:$N70="RES")*1)&gt;=2,0.4,0.5),MIN(1,0.25+15/SQRT(IF(KLL!N70="",INPUTS!$B$18,KLL!N70)*SUMPRODUCT((CLASS!$E70:$N70="RES")*1,TRIB!$E70:$N70)))))</f>
        <v>1</v>
      </c>
      <c r="O70" s="15" t="n">
        <f aca="false">IF(IF(KLL!O70="",INPUTS!$B$18,KLL!O70)*SUMPRODUCT((CLASS!$E70:$O70="RES")*1,TRIB!$E70:$O70)&lt;400,1,MAX(IF(SUMPRODUCT((CLASS!$E70:$O70="RES")*1)&gt;=2,0.4,0.5),MIN(1,0.25+15/SQRT(IF(KLL!O70="",INPUTS!$B$18,KLL!O70)*SUMPRODUCT((CLASS!$E70:$O70="RES")*1,TRIB!$E70:$O70)))))</f>
        <v>1</v>
      </c>
      <c r="P70" s="15" t="n">
        <f aca="false">IF(IF(KLL!P70="",INPUTS!$B$18,KLL!P70)*SUMPRODUCT((CLASS!$E70:$P70="RES")*1,TRIB!$E70:$P70)&lt;400,1,MAX(IF(SUMPRODUCT((CLASS!$E70:$P70="RES")*1)&gt;=2,0.4,0.5),MIN(1,0.25+15/SQRT(IF(KLL!P70="",INPUTS!$B$18,KLL!P70)*SUMPRODUCT((CLASS!$E70:$P70="RES")*1,TRIB!$E70:$P70)))))</f>
        <v>1</v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15" t="n">
        <f aca="false">IF(IF(KLL!E71="",INPUTS!$B$18,KLL!E71)*SUMPRODUCT((CLASS!$E71:$E71="RES")*1,TRIB!$E71:$E71)&lt;400,1,MAX(IF(SUMPRODUCT((CLASS!$E71:$E71="RES")*1)&gt;=2,0.4,0.5),MIN(1,0.25+15/SQRT(IF(KLL!E71="",INPUTS!$B$18,KLL!E71)*SUMPRODUCT((CLASS!$E71:$E71="RES")*1,TRIB!$E71:$E71)))))</f>
        <v>1</v>
      </c>
      <c r="F71" s="15" t="n">
        <f aca="false">IF(IF(KLL!F71="",INPUTS!$B$18,KLL!F71)*SUMPRODUCT((CLASS!$E71:$F71="RES")*1,TRIB!$E71:$F71)&lt;400,1,MAX(IF(SUMPRODUCT((CLASS!$E71:$F71="RES")*1)&gt;=2,0.4,0.5),MIN(1,0.25+15/SQRT(IF(KLL!F71="",INPUTS!$B$18,KLL!F71)*SUMPRODUCT((CLASS!$E71:$F71="RES")*1,TRIB!$E71:$F71)))))</f>
        <v>1</v>
      </c>
      <c r="G71" s="15" t="n">
        <f aca="false">IF(IF(KLL!G71="",INPUTS!$B$18,KLL!G71)*SUMPRODUCT((CLASS!$E71:$G71="RES")*1,TRIB!$E71:$G71)&lt;400,1,MAX(IF(SUMPRODUCT((CLASS!$E71:$G71="RES")*1)&gt;=2,0.4,0.5),MIN(1,0.25+15/SQRT(IF(KLL!G71="",INPUTS!$B$18,KLL!G71)*SUMPRODUCT((CLASS!$E71:$G71="RES")*1,TRIB!$E71:$G71)))))</f>
        <v>1</v>
      </c>
      <c r="H71" s="15" t="n">
        <f aca="false">IF(IF(KLL!H71="",INPUTS!$B$18,KLL!H71)*SUMPRODUCT((CLASS!$E71:$H71="RES")*1,TRIB!$E71:$H71)&lt;400,1,MAX(IF(SUMPRODUCT((CLASS!$E71:$H71="RES")*1)&gt;=2,0.4,0.5),MIN(1,0.25+15/SQRT(IF(KLL!H71="",INPUTS!$B$18,KLL!H71)*SUMPRODUCT((CLASS!$E71:$H71="RES")*1,TRIB!$E71:$H71)))))</f>
        <v>1</v>
      </c>
      <c r="I71" s="15" t="n">
        <f aca="false">IF(IF(KLL!I71="",INPUTS!$B$18,KLL!I71)*SUMPRODUCT((CLASS!$E71:$I71="RES")*1,TRIB!$E71:$I71)&lt;400,1,MAX(IF(SUMPRODUCT((CLASS!$E71:$I71="RES")*1)&gt;=2,0.4,0.5),MIN(1,0.25+15/SQRT(IF(KLL!I71="",INPUTS!$B$18,KLL!I71)*SUMPRODUCT((CLASS!$E71:$I71="RES")*1,TRIB!$E71:$I71)))))</f>
        <v>1</v>
      </c>
      <c r="J71" s="15" t="n">
        <f aca="false">IF(IF(KLL!J71="",INPUTS!$B$18,KLL!J71)*SUMPRODUCT((CLASS!$E71:$J71="RES")*1,TRIB!$E71:$J71)&lt;400,1,MAX(IF(SUMPRODUCT((CLASS!$E71:$J71="RES")*1)&gt;=2,0.4,0.5),MIN(1,0.25+15/SQRT(IF(KLL!J71="",INPUTS!$B$18,KLL!J71)*SUMPRODUCT((CLASS!$E71:$J71="RES")*1,TRIB!$E71:$J71)))))</f>
        <v>1</v>
      </c>
      <c r="K71" s="15" t="n">
        <f aca="false">IF(IF(KLL!K71="",INPUTS!$B$18,KLL!K71)*SUMPRODUCT((CLASS!$E71:$K71="RES")*1,TRIB!$E71:$K71)&lt;400,1,MAX(IF(SUMPRODUCT((CLASS!$E71:$K71="RES")*1)&gt;=2,0.4,0.5),MIN(1,0.25+15/SQRT(IF(KLL!K71="",INPUTS!$B$18,KLL!K71)*SUMPRODUCT((CLASS!$E71:$K71="RES")*1,TRIB!$E71:$K71)))))</f>
        <v>1</v>
      </c>
      <c r="L71" s="15" t="n">
        <f aca="false">IF(IF(KLL!L71="",INPUTS!$B$18,KLL!L71)*SUMPRODUCT((CLASS!$E71:$L71="RES")*1,TRIB!$E71:$L71)&lt;400,1,MAX(IF(SUMPRODUCT((CLASS!$E71:$L71="RES")*1)&gt;=2,0.4,0.5),MIN(1,0.25+15/SQRT(IF(KLL!L71="",INPUTS!$B$18,KLL!L71)*SUMPRODUCT((CLASS!$E71:$L71="RES")*1,TRIB!$E71:$L71)))))</f>
        <v>1</v>
      </c>
      <c r="M71" s="15" t="n">
        <f aca="false">IF(IF(KLL!M71="",INPUTS!$B$18,KLL!M71)*SUMPRODUCT((CLASS!$E71:$M71="RES")*1,TRIB!$E71:$M71)&lt;400,1,MAX(IF(SUMPRODUCT((CLASS!$E71:$M71="RES")*1)&gt;=2,0.4,0.5),MIN(1,0.25+15/SQRT(IF(KLL!M71="",INPUTS!$B$18,KLL!M71)*SUMPRODUCT((CLASS!$E71:$M71="RES")*1,TRIB!$E71:$M71)))))</f>
        <v>1</v>
      </c>
      <c r="N71" s="15" t="n">
        <f aca="false">IF(IF(KLL!N71="",INPUTS!$B$18,KLL!N71)*SUMPRODUCT((CLASS!$E71:$N71="RES")*1,TRIB!$E71:$N71)&lt;400,1,MAX(IF(SUMPRODUCT((CLASS!$E71:$N71="RES")*1)&gt;=2,0.4,0.5),MIN(1,0.25+15/SQRT(IF(KLL!N71="",INPUTS!$B$18,KLL!N71)*SUMPRODUCT((CLASS!$E71:$N71="RES")*1,TRIB!$E71:$N71)))))</f>
        <v>1</v>
      </c>
      <c r="O71" s="15" t="n">
        <f aca="false">IF(IF(KLL!O71="",INPUTS!$B$18,KLL!O71)*SUMPRODUCT((CLASS!$E71:$O71="RES")*1,TRIB!$E71:$O71)&lt;400,1,MAX(IF(SUMPRODUCT((CLASS!$E71:$O71="RES")*1)&gt;=2,0.4,0.5),MIN(1,0.25+15/SQRT(IF(KLL!O71="",INPUTS!$B$18,KLL!O71)*SUMPRODUCT((CLASS!$E71:$O71="RES")*1,TRIB!$E71:$O71)))))</f>
        <v>1</v>
      </c>
      <c r="P71" s="15" t="n">
        <f aca="false">IF(IF(KLL!P71="",INPUTS!$B$18,KLL!P71)*SUMPRODUCT((CLASS!$E71:$P71="RES")*1,TRIB!$E71:$P71)&lt;400,1,MAX(IF(SUMPRODUCT((CLASS!$E71:$P71="RES")*1)&gt;=2,0.4,0.5),MIN(1,0.25+15/SQRT(IF(KLL!P71="",INPUTS!$B$18,KLL!P71)*SUMPRODUCT((CLASS!$E71:$P71="RES")*1,TRIB!$E71:$P71)))))</f>
        <v>1</v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15" t="n">
        <f aca="false">IF(IF(KLL!E72="",INPUTS!$B$18,KLL!E72)*SUMPRODUCT((CLASS!$E72:$E72="RES")*1,TRIB!$E72:$E72)&lt;400,1,MAX(IF(SUMPRODUCT((CLASS!$E72:$E72="RES")*1)&gt;=2,0.4,0.5),MIN(1,0.25+15/SQRT(IF(KLL!E72="",INPUTS!$B$18,KLL!E72)*SUMPRODUCT((CLASS!$E72:$E72="RES")*1,TRIB!$E72:$E72)))))</f>
        <v>1</v>
      </c>
      <c r="F72" s="15" t="n">
        <f aca="false">IF(IF(KLL!F72="",INPUTS!$B$18,KLL!F72)*SUMPRODUCT((CLASS!$E72:$F72="RES")*1,TRIB!$E72:$F72)&lt;400,1,MAX(IF(SUMPRODUCT((CLASS!$E72:$F72="RES")*1)&gt;=2,0.4,0.5),MIN(1,0.25+15/SQRT(IF(KLL!F72="",INPUTS!$B$18,KLL!F72)*SUMPRODUCT((CLASS!$E72:$F72="RES")*1,TRIB!$E72:$F72)))))</f>
        <v>1</v>
      </c>
      <c r="G72" s="15" t="n">
        <f aca="false">IF(IF(KLL!G72="",INPUTS!$B$18,KLL!G72)*SUMPRODUCT((CLASS!$E72:$G72="RES")*1,TRIB!$E72:$G72)&lt;400,1,MAX(IF(SUMPRODUCT((CLASS!$E72:$G72="RES")*1)&gt;=2,0.4,0.5),MIN(1,0.25+15/SQRT(IF(KLL!G72="",INPUTS!$B$18,KLL!G72)*SUMPRODUCT((CLASS!$E72:$G72="RES")*1,TRIB!$E72:$G72)))))</f>
        <v>1</v>
      </c>
      <c r="H72" s="15" t="n">
        <f aca="false">IF(IF(KLL!H72="",INPUTS!$B$18,KLL!H72)*SUMPRODUCT((CLASS!$E72:$H72="RES")*1,TRIB!$E72:$H72)&lt;400,1,MAX(IF(SUMPRODUCT((CLASS!$E72:$H72="RES")*1)&gt;=2,0.4,0.5),MIN(1,0.25+15/SQRT(IF(KLL!H72="",INPUTS!$B$18,KLL!H72)*SUMPRODUCT((CLASS!$E72:$H72="RES")*1,TRIB!$E72:$H72)))))</f>
        <v>1</v>
      </c>
      <c r="I72" s="15" t="n">
        <f aca="false">IF(IF(KLL!I72="",INPUTS!$B$18,KLL!I72)*SUMPRODUCT((CLASS!$E72:$I72="RES")*1,TRIB!$E72:$I72)&lt;400,1,MAX(IF(SUMPRODUCT((CLASS!$E72:$I72="RES")*1)&gt;=2,0.4,0.5),MIN(1,0.25+15/SQRT(IF(KLL!I72="",INPUTS!$B$18,KLL!I72)*SUMPRODUCT((CLASS!$E72:$I72="RES")*1,TRIB!$E72:$I72)))))</f>
        <v>1</v>
      </c>
      <c r="J72" s="15" t="n">
        <f aca="false">IF(IF(KLL!J72="",INPUTS!$B$18,KLL!J72)*SUMPRODUCT((CLASS!$E72:$J72="RES")*1,TRIB!$E72:$J72)&lt;400,1,MAX(IF(SUMPRODUCT((CLASS!$E72:$J72="RES")*1)&gt;=2,0.4,0.5),MIN(1,0.25+15/SQRT(IF(KLL!J72="",INPUTS!$B$18,KLL!J72)*SUMPRODUCT((CLASS!$E72:$J72="RES")*1,TRIB!$E72:$J72)))))</f>
        <v>1</v>
      </c>
      <c r="K72" s="15" t="n">
        <f aca="false">IF(IF(KLL!K72="",INPUTS!$B$18,KLL!K72)*SUMPRODUCT((CLASS!$E72:$K72="RES")*1,TRIB!$E72:$K72)&lt;400,1,MAX(IF(SUMPRODUCT((CLASS!$E72:$K72="RES")*1)&gt;=2,0.4,0.5),MIN(1,0.25+15/SQRT(IF(KLL!K72="",INPUTS!$B$18,KLL!K72)*SUMPRODUCT((CLASS!$E72:$K72="RES")*1,TRIB!$E72:$K72)))))</f>
        <v>1</v>
      </c>
      <c r="L72" s="15" t="n">
        <f aca="false">IF(IF(KLL!L72="",INPUTS!$B$18,KLL!L72)*SUMPRODUCT((CLASS!$E72:$L72="RES")*1,TRIB!$E72:$L72)&lt;400,1,MAX(IF(SUMPRODUCT((CLASS!$E72:$L72="RES")*1)&gt;=2,0.4,0.5),MIN(1,0.25+15/SQRT(IF(KLL!L72="",INPUTS!$B$18,KLL!L72)*SUMPRODUCT((CLASS!$E72:$L72="RES")*1,TRIB!$E72:$L72)))))</f>
        <v>1</v>
      </c>
      <c r="M72" s="15" t="n">
        <f aca="false">IF(IF(KLL!M72="",INPUTS!$B$18,KLL!M72)*SUMPRODUCT((CLASS!$E72:$M72="RES")*1,TRIB!$E72:$M72)&lt;400,1,MAX(IF(SUMPRODUCT((CLASS!$E72:$M72="RES")*1)&gt;=2,0.4,0.5),MIN(1,0.25+15/SQRT(IF(KLL!M72="",INPUTS!$B$18,KLL!M72)*SUMPRODUCT((CLASS!$E72:$M72="RES")*1,TRIB!$E72:$M72)))))</f>
        <v>1</v>
      </c>
      <c r="N72" s="15" t="n">
        <f aca="false">IF(IF(KLL!N72="",INPUTS!$B$18,KLL!N72)*SUMPRODUCT((CLASS!$E72:$N72="RES")*1,TRIB!$E72:$N72)&lt;400,1,MAX(IF(SUMPRODUCT((CLASS!$E72:$N72="RES")*1)&gt;=2,0.4,0.5),MIN(1,0.25+15/SQRT(IF(KLL!N72="",INPUTS!$B$18,KLL!N72)*SUMPRODUCT((CLASS!$E72:$N72="RES")*1,TRIB!$E72:$N72)))))</f>
        <v>1</v>
      </c>
      <c r="O72" s="15" t="n">
        <f aca="false">IF(IF(KLL!O72="",INPUTS!$B$18,KLL!O72)*SUMPRODUCT((CLASS!$E72:$O72="RES")*1,TRIB!$E72:$O72)&lt;400,1,MAX(IF(SUMPRODUCT((CLASS!$E72:$O72="RES")*1)&gt;=2,0.4,0.5),MIN(1,0.25+15/SQRT(IF(KLL!O72="",INPUTS!$B$18,KLL!O72)*SUMPRODUCT((CLASS!$E72:$O72="RES")*1,TRIB!$E72:$O72)))))</f>
        <v>1</v>
      </c>
      <c r="P72" s="15" t="n">
        <f aca="false">IF(IF(KLL!P72="",INPUTS!$B$18,KLL!P72)*SUMPRODUCT((CLASS!$E72:$P72="RES")*1,TRIB!$E72:$P72)&lt;400,1,MAX(IF(SUMPRODUCT((CLASS!$E72:$P72="RES")*1)&gt;=2,0.4,0.5),MIN(1,0.25+15/SQRT(IF(KLL!P72="",INPUTS!$B$18,KLL!P72)*SUMPRODUCT((CLASS!$E72:$P72="RES")*1,TRIB!$E72:$P72)))))</f>
        <v>1</v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15" t="n">
        <f aca="false">IF(IF(KLL!E73="",INPUTS!$B$18,KLL!E73)*SUMPRODUCT((CLASS!$E73:$E73="RES")*1,TRIB!$E73:$E73)&lt;400,1,MAX(IF(SUMPRODUCT((CLASS!$E73:$E73="RES")*1)&gt;=2,0.4,0.5),MIN(1,0.25+15/SQRT(IF(KLL!E73="",INPUTS!$B$18,KLL!E73)*SUMPRODUCT((CLASS!$E73:$E73="RES")*1,TRIB!$E73:$E73)))))</f>
        <v>1</v>
      </c>
      <c r="F73" s="15" t="n">
        <f aca="false">IF(IF(KLL!F73="",INPUTS!$B$18,KLL!F73)*SUMPRODUCT((CLASS!$E73:$F73="RES")*1,TRIB!$E73:$F73)&lt;400,1,MAX(IF(SUMPRODUCT((CLASS!$E73:$F73="RES")*1)&gt;=2,0.4,0.5),MIN(1,0.25+15/SQRT(IF(KLL!F73="",INPUTS!$B$18,KLL!F73)*SUMPRODUCT((CLASS!$E73:$F73="RES")*1,TRIB!$E73:$F73)))))</f>
        <v>1</v>
      </c>
      <c r="G73" s="15" t="n">
        <f aca="false">IF(IF(KLL!G73="",INPUTS!$B$18,KLL!G73)*SUMPRODUCT((CLASS!$E73:$G73="RES")*1,TRIB!$E73:$G73)&lt;400,1,MAX(IF(SUMPRODUCT((CLASS!$E73:$G73="RES")*1)&gt;=2,0.4,0.5),MIN(1,0.25+15/SQRT(IF(KLL!G73="",INPUTS!$B$18,KLL!G73)*SUMPRODUCT((CLASS!$E73:$G73="RES")*1,TRIB!$E73:$G73)))))</f>
        <v>1</v>
      </c>
      <c r="H73" s="15" t="n">
        <f aca="false">IF(IF(KLL!H73="",INPUTS!$B$18,KLL!H73)*SUMPRODUCT((CLASS!$E73:$H73="RES")*1,TRIB!$E73:$H73)&lt;400,1,MAX(IF(SUMPRODUCT((CLASS!$E73:$H73="RES")*1)&gt;=2,0.4,0.5),MIN(1,0.25+15/SQRT(IF(KLL!H73="",INPUTS!$B$18,KLL!H73)*SUMPRODUCT((CLASS!$E73:$H73="RES")*1,TRIB!$E73:$H73)))))</f>
        <v>1</v>
      </c>
      <c r="I73" s="15" t="n">
        <f aca="false">IF(IF(KLL!I73="",INPUTS!$B$18,KLL!I73)*SUMPRODUCT((CLASS!$E73:$I73="RES")*1,TRIB!$E73:$I73)&lt;400,1,MAX(IF(SUMPRODUCT((CLASS!$E73:$I73="RES")*1)&gt;=2,0.4,0.5),MIN(1,0.25+15/SQRT(IF(KLL!I73="",INPUTS!$B$18,KLL!I73)*SUMPRODUCT((CLASS!$E73:$I73="RES")*1,TRIB!$E73:$I73)))))</f>
        <v>1</v>
      </c>
      <c r="J73" s="15" t="n">
        <f aca="false">IF(IF(KLL!J73="",INPUTS!$B$18,KLL!J73)*SUMPRODUCT((CLASS!$E73:$J73="RES")*1,TRIB!$E73:$J73)&lt;400,1,MAX(IF(SUMPRODUCT((CLASS!$E73:$J73="RES")*1)&gt;=2,0.4,0.5),MIN(1,0.25+15/SQRT(IF(KLL!J73="",INPUTS!$B$18,KLL!J73)*SUMPRODUCT((CLASS!$E73:$J73="RES")*1,TRIB!$E73:$J73)))))</f>
        <v>1</v>
      </c>
      <c r="K73" s="15" t="n">
        <f aca="false">IF(IF(KLL!K73="",INPUTS!$B$18,KLL!K73)*SUMPRODUCT((CLASS!$E73:$K73="RES")*1,TRIB!$E73:$K73)&lt;400,1,MAX(IF(SUMPRODUCT((CLASS!$E73:$K73="RES")*1)&gt;=2,0.4,0.5),MIN(1,0.25+15/SQRT(IF(KLL!K73="",INPUTS!$B$18,KLL!K73)*SUMPRODUCT((CLASS!$E73:$K73="RES")*1,TRIB!$E73:$K73)))))</f>
        <v>1</v>
      </c>
      <c r="L73" s="15" t="n">
        <f aca="false">IF(IF(KLL!L73="",INPUTS!$B$18,KLL!L73)*SUMPRODUCT((CLASS!$E73:$L73="RES")*1,TRIB!$E73:$L73)&lt;400,1,MAX(IF(SUMPRODUCT((CLASS!$E73:$L73="RES")*1)&gt;=2,0.4,0.5),MIN(1,0.25+15/SQRT(IF(KLL!L73="",INPUTS!$B$18,KLL!L73)*SUMPRODUCT((CLASS!$E73:$L73="RES")*1,TRIB!$E73:$L73)))))</f>
        <v>1</v>
      </c>
      <c r="M73" s="15" t="n">
        <f aca="false">IF(IF(KLL!M73="",INPUTS!$B$18,KLL!M73)*SUMPRODUCT((CLASS!$E73:$M73="RES")*1,TRIB!$E73:$M73)&lt;400,1,MAX(IF(SUMPRODUCT((CLASS!$E73:$M73="RES")*1)&gt;=2,0.4,0.5),MIN(1,0.25+15/SQRT(IF(KLL!M73="",INPUTS!$B$18,KLL!M73)*SUMPRODUCT((CLASS!$E73:$M73="RES")*1,TRIB!$E73:$M73)))))</f>
        <v>1</v>
      </c>
      <c r="N73" s="15" t="n">
        <f aca="false">IF(IF(KLL!N73="",INPUTS!$B$18,KLL!N73)*SUMPRODUCT((CLASS!$E73:$N73="RES")*1,TRIB!$E73:$N73)&lt;400,1,MAX(IF(SUMPRODUCT((CLASS!$E73:$N73="RES")*1)&gt;=2,0.4,0.5),MIN(1,0.25+15/SQRT(IF(KLL!N73="",INPUTS!$B$18,KLL!N73)*SUMPRODUCT((CLASS!$E73:$N73="RES")*1,TRIB!$E73:$N73)))))</f>
        <v>1</v>
      </c>
      <c r="O73" s="15" t="n">
        <f aca="false">IF(IF(KLL!O73="",INPUTS!$B$18,KLL!O73)*SUMPRODUCT((CLASS!$E73:$O73="RES")*1,TRIB!$E73:$O73)&lt;400,1,MAX(IF(SUMPRODUCT((CLASS!$E73:$O73="RES")*1)&gt;=2,0.4,0.5),MIN(1,0.25+15/SQRT(IF(KLL!O73="",INPUTS!$B$18,KLL!O73)*SUMPRODUCT((CLASS!$E73:$O73="RES")*1,TRIB!$E73:$O73)))))</f>
        <v>1</v>
      </c>
      <c r="P73" s="15" t="n">
        <f aca="false">IF(IF(KLL!P73="",INPUTS!$B$18,KLL!P73)*SUMPRODUCT((CLASS!$E73:$P73="RES")*1,TRIB!$E73:$P73)&lt;400,1,MAX(IF(SUMPRODUCT((CLASS!$E73:$P73="RES")*1)&gt;=2,0.4,0.5),MIN(1,0.25+15/SQRT(IF(KLL!P73="",INPUTS!$B$18,KLL!P73)*SUMPRODUCT((CLASS!$E73:$P73="RES")*1,TRIB!$E73:$P73)))))</f>
        <v>1</v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15" t="n">
        <f aca="false">IF(IF(KLL!E74="",INPUTS!$B$18,KLL!E74)*SUMPRODUCT((CLASS!$E74:$E74="RES")*1,TRIB!$E74:$E74)&lt;400,1,MAX(IF(SUMPRODUCT((CLASS!$E74:$E74="RES")*1)&gt;=2,0.4,0.5),MIN(1,0.25+15/SQRT(IF(KLL!E74="",INPUTS!$B$18,KLL!E74)*SUMPRODUCT((CLASS!$E74:$E74="RES")*1,TRIB!$E74:$E74)))))</f>
        <v>1</v>
      </c>
      <c r="F74" s="15" t="n">
        <f aca="false">IF(IF(KLL!F74="",INPUTS!$B$18,KLL!F74)*SUMPRODUCT((CLASS!$E74:$F74="RES")*1,TRIB!$E74:$F74)&lt;400,1,MAX(IF(SUMPRODUCT((CLASS!$E74:$F74="RES")*1)&gt;=2,0.4,0.5),MIN(1,0.25+15/SQRT(IF(KLL!F74="",INPUTS!$B$18,KLL!F74)*SUMPRODUCT((CLASS!$E74:$F74="RES")*1,TRIB!$E74:$F74)))))</f>
        <v>1</v>
      </c>
      <c r="G74" s="15" t="n">
        <f aca="false">IF(IF(KLL!G74="",INPUTS!$B$18,KLL!G74)*SUMPRODUCT((CLASS!$E74:$G74="RES")*1,TRIB!$E74:$G74)&lt;400,1,MAX(IF(SUMPRODUCT((CLASS!$E74:$G74="RES")*1)&gt;=2,0.4,0.5),MIN(1,0.25+15/SQRT(IF(KLL!G74="",INPUTS!$B$18,KLL!G74)*SUMPRODUCT((CLASS!$E74:$G74="RES")*1,TRIB!$E74:$G74)))))</f>
        <v>1</v>
      </c>
      <c r="H74" s="15" t="n">
        <f aca="false">IF(IF(KLL!H74="",INPUTS!$B$18,KLL!H74)*SUMPRODUCT((CLASS!$E74:$H74="RES")*1,TRIB!$E74:$H74)&lt;400,1,MAX(IF(SUMPRODUCT((CLASS!$E74:$H74="RES")*1)&gt;=2,0.4,0.5),MIN(1,0.25+15/SQRT(IF(KLL!H74="",INPUTS!$B$18,KLL!H74)*SUMPRODUCT((CLASS!$E74:$H74="RES")*1,TRIB!$E74:$H74)))))</f>
        <v>1</v>
      </c>
      <c r="I74" s="15" t="n">
        <f aca="false">IF(IF(KLL!I74="",INPUTS!$B$18,KLL!I74)*SUMPRODUCT((CLASS!$E74:$I74="RES")*1,TRIB!$E74:$I74)&lt;400,1,MAX(IF(SUMPRODUCT((CLASS!$E74:$I74="RES")*1)&gt;=2,0.4,0.5),MIN(1,0.25+15/SQRT(IF(KLL!I74="",INPUTS!$B$18,KLL!I74)*SUMPRODUCT((CLASS!$E74:$I74="RES")*1,TRIB!$E74:$I74)))))</f>
        <v>1</v>
      </c>
      <c r="J74" s="15" t="n">
        <f aca="false">IF(IF(KLL!J74="",INPUTS!$B$18,KLL!J74)*SUMPRODUCT((CLASS!$E74:$J74="RES")*1,TRIB!$E74:$J74)&lt;400,1,MAX(IF(SUMPRODUCT((CLASS!$E74:$J74="RES")*1)&gt;=2,0.4,0.5),MIN(1,0.25+15/SQRT(IF(KLL!J74="",INPUTS!$B$18,KLL!J74)*SUMPRODUCT((CLASS!$E74:$J74="RES")*1,TRIB!$E74:$J74)))))</f>
        <v>1</v>
      </c>
      <c r="K74" s="15" t="n">
        <f aca="false">IF(IF(KLL!K74="",INPUTS!$B$18,KLL!K74)*SUMPRODUCT((CLASS!$E74:$K74="RES")*1,TRIB!$E74:$K74)&lt;400,1,MAX(IF(SUMPRODUCT((CLASS!$E74:$K74="RES")*1)&gt;=2,0.4,0.5),MIN(1,0.25+15/SQRT(IF(KLL!K74="",INPUTS!$B$18,KLL!K74)*SUMPRODUCT((CLASS!$E74:$K74="RES")*1,TRIB!$E74:$K74)))))</f>
        <v>1</v>
      </c>
      <c r="L74" s="15" t="n">
        <f aca="false">IF(IF(KLL!L74="",INPUTS!$B$18,KLL!L74)*SUMPRODUCT((CLASS!$E74:$L74="RES")*1,TRIB!$E74:$L74)&lt;400,1,MAX(IF(SUMPRODUCT((CLASS!$E74:$L74="RES")*1)&gt;=2,0.4,0.5),MIN(1,0.25+15/SQRT(IF(KLL!L74="",INPUTS!$B$18,KLL!L74)*SUMPRODUCT((CLASS!$E74:$L74="RES")*1,TRIB!$E74:$L74)))))</f>
        <v>1</v>
      </c>
      <c r="M74" s="15" t="n">
        <f aca="false">IF(IF(KLL!M74="",INPUTS!$B$18,KLL!M74)*SUMPRODUCT((CLASS!$E74:$M74="RES")*1,TRIB!$E74:$M74)&lt;400,1,MAX(IF(SUMPRODUCT((CLASS!$E74:$M74="RES")*1)&gt;=2,0.4,0.5),MIN(1,0.25+15/SQRT(IF(KLL!M74="",INPUTS!$B$18,KLL!M74)*SUMPRODUCT((CLASS!$E74:$M74="RES")*1,TRIB!$E74:$M74)))))</f>
        <v>1</v>
      </c>
      <c r="N74" s="15" t="n">
        <f aca="false">IF(IF(KLL!N74="",INPUTS!$B$18,KLL!N74)*SUMPRODUCT((CLASS!$E74:$N74="RES")*1,TRIB!$E74:$N74)&lt;400,1,MAX(IF(SUMPRODUCT((CLASS!$E74:$N74="RES")*1)&gt;=2,0.4,0.5),MIN(1,0.25+15/SQRT(IF(KLL!N74="",INPUTS!$B$18,KLL!N74)*SUMPRODUCT((CLASS!$E74:$N74="RES")*1,TRIB!$E74:$N74)))))</f>
        <v>1</v>
      </c>
      <c r="O74" s="15" t="n">
        <f aca="false">IF(IF(KLL!O74="",INPUTS!$B$18,KLL!O74)*SUMPRODUCT((CLASS!$E74:$O74="RES")*1,TRIB!$E74:$O74)&lt;400,1,MAX(IF(SUMPRODUCT((CLASS!$E74:$O74="RES")*1)&gt;=2,0.4,0.5),MIN(1,0.25+15/SQRT(IF(KLL!O74="",INPUTS!$B$18,KLL!O74)*SUMPRODUCT((CLASS!$E74:$O74="RES")*1,TRIB!$E74:$O74)))))</f>
        <v>1</v>
      </c>
      <c r="P74" s="15" t="n">
        <f aca="false">IF(IF(KLL!P74="",INPUTS!$B$18,KLL!P74)*SUMPRODUCT((CLASS!$E74:$P74="RES")*1,TRIB!$E74:$P74)&lt;400,1,MAX(IF(SUMPRODUCT((CLASS!$E74:$P74="RES")*1)&gt;=2,0.4,0.5),MIN(1,0.25+15/SQRT(IF(KLL!P74="",INPUTS!$B$18,KLL!P74)*SUMPRODUCT((CLASS!$E74:$P74="RES")*1,TRIB!$E74:$P74)))))</f>
        <v>1</v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15" t="n">
        <f aca="false">IF(IF(KLL!E75="",INPUTS!$B$18,KLL!E75)*SUMPRODUCT((CLASS!$E75:$E75="RES")*1,TRIB!$E75:$E75)&lt;400,1,MAX(IF(SUMPRODUCT((CLASS!$E75:$E75="RES")*1)&gt;=2,0.4,0.5),MIN(1,0.25+15/SQRT(IF(KLL!E75="",INPUTS!$B$18,KLL!E75)*SUMPRODUCT((CLASS!$E75:$E75="RES")*1,TRIB!$E75:$E75)))))</f>
        <v>1</v>
      </c>
      <c r="F75" s="15" t="n">
        <f aca="false">IF(IF(KLL!F75="",INPUTS!$B$18,KLL!F75)*SUMPRODUCT((CLASS!$E75:$F75="RES")*1,TRIB!$E75:$F75)&lt;400,1,MAX(IF(SUMPRODUCT((CLASS!$E75:$F75="RES")*1)&gt;=2,0.4,0.5),MIN(1,0.25+15/SQRT(IF(KLL!F75="",INPUTS!$B$18,KLL!F75)*SUMPRODUCT((CLASS!$E75:$F75="RES")*1,TRIB!$E75:$F75)))))</f>
        <v>1</v>
      </c>
      <c r="G75" s="15" t="n">
        <f aca="false">IF(IF(KLL!G75="",INPUTS!$B$18,KLL!G75)*SUMPRODUCT((CLASS!$E75:$G75="RES")*1,TRIB!$E75:$G75)&lt;400,1,MAX(IF(SUMPRODUCT((CLASS!$E75:$G75="RES")*1)&gt;=2,0.4,0.5),MIN(1,0.25+15/SQRT(IF(KLL!G75="",INPUTS!$B$18,KLL!G75)*SUMPRODUCT((CLASS!$E75:$G75="RES")*1,TRIB!$E75:$G75)))))</f>
        <v>1</v>
      </c>
      <c r="H75" s="15" t="n">
        <f aca="false">IF(IF(KLL!H75="",INPUTS!$B$18,KLL!H75)*SUMPRODUCT((CLASS!$E75:$H75="RES")*1,TRIB!$E75:$H75)&lt;400,1,MAX(IF(SUMPRODUCT((CLASS!$E75:$H75="RES")*1)&gt;=2,0.4,0.5),MIN(1,0.25+15/SQRT(IF(KLL!H75="",INPUTS!$B$18,KLL!H75)*SUMPRODUCT((CLASS!$E75:$H75="RES")*1,TRIB!$E75:$H75)))))</f>
        <v>1</v>
      </c>
      <c r="I75" s="15" t="n">
        <f aca="false">IF(IF(KLL!I75="",INPUTS!$B$18,KLL!I75)*SUMPRODUCT((CLASS!$E75:$I75="RES")*1,TRIB!$E75:$I75)&lt;400,1,MAX(IF(SUMPRODUCT((CLASS!$E75:$I75="RES")*1)&gt;=2,0.4,0.5),MIN(1,0.25+15/SQRT(IF(KLL!I75="",INPUTS!$B$18,KLL!I75)*SUMPRODUCT((CLASS!$E75:$I75="RES")*1,TRIB!$E75:$I75)))))</f>
        <v>1</v>
      </c>
      <c r="J75" s="15" t="n">
        <f aca="false">IF(IF(KLL!J75="",INPUTS!$B$18,KLL!J75)*SUMPRODUCT((CLASS!$E75:$J75="RES")*1,TRIB!$E75:$J75)&lt;400,1,MAX(IF(SUMPRODUCT((CLASS!$E75:$J75="RES")*1)&gt;=2,0.4,0.5),MIN(1,0.25+15/SQRT(IF(KLL!J75="",INPUTS!$B$18,KLL!J75)*SUMPRODUCT((CLASS!$E75:$J75="RES")*1,TRIB!$E75:$J75)))))</f>
        <v>1</v>
      </c>
      <c r="K75" s="15" t="n">
        <f aca="false">IF(IF(KLL!K75="",INPUTS!$B$18,KLL!K75)*SUMPRODUCT((CLASS!$E75:$K75="RES")*1,TRIB!$E75:$K75)&lt;400,1,MAX(IF(SUMPRODUCT((CLASS!$E75:$K75="RES")*1)&gt;=2,0.4,0.5),MIN(1,0.25+15/SQRT(IF(KLL!K75="",INPUTS!$B$18,KLL!K75)*SUMPRODUCT((CLASS!$E75:$K75="RES")*1,TRIB!$E75:$K75)))))</f>
        <v>1</v>
      </c>
      <c r="L75" s="15" t="n">
        <f aca="false">IF(IF(KLL!L75="",INPUTS!$B$18,KLL!L75)*SUMPRODUCT((CLASS!$E75:$L75="RES")*1,TRIB!$E75:$L75)&lt;400,1,MAX(IF(SUMPRODUCT((CLASS!$E75:$L75="RES")*1)&gt;=2,0.4,0.5),MIN(1,0.25+15/SQRT(IF(KLL!L75="",INPUTS!$B$18,KLL!L75)*SUMPRODUCT((CLASS!$E75:$L75="RES")*1,TRIB!$E75:$L75)))))</f>
        <v>1</v>
      </c>
      <c r="M75" s="15" t="n">
        <f aca="false">IF(IF(KLL!M75="",INPUTS!$B$18,KLL!M75)*SUMPRODUCT((CLASS!$E75:$M75="RES")*1,TRIB!$E75:$M75)&lt;400,1,MAX(IF(SUMPRODUCT((CLASS!$E75:$M75="RES")*1)&gt;=2,0.4,0.5),MIN(1,0.25+15/SQRT(IF(KLL!M75="",INPUTS!$B$18,KLL!M75)*SUMPRODUCT((CLASS!$E75:$M75="RES")*1,TRIB!$E75:$M75)))))</f>
        <v>1</v>
      </c>
      <c r="N75" s="15" t="n">
        <f aca="false">IF(IF(KLL!N75="",INPUTS!$B$18,KLL!N75)*SUMPRODUCT((CLASS!$E75:$N75="RES")*1,TRIB!$E75:$N75)&lt;400,1,MAX(IF(SUMPRODUCT((CLASS!$E75:$N75="RES")*1)&gt;=2,0.4,0.5),MIN(1,0.25+15/SQRT(IF(KLL!N75="",INPUTS!$B$18,KLL!N75)*SUMPRODUCT((CLASS!$E75:$N75="RES")*1,TRIB!$E75:$N75)))))</f>
        <v>1</v>
      </c>
      <c r="O75" s="15" t="n">
        <f aca="false">IF(IF(KLL!O75="",INPUTS!$B$18,KLL!O75)*SUMPRODUCT((CLASS!$E75:$O75="RES")*1,TRIB!$E75:$O75)&lt;400,1,MAX(IF(SUMPRODUCT((CLASS!$E75:$O75="RES")*1)&gt;=2,0.4,0.5),MIN(1,0.25+15/SQRT(IF(KLL!O75="",INPUTS!$B$18,KLL!O75)*SUMPRODUCT((CLASS!$E75:$O75="RES")*1,TRIB!$E75:$O75)))))</f>
        <v>1</v>
      </c>
      <c r="P75" s="15" t="n">
        <f aca="false">IF(IF(KLL!P75="",INPUTS!$B$18,KLL!P75)*SUMPRODUCT((CLASS!$E75:$P75="RES")*1,TRIB!$E75:$P75)&lt;400,1,MAX(IF(SUMPRODUCT((CLASS!$E75:$P75="RES")*1)&gt;=2,0.4,0.5),MIN(1,0.25+15/SQRT(IF(KLL!P75="",INPUTS!$B$18,KLL!P75)*SUMPRODUCT((CLASS!$E75:$P75="RES")*1,TRIB!$E75:$P75)))))</f>
        <v>1</v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15" t="n">
        <f aca="false">IF(IF(KLL!E76="",INPUTS!$B$18,KLL!E76)*SUMPRODUCT((CLASS!$E76:$E76="RES")*1,TRIB!$E76:$E76)&lt;400,1,MAX(IF(SUMPRODUCT((CLASS!$E76:$E76="RES")*1)&gt;=2,0.4,0.5),MIN(1,0.25+15/SQRT(IF(KLL!E76="",INPUTS!$B$18,KLL!E76)*SUMPRODUCT((CLASS!$E76:$E76="RES")*1,TRIB!$E76:$E76)))))</f>
        <v>1</v>
      </c>
      <c r="F76" s="15" t="n">
        <f aca="false">IF(IF(KLL!F76="",INPUTS!$B$18,KLL!F76)*SUMPRODUCT((CLASS!$E76:$F76="RES")*1,TRIB!$E76:$F76)&lt;400,1,MAX(IF(SUMPRODUCT((CLASS!$E76:$F76="RES")*1)&gt;=2,0.4,0.5),MIN(1,0.25+15/SQRT(IF(KLL!F76="",INPUTS!$B$18,KLL!F76)*SUMPRODUCT((CLASS!$E76:$F76="RES")*1,TRIB!$E76:$F76)))))</f>
        <v>1</v>
      </c>
      <c r="G76" s="15" t="n">
        <f aca="false">IF(IF(KLL!G76="",INPUTS!$B$18,KLL!G76)*SUMPRODUCT((CLASS!$E76:$G76="RES")*1,TRIB!$E76:$G76)&lt;400,1,MAX(IF(SUMPRODUCT((CLASS!$E76:$G76="RES")*1)&gt;=2,0.4,0.5),MIN(1,0.25+15/SQRT(IF(KLL!G76="",INPUTS!$B$18,KLL!G76)*SUMPRODUCT((CLASS!$E76:$G76="RES")*1,TRIB!$E76:$G76)))))</f>
        <v>1</v>
      </c>
      <c r="H76" s="15" t="n">
        <f aca="false">IF(IF(KLL!H76="",INPUTS!$B$18,KLL!H76)*SUMPRODUCT((CLASS!$E76:$H76="RES")*1,TRIB!$E76:$H76)&lt;400,1,MAX(IF(SUMPRODUCT((CLASS!$E76:$H76="RES")*1)&gt;=2,0.4,0.5),MIN(1,0.25+15/SQRT(IF(KLL!H76="",INPUTS!$B$18,KLL!H76)*SUMPRODUCT((CLASS!$E76:$H76="RES")*1,TRIB!$E76:$H76)))))</f>
        <v>1</v>
      </c>
      <c r="I76" s="15" t="n">
        <f aca="false">IF(IF(KLL!I76="",INPUTS!$B$18,KLL!I76)*SUMPRODUCT((CLASS!$E76:$I76="RES")*1,TRIB!$E76:$I76)&lt;400,1,MAX(IF(SUMPRODUCT((CLASS!$E76:$I76="RES")*1)&gt;=2,0.4,0.5),MIN(1,0.25+15/SQRT(IF(KLL!I76="",INPUTS!$B$18,KLL!I76)*SUMPRODUCT((CLASS!$E76:$I76="RES")*1,TRIB!$E76:$I76)))))</f>
        <v>1</v>
      </c>
      <c r="J76" s="15" t="n">
        <f aca="false">IF(IF(KLL!J76="",INPUTS!$B$18,KLL!J76)*SUMPRODUCT((CLASS!$E76:$J76="RES")*1,TRIB!$E76:$J76)&lt;400,1,MAX(IF(SUMPRODUCT((CLASS!$E76:$J76="RES")*1)&gt;=2,0.4,0.5),MIN(1,0.25+15/SQRT(IF(KLL!J76="",INPUTS!$B$18,KLL!J76)*SUMPRODUCT((CLASS!$E76:$J76="RES")*1,TRIB!$E76:$J76)))))</f>
        <v>1</v>
      </c>
      <c r="K76" s="15" t="n">
        <f aca="false">IF(IF(KLL!K76="",INPUTS!$B$18,KLL!K76)*SUMPRODUCT((CLASS!$E76:$K76="RES")*1,TRIB!$E76:$K76)&lt;400,1,MAX(IF(SUMPRODUCT((CLASS!$E76:$K76="RES")*1)&gt;=2,0.4,0.5),MIN(1,0.25+15/SQRT(IF(KLL!K76="",INPUTS!$B$18,KLL!K76)*SUMPRODUCT((CLASS!$E76:$K76="RES")*1,TRIB!$E76:$K76)))))</f>
        <v>1</v>
      </c>
      <c r="L76" s="15" t="n">
        <f aca="false">IF(IF(KLL!L76="",INPUTS!$B$18,KLL!L76)*SUMPRODUCT((CLASS!$E76:$L76="RES")*1,TRIB!$E76:$L76)&lt;400,1,MAX(IF(SUMPRODUCT((CLASS!$E76:$L76="RES")*1)&gt;=2,0.4,0.5),MIN(1,0.25+15/SQRT(IF(KLL!L76="",INPUTS!$B$18,KLL!L76)*SUMPRODUCT((CLASS!$E76:$L76="RES")*1,TRIB!$E76:$L76)))))</f>
        <v>1</v>
      </c>
      <c r="M76" s="15" t="n">
        <f aca="false">IF(IF(KLL!M76="",INPUTS!$B$18,KLL!M76)*SUMPRODUCT((CLASS!$E76:$M76="RES")*1,TRIB!$E76:$M76)&lt;400,1,MAX(IF(SUMPRODUCT((CLASS!$E76:$M76="RES")*1)&gt;=2,0.4,0.5),MIN(1,0.25+15/SQRT(IF(KLL!M76="",INPUTS!$B$18,KLL!M76)*SUMPRODUCT((CLASS!$E76:$M76="RES")*1,TRIB!$E76:$M76)))))</f>
        <v>1</v>
      </c>
      <c r="N76" s="15" t="n">
        <f aca="false">IF(IF(KLL!N76="",INPUTS!$B$18,KLL!N76)*SUMPRODUCT((CLASS!$E76:$N76="RES")*1,TRIB!$E76:$N76)&lt;400,1,MAX(IF(SUMPRODUCT((CLASS!$E76:$N76="RES")*1)&gt;=2,0.4,0.5),MIN(1,0.25+15/SQRT(IF(KLL!N76="",INPUTS!$B$18,KLL!N76)*SUMPRODUCT((CLASS!$E76:$N76="RES")*1,TRIB!$E76:$N76)))))</f>
        <v>1</v>
      </c>
      <c r="O76" s="15" t="n">
        <f aca="false">IF(IF(KLL!O76="",INPUTS!$B$18,KLL!O76)*SUMPRODUCT((CLASS!$E76:$O76="RES")*1,TRIB!$E76:$O76)&lt;400,1,MAX(IF(SUMPRODUCT((CLASS!$E76:$O76="RES")*1)&gt;=2,0.4,0.5),MIN(1,0.25+15/SQRT(IF(KLL!O76="",INPUTS!$B$18,KLL!O76)*SUMPRODUCT((CLASS!$E76:$O76="RES")*1,TRIB!$E76:$O76)))))</f>
        <v>1</v>
      </c>
      <c r="P76" s="15" t="n">
        <f aca="false">IF(IF(KLL!P76="",INPUTS!$B$18,KLL!P76)*SUMPRODUCT((CLASS!$E76:$P76="RES")*1,TRIB!$E76:$P76)&lt;400,1,MAX(IF(SUMPRODUCT((CLASS!$E76:$P76="RES")*1)&gt;=2,0.4,0.5),MIN(1,0.25+15/SQRT(IF(KLL!P76="",INPUTS!$B$18,KLL!P76)*SUMPRODUCT((CLASS!$E76:$P76="RES")*1,TRIB!$E76:$P76)))))</f>
        <v>1</v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15" t="n">
        <f aca="false">IF(IF(KLL!E77="",INPUTS!$B$18,KLL!E77)*SUMPRODUCT((CLASS!$E77:$E77="RES")*1,TRIB!$E77:$E77)&lt;400,1,MAX(IF(SUMPRODUCT((CLASS!$E77:$E77="RES")*1)&gt;=2,0.4,0.5),MIN(1,0.25+15/SQRT(IF(KLL!E77="",INPUTS!$B$18,KLL!E77)*SUMPRODUCT((CLASS!$E77:$E77="RES")*1,TRIB!$E77:$E77)))))</f>
        <v>1</v>
      </c>
      <c r="F77" s="15" t="n">
        <f aca="false">IF(IF(KLL!F77="",INPUTS!$B$18,KLL!F77)*SUMPRODUCT((CLASS!$E77:$F77="RES")*1,TRIB!$E77:$F77)&lt;400,1,MAX(IF(SUMPRODUCT((CLASS!$E77:$F77="RES")*1)&gt;=2,0.4,0.5),MIN(1,0.25+15/SQRT(IF(KLL!F77="",INPUTS!$B$18,KLL!F77)*SUMPRODUCT((CLASS!$E77:$F77="RES")*1,TRIB!$E77:$F77)))))</f>
        <v>1</v>
      </c>
      <c r="G77" s="15" t="n">
        <f aca="false">IF(IF(KLL!G77="",INPUTS!$B$18,KLL!G77)*SUMPRODUCT((CLASS!$E77:$G77="RES")*1,TRIB!$E77:$G77)&lt;400,1,MAX(IF(SUMPRODUCT((CLASS!$E77:$G77="RES")*1)&gt;=2,0.4,0.5),MIN(1,0.25+15/SQRT(IF(KLL!G77="",INPUTS!$B$18,KLL!G77)*SUMPRODUCT((CLASS!$E77:$G77="RES")*1,TRIB!$E77:$G77)))))</f>
        <v>1</v>
      </c>
      <c r="H77" s="15" t="n">
        <f aca="false">IF(IF(KLL!H77="",INPUTS!$B$18,KLL!H77)*SUMPRODUCT((CLASS!$E77:$H77="RES")*1,TRIB!$E77:$H77)&lt;400,1,MAX(IF(SUMPRODUCT((CLASS!$E77:$H77="RES")*1)&gt;=2,0.4,0.5),MIN(1,0.25+15/SQRT(IF(KLL!H77="",INPUTS!$B$18,KLL!H77)*SUMPRODUCT((CLASS!$E77:$H77="RES")*1,TRIB!$E77:$H77)))))</f>
        <v>1</v>
      </c>
      <c r="I77" s="15" t="n">
        <f aca="false">IF(IF(KLL!I77="",INPUTS!$B$18,KLL!I77)*SUMPRODUCT((CLASS!$E77:$I77="RES")*1,TRIB!$E77:$I77)&lt;400,1,MAX(IF(SUMPRODUCT((CLASS!$E77:$I77="RES")*1)&gt;=2,0.4,0.5),MIN(1,0.25+15/SQRT(IF(KLL!I77="",INPUTS!$B$18,KLL!I77)*SUMPRODUCT((CLASS!$E77:$I77="RES")*1,TRIB!$E77:$I77)))))</f>
        <v>1</v>
      </c>
      <c r="J77" s="15" t="n">
        <f aca="false">IF(IF(KLL!J77="",INPUTS!$B$18,KLL!J77)*SUMPRODUCT((CLASS!$E77:$J77="RES")*1,TRIB!$E77:$J77)&lt;400,1,MAX(IF(SUMPRODUCT((CLASS!$E77:$J77="RES")*1)&gt;=2,0.4,0.5),MIN(1,0.25+15/SQRT(IF(KLL!J77="",INPUTS!$B$18,KLL!J77)*SUMPRODUCT((CLASS!$E77:$J77="RES")*1,TRIB!$E77:$J77)))))</f>
        <v>1</v>
      </c>
      <c r="K77" s="15" t="n">
        <f aca="false">IF(IF(KLL!K77="",INPUTS!$B$18,KLL!K77)*SUMPRODUCT((CLASS!$E77:$K77="RES")*1,TRIB!$E77:$K77)&lt;400,1,MAX(IF(SUMPRODUCT((CLASS!$E77:$K77="RES")*1)&gt;=2,0.4,0.5),MIN(1,0.25+15/SQRT(IF(KLL!K77="",INPUTS!$B$18,KLL!K77)*SUMPRODUCT((CLASS!$E77:$K77="RES")*1,TRIB!$E77:$K77)))))</f>
        <v>1</v>
      </c>
      <c r="L77" s="15" t="n">
        <f aca="false">IF(IF(KLL!L77="",INPUTS!$B$18,KLL!L77)*SUMPRODUCT((CLASS!$E77:$L77="RES")*1,TRIB!$E77:$L77)&lt;400,1,MAX(IF(SUMPRODUCT((CLASS!$E77:$L77="RES")*1)&gt;=2,0.4,0.5),MIN(1,0.25+15/SQRT(IF(KLL!L77="",INPUTS!$B$18,KLL!L77)*SUMPRODUCT((CLASS!$E77:$L77="RES")*1,TRIB!$E77:$L77)))))</f>
        <v>1</v>
      </c>
      <c r="M77" s="15" t="n">
        <f aca="false">IF(IF(KLL!M77="",INPUTS!$B$18,KLL!M77)*SUMPRODUCT((CLASS!$E77:$M77="RES")*1,TRIB!$E77:$M77)&lt;400,1,MAX(IF(SUMPRODUCT((CLASS!$E77:$M77="RES")*1)&gt;=2,0.4,0.5),MIN(1,0.25+15/SQRT(IF(KLL!M77="",INPUTS!$B$18,KLL!M77)*SUMPRODUCT((CLASS!$E77:$M77="RES")*1,TRIB!$E77:$M77)))))</f>
        <v>1</v>
      </c>
      <c r="N77" s="15" t="n">
        <f aca="false">IF(IF(KLL!N77="",INPUTS!$B$18,KLL!N77)*SUMPRODUCT((CLASS!$E77:$N77="RES")*1,TRIB!$E77:$N77)&lt;400,1,MAX(IF(SUMPRODUCT((CLASS!$E77:$N77="RES")*1)&gt;=2,0.4,0.5),MIN(1,0.25+15/SQRT(IF(KLL!N77="",INPUTS!$B$18,KLL!N77)*SUMPRODUCT((CLASS!$E77:$N77="RES")*1,TRIB!$E77:$N77)))))</f>
        <v>1</v>
      </c>
      <c r="O77" s="15" t="n">
        <f aca="false">IF(IF(KLL!O77="",INPUTS!$B$18,KLL!O77)*SUMPRODUCT((CLASS!$E77:$O77="RES")*1,TRIB!$E77:$O77)&lt;400,1,MAX(IF(SUMPRODUCT((CLASS!$E77:$O77="RES")*1)&gt;=2,0.4,0.5),MIN(1,0.25+15/SQRT(IF(KLL!O77="",INPUTS!$B$18,KLL!O77)*SUMPRODUCT((CLASS!$E77:$O77="RES")*1,TRIB!$E77:$O77)))))</f>
        <v>1</v>
      </c>
      <c r="P77" s="15" t="n">
        <f aca="false">IF(IF(KLL!P77="",INPUTS!$B$18,KLL!P77)*SUMPRODUCT((CLASS!$E77:$P77="RES")*1,TRIB!$E77:$P77)&lt;400,1,MAX(IF(SUMPRODUCT((CLASS!$E77:$P77="RES")*1)&gt;=2,0.4,0.5),MIN(1,0.25+15/SQRT(IF(KLL!P77="",INPUTS!$B$18,KLL!P77)*SUMPRODUCT((CLASS!$E77:$P77="RES")*1,TRIB!$E77:$P77)))))</f>
        <v>1</v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15" t="n">
        <f aca="false">IF(IF(KLL!E78="",INPUTS!$B$18,KLL!E78)*SUMPRODUCT((CLASS!$E78:$E78="RES")*1,TRIB!$E78:$E78)&lt;400,1,MAX(IF(SUMPRODUCT((CLASS!$E78:$E78="RES")*1)&gt;=2,0.4,0.5),MIN(1,0.25+15/SQRT(IF(KLL!E78="",INPUTS!$B$18,KLL!E78)*SUMPRODUCT((CLASS!$E78:$E78="RES")*1,TRIB!$E78:$E78)))))</f>
        <v>1</v>
      </c>
      <c r="F78" s="15" t="n">
        <f aca="false">IF(IF(KLL!F78="",INPUTS!$B$18,KLL!F78)*SUMPRODUCT((CLASS!$E78:$F78="RES")*1,TRIB!$E78:$F78)&lt;400,1,MAX(IF(SUMPRODUCT((CLASS!$E78:$F78="RES")*1)&gt;=2,0.4,0.5),MIN(1,0.25+15/SQRT(IF(KLL!F78="",INPUTS!$B$18,KLL!F78)*SUMPRODUCT((CLASS!$E78:$F78="RES")*1,TRIB!$E78:$F78)))))</f>
        <v>1</v>
      </c>
      <c r="G78" s="15" t="n">
        <f aca="false">IF(IF(KLL!G78="",INPUTS!$B$18,KLL!G78)*SUMPRODUCT((CLASS!$E78:$G78="RES")*1,TRIB!$E78:$G78)&lt;400,1,MAX(IF(SUMPRODUCT((CLASS!$E78:$G78="RES")*1)&gt;=2,0.4,0.5),MIN(1,0.25+15/SQRT(IF(KLL!G78="",INPUTS!$B$18,KLL!G78)*SUMPRODUCT((CLASS!$E78:$G78="RES")*1,TRIB!$E78:$G78)))))</f>
        <v>1</v>
      </c>
      <c r="H78" s="15" t="n">
        <f aca="false">IF(IF(KLL!H78="",INPUTS!$B$18,KLL!H78)*SUMPRODUCT((CLASS!$E78:$H78="RES")*1,TRIB!$E78:$H78)&lt;400,1,MAX(IF(SUMPRODUCT((CLASS!$E78:$H78="RES")*1)&gt;=2,0.4,0.5),MIN(1,0.25+15/SQRT(IF(KLL!H78="",INPUTS!$B$18,KLL!H78)*SUMPRODUCT((CLASS!$E78:$H78="RES")*1,TRIB!$E78:$H78)))))</f>
        <v>1</v>
      </c>
      <c r="I78" s="15" t="n">
        <f aca="false">IF(IF(KLL!I78="",INPUTS!$B$18,KLL!I78)*SUMPRODUCT((CLASS!$E78:$I78="RES")*1,TRIB!$E78:$I78)&lt;400,1,MAX(IF(SUMPRODUCT((CLASS!$E78:$I78="RES")*1)&gt;=2,0.4,0.5),MIN(1,0.25+15/SQRT(IF(KLL!I78="",INPUTS!$B$18,KLL!I78)*SUMPRODUCT((CLASS!$E78:$I78="RES")*1,TRIB!$E78:$I78)))))</f>
        <v>1</v>
      </c>
      <c r="J78" s="15" t="n">
        <f aca="false">IF(IF(KLL!J78="",INPUTS!$B$18,KLL!J78)*SUMPRODUCT((CLASS!$E78:$J78="RES")*1,TRIB!$E78:$J78)&lt;400,1,MAX(IF(SUMPRODUCT((CLASS!$E78:$J78="RES")*1)&gt;=2,0.4,0.5),MIN(1,0.25+15/SQRT(IF(KLL!J78="",INPUTS!$B$18,KLL!J78)*SUMPRODUCT((CLASS!$E78:$J78="RES")*1,TRIB!$E78:$J78)))))</f>
        <v>1</v>
      </c>
      <c r="K78" s="15" t="n">
        <f aca="false">IF(IF(KLL!K78="",INPUTS!$B$18,KLL!K78)*SUMPRODUCT((CLASS!$E78:$K78="RES")*1,TRIB!$E78:$K78)&lt;400,1,MAX(IF(SUMPRODUCT((CLASS!$E78:$K78="RES")*1)&gt;=2,0.4,0.5),MIN(1,0.25+15/SQRT(IF(KLL!K78="",INPUTS!$B$18,KLL!K78)*SUMPRODUCT((CLASS!$E78:$K78="RES")*1,TRIB!$E78:$K78)))))</f>
        <v>1</v>
      </c>
      <c r="L78" s="15" t="n">
        <f aca="false">IF(IF(KLL!L78="",INPUTS!$B$18,KLL!L78)*SUMPRODUCT((CLASS!$E78:$L78="RES")*1,TRIB!$E78:$L78)&lt;400,1,MAX(IF(SUMPRODUCT((CLASS!$E78:$L78="RES")*1)&gt;=2,0.4,0.5),MIN(1,0.25+15/SQRT(IF(KLL!L78="",INPUTS!$B$18,KLL!L78)*SUMPRODUCT((CLASS!$E78:$L78="RES")*1,TRIB!$E78:$L78)))))</f>
        <v>1</v>
      </c>
      <c r="M78" s="15" t="n">
        <f aca="false">IF(IF(KLL!M78="",INPUTS!$B$18,KLL!M78)*SUMPRODUCT((CLASS!$E78:$M78="RES")*1,TRIB!$E78:$M78)&lt;400,1,MAX(IF(SUMPRODUCT((CLASS!$E78:$M78="RES")*1)&gt;=2,0.4,0.5),MIN(1,0.25+15/SQRT(IF(KLL!M78="",INPUTS!$B$18,KLL!M78)*SUMPRODUCT((CLASS!$E78:$M78="RES")*1,TRIB!$E78:$M78)))))</f>
        <v>1</v>
      </c>
      <c r="N78" s="15" t="n">
        <f aca="false">IF(IF(KLL!N78="",INPUTS!$B$18,KLL!N78)*SUMPRODUCT((CLASS!$E78:$N78="RES")*1,TRIB!$E78:$N78)&lt;400,1,MAX(IF(SUMPRODUCT((CLASS!$E78:$N78="RES")*1)&gt;=2,0.4,0.5),MIN(1,0.25+15/SQRT(IF(KLL!N78="",INPUTS!$B$18,KLL!N78)*SUMPRODUCT((CLASS!$E78:$N78="RES")*1,TRIB!$E78:$N78)))))</f>
        <v>1</v>
      </c>
      <c r="O78" s="15" t="n">
        <f aca="false">IF(IF(KLL!O78="",INPUTS!$B$18,KLL!O78)*SUMPRODUCT((CLASS!$E78:$O78="RES")*1,TRIB!$E78:$O78)&lt;400,1,MAX(IF(SUMPRODUCT((CLASS!$E78:$O78="RES")*1)&gt;=2,0.4,0.5),MIN(1,0.25+15/SQRT(IF(KLL!O78="",INPUTS!$B$18,KLL!O78)*SUMPRODUCT((CLASS!$E78:$O78="RES")*1,TRIB!$E78:$O78)))))</f>
        <v>1</v>
      </c>
      <c r="P78" s="15" t="n">
        <f aca="false">IF(IF(KLL!P78="",INPUTS!$B$18,KLL!P78)*SUMPRODUCT((CLASS!$E78:$P78="RES")*1,TRIB!$E78:$P78)&lt;400,1,MAX(IF(SUMPRODUCT((CLASS!$E78:$P78="RES")*1)&gt;=2,0.4,0.5),MIN(1,0.25+15/SQRT(IF(KLL!P78="",INPUTS!$B$18,KLL!P78)*SUMPRODUCT((CLASS!$E78:$P78="RES")*1,TRIB!$E78:$P78)))))</f>
        <v>1</v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15" t="n">
        <f aca="false">IF(IF(KLL!E79="",INPUTS!$B$18,KLL!E79)*SUMPRODUCT((CLASS!$E79:$E79="RES")*1,TRIB!$E79:$E79)&lt;400,1,MAX(IF(SUMPRODUCT((CLASS!$E79:$E79="RES")*1)&gt;=2,0.4,0.5),MIN(1,0.25+15/SQRT(IF(KLL!E79="",INPUTS!$B$18,KLL!E79)*SUMPRODUCT((CLASS!$E79:$E79="RES")*1,TRIB!$E79:$E79)))))</f>
        <v>1</v>
      </c>
      <c r="F79" s="15" t="n">
        <f aca="false">IF(IF(KLL!F79="",INPUTS!$B$18,KLL!F79)*SUMPRODUCT((CLASS!$E79:$F79="RES")*1,TRIB!$E79:$F79)&lt;400,1,MAX(IF(SUMPRODUCT((CLASS!$E79:$F79="RES")*1)&gt;=2,0.4,0.5),MIN(1,0.25+15/SQRT(IF(KLL!F79="",INPUTS!$B$18,KLL!F79)*SUMPRODUCT((CLASS!$E79:$F79="RES")*1,TRIB!$E79:$F79)))))</f>
        <v>1</v>
      </c>
      <c r="G79" s="15" t="n">
        <f aca="false">IF(IF(KLL!G79="",INPUTS!$B$18,KLL!G79)*SUMPRODUCT((CLASS!$E79:$G79="RES")*1,TRIB!$E79:$G79)&lt;400,1,MAX(IF(SUMPRODUCT((CLASS!$E79:$G79="RES")*1)&gt;=2,0.4,0.5),MIN(1,0.25+15/SQRT(IF(KLL!G79="",INPUTS!$B$18,KLL!G79)*SUMPRODUCT((CLASS!$E79:$G79="RES")*1,TRIB!$E79:$G79)))))</f>
        <v>1</v>
      </c>
      <c r="H79" s="15" t="n">
        <f aca="false">IF(IF(KLL!H79="",INPUTS!$B$18,KLL!H79)*SUMPRODUCT((CLASS!$E79:$H79="RES")*1,TRIB!$E79:$H79)&lt;400,1,MAX(IF(SUMPRODUCT((CLASS!$E79:$H79="RES")*1)&gt;=2,0.4,0.5),MIN(1,0.25+15/SQRT(IF(KLL!H79="",INPUTS!$B$18,KLL!H79)*SUMPRODUCT((CLASS!$E79:$H79="RES")*1,TRIB!$E79:$H79)))))</f>
        <v>1</v>
      </c>
      <c r="I79" s="15" t="n">
        <f aca="false">IF(IF(KLL!I79="",INPUTS!$B$18,KLL!I79)*SUMPRODUCT((CLASS!$E79:$I79="RES")*1,TRIB!$E79:$I79)&lt;400,1,MAX(IF(SUMPRODUCT((CLASS!$E79:$I79="RES")*1)&gt;=2,0.4,0.5),MIN(1,0.25+15/SQRT(IF(KLL!I79="",INPUTS!$B$18,KLL!I79)*SUMPRODUCT((CLASS!$E79:$I79="RES")*1,TRIB!$E79:$I79)))))</f>
        <v>1</v>
      </c>
      <c r="J79" s="15" t="n">
        <f aca="false">IF(IF(KLL!J79="",INPUTS!$B$18,KLL!J79)*SUMPRODUCT((CLASS!$E79:$J79="RES")*1,TRIB!$E79:$J79)&lt;400,1,MAX(IF(SUMPRODUCT((CLASS!$E79:$J79="RES")*1)&gt;=2,0.4,0.5),MIN(1,0.25+15/SQRT(IF(KLL!J79="",INPUTS!$B$18,KLL!J79)*SUMPRODUCT((CLASS!$E79:$J79="RES")*1,TRIB!$E79:$J79)))))</f>
        <v>1</v>
      </c>
      <c r="K79" s="15" t="n">
        <f aca="false">IF(IF(KLL!K79="",INPUTS!$B$18,KLL!K79)*SUMPRODUCT((CLASS!$E79:$K79="RES")*1,TRIB!$E79:$K79)&lt;400,1,MAX(IF(SUMPRODUCT((CLASS!$E79:$K79="RES")*1)&gt;=2,0.4,0.5),MIN(1,0.25+15/SQRT(IF(KLL!K79="",INPUTS!$B$18,KLL!K79)*SUMPRODUCT((CLASS!$E79:$K79="RES")*1,TRIB!$E79:$K79)))))</f>
        <v>1</v>
      </c>
      <c r="L79" s="15" t="n">
        <f aca="false">IF(IF(KLL!L79="",INPUTS!$B$18,KLL!L79)*SUMPRODUCT((CLASS!$E79:$L79="RES")*1,TRIB!$E79:$L79)&lt;400,1,MAX(IF(SUMPRODUCT((CLASS!$E79:$L79="RES")*1)&gt;=2,0.4,0.5),MIN(1,0.25+15/SQRT(IF(KLL!L79="",INPUTS!$B$18,KLL!L79)*SUMPRODUCT((CLASS!$E79:$L79="RES")*1,TRIB!$E79:$L79)))))</f>
        <v>1</v>
      </c>
      <c r="M79" s="15" t="n">
        <f aca="false">IF(IF(KLL!M79="",INPUTS!$B$18,KLL!M79)*SUMPRODUCT((CLASS!$E79:$M79="RES")*1,TRIB!$E79:$M79)&lt;400,1,MAX(IF(SUMPRODUCT((CLASS!$E79:$M79="RES")*1)&gt;=2,0.4,0.5),MIN(1,0.25+15/SQRT(IF(KLL!M79="",INPUTS!$B$18,KLL!M79)*SUMPRODUCT((CLASS!$E79:$M79="RES")*1,TRIB!$E79:$M79)))))</f>
        <v>1</v>
      </c>
      <c r="N79" s="15" t="n">
        <f aca="false">IF(IF(KLL!N79="",INPUTS!$B$18,KLL!N79)*SUMPRODUCT((CLASS!$E79:$N79="RES")*1,TRIB!$E79:$N79)&lt;400,1,MAX(IF(SUMPRODUCT((CLASS!$E79:$N79="RES")*1)&gt;=2,0.4,0.5),MIN(1,0.25+15/SQRT(IF(KLL!N79="",INPUTS!$B$18,KLL!N79)*SUMPRODUCT((CLASS!$E79:$N79="RES")*1,TRIB!$E79:$N79)))))</f>
        <v>1</v>
      </c>
      <c r="O79" s="15" t="n">
        <f aca="false">IF(IF(KLL!O79="",INPUTS!$B$18,KLL!O79)*SUMPRODUCT((CLASS!$E79:$O79="RES")*1,TRIB!$E79:$O79)&lt;400,1,MAX(IF(SUMPRODUCT((CLASS!$E79:$O79="RES")*1)&gt;=2,0.4,0.5),MIN(1,0.25+15/SQRT(IF(KLL!O79="",INPUTS!$B$18,KLL!O79)*SUMPRODUCT((CLASS!$E79:$O79="RES")*1,TRIB!$E79:$O79)))))</f>
        <v>1</v>
      </c>
      <c r="P79" s="15" t="n">
        <f aca="false">IF(IF(KLL!P79="",INPUTS!$B$18,KLL!P79)*SUMPRODUCT((CLASS!$E79:$P79="RES")*1,TRIB!$E79:$P79)&lt;400,1,MAX(IF(SUMPRODUCT((CLASS!$E79:$P79="RES")*1)&gt;=2,0.4,0.5),MIN(1,0.25+15/SQRT(IF(KLL!P79="",INPUTS!$B$18,KLL!P79)*SUMPRODUCT((CLASS!$E79:$P79="RES")*1,TRIB!$E79:$P79)))))</f>
        <v>1</v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15" t="n">
        <f aca="false">IF(IF(KLL!E80="",INPUTS!$B$18,KLL!E80)*SUMPRODUCT((CLASS!$E80:$E80="RES")*1,TRIB!$E80:$E80)&lt;400,1,MAX(IF(SUMPRODUCT((CLASS!$E80:$E80="RES")*1)&gt;=2,0.4,0.5),MIN(1,0.25+15/SQRT(IF(KLL!E80="",INPUTS!$B$18,KLL!E80)*SUMPRODUCT((CLASS!$E80:$E80="RES")*1,TRIB!$E80:$E80)))))</f>
        <v>1</v>
      </c>
      <c r="F80" s="15" t="n">
        <f aca="false">IF(IF(KLL!F80="",INPUTS!$B$18,KLL!F80)*SUMPRODUCT((CLASS!$E80:$F80="RES")*1,TRIB!$E80:$F80)&lt;400,1,MAX(IF(SUMPRODUCT((CLASS!$E80:$F80="RES")*1)&gt;=2,0.4,0.5),MIN(1,0.25+15/SQRT(IF(KLL!F80="",INPUTS!$B$18,KLL!F80)*SUMPRODUCT((CLASS!$E80:$F80="RES")*1,TRIB!$E80:$F80)))))</f>
        <v>1</v>
      </c>
      <c r="G80" s="15" t="n">
        <f aca="false">IF(IF(KLL!G80="",INPUTS!$B$18,KLL!G80)*SUMPRODUCT((CLASS!$E80:$G80="RES")*1,TRIB!$E80:$G80)&lt;400,1,MAX(IF(SUMPRODUCT((CLASS!$E80:$G80="RES")*1)&gt;=2,0.4,0.5),MIN(1,0.25+15/SQRT(IF(KLL!G80="",INPUTS!$B$18,KLL!G80)*SUMPRODUCT((CLASS!$E80:$G80="RES")*1,TRIB!$E80:$G80)))))</f>
        <v>1</v>
      </c>
      <c r="H80" s="15" t="n">
        <f aca="false">IF(IF(KLL!H80="",INPUTS!$B$18,KLL!H80)*SUMPRODUCT((CLASS!$E80:$H80="RES")*1,TRIB!$E80:$H80)&lt;400,1,MAX(IF(SUMPRODUCT((CLASS!$E80:$H80="RES")*1)&gt;=2,0.4,0.5),MIN(1,0.25+15/SQRT(IF(KLL!H80="",INPUTS!$B$18,KLL!H80)*SUMPRODUCT((CLASS!$E80:$H80="RES")*1,TRIB!$E80:$H80)))))</f>
        <v>1</v>
      </c>
      <c r="I80" s="15" t="n">
        <f aca="false">IF(IF(KLL!I80="",INPUTS!$B$18,KLL!I80)*SUMPRODUCT((CLASS!$E80:$I80="RES")*1,TRIB!$E80:$I80)&lt;400,1,MAX(IF(SUMPRODUCT((CLASS!$E80:$I80="RES")*1)&gt;=2,0.4,0.5),MIN(1,0.25+15/SQRT(IF(KLL!I80="",INPUTS!$B$18,KLL!I80)*SUMPRODUCT((CLASS!$E80:$I80="RES")*1,TRIB!$E80:$I80)))))</f>
        <v>1</v>
      </c>
      <c r="J80" s="15" t="n">
        <f aca="false">IF(IF(KLL!J80="",INPUTS!$B$18,KLL!J80)*SUMPRODUCT((CLASS!$E80:$J80="RES")*1,TRIB!$E80:$J80)&lt;400,1,MAX(IF(SUMPRODUCT((CLASS!$E80:$J80="RES")*1)&gt;=2,0.4,0.5),MIN(1,0.25+15/SQRT(IF(KLL!J80="",INPUTS!$B$18,KLL!J80)*SUMPRODUCT((CLASS!$E80:$J80="RES")*1,TRIB!$E80:$J80)))))</f>
        <v>1</v>
      </c>
      <c r="K80" s="15" t="n">
        <f aca="false">IF(IF(KLL!K80="",INPUTS!$B$18,KLL!K80)*SUMPRODUCT((CLASS!$E80:$K80="RES")*1,TRIB!$E80:$K80)&lt;400,1,MAX(IF(SUMPRODUCT((CLASS!$E80:$K80="RES")*1)&gt;=2,0.4,0.5),MIN(1,0.25+15/SQRT(IF(KLL!K80="",INPUTS!$B$18,KLL!K80)*SUMPRODUCT((CLASS!$E80:$K80="RES")*1,TRIB!$E80:$K80)))))</f>
        <v>1</v>
      </c>
      <c r="L80" s="15" t="n">
        <f aca="false">IF(IF(KLL!L80="",INPUTS!$B$18,KLL!L80)*SUMPRODUCT((CLASS!$E80:$L80="RES")*1,TRIB!$E80:$L80)&lt;400,1,MAX(IF(SUMPRODUCT((CLASS!$E80:$L80="RES")*1)&gt;=2,0.4,0.5),MIN(1,0.25+15/SQRT(IF(KLL!L80="",INPUTS!$B$18,KLL!L80)*SUMPRODUCT((CLASS!$E80:$L80="RES")*1,TRIB!$E80:$L80)))))</f>
        <v>1</v>
      </c>
      <c r="M80" s="15" t="n">
        <f aca="false">IF(IF(KLL!M80="",INPUTS!$B$18,KLL!M80)*SUMPRODUCT((CLASS!$E80:$M80="RES")*1,TRIB!$E80:$M80)&lt;400,1,MAX(IF(SUMPRODUCT((CLASS!$E80:$M80="RES")*1)&gt;=2,0.4,0.5),MIN(1,0.25+15/SQRT(IF(KLL!M80="",INPUTS!$B$18,KLL!M80)*SUMPRODUCT((CLASS!$E80:$M80="RES")*1,TRIB!$E80:$M80)))))</f>
        <v>1</v>
      </c>
      <c r="N80" s="15" t="n">
        <f aca="false">IF(IF(KLL!N80="",INPUTS!$B$18,KLL!N80)*SUMPRODUCT((CLASS!$E80:$N80="RES")*1,TRIB!$E80:$N80)&lt;400,1,MAX(IF(SUMPRODUCT((CLASS!$E80:$N80="RES")*1)&gt;=2,0.4,0.5),MIN(1,0.25+15/SQRT(IF(KLL!N80="",INPUTS!$B$18,KLL!N80)*SUMPRODUCT((CLASS!$E80:$N80="RES")*1,TRIB!$E80:$N80)))))</f>
        <v>1</v>
      </c>
      <c r="O80" s="15" t="n">
        <f aca="false">IF(IF(KLL!O80="",INPUTS!$B$18,KLL!O80)*SUMPRODUCT((CLASS!$E80:$O80="RES")*1,TRIB!$E80:$O80)&lt;400,1,MAX(IF(SUMPRODUCT((CLASS!$E80:$O80="RES")*1)&gt;=2,0.4,0.5),MIN(1,0.25+15/SQRT(IF(KLL!O80="",INPUTS!$B$18,KLL!O80)*SUMPRODUCT((CLASS!$E80:$O80="RES")*1,TRIB!$E80:$O80)))))</f>
        <v>1</v>
      </c>
      <c r="P80" s="15" t="n">
        <f aca="false">IF(IF(KLL!P80="",INPUTS!$B$18,KLL!P80)*SUMPRODUCT((CLASS!$E80:$P80="RES")*1,TRIB!$E80:$P80)&lt;400,1,MAX(IF(SUMPRODUCT((CLASS!$E80:$P80="RES")*1)&gt;=2,0.4,0.5),MIN(1,0.25+15/SQRT(IF(KLL!P80="",INPUTS!$B$18,KLL!P80)*SUMPRODUCT((CLASS!$E80:$P80="RES")*1,TRIB!$E80:$P80)))))</f>
        <v>1</v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15" t="n">
        <f aca="false">IF(IF(KLL!E81="",INPUTS!$B$18,KLL!E81)*SUMPRODUCT((CLASS!$E81:$E81="RES")*1,TRIB!$E81:$E81)&lt;400,1,MAX(IF(SUMPRODUCT((CLASS!$E81:$E81="RES")*1)&gt;=2,0.4,0.5),MIN(1,0.25+15/SQRT(IF(KLL!E81="",INPUTS!$B$18,KLL!E81)*SUMPRODUCT((CLASS!$E81:$E81="RES")*1,TRIB!$E81:$E81)))))</f>
        <v>1</v>
      </c>
      <c r="F81" s="15" t="n">
        <f aca="false">IF(IF(KLL!F81="",INPUTS!$B$18,KLL!F81)*SUMPRODUCT((CLASS!$E81:$F81="RES")*1,TRIB!$E81:$F81)&lt;400,1,MAX(IF(SUMPRODUCT((CLASS!$E81:$F81="RES")*1)&gt;=2,0.4,0.5),MIN(1,0.25+15/SQRT(IF(KLL!F81="",INPUTS!$B$18,KLL!F81)*SUMPRODUCT((CLASS!$E81:$F81="RES")*1,TRIB!$E81:$F81)))))</f>
        <v>1</v>
      </c>
      <c r="G81" s="15" t="n">
        <f aca="false">IF(IF(KLL!G81="",INPUTS!$B$18,KLL!G81)*SUMPRODUCT((CLASS!$E81:$G81="RES")*1,TRIB!$E81:$G81)&lt;400,1,MAX(IF(SUMPRODUCT((CLASS!$E81:$G81="RES")*1)&gt;=2,0.4,0.5),MIN(1,0.25+15/SQRT(IF(KLL!G81="",INPUTS!$B$18,KLL!G81)*SUMPRODUCT((CLASS!$E81:$G81="RES")*1,TRIB!$E81:$G81)))))</f>
        <v>1</v>
      </c>
      <c r="H81" s="15" t="n">
        <f aca="false">IF(IF(KLL!H81="",INPUTS!$B$18,KLL!H81)*SUMPRODUCT((CLASS!$E81:$H81="RES")*1,TRIB!$E81:$H81)&lt;400,1,MAX(IF(SUMPRODUCT((CLASS!$E81:$H81="RES")*1)&gt;=2,0.4,0.5),MIN(1,0.25+15/SQRT(IF(KLL!H81="",INPUTS!$B$18,KLL!H81)*SUMPRODUCT((CLASS!$E81:$H81="RES")*1,TRIB!$E81:$H81)))))</f>
        <v>1</v>
      </c>
      <c r="I81" s="15" t="n">
        <f aca="false">IF(IF(KLL!I81="",INPUTS!$B$18,KLL!I81)*SUMPRODUCT((CLASS!$E81:$I81="RES")*1,TRIB!$E81:$I81)&lt;400,1,MAX(IF(SUMPRODUCT((CLASS!$E81:$I81="RES")*1)&gt;=2,0.4,0.5),MIN(1,0.25+15/SQRT(IF(KLL!I81="",INPUTS!$B$18,KLL!I81)*SUMPRODUCT((CLASS!$E81:$I81="RES")*1,TRIB!$E81:$I81)))))</f>
        <v>1</v>
      </c>
      <c r="J81" s="15" t="n">
        <f aca="false">IF(IF(KLL!J81="",INPUTS!$B$18,KLL!J81)*SUMPRODUCT((CLASS!$E81:$J81="RES")*1,TRIB!$E81:$J81)&lt;400,1,MAX(IF(SUMPRODUCT((CLASS!$E81:$J81="RES")*1)&gt;=2,0.4,0.5),MIN(1,0.25+15/SQRT(IF(KLL!J81="",INPUTS!$B$18,KLL!J81)*SUMPRODUCT((CLASS!$E81:$J81="RES")*1,TRIB!$E81:$J81)))))</f>
        <v>1</v>
      </c>
      <c r="K81" s="15" t="n">
        <f aca="false">IF(IF(KLL!K81="",INPUTS!$B$18,KLL!K81)*SUMPRODUCT((CLASS!$E81:$K81="RES")*1,TRIB!$E81:$K81)&lt;400,1,MAX(IF(SUMPRODUCT((CLASS!$E81:$K81="RES")*1)&gt;=2,0.4,0.5),MIN(1,0.25+15/SQRT(IF(KLL!K81="",INPUTS!$B$18,KLL!K81)*SUMPRODUCT((CLASS!$E81:$K81="RES")*1,TRIB!$E81:$K81)))))</f>
        <v>1</v>
      </c>
      <c r="L81" s="15" t="n">
        <f aca="false">IF(IF(KLL!L81="",INPUTS!$B$18,KLL!L81)*SUMPRODUCT((CLASS!$E81:$L81="RES")*1,TRIB!$E81:$L81)&lt;400,1,MAX(IF(SUMPRODUCT((CLASS!$E81:$L81="RES")*1)&gt;=2,0.4,0.5),MIN(1,0.25+15/SQRT(IF(KLL!L81="",INPUTS!$B$18,KLL!L81)*SUMPRODUCT((CLASS!$E81:$L81="RES")*1,TRIB!$E81:$L81)))))</f>
        <v>1</v>
      </c>
      <c r="M81" s="15" t="n">
        <f aca="false">IF(IF(KLL!M81="",INPUTS!$B$18,KLL!M81)*SUMPRODUCT((CLASS!$E81:$M81="RES")*1,TRIB!$E81:$M81)&lt;400,1,MAX(IF(SUMPRODUCT((CLASS!$E81:$M81="RES")*1)&gt;=2,0.4,0.5),MIN(1,0.25+15/SQRT(IF(KLL!M81="",INPUTS!$B$18,KLL!M81)*SUMPRODUCT((CLASS!$E81:$M81="RES")*1,TRIB!$E81:$M81)))))</f>
        <v>1</v>
      </c>
      <c r="N81" s="15" t="n">
        <f aca="false">IF(IF(KLL!N81="",INPUTS!$B$18,KLL!N81)*SUMPRODUCT((CLASS!$E81:$N81="RES")*1,TRIB!$E81:$N81)&lt;400,1,MAX(IF(SUMPRODUCT((CLASS!$E81:$N81="RES")*1)&gt;=2,0.4,0.5),MIN(1,0.25+15/SQRT(IF(KLL!N81="",INPUTS!$B$18,KLL!N81)*SUMPRODUCT((CLASS!$E81:$N81="RES")*1,TRIB!$E81:$N81)))))</f>
        <v>1</v>
      </c>
      <c r="O81" s="15" t="n">
        <f aca="false">IF(IF(KLL!O81="",INPUTS!$B$18,KLL!O81)*SUMPRODUCT((CLASS!$E81:$O81="RES")*1,TRIB!$E81:$O81)&lt;400,1,MAX(IF(SUMPRODUCT((CLASS!$E81:$O81="RES")*1)&gt;=2,0.4,0.5),MIN(1,0.25+15/SQRT(IF(KLL!O81="",INPUTS!$B$18,KLL!O81)*SUMPRODUCT((CLASS!$E81:$O81="RES")*1,TRIB!$E81:$O81)))))</f>
        <v>1</v>
      </c>
      <c r="P81" s="15" t="n">
        <f aca="false">IF(IF(KLL!P81="",INPUTS!$B$18,KLL!P81)*SUMPRODUCT((CLASS!$E81:$P81="RES")*1,TRIB!$E81:$P81)&lt;400,1,MAX(IF(SUMPRODUCT((CLASS!$E81:$P81="RES")*1)&gt;=2,0.4,0.5),MIN(1,0.25+15/SQRT(IF(KLL!P81="",INPUTS!$B$18,KLL!P81)*SUMPRODUCT((CLASS!$E81:$P81="RES")*1,TRIB!$E81:$P81)))))</f>
        <v>1</v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15" t="n">
        <f aca="false">IF(IF(KLL!E82="",INPUTS!$B$18,KLL!E82)*SUMPRODUCT((CLASS!$E82:$E82="RES")*1,TRIB!$E82:$E82)&lt;400,1,MAX(IF(SUMPRODUCT((CLASS!$E82:$E82="RES")*1)&gt;=2,0.4,0.5),MIN(1,0.25+15/SQRT(IF(KLL!E82="",INPUTS!$B$18,KLL!E82)*SUMPRODUCT((CLASS!$E82:$E82="RES")*1,TRIB!$E82:$E82)))))</f>
        <v>1</v>
      </c>
      <c r="F82" s="15" t="n">
        <f aca="false">IF(IF(KLL!F82="",INPUTS!$B$18,KLL!F82)*SUMPRODUCT((CLASS!$E82:$F82="RES")*1,TRIB!$E82:$F82)&lt;400,1,MAX(IF(SUMPRODUCT((CLASS!$E82:$F82="RES")*1)&gt;=2,0.4,0.5),MIN(1,0.25+15/SQRT(IF(KLL!F82="",INPUTS!$B$18,KLL!F82)*SUMPRODUCT((CLASS!$E82:$F82="RES")*1,TRIB!$E82:$F82)))))</f>
        <v>1</v>
      </c>
      <c r="G82" s="15" t="n">
        <f aca="false">IF(IF(KLL!G82="",INPUTS!$B$18,KLL!G82)*SUMPRODUCT((CLASS!$E82:$G82="RES")*1,TRIB!$E82:$G82)&lt;400,1,MAX(IF(SUMPRODUCT((CLASS!$E82:$G82="RES")*1)&gt;=2,0.4,0.5),MIN(1,0.25+15/SQRT(IF(KLL!G82="",INPUTS!$B$18,KLL!G82)*SUMPRODUCT((CLASS!$E82:$G82="RES")*1,TRIB!$E82:$G82)))))</f>
        <v>1</v>
      </c>
      <c r="H82" s="15" t="n">
        <f aca="false">IF(IF(KLL!H82="",INPUTS!$B$18,KLL!H82)*SUMPRODUCT((CLASS!$E82:$H82="RES")*1,TRIB!$E82:$H82)&lt;400,1,MAX(IF(SUMPRODUCT((CLASS!$E82:$H82="RES")*1)&gt;=2,0.4,0.5),MIN(1,0.25+15/SQRT(IF(KLL!H82="",INPUTS!$B$18,KLL!H82)*SUMPRODUCT((CLASS!$E82:$H82="RES")*1,TRIB!$E82:$H82)))))</f>
        <v>1</v>
      </c>
      <c r="I82" s="15" t="n">
        <f aca="false">IF(IF(KLL!I82="",INPUTS!$B$18,KLL!I82)*SUMPRODUCT((CLASS!$E82:$I82="RES")*1,TRIB!$E82:$I82)&lt;400,1,MAX(IF(SUMPRODUCT((CLASS!$E82:$I82="RES")*1)&gt;=2,0.4,0.5),MIN(1,0.25+15/SQRT(IF(KLL!I82="",INPUTS!$B$18,KLL!I82)*SUMPRODUCT((CLASS!$E82:$I82="RES")*1,TRIB!$E82:$I82)))))</f>
        <v>1</v>
      </c>
      <c r="J82" s="15" t="n">
        <f aca="false">IF(IF(KLL!J82="",INPUTS!$B$18,KLL!J82)*SUMPRODUCT((CLASS!$E82:$J82="RES")*1,TRIB!$E82:$J82)&lt;400,1,MAX(IF(SUMPRODUCT((CLASS!$E82:$J82="RES")*1)&gt;=2,0.4,0.5),MIN(1,0.25+15/SQRT(IF(KLL!J82="",INPUTS!$B$18,KLL!J82)*SUMPRODUCT((CLASS!$E82:$J82="RES")*1,TRIB!$E82:$J82)))))</f>
        <v>1</v>
      </c>
      <c r="K82" s="15" t="n">
        <f aca="false">IF(IF(KLL!K82="",INPUTS!$B$18,KLL!K82)*SUMPRODUCT((CLASS!$E82:$K82="RES")*1,TRIB!$E82:$K82)&lt;400,1,MAX(IF(SUMPRODUCT((CLASS!$E82:$K82="RES")*1)&gt;=2,0.4,0.5),MIN(1,0.25+15/SQRT(IF(KLL!K82="",INPUTS!$B$18,KLL!K82)*SUMPRODUCT((CLASS!$E82:$K82="RES")*1,TRIB!$E82:$K82)))))</f>
        <v>1</v>
      </c>
      <c r="L82" s="15" t="n">
        <f aca="false">IF(IF(KLL!L82="",INPUTS!$B$18,KLL!L82)*SUMPRODUCT((CLASS!$E82:$L82="RES")*1,TRIB!$E82:$L82)&lt;400,1,MAX(IF(SUMPRODUCT((CLASS!$E82:$L82="RES")*1)&gt;=2,0.4,0.5),MIN(1,0.25+15/SQRT(IF(KLL!L82="",INPUTS!$B$18,KLL!L82)*SUMPRODUCT((CLASS!$E82:$L82="RES")*1,TRIB!$E82:$L82)))))</f>
        <v>1</v>
      </c>
      <c r="M82" s="15" t="n">
        <f aca="false">IF(IF(KLL!M82="",INPUTS!$B$18,KLL!M82)*SUMPRODUCT((CLASS!$E82:$M82="RES")*1,TRIB!$E82:$M82)&lt;400,1,MAX(IF(SUMPRODUCT((CLASS!$E82:$M82="RES")*1)&gt;=2,0.4,0.5),MIN(1,0.25+15/SQRT(IF(KLL!M82="",INPUTS!$B$18,KLL!M82)*SUMPRODUCT((CLASS!$E82:$M82="RES")*1,TRIB!$E82:$M82)))))</f>
        <v>1</v>
      </c>
      <c r="N82" s="15" t="n">
        <f aca="false">IF(IF(KLL!N82="",INPUTS!$B$18,KLL!N82)*SUMPRODUCT((CLASS!$E82:$N82="RES")*1,TRIB!$E82:$N82)&lt;400,1,MAX(IF(SUMPRODUCT((CLASS!$E82:$N82="RES")*1)&gt;=2,0.4,0.5),MIN(1,0.25+15/SQRT(IF(KLL!N82="",INPUTS!$B$18,KLL!N82)*SUMPRODUCT((CLASS!$E82:$N82="RES")*1,TRIB!$E82:$N82)))))</f>
        <v>1</v>
      </c>
      <c r="O82" s="15" t="n">
        <f aca="false">IF(IF(KLL!O82="",INPUTS!$B$18,KLL!O82)*SUMPRODUCT((CLASS!$E82:$O82="RES")*1,TRIB!$E82:$O82)&lt;400,1,MAX(IF(SUMPRODUCT((CLASS!$E82:$O82="RES")*1)&gt;=2,0.4,0.5),MIN(1,0.25+15/SQRT(IF(KLL!O82="",INPUTS!$B$18,KLL!O82)*SUMPRODUCT((CLASS!$E82:$O82="RES")*1,TRIB!$E82:$O82)))))</f>
        <v>1</v>
      </c>
      <c r="P82" s="15" t="n">
        <f aca="false">IF(IF(KLL!P82="",INPUTS!$B$18,KLL!P82)*SUMPRODUCT((CLASS!$E82:$P82="RES")*1,TRIB!$E82:$P82)&lt;400,1,MAX(IF(SUMPRODUCT((CLASS!$E82:$P82="RES")*1)&gt;=2,0.4,0.5),MIN(1,0.25+15/SQRT(IF(KLL!P82="",INPUTS!$B$18,KLL!P82)*SUMPRODUCT((CLASS!$E82:$P82="RES")*1,TRIB!$E82:$P82)))))</f>
        <v>1</v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15" t="n">
        <f aca="false">IF(IF(KLL!E83="",INPUTS!$B$18,KLL!E83)*SUMPRODUCT((CLASS!$E83:$E83="RES")*1,TRIB!$E83:$E83)&lt;400,1,MAX(IF(SUMPRODUCT((CLASS!$E83:$E83="RES")*1)&gt;=2,0.4,0.5),MIN(1,0.25+15/SQRT(IF(KLL!E83="",INPUTS!$B$18,KLL!E83)*SUMPRODUCT((CLASS!$E83:$E83="RES")*1,TRIB!$E83:$E83)))))</f>
        <v>1</v>
      </c>
      <c r="F83" s="15" t="n">
        <f aca="false">IF(IF(KLL!F83="",INPUTS!$B$18,KLL!F83)*SUMPRODUCT((CLASS!$E83:$F83="RES")*1,TRIB!$E83:$F83)&lt;400,1,MAX(IF(SUMPRODUCT((CLASS!$E83:$F83="RES")*1)&gt;=2,0.4,0.5),MIN(1,0.25+15/SQRT(IF(KLL!F83="",INPUTS!$B$18,KLL!F83)*SUMPRODUCT((CLASS!$E83:$F83="RES")*1,TRIB!$E83:$F83)))))</f>
        <v>1</v>
      </c>
      <c r="G83" s="15" t="n">
        <f aca="false">IF(IF(KLL!G83="",INPUTS!$B$18,KLL!G83)*SUMPRODUCT((CLASS!$E83:$G83="RES")*1,TRIB!$E83:$G83)&lt;400,1,MAX(IF(SUMPRODUCT((CLASS!$E83:$G83="RES")*1)&gt;=2,0.4,0.5),MIN(1,0.25+15/SQRT(IF(KLL!G83="",INPUTS!$B$18,KLL!G83)*SUMPRODUCT((CLASS!$E83:$G83="RES")*1,TRIB!$E83:$G83)))))</f>
        <v>1</v>
      </c>
      <c r="H83" s="15" t="n">
        <f aca="false">IF(IF(KLL!H83="",INPUTS!$B$18,KLL!H83)*SUMPRODUCT((CLASS!$E83:$H83="RES")*1,TRIB!$E83:$H83)&lt;400,1,MAX(IF(SUMPRODUCT((CLASS!$E83:$H83="RES")*1)&gt;=2,0.4,0.5),MIN(1,0.25+15/SQRT(IF(KLL!H83="",INPUTS!$B$18,KLL!H83)*SUMPRODUCT((CLASS!$E83:$H83="RES")*1,TRIB!$E83:$H83)))))</f>
        <v>1</v>
      </c>
      <c r="I83" s="15" t="n">
        <f aca="false">IF(IF(KLL!I83="",INPUTS!$B$18,KLL!I83)*SUMPRODUCT((CLASS!$E83:$I83="RES")*1,TRIB!$E83:$I83)&lt;400,1,MAX(IF(SUMPRODUCT((CLASS!$E83:$I83="RES")*1)&gt;=2,0.4,0.5),MIN(1,0.25+15/SQRT(IF(KLL!I83="",INPUTS!$B$18,KLL!I83)*SUMPRODUCT((CLASS!$E83:$I83="RES")*1,TRIB!$E83:$I83)))))</f>
        <v>1</v>
      </c>
      <c r="J83" s="15" t="n">
        <f aca="false">IF(IF(KLL!J83="",INPUTS!$B$18,KLL!J83)*SUMPRODUCT((CLASS!$E83:$J83="RES")*1,TRIB!$E83:$J83)&lt;400,1,MAX(IF(SUMPRODUCT((CLASS!$E83:$J83="RES")*1)&gt;=2,0.4,0.5),MIN(1,0.25+15/SQRT(IF(KLL!J83="",INPUTS!$B$18,KLL!J83)*SUMPRODUCT((CLASS!$E83:$J83="RES")*1,TRIB!$E83:$J83)))))</f>
        <v>1</v>
      </c>
      <c r="K83" s="15" t="n">
        <f aca="false">IF(IF(KLL!K83="",INPUTS!$B$18,KLL!K83)*SUMPRODUCT((CLASS!$E83:$K83="RES")*1,TRIB!$E83:$K83)&lt;400,1,MAX(IF(SUMPRODUCT((CLASS!$E83:$K83="RES")*1)&gt;=2,0.4,0.5),MIN(1,0.25+15/SQRT(IF(KLL!K83="",INPUTS!$B$18,KLL!K83)*SUMPRODUCT((CLASS!$E83:$K83="RES")*1,TRIB!$E83:$K83)))))</f>
        <v>1</v>
      </c>
      <c r="L83" s="15" t="n">
        <f aca="false">IF(IF(KLL!L83="",INPUTS!$B$18,KLL!L83)*SUMPRODUCT((CLASS!$E83:$L83="RES")*1,TRIB!$E83:$L83)&lt;400,1,MAX(IF(SUMPRODUCT((CLASS!$E83:$L83="RES")*1)&gt;=2,0.4,0.5),MIN(1,0.25+15/SQRT(IF(KLL!L83="",INPUTS!$B$18,KLL!L83)*SUMPRODUCT((CLASS!$E83:$L83="RES")*1,TRIB!$E83:$L83)))))</f>
        <v>1</v>
      </c>
      <c r="M83" s="15" t="n">
        <f aca="false">IF(IF(KLL!M83="",INPUTS!$B$18,KLL!M83)*SUMPRODUCT((CLASS!$E83:$M83="RES")*1,TRIB!$E83:$M83)&lt;400,1,MAX(IF(SUMPRODUCT((CLASS!$E83:$M83="RES")*1)&gt;=2,0.4,0.5),MIN(1,0.25+15/SQRT(IF(KLL!M83="",INPUTS!$B$18,KLL!M83)*SUMPRODUCT((CLASS!$E83:$M83="RES")*1,TRIB!$E83:$M83)))))</f>
        <v>1</v>
      </c>
      <c r="N83" s="15" t="n">
        <f aca="false">IF(IF(KLL!N83="",INPUTS!$B$18,KLL!N83)*SUMPRODUCT((CLASS!$E83:$N83="RES")*1,TRIB!$E83:$N83)&lt;400,1,MAX(IF(SUMPRODUCT((CLASS!$E83:$N83="RES")*1)&gt;=2,0.4,0.5),MIN(1,0.25+15/SQRT(IF(KLL!N83="",INPUTS!$B$18,KLL!N83)*SUMPRODUCT((CLASS!$E83:$N83="RES")*1,TRIB!$E83:$N83)))))</f>
        <v>1</v>
      </c>
      <c r="O83" s="15" t="n">
        <f aca="false">IF(IF(KLL!O83="",INPUTS!$B$18,KLL!O83)*SUMPRODUCT((CLASS!$E83:$O83="RES")*1,TRIB!$E83:$O83)&lt;400,1,MAX(IF(SUMPRODUCT((CLASS!$E83:$O83="RES")*1)&gt;=2,0.4,0.5),MIN(1,0.25+15/SQRT(IF(KLL!O83="",INPUTS!$B$18,KLL!O83)*SUMPRODUCT((CLASS!$E83:$O83="RES")*1,TRIB!$E83:$O83)))))</f>
        <v>1</v>
      </c>
      <c r="P83" s="15" t="n">
        <f aca="false">IF(IF(KLL!P83="",INPUTS!$B$18,KLL!P83)*SUMPRODUCT((CLASS!$E83:$P83="RES")*1,TRIB!$E83:$P83)&lt;400,1,MAX(IF(SUMPRODUCT((CLASS!$E83:$P83="RES")*1)&gt;=2,0.4,0.5),MIN(1,0.25+15/SQRT(IF(KLL!P83="",INPUTS!$B$18,KLL!P83)*SUMPRODUCT((CLASS!$E83:$P83="RES")*1,TRIB!$E83:$P83)))))</f>
        <v>1</v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15" t="n">
        <f aca="false">IF(IF(KLL!E84="",INPUTS!$B$18,KLL!E84)*SUMPRODUCT((CLASS!$E84:$E84="RES")*1,TRIB!$E84:$E84)&lt;400,1,MAX(IF(SUMPRODUCT((CLASS!$E84:$E84="RES")*1)&gt;=2,0.4,0.5),MIN(1,0.25+15/SQRT(IF(KLL!E84="",INPUTS!$B$18,KLL!E84)*SUMPRODUCT((CLASS!$E84:$E84="RES")*1,TRIB!$E84:$E84)))))</f>
        <v>1</v>
      </c>
      <c r="F84" s="15" t="n">
        <f aca="false">IF(IF(KLL!F84="",INPUTS!$B$18,KLL!F84)*SUMPRODUCT((CLASS!$E84:$F84="RES")*1,TRIB!$E84:$F84)&lt;400,1,MAX(IF(SUMPRODUCT((CLASS!$E84:$F84="RES")*1)&gt;=2,0.4,0.5),MIN(1,0.25+15/SQRT(IF(KLL!F84="",INPUTS!$B$18,KLL!F84)*SUMPRODUCT((CLASS!$E84:$F84="RES")*1,TRIB!$E84:$F84)))))</f>
        <v>1</v>
      </c>
      <c r="G84" s="15" t="n">
        <f aca="false">IF(IF(KLL!G84="",INPUTS!$B$18,KLL!G84)*SUMPRODUCT((CLASS!$E84:$G84="RES")*1,TRIB!$E84:$G84)&lt;400,1,MAX(IF(SUMPRODUCT((CLASS!$E84:$G84="RES")*1)&gt;=2,0.4,0.5),MIN(1,0.25+15/SQRT(IF(KLL!G84="",INPUTS!$B$18,KLL!G84)*SUMPRODUCT((CLASS!$E84:$G84="RES")*1,TRIB!$E84:$G84)))))</f>
        <v>1</v>
      </c>
      <c r="H84" s="15" t="n">
        <f aca="false">IF(IF(KLL!H84="",INPUTS!$B$18,KLL!H84)*SUMPRODUCT((CLASS!$E84:$H84="RES")*1,TRIB!$E84:$H84)&lt;400,1,MAX(IF(SUMPRODUCT((CLASS!$E84:$H84="RES")*1)&gt;=2,0.4,0.5),MIN(1,0.25+15/SQRT(IF(KLL!H84="",INPUTS!$B$18,KLL!H84)*SUMPRODUCT((CLASS!$E84:$H84="RES")*1,TRIB!$E84:$H84)))))</f>
        <v>1</v>
      </c>
      <c r="I84" s="15" t="n">
        <f aca="false">IF(IF(KLL!I84="",INPUTS!$B$18,KLL!I84)*SUMPRODUCT((CLASS!$E84:$I84="RES")*1,TRIB!$E84:$I84)&lt;400,1,MAX(IF(SUMPRODUCT((CLASS!$E84:$I84="RES")*1)&gt;=2,0.4,0.5),MIN(1,0.25+15/SQRT(IF(KLL!I84="",INPUTS!$B$18,KLL!I84)*SUMPRODUCT((CLASS!$E84:$I84="RES")*1,TRIB!$E84:$I84)))))</f>
        <v>1</v>
      </c>
      <c r="J84" s="15" t="n">
        <f aca="false">IF(IF(KLL!J84="",INPUTS!$B$18,KLL!J84)*SUMPRODUCT((CLASS!$E84:$J84="RES")*1,TRIB!$E84:$J84)&lt;400,1,MAX(IF(SUMPRODUCT((CLASS!$E84:$J84="RES")*1)&gt;=2,0.4,0.5),MIN(1,0.25+15/SQRT(IF(KLL!J84="",INPUTS!$B$18,KLL!J84)*SUMPRODUCT((CLASS!$E84:$J84="RES")*1,TRIB!$E84:$J84)))))</f>
        <v>1</v>
      </c>
      <c r="K84" s="15" t="n">
        <f aca="false">IF(IF(KLL!K84="",INPUTS!$B$18,KLL!K84)*SUMPRODUCT((CLASS!$E84:$K84="RES")*1,TRIB!$E84:$K84)&lt;400,1,MAX(IF(SUMPRODUCT((CLASS!$E84:$K84="RES")*1)&gt;=2,0.4,0.5),MIN(1,0.25+15/SQRT(IF(KLL!K84="",INPUTS!$B$18,KLL!K84)*SUMPRODUCT((CLASS!$E84:$K84="RES")*1,TRIB!$E84:$K84)))))</f>
        <v>1</v>
      </c>
      <c r="L84" s="15" t="n">
        <f aca="false">IF(IF(KLL!L84="",INPUTS!$B$18,KLL!L84)*SUMPRODUCT((CLASS!$E84:$L84="RES")*1,TRIB!$E84:$L84)&lt;400,1,MAX(IF(SUMPRODUCT((CLASS!$E84:$L84="RES")*1)&gt;=2,0.4,0.5),MIN(1,0.25+15/SQRT(IF(KLL!L84="",INPUTS!$B$18,KLL!L84)*SUMPRODUCT((CLASS!$E84:$L84="RES")*1,TRIB!$E84:$L84)))))</f>
        <v>1</v>
      </c>
      <c r="M84" s="15" t="n">
        <f aca="false">IF(IF(KLL!M84="",INPUTS!$B$18,KLL!M84)*SUMPRODUCT((CLASS!$E84:$M84="RES")*1,TRIB!$E84:$M84)&lt;400,1,MAX(IF(SUMPRODUCT((CLASS!$E84:$M84="RES")*1)&gt;=2,0.4,0.5),MIN(1,0.25+15/SQRT(IF(KLL!M84="",INPUTS!$B$18,KLL!M84)*SUMPRODUCT((CLASS!$E84:$M84="RES")*1,TRIB!$E84:$M84)))))</f>
        <v>1</v>
      </c>
      <c r="N84" s="15" t="n">
        <f aca="false">IF(IF(KLL!N84="",INPUTS!$B$18,KLL!N84)*SUMPRODUCT((CLASS!$E84:$N84="RES")*1,TRIB!$E84:$N84)&lt;400,1,MAX(IF(SUMPRODUCT((CLASS!$E84:$N84="RES")*1)&gt;=2,0.4,0.5),MIN(1,0.25+15/SQRT(IF(KLL!N84="",INPUTS!$B$18,KLL!N84)*SUMPRODUCT((CLASS!$E84:$N84="RES")*1,TRIB!$E84:$N84)))))</f>
        <v>1</v>
      </c>
      <c r="O84" s="15" t="n">
        <f aca="false">IF(IF(KLL!O84="",INPUTS!$B$18,KLL!O84)*SUMPRODUCT((CLASS!$E84:$O84="RES")*1,TRIB!$E84:$O84)&lt;400,1,MAX(IF(SUMPRODUCT((CLASS!$E84:$O84="RES")*1)&gt;=2,0.4,0.5),MIN(1,0.25+15/SQRT(IF(KLL!O84="",INPUTS!$B$18,KLL!O84)*SUMPRODUCT((CLASS!$E84:$O84="RES")*1,TRIB!$E84:$O84)))))</f>
        <v>1</v>
      </c>
      <c r="P84" s="15" t="n">
        <f aca="false">IF(IF(KLL!P84="",INPUTS!$B$18,KLL!P84)*SUMPRODUCT((CLASS!$E84:$P84="RES")*1,TRIB!$E84:$P84)&lt;400,1,MAX(IF(SUMPRODUCT((CLASS!$E84:$P84="RES")*1)&gt;=2,0.4,0.5),MIN(1,0.25+15/SQRT(IF(KLL!P84="",INPUTS!$B$18,KLL!P84)*SUMPRODUCT((CLASS!$E84:$P84="RES")*1,TRIB!$E84:$P84)))))</f>
        <v>1</v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15" t="n">
        <f aca="false">IF(IF(KLL!E85="",INPUTS!$B$18,KLL!E85)*SUMPRODUCT((CLASS!$E85:$E85="RES")*1,TRIB!$E85:$E85)&lt;400,1,MAX(IF(SUMPRODUCT((CLASS!$E85:$E85="RES")*1)&gt;=2,0.4,0.5),MIN(1,0.25+15/SQRT(IF(KLL!E85="",INPUTS!$B$18,KLL!E85)*SUMPRODUCT((CLASS!$E85:$E85="RES")*1,TRIB!$E85:$E85)))))</f>
        <v>1</v>
      </c>
      <c r="F85" s="15" t="n">
        <f aca="false">IF(IF(KLL!F85="",INPUTS!$B$18,KLL!F85)*SUMPRODUCT((CLASS!$E85:$F85="RES")*1,TRIB!$E85:$F85)&lt;400,1,MAX(IF(SUMPRODUCT((CLASS!$E85:$F85="RES")*1)&gt;=2,0.4,0.5),MIN(1,0.25+15/SQRT(IF(KLL!F85="",INPUTS!$B$18,KLL!F85)*SUMPRODUCT((CLASS!$E85:$F85="RES")*1,TRIB!$E85:$F85)))))</f>
        <v>1</v>
      </c>
      <c r="G85" s="15" t="n">
        <f aca="false">IF(IF(KLL!G85="",INPUTS!$B$18,KLL!G85)*SUMPRODUCT((CLASS!$E85:$G85="RES")*1,TRIB!$E85:$G85)&lt;400,1,MAX(IF(SUMPRODUCT((CLASS!$E85:$G85="RES")*1)&gt;=2,0.4,0.5),MIN(1,0.25+15/SQRT(IF(KLL!G85="",INPUTS!$B$18,KLL!G85)*SUMPRODUCT((CLASS!$E85:$G85="RES")*1,TRIB!$E85:$G85)))))</f>
        <v>1</v>
      </c>
      <c r="H85" s="15" t="n">
        <f aca="false">IF(IF(KLL!H85="",INPUTS!$B$18,KLL!H85)*SUMPRODUCT((CLASS!$E85:$H85="RES")*1,TRIB!$E85:$H85)&lt;400,1,MAX(IF(SUMPRODUCT((CLASS!$E85:$H85="RES")*1)&gt;=2,0.4,0.5),MIN(1,0.25+15/SQRT(IF(KLL!H85="",INPUTS!$B$18,KLL!H85)*SUMPRODUCT((CLASS!$E85:$H85="RES")*1,TRIB!$E85:$H85)))))</f>
        <v>1</v>
      </c>
      <c r="I85" s="15" t="n">
        <f aca="false">IF(IF(KLL!I85="",INPUTS!$B$18,KLL!I85)*SUMPRODUCT((CLASS!$E85:$I85="RES")*1,TRIB!$E85:$I85)&lt;400,1,MAX(IF(SUMPRODUCT((CLASS!$E85:$I85="RES")*1)&gt;=2,0.4,0.5),MIN(1,0.25+15/SQRT(IF(KLL!I85="",INPUTS!$B$18,KLL!I85)*SUMPRODUCT((CLASS!$E85:$I85="RES")*1,TRIB!$E85:$I85)))))</f>
        <v>1</v>
      </c>
      <c r="J85" s="15" t="n">
        <f aca="false">IF(IF(KLL!J85="",INPUTS!$B$18,KLL!J85)*SUMPRODUCT((CLASS!$E85:$J85="RES")*1,TRIB!$E85:$J85)&lt;400,1,MAX(IF(SUMPRODUCT((CLASS!$E85:$J85="RES")*1)&gt;=2,0.4,0.5),MIN(1,0.25+15/SQRT(IF(KLL!J85="",INPUTS!$B$18,KLL!J85)*SUMPRODUCT((CLASS!$E85:$J85="RES")*1,TRIB!$E85:$J85)))))</f>
        <v>1</v>
      </c>
      <c r="K85" s="15" t="n">
        <f aca="false">IF(IF(KLL!K85="",INPUTS!$B$18,KLL!K85)*SUMPRODUCT((CLASS!$E85:$K85="RES")*1,TRIB!$E85:$K85)&lt;400,1,MAX(IF(SUMPRODUCT((CLASS!$E85:$K85="RES")*1)&gt;=2,0.4,0.5),MIN(1,0.25+15/SQRT(IF(KLL!K85="",INPUTS!$B$18,KLL!K85)*SUMPRODUCT((CLASS!$E85:$K85="RES")*1,TRIB!$E85:$K85)))))</f>
        <v>1</v>
      </c>
      <c r="L85" s="15" t="n">
        <f aca="false">IF(IF(KLL!L85="",INPUTS!$B$18,KLL!L85)*SUMPRODUCT((CLASS!$E85:$L85="RES")*1,TRIB!$E85:$L85)&lt;400,1,MAX(IF(SUMPRODUCT((CLASS!$E85:$L85="RES")*1)&gt;=2,0.4,0.5),MIN(1,0.25+15/SQRT(IF(KLL!L85="",INPUTS!$B$18,KLL!L85)*SUMPRODUCT((CLASS!$E85:$L85="RES")*1,TRIB!$E85:$L85)))))</f>
        <v>1</v>
      </c>
      <c r="M85" s="15" t="n">
        <f aca="false">IF(IF(KLL!M85="",INPUTS!$B$18,KLL!M85)*SUMPRODUCT((CLASS!$E85:$M85="RES")*1,TRIB!$E85:$M85)&lt;400,1,MAX(IF(SUMPRODUCT((CLASS!$E85:$M85="RES")*1)&gt;=2,0.4,0.5),MIN(1,0.25+15/SQRT(IF(KLL!M85="",INPUTS!$B$18,KLL!M85)*SUMPRODUCT((CLASS!$E85:$M85="RES")*1,TRIB!$E85:$M85)))))</f>
        <v>1</v>
      </c>
      <c r="N85" s="15" t="n">
        <f aca="false">IF(IF(KLL!N85="",INPUTS!$B$18,KLL!N85)*SUMPRODUCT((CLASS!$E85:$N85="RES")*1,TRIB!$E85:$N85)&lt;400,1,MAX(IF(SUMPRODUCT((CLASS!$E85:$N85="RES")*1)&gt;=2,0.4,0.5),MIN(1,0.25+15/SQRT(IF(KLL!N85="",INPUTS!$B$18,KLL!N85)*SUMPRODUCT((CLASS!$E85:$N85="RES")*1,TRIB!$E85:$N85)))))</f>
        <v>1</v>
      </c>
      <c r="O85" s="15" t="n">
        <f aca="false">IF(IF(KLL!O85="",INPUTS!$B$18,KLL!O85)*SUMPRODUCT((CLASS!$E85:$O85="RES")*1,TRIB!$E85:$O85)&lt;400,1,MAX(IF(SUMPRODUCT((CLASS!$E85:$O85="RES")*1)&gt;=2,0.4,0.5),MIN(1,0.25+15/SQRT(IF(KLL!O85="",INPUTS!$B$18,KLL!O85)*SUMPRODUCT((CLASS!$E85:$O85="RES")*1,TRIB!$E85:$O85)))))</f>
        <v>1</v>
      </c>
      <c r="P85" s="15" t="n">
        <f aca="false">IF(IF(KLL!P85="",INPUTS!$B$18,KLL!P85)*SUMPRODUCT((CLASS!$E85:$P85="RES")*1,TRIB!$E85:$P85)&lt;400,1,MAX(IF(SUMPRODUCT((CLASS!$E85:$P85="RES")*1)&gt;=2,0.4,0.5),MIN(1,0.25+15/SQRT(IF(KLL!P85="",INPUTS!$B$18,KLL!P85)*SUMPRODUCT((CLASS!$E85:$P85="RES")*1,TRIB!$E85:$P85)))))</f>
        <v>1</v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15" t="n">
        <f aca="false">IF(IF(KLL!E86="",INPUTS!$B$18,KLL!E86)*SUMPRODUCT((CLASS!$E86:$E86="RES")*1,TRIB!$E86:$E86)&lt;400,1,MAX(IF(SUMPRODUCT((CLASS!$E86:$E86="RES")*1)&gt;=2,0.4,0.5),MIN(1,0.25+15/SQRT(IF(KLL!E86="",INPUTS!$B$18,KLL!E86)*SUMPRODUCT((CLASS!$E86:$E86="RES")*1,TRIB!$E86:$E86)))))</f>
        <v>1</v>
      </c>
      <c r="F86" s="15" t="n">
        <f aca="false">IF(IF(KLL!F86="",INPUTS!$B$18,KLL!F86)*SUMPRODUCT((CLASS!$E86:$F86="RES")*1,TRIB!$E86:$F86)&lt;400,1,MAX(IF(SUMPRODUCT((CLASS!$E86:$F86="RES")*1)&gt;=2,0.4,0.5),MIN(1,0.25+15/SQRT(IF(KLL!F86="",INPUTS!$B$18,KLL!F86)*SUMPRODUCT((CLASS!$E86:$F86="RES")*1,TRIB!$E86:$F86)))))</f>
        <v>1</v>
      </c>
      <c r="G86" s="15" t="n">
        <f aca="false">IF(IF(KLL!G86="",INPUTS!$B$18,KLL!G86)*SUMPRODUCT((CLASS!$E86:$G86="RES")*1,TRIB!$E86:$G86)&lt;400,1,MAX(IF(SUMPRODUCT((CLASS!$E86:$G86="RES")*1)&gt;=2,0.4,0.5),MIN(1,0.25+15/SQRT(IF(KLL!G86="",INPUTS!$B$18,KLL!G86)*SUMPRODUCT((CLASS!$E86:$G86="RES")*1,TRIB!$E86:$G86)))))</f>
        <v>1</v>
      </c>
      <c r="H86" s="15" t="n">
        <f aca="false">IF(IF(KLL!H86="",INPUTS!$B$18,KLL!H86)*SUMPRODUCT((CLASS!$E86:$H86="RES")*1,TRIB!$E86:$H86)&lt;400,1,MAX(IF(SUMPRODUCT((CLASS!$E86:$H86="RES")*1)&gt;=2,0.4,0.5),MIN(1,0.25+15/SQRT(IF(KLL!H86="",INPUTS!$B$18,KLL!H86)*SUMPRODUCT((CLASS!$E86:$H86="RES")*1,TRIB!$E86:$H86)))))</f>
        <v>1</v>
      </c>
      <c r="I86" s="15" t="n">
        <f aca="false">IF(IF(KLL!I86="",INPUTS!$B$18,KLL!I86)*SUMPRODUCT((CLASS!$E86:$I86="RES")*1,TRIB!$E86:$I86)&lt;400,1,MAX(IF(SUMPRODUCT((CLASS!$E86:$I86="RES")*1)&gt;=2,0.4,0.5),MIN(1,0.25+15/SQRT(IF(KLL!I86="",INPUTS!$B$18,KLL!I86)*SUMPRODUCT((CLASS!$E86:$I86="RES")*1,TRIB!$E86:$I86)))))</f>
        <v>1</v>
      </c>
      <c r="J86" s="15" t="n">
        <f aca="false">IF(IF(KLL!J86="",INPUTS!$B$18,KLL!J86)*SUMPRODUCT((CLASS!$E86:$J86="RES")*1,TRIB!$E86:$J86)&lt;400,1,MAX(IF(SUMPRODUCT((CLASS!$E86:$J86="RES")*1)&gt;=2,0.4,0.5),MIN(1,0.25+15/SQRT(IF(KLL!J86="",INPUTS!$B$18,KLL!J86)*SUMPRODUCT((CLASS!$E86:$J86="RES")*1,TRIB!$E86:$J86)))))</f>
        <v>1</v>
      </c>
      <c r="K86" s="15" t="n">
        <f aca="false">IF(IF(KLL!K86="",INPUTS!$B$18,KLL!K86)*SUMPRODUCT((CLASS!$E86:$K86="RES")*1,TRIB!$E86:$K86)&lt;400,1,MAX(IF(SUMPRODUCT((CLASS!$E86:$K86="RES")*1)&gt;=2,0.4,0.5),MIN(1,0.25+15/SQRT(IF(KLL!K86="",INPUTS!$B$18,KLL!K86)*SUMPRODUCT((CLASS!$E86:$K86="RES")*1,TRIB!$E86:$K86)))))</f>
        <v>1</v>
      </c>
      <c r="L86" s="15" t="n">
        <f aca="false">IF(IF(KLL!L86="",INPUTS!$B$18,KLL!L86)*SUMPRODUCT((CLASS!$E86:$L86="RES")*1,TRIB!$E86:$L86)&lt;400,1,MAX(IF(SUMPRODUCT((CLASS!$E86:$L86="RES")*1)&gt;=2,0.4,0.5),MIN(1,0.25+15/SQRT(IF(KLL!L86="",INPUTS!$B$18,KLL!L86)*SUMPRODUCT((CLASS!$E86:$L86="RES")*1,TRIB!$E86:$L86)))))</f>
        <v>1</v>
      </c>
      <c r="M86" s="15" t="n">
        <f aca="false">IF(IF(KLL!M86="",INPUTS!$B$18,KLL!M86)*SUMPRODUCT((CLASS!$E86:$M86="RES")*1,TRIB!$E86:$M86)&lt;400,1,MAX(IF(SUMPRODUCT((CLASS!$E86:$M86="RES")*1)&gt;=2,0.4,0.5),MIN(1,0.25+15/SQRT(IF(KLL!M86="",INPUTS!$B$18,KLL!M86)*SUMPRODUCT((CLASS!$E86:$M86="RES")*1,TRIB!$E86:$M86)))))</f>
        <v>1</v>
      </c>
      <c r="N86" s="15" t="n">
        <f aca="false">IF(IF(KLL!N86="",INPUTS!$B$18,KLL!N86)*SUMPRODUCT((CLASS!$E86:$N86="RES")*1,TRIB!$E86:$N86)&lt;400,1,MAX(IF(SUMPRODUCT((CLASS!$E86:$N86="RES")*1)&gt;=2,0.4,0.5),MIN(1,0.25+15/SQRT(IF(KLL!N86="",INPUTS!$B$18,KLL!N86)*SUMPRODUCT((CLASS!$E86:$N86="RES")*1,TRIB!$E86:$N86)))))</f>
        <v>1</v>
      </c>
      <c r="O86" s="15" t="n">
        <f aca="false">IF(IF(KLL!O86="",INPUTS!$B$18,KLL!O86)*SUMPRODUCT((CLASS!$E86:$O86="RES")*1,TRIB!$E86:$O86)&lt;400,1,MAX(IF(SUMPRODUCT((CLASS!$E86:$O86="RES")*1)&gt;=2,0.4,0.5),MIN(1,0.25+15/SQRT(IF(KLL!O86="",INPUTS!$B$18,KLL!O86)*SUMPRODUCT((CLASS!$E86:$O86="RES")*1,TRIB!$E86:$O86)))))</f>
        <v>1</v>
      </c>
      <c r="P86" s="15" t="n">
        <f aca="false">IF(IF(KLL!P86="",INPUTS!$B$18,KLL!P86)*SUMPRODUCT((CLASS!$E86:$P86="RES")*1,TRIB!$E86:$P86)&lt;400,1,MAX(IF(SUMPRODUCT((CLASS!$E86:$P86="RES")*1)&gt;=2,0.4,0.5),MIN(1,0.25+15/SQRT(IF(KLL!P86="",INPUTS!$B$18,KLL!P86)*SUMPRODUCT((CLASS!$E86:$P86="RES")*1,TRIB!$E86:$P86)))))</f>
        <v>1</v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15" t="n">
        <f aca="false">IF(IF(KLL!E87="",INPUTS!$B$18,KLL!E87)*SUMPRODUCT((CLASS!$E87:$E87="RES")*1,TRIB!$E87:$E87)&lt;400,1,MAX(IF(SUMPRODUCT((CLASS!$E87:$E87="RES")*1)&gt;=2,0.4,0.5),MIN(1,0.25+15/SQRT(IF(KLL!E87="",INPUTS!$B$18,KLL!E87)*SUMPRODUCT((CLASS!$E87:$E87="RES")*1,TRIB!$E87:$E87)))))</f>
        <v>1</v>
      </c>
      <c r="F87" s="15" t="n">
        <f aca="false">IF(IF(KLL!F87="",INPUTS!$B$18,KLL!F87)*SUMPRODUCT((CLASS!$E87:$F87="RES")*1,TRIB!$E87:$F87)&lt;400,1,MAX(IF(SUMPRODUCT((CLASS!$E87:$F87="RES")*1)&gt;=2,0.4,0.5),MIN(1,0.25+15/SQRT(IF(KLL!F87="",INPUTS!$B$18,KLL!F87)*SUMPRODUCT((CLASS!$E87:$F87="RES")*1,TRIB!$E87:$F87)))))</f>
        <v>1</v>
      </c>
      <c r="G87" s="15" t="n">
        <f aca="false">IF(IF(KLL!G87="",INPUTS!$B$18,KLL!G87)*SUMPRODUCT((CLASS!$E87:$G87="RES")*1,TRIB!$E87:$G87)&lt;400,1,MAX(IF(SUMPRODUCT((CLASS!$E87:$G87="RES")*1)&gt;=2,0.4,0.5),MIN(1,0.25+15/SQRT(IF(KLL!G87="",INPUTS!$B$18,KLL!G87)*SUMPRODUCT((CLASS!$E87:$G87="RES")*1,TRIB!$E87:$G87)))))</f>
        <v>1</v>
      </c>
      <c r="H87" s="15" t="n">
        <f aca="false">IF(IF(KLL!H87="",INPUTS!$B$18,KLL!H87)*SUMPRODUCT((CLASS!$E87:$H87="RES")*1,TRIB!$E87:$H87)&lt;400,1,MAX(IF(SUMPRODUCT((CLASS!$E87:$H87="RES")*1)&gt;=2,0.4,0.5),MIN(1,0.25+15/SQRT(IF(KLL!H87="",INPUTS!$B$18,KLL!H87)*SUMPRODUCT((CLASS!$E87:$H87="RES")*1,TRIB!$E87:$H87)))))</f>
        <v>1</v>
      </c>
      <c r="I87" s="15" t="n">
        <f aca="false">IF(IF(KLL!I87="",INPUTS!$B$18,KLL!I87)*SUMPRODUCT((CLASS!$E87:$I87="RES")*1,TRIB!$E87:$I87)&lt;400,1,MAX(IF(SUMPRODUCT((CLASS!$E87:$I87="RES")*1)&gt;=2,0.4,0.5),MIN(1,0.25+15/SQRT(IF(KLL!I87="",INPUTS!$B$18,KLL!I87)*SUMPRODUCT((CLASS!$E87:$I87="RES")*1,TRIB!$E87:$I87)))))</f>
        <v>1</v>
      </c>
      <c r="J87" s="15" t="n">
        <f aca="false">IF(IF(KLL!J87="",INPUTS!$B$18,KLL!J87)*SUMPRODUCT((CLASS!$E87:$J87="RES")*1,TRIB!$E87:$J87)&lt;400,1,MAX(IF(SUMPRODUCT((CLASS!$E87:$J87="RES")*1)&gt;=2,0.4,0.5),MIN(1,0.25+15/SQRT(IF(KLL!J87="",INPUTS!$B$18,KLL!J87)*SUMPRODUCT((CLASS!$E87:$J87="RES")*1,TRIB!$E87:$J87)))))</f>
        <v>1</v>
      </c>
      <c r="K87" s="15" t="n">
        <f aca="false">IF(IF(KLL!K87="",INPUTS!$B$18,KLL!K87)*SUMPRODUCT((CLASS!$E87:$K87="RES")*1,TRIB!$E87:$K87)&lt;400,1,MAX(IF(SUMPRODUCT((CLASS!$E87:$K87="RES")*1)&gt;=2,0.4,0.5),MIN(1,0.25+15/SQRT(IF(KLL!K87="",INPUTS!$B$18,KLL!K87)*SUMPRODUCT((CLASS!$E87:$K87="RES")*1,TRIB!$E87:$K87)))))</f>
        <v>1</v>
      </c>
      <c r="L87" s="15" t="n">
        <f aca="false">IF(IF(KLL!L87="",INPUTS!$B$18,KLL!L87)*SUMPRODUCT((CLASS!$E87:$L87="RES")*1,TRIB!$E87:$L87)&lt;400,1,MAX(IF(SUMPRODUCT((CLASS!$E87:$L87="RES")*1)&gt;=2,0.4,0.5),MIN(1,0.25+15/SQRT(IF(KLL!L87="",INPUTS!$B$18,KLL!L87)*SUMPRODUCT((CLASS!$E87:$L87="RES")*1,TRIB!$E87:$L87)))))</f>
        <v>1</v>
      </c>
      <c r="M87" s="15" t="n">
        <f aca="false">IF(IF(KLL!M87="",INPUTS!$B$18,KLL!M87)*SUMPRODUCT((CLASS!$E87:$M87="RES")*1,TRIB!$E87:$M87)&lt;400,1,MAX(IF(SUMPRODUCT((CLASS!$E87:$M87="RES")*1)&gt;=2,0.4,0.5),MIN(1,0.25+15/SQRT(IF(KLL!M87="",INPUTS!$B$18,KLL!M87)*SUMPRODUCT((CLASS!$E87:$M87="RES")*1,TRIB!$E87:$M87)))))</f>
        <v>1</v>
      </c>
      <c r="N87" s="15" t="n">
        <f aca="false">IF(IF(KLL!N87="",INPUTS!$B$18,KLL!N87)*SUMPRODUCT((CLASS!$E87:$N87="RES")*1,TRIB!$E87:$N87)&lt;400,1,MAX(IF(SUMPRODUCT((CLASS!$E87:$N87="RES")*1)&gt;=2,0.4,0.5),MIN(1,0.25+15/SQRT(IF(KLL!N87="",INPUTS!$B$18,KLL!N87)*SUMPRODUCT((CLASS!$E87:$N87="RES")*1,TRIB!$E87:$N87)))))</f>
        <v>1</v>
      </c>
      <c r="O87" s="15" t="n">
        <f aca="false">IF(IF(KLL!O87="",INPUTS!$B$18,KLL!O87)*SUMPRODUCT((CLASS!$E87:$O87="RES")*1,TRIB!$E87:$O87)&lt;400,1,MAX(IF(SUMPRODUCT((CLASS!$E87:$O87="RES")*1)&gt;=2,0.4,0.5),MIN(1,0.25+15/SQRT(IF(KLL!O87="",INPUTS!$B$18,KLL!O87)*SUMPRODUCT((CLASS!$E87:$O87="RES")*1,TRIB!$E87:$O87)))))</f>
        <v>1</v>
      </c>
      <c r="P87" s="15" t="n">
        <f aca="false">IF(IF(KLL!P87="",INPUTS!$B$18,KLL!P87)*SUMPRODUCT((CLASS!$E87:$P87="RES")*1,TRIB!$E87:$P87)&lt;400,1,MAX(IF(SUMPRODUCT((CLASS!$E87:$P87="RES")*1)&gt;=2,0.4,0.5),MIN(1,0.25+15/SQRT(IF(KLL!P87="",INPUTS!$B$18,KLL!P87)*SUMPRODUCT((CLASS!$E87:$P87="RES")*1,TRIB!$E87:$P87)))))</f>
        <v>1</v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15" t="n">
        <f aca="false">IF(IF(KLL!E88="",INPUTS!$B$18,KLL!E88)*SUMPRODUCT((CLASS!$E88:$E88="RES")*1,TRIB!$E88:$E88)&lt;400,1,MAX(IF(SUMPRODUCT((CLASS!$E88:$E88="RES")*1)&gt;=2,0.4,0.5),MIN(1,0.25+15/SQRT(IF(KLL!E88="",INPUTS!$B$18,KLL!E88)*SUMPRODUCT((CLASS!$E88:$E88="RES")*1,TRIB!$E88:$E88)))))</f>
        <v>1</v>
      </c>
      <c r="F88" s="15" t="n">
        <f aca="false">IF(IF(KLL!F88="",INPUTS!$B$18,KLL!F88)*SUMPRODUCT((CLASS!$E88:$F88="RES")*1,TRIB!$E88:$F88)&lt;400,1,MAX(IF(SUMPRODUCT((CLASS!$E88:$F88="RES")*1)&gt;=2,0.4,0.5),MIN(1,0.25+15/SQRT(IF(KLL!F88="",INPUTS!$B$18,KLL!F88)*SUMPRODUCT((CLASS!$E88:$F88="RES")*1,TRIB!$E88:$F88)))))</f>
        <v>1</v>
      </c>
      <c r="G88" s="15" t="n">
        <f aca="false">IF(IF(KLL!G88="",INPUTS!$B$18,KLL!G88)*SUMPRODUCT((CLASS!$E88:$G88="RES")*1,TRIB!$E88:$G88)&lt;400,1,MAX(IF(SUMPRODUCT((CLASS!$E88:$G88="RES")*1)&gt;=2,0.4,0.5),MIN(1,0.25+15/SQRT(IF(KLL!G88="",INPUTS!$B$18,KLL!G88)*SUMPRODUCT((CLASS!$E88:$G88="RES")*1,TRIB!$E88:$G88)))))</f>
        <v>1</v>
      </c>
      <c r="H88" s="15" t="n">
        <f aca="false">IF(IF(KLL!H88="",INPUTS!$B$18,KLL!H88)*SUMPRODUCT((CLASS!$E88:$H88="RES")*1,TRIB!$E88:$H88)&lt;400,1,MAX(IF(SUMPRODUCT((CLASS!$E88:$H88="RES")*1)&gt;=2,0.4,0.5),MIN(1,0.25+15/SQRT(IF(KLL!H88="",INPUTS!$B$18,KLL!H88)*SUMPRODUCT((CLASS!$E88:$H88="RES")*1,TRIB!$E88:$H88)))))</f>
        <v>1</v>
      </c>
      <c r="I88" s="15" t="n">
        <f aca="false">IF(IF(KLL!I88="",INPUTS!$B$18,KLL!I88)*SUMPRODUCT((CLASS!$E88:$I88="RES")*1,TRIB!$E88:$I88)&lt;400,1,MAX(IF(SUMPRODUCT((CLASS!$E88:$I88="RES")*1)&gt;=2,0.4,0.5),MIN(1,0.25+15/SQRT(IF(KLL!I88="",INPUTS!$B$18,KLL!I88)*SUMPRODUCT((CLASS!$E88:$I88="RES")*1,TRIB!$E88:$I88)))))</f>
        <v>1</v>
      </c>
      <c r="J88" s="15" t="n">
        <f aca="false">IF(IF(KLL!J88="",INPUTS!$B$18,KLL!J88)*SUMPRODUCT((CLASS!$E88:$J88="RES")*1,TRIB!$E88:$J88)&lt;400,1,MAX(IF(SUMPRODUCT((CLASS!$E88:$J88="RES")*1)&gt;=2,0.4,0.5),MIN(1,0.25+15/SQRT(IF(KLL!J88="",INPUTS!$B$18,KLL!J88)*SUMPRODUCT((CLASS!$E88:$J88="RES")*1,TRIB!$E88:$J88)))))</f>
        <v>1</v>
      </c>
      <c r="K88" s="15" t="n">
        <f aca="false">IF(IF(KLL!K88="",INPUTS!$B$18,KLL!K88)*SUMPRODUCT((CLASS!$E88:$K88="RES")*1,TRIB!$E88:$K88)&lt;400,1,MAX(IF(SUMPRODUCT((CLASS!$E88:$K88="RES")*1)&gt;=2,0.4,0.5),MIN(1,0.25+15/SQRT(IF(KLL!K88="",INPUTS!$B$18,KLL!K88)*SUMPRODUCT((CLASS!$E88:$K88="RES")*1,TRIB!$E88:$K88)))))</f>
        <v>1</v>
      </c>
      <c r="L88" s="15" t="n">
        <f aca="false">IF(IF(KLL!L88="",INPUTS!$B$18,KLL!L88)*SUMPRODUCT((CLASS!$E88:$L88="RES")*1,TRIB!$E88:$L88)&lt;400,1,MAX(IF(SUMPRODUCT((CLASS!$E88:$L88="RES")*1)&gt;=2,0.4,0.5),MIN(1,0.25+15/SQRT(IF(KLL!L88="",INPUTS!$B$18,KLL!L88)*SUMPRODUCT((CLASS!$E88:$L88="RES")*1,TRIB!$E88:$L88)))))</f>
        <v>1</v>
      </c>
      <c r="M88" s="15" t="n">
        <f aca="false">IF(IF(KLL!M88="",INPUTS!$B$18,KLL!M88)*SUMPRODUCT((CLASS!$E88:$M88="RES")*1,TRIB!$E88:$M88)&lt;400,1,MAX(IF(SUMPRODUCT((CLASS!$E88:$M88="RES")*1)&gt;=2,0.4,0.5),MIN(1,0.25+15/SQRT(IF(KLL!M88="",INPUTS!$B$18,KLL!M88)*SUMPRODUCT((CLASS!$E88:$M88="RES")*1,TRIB!$E88:$M88)))))</f>
        <v>1</v>
      </c>
      <c r="N88" s="15" t="n">
        <f aca="false">IF(IF(KLL!N88="",INPUTS!$B$18,KLL!N88)*SUMPRODUCT((CLASS!$E88:$N88="RES")*1,TRIB!$E88:$N88)&lt;400,1,MAX(IF(SUMPRODUCT((CLASS!$E88:$N88="RES")*1)&gt;=2,0.4,0.5),MIN(1,0.25+15/SQRT(IF(KLL!N88="",INPUTS!$B$18,KLL!N88)*SUMPRODUCT((CLASS!$E88:$N88="RES")*1,TRIB!$E88:$N88)))))</f>
        <v>1</v>
      </c>
      <c r="O88" s="15" t="n">
        <f aca="false">IF(IF(KLL!O88="",INPUTS!$B$18,KLL!O88)*SUMPRODUCT((CLASS!$E88:$O88="RES")*1,TRIB!$E88:$O88)&lt;400,1,MAX(IF(SUMPRODUCT((CLASS!$E88:$O88="RES")*1)&gt;=2,0.4,0.5),MIN(1,0.25+15/SQRT(IF(KLL!O88="",INPUTS!$B$18,KLL!O88)*SUMPRODUCT((CLASS!$E88:$O88="RES")*1,TRIB!$E88:$O88)))))</f>
        <v>1</v>
      </c>
      <c r="P88" s="15" t="n">
        <f aca="false">IF(IF(KLL!P88="",INPUTS!$B$18,KLL!P88)*SUMPRODUCT((CLASS!$E88:$P88="RES")*1,TRIB!$E88:$P88)&lt;400,1,MAX(IF(SUMPRODUCT((CLASS!$E88:$P88="RES")*1)&gt;=2,0.4,0.5),MIN(1,0.25+15/SQRT(IF(KLL!P88="",INPUTS!$B$18,KLL!P88)*SUMPRODUCT((CLASS!$E88:$P88="RES")*1,TRIB!$E88:$P88)))))</f>
        <v>1</v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15" t="n">
        <f aca="false">IF(IF(KLL!E89="",INPUTS!$B$18,KLL!E89)*SUMPRODUCT((CLASS!$E89:$E89="RES")*1,TRIB!$E89:$E89)&lt;400,1,MAX(IF(SUMPRODUCT((CLASS!$E89:$E89="RES")*1)&gt;=2,0.4,0.5),MIN(1,0.25+15/SQRT(IF(KLL!E89="",INPUTS!$B$18,KLL!E89)*SUMPRODUCT((CLASS!$E89:$E89="RES")*1,TRIB!$E89:$E89)))))</f>
        <v>1</v>
      </c>
      <c r="F89" s="15" t="n">
        <f aca="false">IF(IF(KLL!F89="",INPUTS!$B$18,KLL!F89)*SUMPRODUCT((CLASS!$E89:$F89="RES")*1,TRIB!$E89:$F89)&lt;400,1,MAX(IF(SUMPRODUCT((CLASS!$E89:$F89="RES")*1)&gt;=2,0.4,0.5),MIN(1,0.25+15/SQRT(IF(KLL!F89="",INPUTS!$B$18,KLL!F89)*SUMPRODUCT((CLASS!$E89:$F89="RES")*1,TRIB!$E89:$F89)))))</f>
        <v>1</v>
      </c>
      <c r="G89" s="15" t="n">
        <f aca="false">IF(IF(KLL!G89="",INPUTS!$B$18,KLL!G89)*SUMPRODUCT((CLASS!$E89:$G89="RES")*1,TRIB!$E89:$G89)&lt;400,1,MAX(IF(SUMPRODUCT((CLASS!$E89:$G89="RES")*1)&gt;=2,0.4,0.5),MIN(1,0.25+15/SQRT(IF(KLL!G89="",INPUTS!$B$18,KLL!G89)*SUMPRODUCT((CLASS!$E89:$G89="RES")*1,TRIB!$E89:$G89)))))</f>
        <v>1</v>
      </c>
      <c r="H89" s="15" t="n">
        <f aca="false">IF(IF(KLL!H89="",INPUTS!$B$18,KLL!H89)*SUMPRODUCT((CLASS!$E89:$H89="RES")*1,TRIB!$E89:$H89)&lt;400,1,MAX(IF(SUMPRODUCT((CLASS!$E89:$H89="RES")*1)&gt;=2,0.4,0.5),MIN(1,0.25+15/SQRT(IF(KLL!H89="",INPUTS!$B$18,KLL!H89)*SUMPRODUCT((CLASS!$E89:$H89="RES")*1,TRIB!$E89:$H89)))))</f>
        <v>1</v>
      </c>
      <c r="I89" s="15" t="n">
        <f aca="false">IF(IF(KLL!I89="",INPUTS!$B$18,KLL!I89)*SUMPRODUCT((CLASS!$E89:$I89="RES")*1,TRIB!$E89:$I89)&lt;400,1,MAX(IF(SUMPRODUCT((CLASS!$E89:$I89="RES")*1)&gt;=2,0.4,0.5),MIN(1,0.25+15/SQRT(IF(KLL!I89="",INPUTS!$B$18,KLL!I89)*SUMPRODUCT((CLASS!$E89:$I89="RES")*1,TRIB!$E89:$I89)))))</f>
        <v>1</v>
      </c>
      <c r="J89" s="15" t="n">
        <f aca="false">IF(IF(KLL!J89="",INPUTS!$B$18,KLL!J89)*SUMPRODUCT((CLASS!$E89:$J89="RES")*1,TRIB!$E89:$J89)&lt;400,1,MAX(IF(SUMPRODUCT((CLASS!$E89:$J89="RES")*1)&gt;=2,0.4,0.5),MIN(1,0.25+15/SQRT(IF(KLL!J89="",INPUTS!$B$18,KLL!J89)*SUMPRODUCT((CLASS!$E89:$J89="RES")*1,TRIB!$E89:$J89)))))</f>
        <v>1</v>
      </c>
      <c r="K89" s="15" t="n">
        <f aca="false">IF(IF(KLL!K89="",INPUTS!$B$18,KLL!K89)*SUMPRODUCT((CLASS!$E89:$K89="RES")*1,TRIB!$E89:$K89)&lt;400,1,MAX(IF(SUMPRODUCT((CLASS!$E89:$K89="RES")*1)&gt;=2,0.4,0.5),MIN(1,0.25+15/SQRT(IF(KLL!K89="",INPUTS!$B$18,KLL!K89)*SUMPRODUCT((CLASS!$E89:$K89="RES")*1,TRIB!$E89:$K89)))))</f>
        <v>1</v>
      </c>
      <c r="L89" s="15" t="n">
        <f aca="false">IF(IF(KLL!L89="",INPUTS!$B$18,KLL!L89)*SUMPRODUCT((CLASS!$E89:$L89="RES")*1,TRIB!$E89:$L89)&lt;400,1,MAX(IF(SUMPRODUCT((CLASS!$E89:$L89="RES")*1)&gt;=2,0.4,0.5),MIN(1,0.25+15/SQRT(IF(KLL!L89="",INPUTS!$B$18,KLL!L89)*SUMPRODUCT((CLASS!$E89:$L89="RES")*1,TRIB!$E89:$L89)))))</f>
        <v>1</v>
      </c>
      <c r="M89" s="15" t="n">
        <f aca="false">IF(IF(KLL!M89="",INPUTS!$B$18,KLL!M89)*SUMPRODUCT((CLASS!$E89:$M89="RES")*1,TRIB!$E89:$M89)&lt;400,1,MAX(IF(SUMPRODUCT((CLASS!$E89:$M89="RES")*1)&gt;=2,0.4,0.5),MIN(1,0.25+15/SQRT(IF(KLL!M89="",INPUTS!$B$18,KLL!M89)*SUMPRODUCT((CLASS!$E89:$M89="RES")*1,TRIB!$E89:$M89)))))</f>
        <v>1</v>
      </c>
      <c r="N89" s="15" t="n">
        <f aca="false">IF(IF(KLL!N89="",INPUTS!$B$18,KLL!N89)*SUMPRODUCT((CLASS!$E89:$N89="RES")*1,TRIB!$E89:$N89)&lt;400,1,MAX(IF(SUMPRODUCT((CLASS!$E89:$N89="RES")*1)&gt;=2,0.4,0.5),MIN(1,0.25+15/SQRT(IF(KLL!N89="",INPUTS!$B$18,KLL!N89)*SUMPRODUCT((CLASS!$E89:$N89="RES")*1,TRIB!$E89:$N89)))))</f>
        <v>1</v>
      </c>
      <c r="O89" s="15" t="n">
        <f aca="false">IF(IF(KLL!O89="",INPUTS!$B$18,KLL!O89)*SUMPRODUCT((CLASS!$E89:$O89="RES")*1,TRIB!$E89:$O89)&lt;400,1,MAX(IF(SUMPRODUCT((CLASS!$E89:$O89="RES")*1)&gt;=2,0.4,0.5),MIN(1,0.25+15/SQRT(IF(KLL!O89="",INPUTS!$B$18,KLL!O89)*SUMPRODUCT((CLASS!$E89:$O89="RES")*1,TRIB!$E89:$O89)))))</f>
        <v>1</v>
      </c>
      <c r="P89" s="15" t="n">
        <f aca="false">IF(IF(KLL!P89="",INPUTS!$B$18,KLL!P89)*SUMPRODUCT((CLASS!$E89:$P89="RES")*1,TRIB!$E89:$P89)&lt;400,1,MAX(IF(SUMPRODUCT((CLASS!$E89:$P89="RES")*1)&gt;=2,0.4,0.5),MIN(1,0.25+15/SQRT(IF(KLL!P89="",INPUTS!$B$18,KLL!P89)*SUMPRODUCT((CLASS!$E89:$P89="RES")*1,TRIB!$E89:$P89)))))</f>
        <v>1</v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15" t="n">
        <f aca="false">IF(IF(KLL!E90="",INPUTS!$B$18,KLL!E90)*SUMPRODUCT((CLASS!$E90:$E90="RES")*1,TRIB!$E90:$E90)&lt;400,1,MAX(IF(SUMPRODUCT((CLASS!$E90:$E90="RES")*1)&gt;=2,0.4,0.5),MIN(1,0.25+15/SQRT(IF(KLL!E90="",INPUTS!$B$18,KLL!E90)*SUMPRODUCT((CLASS!$E90:$E90="RES")*1,TRIB!$E90:$E90)))))</f>
        <v>1</v>
      </c>
      <c r="F90" s="15" t="n">
        <f aca="false">IF(IF(KLL!F90="",INPUTS!$B$18,KLL!F90)*SUMPRODUCT((CLASS!$E90:$F90="RES")*1,TRIB!$E90:$F90)&lt;400,1,MAX(IF(SUMPRODUCT((CLASS!$E90:$F90="RES")*1)&gt;=2,0.4,0.5),MIN(1,0.25+15/SQRT(IF(KLL!F90="",INPUTS!$B$18,KLL!F90)*SUMPRODUCT((CLASS!$E90:$F90="RES")*1,TRIB!$E90:$F90)))))</f>
        <v>1</v>
      </c>
      <c r="G90" s="15" t="n">
        <f aca="false">IF(IF(KLL!G90="",INPUTS!$B$18,KLL!G90)*SUMPRODUCT((CLASS!$E90:$G90="RES")*1,TRIB!$E90:$G90)&lt;400,1,MAX(IF(SUMPRODUCT((CLASS!$E90:$G90="RES")*1)&gt;=2,0.4,0.5),MIN(1,0.25+15/SQRT(IF(KLL!G90="",INPUTS!$B$18,KLL!G90)*SUMPRODUCT((CLASS!$E90:$G90="RES")*1,TRIB!$E90:$G90)))))</f>
        <v>1</v>
      </c>
      <c r="H90" s="15" t="n">
        <f aca="false">IF(IF(KLL!H90="",INPUTS!$B$18,KLL!H90)*SUMPRODUCT((CLASS!$E90:$H90="RES")*1,TRIB!$E90:$H90)&lt;400,1,MAX(IF(SUMPRODUCT((CLASS!$E90:$H90="RES")*1)&gt;=2,0.4,0.5),MIN(1,0.25+15/SQRT(IF(KLL!H90="",INPUTS!$B$18,KLL!H90)*SUMPRODUCT((CLASS!$E90:$H90="RES")*1,TRIB!$E90:$H90)))))</f>
        <v>1</v>
      </c>
      <c r="I90" s="15" t="n">
        <f aca="false">IF(IF(KLL!I90="",INPUTS!$B$18,KLL!I90)*SUMPRODUCT((CLASS!$E90:$I90="RES")*1,TRIB!$E90:$I90)&lt;400,1,MAX(IF(SUMPRODUCT((CLASS!$E90:$I90="RES")*1)&gt;=2,0.4,0.5),MIN(1,0.25+15/SQRT(IF(KLL!I90="",INPUTS!$B$18,KLL!I90)*SUMPRODUCT((CLASS!$E90:$I90="RES")*1,TRIB!$E90:$I90)))))</f>
        <v>1</v>
      </c>
      <c r="J90" s="15" t="n">
        <f aca="false">IF(IF(KLL!J90="",INPUTS!$B$18,KLL!J90)*SUMPRODUCT((CLASS!$E90:$J90="RES")*1,TRIB!$E90:$J90)&lt;400,1,MAX(IF(SUMPRODUCT((CLASS!$E90:$J90="RES")*1)&gt;=2,0.4,0.5),MIN(1,0.25+15/SQRT(IF(KLL!J90="",INPUTS!$B$18,KLL!J90)*SUMPRODUCT((CLASS!$E90:$J90="RES")*1,TRIB!$E90:$J90)))))</f>
        <v>1</v>
      </c>
      <c r="K90" s="15" t="n">
        <f aca="false">IF(IF(KLL!K90="",INPUTS!$B$18,KLL!K90)*SUMPRODUCT((CLASS!$E90:$K90="RES")*1,TRIB!$E90:$K90)&lt;400,1,MAX(IF(SUMPRODUCT((CLASS!$E90:$K90="RES")*1)&gt;=2,0.4,0.5),MIN(1,0.25+15/SQRT(IF(KLL!K90="",INPUTS!$B$18,KLL!K90)*SUMPRODUCT((CLASS!$E90:$K90="RES")*1,TRIB!$E90:$K90)))))</f>
        <v>1</v>
      </c>
      <c r="L90" s="15" t="n">
        <f aca="false">IF(IF(KLL!L90="",INPUTS!$B$18,KLL!L90)*SUMPRODUCT((CLASS!$E90:$L90="RES")*1,TRIB!$E90:$L90)&lt;400,1,MAX(IF(SUMPRODUCT((CLASS!$E90:$L90="RES")*1)&gt;=2,0.4,0.5),MIN(1,0.25+15/SQRT(IF(KLL!L90="",INPUTS!$B$18,KLL!L90)*SUMPRODUCT((CLASS!$E90:$L90="RES")*1,TRIB!$E90:$L90)))))</f>
        <v>1</v>
      </c>
      <c r="M90" s="15" t="n">
        <f aca="false">IF(IF(KLL!M90="",INPUTS!$B$18,KLL!M90)*SUMPRODUCT((CLASS!$E90:$M90="RES")*1,TRIB!$E90:$M90)&lt;400,1,MAX(IF(SUMPRODUCT((CLASS!$E90:$M90="RES")*1)&gt;=2,0.4,0.5),MIN(1,0.25+15/SQRT(IF(KLL!M90="",INPUTS!$B$18,KLL!M90)*SUMPRODUCT((CLASS!$E90:$M90="RES")*1,TRIB!$E90:$M90)))))</f>
        <v>1</v>
      </c>
      <c r="N90" s="15" t="n">
        <f aca="false">IF(IF(KLL!N90="",INPUTS!$B$18,KLL!N90)*SUMPRODUCT((CLASS!$E90:$N90="RES")*1,TRIB!$E90:$N90)&lt;400,1,MAX(IF(SUMPRODUCT((CLASS!$E90:$N90="RES")*1)&gt;=2,0.4,0.5),MIN(1,0.25+15/SQRT(IF(KLL!N90="",INPUTS!$B$18,KLL!N90)*SUMPRODUCT((CLASS!$E90:$N90="RES")*1,TRIB!$E90:$N90)))))</f>
        <v>1</v>
      </c>
      <c r="O90" s="15" t="n">
        <f aca="false">IF(IF(KLL!O90="",INPUTS!$B$18,KLL!O90)*SUMPRODUCT((CLASS!$E90:$O90="RES")*1,TRIB!$E90:$O90)&lt;400,1,MAX(IF(SUMPRODUCT((CLASS!$E90:$O90="RES")*1)&gt;=2,0.4,0.5),MIN(1,0.25+15/SQRT(IF(KLL!O90="",INPUTS!$B$18,KLL!O90)*SUMPRODUCT((CLASS!$E90:$O90="RES")*1,TRIB!$E90:$O90)))))</f>
        <v>1</v>
      </c>
      <c r="P90" s="15" t="n">
        <f aca="false">IF(IF(KLL!P90="",INPUTS!$B$18,KLL!P90)*SUMPRODUCT((CLASS!$E90:$P90="RES")*1,TRIB!$E90:$P90)&lt;400,1,MAX(IF(SUMPRODUCT((CLASS!$E90:$P90="RES")*1)&gt;=2,0.4,0.5),MIN(1,0.25+15/SQRT(IF(KLL!P90="",INPUTS!$B$18,KLL!P90)*SUMPRODUCT((CLASS!$E90:$P90="RES")*1,TRIB!$E90:$P90)))))</f>
        <v>1</v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15" t="n">
        <f aca="false">IF(IF(KLL!E91="",INPUTS!$B$18,KLL!E91)*SUMPRODUCT((CLASS!$E91:$E91="RES")*1,TRIB!$E91:$E91)&lt;400,1,MAX(IF(SUMPRODUCT((CLASS!$E91:$E91="RES")*1)&gt;=2,0.4,0.5),MIN(1,0.25+15/SQRT(IF(KLL!E91="",INPUTS!$B$18,KLL!E91)*SUMPRODUCT((CLASS!$E91:$E91="RES")*1,TRIB!$E91:$E91)))))</f>
        <v>1</v>
      </c>
      <c r="F91" s="15" t="n">
        <f aca="false">IF(IF(KLL!F91="",INPUTS!$B$18,KLL!F91)*SUMPRODUCT((CLASS!$E91:$F91="RES")*1,TRIB!$E91:$F91)&lt;400,1,MAX(IF(SUMPRODUCT((CLASS!$E91:$F91="RES")*1)&gt;=2,0.4,0.5),MIN(1,0.25+15/SQRT(IF(KLL!F91="",INPUTS!$B$18,KLL!F91)*SUMPRODUCT((CLASS!$E91:$F91="RES")*1,TRIB!$E91:$F91)))))</f>
        <v>1</v>
      </c>
      <c r="G91" s="15" t="n">
        <f aca="false">IF(IF(KLL!G91="",INPUTS!$B$18,KLL!G91)*SUMPRODUCT((CLASS!$E91:$G91="RES")*1,TRIB!$E91:$G91)&lt;400,1,MAX(IF(SUMPRODUCT((CLASS!$E91:$G91="RES")*1)&gt;=2,0.4,0.5),MIN(1,0.25+15/SQRT(IF(KLL!G91="",INPUTS!$B$18,KLL!G91)*SUMPRODUCT((CLASS!$E91:$G91="RES")*1,TRIB!$E91:$G91)))))</f>
        <v>1</v>
      </c>
      <c r="H91" s="15" t="n">
        <f aca="false">IF(IF(KLL!H91="",INPUTS!$B$18,KLL!H91)*SUMPRODUCT((CLASS!$E91:$H91="RES")*1,TRIB!$E91:$H91)&lt;400,1,MAX(IF(SUMPRODUCT((CLASS!$E91:$H91="RES")*1)&gt;=2,0.4,0.5),MIN(1,0.25+15/SQRT(IF(KLL!H91="",INPUTS!$B$18,KLL!H91)*SUMPRODUCT((CLASS!$E91:$H91="RES")*1,TRIB!$E91:$H91)))))</f>
        <v>1</v>
      </c>
      <c r="I91" s="15" t="n">
        <f aca="false">IF(IF(KLL!I91="",INPUTS!$B$18,KLL!I91)*SUMPRODUCT((CLASS!$E91:$I91="RES")*1,TRIB!$E91:$I91)&lt;400,1,MAX(IF(SUMPRODUCT((CLASS!$E91:$I91="RES")*1)&gt;=2,0.4,0.5),MIN(1,0.25+15/SQRT(IF(KLL!I91="",INPUTS!$B$18,KLL!I91)*SUMPRODUCT((CLASS!$E91:$I91="RES")*1,TRIB!$E91:$I91)))))</f>
        <v>1</v>
      </c>
      <c r="J91" s="15" t="n">
        <f aca="false">IF(IF(KLL!J91="",INPUTS!$B$18,KLL!J91)*SUMPRODUCT((CLASS!$E91:$J91="RES")*1,TRIB!$E91:$J91)&lt;400,1,MAX(IF(SUMPRODUCT((CLASS!$E91:$J91="RES")*1)&gt;=2,0.4,0.5),MIN(1,0.25+15/SQRT(IF(KLL!J91="",INPUTS!$B$18,KLL!J91)*SUMPRODUCT((CLASS!$E91:$J91="RES")*1,TRIB!$E91:$J91)))))</f>
        <v>1</v>
      </c>
      <c r="K91" s="15" t="n">
        <f aca="false">IF(IF(KLL!K91="",INPUTS!$B$18,KLL!K91)*SUMPRODUCT((CLASS!$E91:$K91="RES")*1,TRIB!$E91:$K91)&lt;400,1,MAX(IF(SUMPRODUCT((CLASS!$E91:$K91="RES")*1)&gt;=2,0.4,0.5),MIN(1,0.25+15/SQRT(IF(KLL!K91="",INPUTS!$B$18,KLL!K91)*SUMPRODUCT((CLASS!$E91:$K91="RES")*1,TRIB!$E91:$K91)))))</f>
        <v>1</v>
      </c>
      <c r="L91" s="15" t="n">
        <f aca="false">IF(IF(KLL!L91="",INPUTS!$B$18,KLL!L91)*SUMPRODUCT((CLASS!$E91:$L91="RES")*1,TRIB!$E91:$L91)&lt;400,1,MAX(IF(SUMPRODUCT((CLASS!$E91:$L91="RES")*1)&gt;=2,0.4,0.5),MIN(1,0.25+15/SQRT(IF(KLL!L91="",INPUTS!$B$18,KLL!L91)*SUMPRODUCT((CLASS!$E91:$L91="RES")*1,TRIB!$E91:$L91)))))</f>
        <v>1</v>
      </c>
      <c r="M91" s="15" t="n">
        <f aca="false">IF(IF(KLL!M91="",INPUTS!$B$18,KLL!M91)*SUMPRODUCT((CLASS!$E91:$M91="RES")*1,TRIB!$E91:$M91)&lt;400,1,MAX(IF(SUMPRODUCT((CLASS!$E91:$M91="RES")*1)&gt;=2,0.4,0.5),MIN(1,0.25+15/SQRT(IF(KLL!M91="",INPUTS!$B$18,KLL!M91)*SUMPRODUCT((CLASS!$E91:$M91="RES")*1,TRIB!$E91:$M91)))))</f>
        <v>1</v>
      </c>
      <c r="N91" s="15" t="n">
        <f aca="false">IF(IF(KLL!N91="",INPUTS!$B$18,KLL!N91)*SUMPRODUCT((CLASS!$E91:$N91="RES")*1,TRIB!$E91:$N91)&lt;400,1,MAX(IF(SUMPRODUCT((CLASS!$E91:$N91="RES")*1)&gt;=2,0.4,0.5),MIN(1,0.25+15/SQRT(IF(KLL!N91="",INPUTS!$B$18,KLL!N91)*SUMPRODUCT((CLASS!$E91:$N91="RES")*1,TRIB!$E91:$N91)))))</f>
        <v>1</v>
      </c>
      <c r="O91" s="15" t="n">
        <f aca="false">IF(IF(KLL!O91="",INPUTS!$B$18,KLL!O91)*SUMPRODUCT((CLASS!$E91:$O91="RES")*1,TRIB!$E91:$O91)&lt;400,1,MAX(IF(SUMPRODUCT((CLASS!$E91:$O91="RES")*1)&gt;=2,0.4,0.5),MIN(1,0.25+15/SQRT(IF(KLL!O91="",INPUTS!$B$18,KLL!O91)*SUMPRODUCT((CLASS!$E91:$O91="RES")*1,TRIB!$E91:$O91)))))</f>
        <v>1</v>
      </c>
      <c r="P91" s="15" t="n">
        <f aca="false">IF(IF(KLL!P91="",INPUTS!$B$18,KLL!P91)*SUMPRODUCT((CLASS!$E91:$P91="RES")*1,TRIB!$E91:$P91)&lt;400,1,MAX(IF(SUMPRODUCT((CLASS!$E91:$P91="RES")*1)&gt;=2,0.4,0.5),MIN(1,0.25+15/SQRT(IF(KLL!P91="",INPUTS!$B$18,KLL!P91)*SUMPRODUCT((CLASS!$E91:$P91="RES")*1,TRIB!$E91:$P91)))))</f>
        <v>1</v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15" t="n">
        <f aca="false">IF(IF(KLL!E92="",INPUTS!$B$18,KLL!E92)*SUMPRODUCT((CLASS!$E92:$E92="RES")*1,TRIB!$E92:$E92)&lt;400,1,MAX(IF(SUMPRODUCT((CLASS!$E92:$E92="RES")*1)&gt;=2,0.4,0.5),MIN(1,0.25+15/SQRT(IF(KLL!E92="",INPUTS!$B$18,KLL!E92)*SUMPRODUCT((CLASS!$E92:$E92="RES")*1,TRIB!$E92:$E92)))))</f>
        <v>1</v>
      </c>
      <c r="F92" s="15" t="n">
        <f aca="false">IF(IF(KLL!F92="",INPUTS!$B$18,KLL!F92)*SUMPRODUCT((CLASS!$E92:$F92="RES")*1,TRIB!$E92:$F92)&lt;400,1,MAX(IF(SUMPRODUCT((CLASS!$E92:$F92="RES")*1)&gt;=2,0.4,0.5),MIN(1,0.25+15/SQRT(IF(KLL!F92="",INPUTS!$B$18,KLL!F92)*SUMPRODUCT((CLASS!$E92:$F92="RES")*1,TRIB!$E92:$F92)))))</f>
        <v>1</v>
      </c>
      <c r="G92" s="15" t="n">
        <f aca="false">IF(IF(KLL!G92="",INPUTS!$B$18,KLL!G92)*SUMPRODUCT((CLASS!$E92:$G92="RES")*1,TRIB!$E92:$G92)&lt;400,1,MAX(IF(SUMPRODUCT((CLASS!$E92:$G92="RES")*1)&gt;=2,0.4,0.5),MIN(1,0.25+15/SQRT(IF(KLL!G92="",INPUTS!$B$18,KLL!G92)*SUMPRODUCT((CLASS!$E92:$G92="RES")*1,TRIB!$E92:$G92)))))</f>
        <v>1</v>
      </c>
      <c r="H92" s="15" t="n">
        <f aca="false">IF(IF(KLL!H92="",INPUTS!$B$18,KLL!H92)*SUMPRODUCT((CLASS!$E92:$H92="RES")*1,TRIB!$E92:$H92)&lt;400,1,MAX(IF(SUMPRODUCT((CLASS!$E92:$H92="RES")*1)&gt;=2,0.4,0.5),MIN(1,0.25+15/SQRT(IF(KLL!H92="",INPUTS!$B$18,KLL!H92)*SUMPRODUCT((CLASS!$E92:$H92="RES")*1,TRIB!$E92:$H92)))))</f>
        <v>1</v>
      </c>
      <c r="I92" s="15" t="n">
        <f aca="false">IF(IF(KLL!I92="",INPUTS!$B$18,KLL!I92)*SUMPRODUCT((CLASS!$E92:$I92="RES")*1,TRIB!$E92:$I92)&lt;400,1,MAX(IF(SUMPRODUCT((CLASS!$E92:$I92="RES")*1)&gt;=2,0.4,0.5),MIN(1,0.25+15/SQRT(IF(KLL!I92="",INPUTS!$B$18,KLL!I92)*SUMPRODUCT((CLASS!$E92:$I92="RES")*1,TRIB!$E92:$I92)))))</f>
        <v>1</v>
      </c>
      <c r="J92" s="15" t="n">
        <f aca="false">IF(IF(KLL!J92="",INPUTS!$B$18,KLL!J92)*SUMPRODUCT((CLASS!$E92:$J92="RES")*1,TRIB!$E92:$J92)&lt;400,1,MAX(IF(SUMPRODUCT((CLASS!$E92:$J92="RES")*1)&gt;=2,0.4,0.5),MIN(1,0.25+15/SQRT(IF(KLL!J92="",INPUTS!$B$18,KLL!J92)*SUMPRODUCT((CLASS!$E92:$J92="RES")*1,TRIB!$E92:$J92)))))</f>
        <v>1</v>
      </c>
      <c r="K92" s="15" t="n">
        <f aca="false">IF(IF(KLL!K92="",INPUTS!$B$18,KLL!K92)*SUMPRODUCT((CLASS!$E92:$K92="RES")*1,TRIB!$E92:$K92)&lt;400,1,MAX(IF(SUMPRODUCT((CLASS!$E92:$K92="RES")*1)&gt;=2,0.4,0.5),MIN(1,0.25+15/SQRT(IF(KLL!K92="",INPUTS!$B$18,KLL!K92)*SUMPRODUCT((CLASS!$E92:$K92="RES")*1,TRIB!$E92:$K92)))))</f>
        <v>1</v>
      </c>
      <c r="L92" s="15" t="n">
        <f aca="false">IF(IF(KLL!L92="",INPUTS!$B$18,KLL!L92)*SUMPRODUCT((CLASS!$E92:$L92="RES")*1,TRIB!$E92:$L92)&lt;400,1,MAX(IF(SUMPRODUCT((CLASS!$E92:$L92="RES")*1)&gt;=2,0.4,0.5),MIN(1,0.25+15/SQRT(IF(KLL!L92="",INPUTS!$B$18,KLL!L92)*SUMPRODUCT((CLASS!$E92:$L92="RES")*1,TRIB!$E92:$L92)))))</f>
        <v>1</v>
      </c>
      <c r="M92" s="15" t="n">
        <f aca="false">IF(IF(KLL!M92="",INPUTS!$B$18,KLL!M92)*SUMPRODUCT((CLASS!$E92:$M92="RES")*1,TRIB!$E92:$M92)&lt;400,1,MAX(IF(SUMPRODUCT((CLASS!$E92:$M92="RES")*1)&gt;=2,0.4,0.5),MIN(1,0.25+15/SQRT(IF(KLL!M92="",INPUTS!$B$18,KLL!M92)*SUMPRODUCT((CLASS!$E92:$M92="RES")*1,TRIB!$E92:$M92)))))</f>
        <v>1</v>
      </c>
      <c r="N92" s="15" t="n">
        <f aca="false">IF(IF(KLL!N92="",INPUTS!$B$18,KLL!N92)*SUMPRODUCT((CLASS!$E92:$N92="RES")*1,TRIB!$E92:$N92)&lt;400,1,MAX(IF(SUMPRODUCT((CLASS!$E92:$N92="RES")*1)&gt;=2,0.4,0.5),MIN(1,0.25+15/SQRT(IF(KLL!N92="",INPUTS!$B$18,KLL!N92)*SUMPRODUCT((CLASS!$E92:$N92="RES")*1,TRIB!$E92:$N92)))))</f>
        <v>1</v>
      </c>
      <c r="O92" s="15" t="n">
        <f aca="false">IF(IF(KLL!O92="",INPUTS!$B$18,KLL!O92)*SUMPRODUCT((CLASS!$E92:$O92="RES")*1,TRIB!$E92:$O92)&lt;400,1,MAX(IF(SUMPRODUCT((CLASS!$E92:$O92="RES")*1)&gt;=2,0.4,0.5),MIN(1,0.25+15/SQRT(IF(KLL!O92="",INPUTS!$B$18,KLL!O92)*SUMPRODUCT((CLASS!$E92:$O92="RES")*1,TRIB!$E92:$O92)))))</f>
        <v>1</v>
      </c>
      <c r="P92" s="15" t="n">
        <f aca="false">IF(IF(KLL!P92="",INPUTS!$B$18,KLL!P92)*SUMPRODUCT((CLASS!$E92:$P92="RES")*1,TRIB!$E92:$P92)&lt;400,1,MAX(IF(SUMPRODUCT((CLASS!$E92:$P92="RES")*1)&gt;=2,0.4,0.5),MIN(1,0.25+15/SQRT(IF(KLL!P92="",INPUTS!$B$18,KLL!P92)*SUMPRODUCT((CLASS!$E92:$P92="RES")*1,TRIB!$E92:$P92)))))</f>
        <v>1</v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15" t="n">
        <f aca="false">IF(IF(KLL!E93="",INPUTS!$B$18,KLL!E93)*SUMPRODUCT((CLASS!$E93:$E93="RES")*1,TRIB!$E93:$E93)&lt;400,1,MAX(IF(SUMPRODUCT((CLASS!$E93:$E93="RES")*1)&gt;=2,0.4,0.5),MIN(1,0.25+15/SQRT(IF(KLL!E93="",INPUTS!$B$18,KLL!E93)*SUMPRODUCT((CLASS!$E93:$E93="RES")*1,TRIB!$E93:$E93)))))</f>
        <v>1</v>
      </c>
      <c r="F93" s="15" t="n">
        <f aca="false">IF(IF(KLL!F93="",INPUTS!$B$18,KLL!F93)*SUMPRODUCT((CLASS!$E93:$F93="RES")*1,TRIB!$E93:$F93)&lt;400,1,MAX(IF(SUMPRODUCT((CLASS!$E93:$F93="RES")*1)&gt;=2,0.4,0.5),MIN(1,0.25+15/SQRT(IF(KLL!F93="",INPUTS!$B$18,KLL!F93)*SUMPRODUCT((CLASS!$E93:$F93="RES")*1,TRIB!$E93:$F93)))))</f>
        <v>1</v>
      </c>
      <c r="G93" s="15" t="n">
        <f aca="false">IF(IF(KLL!G93="",INPUTS!$B$18,KLL!G93)*SUMPRODUCT((CLASS!$E93:$G93="RES")*1,TRIB!$E93:$G93)&lt;400,1,MAX(IF(SUMPRODUCT((CLASS!$E93:$G93="RES")*1)&gt;=2,0.4,0.5),MIN(1,0.25+15/SQRT(IF(KLL!G93="",INPUTS!$B$18,KLL!G93)*SUMPRODUCT((CLASS!$E93:$G93="RES")*1,TRIB!$E93:$G93)))))</f>
        <v>1</v>
      </c>
      <c r="H93" s="15" t="n">
        <f aca="false">IF(IF(KLL!H93="",INPUTS!$B$18,KLL!H93)*SUMPRODUCT((CLASS!$E93:$H93="RES")*1,TRIB!$E93:$H93)&lt;400,1,MAX(IF(SUMPRODUCT((CLASS!$E93:$H93="RES")*1)&gt;=2,0.4,0.5),MIN(1,0.25+15/SQRT(IF(KLL!H93="",INPUTS!$B$18,KLL!H93)*SUMPRODUCT((CLASS!$E93:$H93="RES")*1,TRIB!$E93:$H93)))))</f>
        <v>1</v>
      </c>
      <c r="I93" s="15" t="n">
        <f aca="false">IF(IF(KLL!I93="",INPUTS!$B$18,KLL!I93)*SUMPRODUCT((CLASS!$E93:$I93="RES")*1,TRIB!$E93:$I93)&lt;400,1,MAX(IF(SUMPRODUCT((CLASS!$E93:$I93="RES")*1)&gt;=2,0.4,0.5),MIN(1,0.25+15/SQRT(IF(KLL!I93="",INPUTS!$B$18,KLL!I93)*SUMPRODUCT((CLASS!$E93:$I93="RES")*1,TRIB!$E93:$I93)))))</f>
        <v>1</v>
      </c>
      <c r="J93" s="15" t="n">
        <f aca="false">IF(IF(KLL!J93="",INPUTS!$B$18,KLL!J93)*SUMPRODUCT((CLASS!$E93:$J93="RES")*1,TRIB!$E93:$J93)&lt;400,1,MAX(IF(SUMPRODUCT((CLASS!$E93:$J93="RES")*1)&gt;=2,0.4,0.5),MIN(1,0.25+15/SQRT(IF(KLL!J93="",INPUTS!$B$18,KLL!J93)*SUMPRODUCT((CLASS!$E93:$J93="RES")*1,TRIB!$E93:$J93)))))</f>
        <v>1</v>
      </c>
      <c r="K93" s="15" t="n">
        <f aca="false">IF(IF(KLL!K93="",INPUTS!$B$18,KLL!K93)*SUMPRODUCT((CLASS!$E93:$K93="RES")*1,TRIB!$E93:$K93)&lt;400,1,MAX(IF(SUMPRODUCT((CLASS!$E93:$K93="RES")*1)&gt;=2,0.4,0.5),MIN(1,0.25+15/SQRT(IF(KLL!K93="",INPUTS!$B$18,KLL!K93)*SUMPRODUCT((CLASS!$E93:$K93="RES")*1,TRIB!$E93:$K93)))))</f>
        <v>1</v>
      </c>
      <c r="L93" s="15" t="n">
        <f aca="false">IF(IF(KLL!L93="",INPUTS!$B$18,KLL!L93)*SUMPRODUCT((CLASS!$E93:$L93="RES")*1,TRIB!$E93:$L93)&lt;400,1,MAX(IF(SUMPRODUCT((CLASS!$E93:$L93="RES")*1)&gt;=2,0.4,0.5),MIN(1,0.25+15/SQRT(IF(KLL!L93="",INPUTS!$B$18,KLL!L93)*SUMPRODUCT((CLASS!$E93:$L93="RES")*1,TRIB!$E93:$L93)))))</f>
        <v>1</v>
      </c>
      <c r="M93" s="15" t="n">
        <f aca="false">IF(IF(KLL!M93="",INPUTS!$B$18,KLL!M93)*SUMPRODUCT((CLASS!$E93:$M93="RES")*1,TRIB!$E93:$M93)&lt;400,1,MAX(IF(SUMPRODUCT((CLASS!$E93:$M93="RES")*1)&gt;=2,0.4,0.5),MIN(1,0.25+15/SQRT(IF(KLL!M93="",INPUTS!$B$18,KLL!M93)*SUMPRODUCT((CLASS!$E93:$M93="RES")*1,TRIB!$E93:$M93)))))</f>
        <v>1</v>
      </c>
      <c r="N93" s="15" t="n">
        <f aca="false">IF(IF(KLL!N93="",INPUTS!$B$18,KLL!N93)*SUMPRODUCT((CLASS!$E93:$N93="RES")*1,TRIB!$E93:$N93)&lt;400,1,MAX(IF(SUMPRODUCT((CLASS!$E93:$N93="RES")*1)&gt;=2,0.4,0.5),MIN(1,0.25+15/SQRT(IF(KLL!N93="",INPUTS!$B$18,KLL!N93)*SUMPRODUCT((CLASS!$E93:$N93="RES")*1,TRIB!$E93:$N93)))))</f>
        <v>1</v>
      </c>
      <c r="O93" s="15" t="n">
        <f aca="false">IF(IF(KLL!O93="",INPUTS!$B$18,KLL!O93)*SUMPRODUCT((CLASS!$E93:$O93="RES")*1,TRIB!$E93:$O93)&lt;400,1,MAX(IF(SUMPRODUCT((CLASS!$E93:$O93="RES")*1)&gt;=2,0.4,0.5),MIN(1,0.25+15/SQRT(IF(KLL!O93="",INPUTS!$B$18,KLL!O93)*SUMPRODUCT((CLASS!$E93:$O93="RES")*1,TRIB!$E93:$O93)))))</f>
        <v>1</v>
      </c>
      <c r="P93" s="15" t="n">
        <f aca="false">IF(IF(KLL!P93="",INPUTS!$B$18,KLL!P93)*SUMPRODUCT((CLASS!$E93:$P93="RES")*1,TRIB!$E93:$P93)&lt;400,1,MAX(IF(SUMPRODUCT((CLASS!$E93:$P93="RES")*1)&gt;=2,0.4,0.5),MIN(1,0.25+15/SQRT(IF(KLL!P93="",INPUTS!$B$18,KLL!P93)*SUMPRODUCT((CLASS!$E93:$P93="RES")*1,TRIB!$E93:$P93)))))</f>
        <v>1</v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15" t="n">
        <f aca="false">IF(IF(KLL!E94="",INPUTS!$B$18,KLL!E94)*SUMPRODUCT((CLASS!$E94:$E94="RES")*1,TRIB!$E94:$E94)&lt;400,1,MAX(IF(SUMPRODUCT((CLASS!$E94:$E94="RES")*1)&gt;=2,0.4,0.5),MIN(1,0.25+15/SQRT(IF(KLL!E94="",INPUTS!$B$18,KLL!E94)*SUMPRODUCT((CLASS!$E94:$E94="RES")*1,TRIB!$E94:$E94)))))</f>
        <v>1</v>
      </c>
      <c r="F94" s="15" t="n">
        <f aca="false">IF(IF(KLL!F94="",INPUTS!$B$18,KLL!F94)*SUMPRODUCT((CLASS!$E94:$F94="RES")*1,TRIB!$E94:$F94)&lt;400,1,MAX(IF(SUMPRODUCT((CLASS!$E94:$F94="RES")*1)&gt;=2,0.4,0.5),MIN(1,0.25+15/SQRT(IF(KLL!F94="",INPUTS!$B$18,KLL!F94)*SUMPRODUCT((CLASS!$E94:$F94="RES")*1,TRIB!$E94:$F94)))))</f>
        <v>1</v>
      </c>
      <c r="G94" s="15" t="n">
        <f aca="false">IF(IF(KLL!G94="",INPUTS!$B$18,KLL!G94)*SUMPRODUCT((CLASS!$E94:$G94="RES")*1,TRIB!$E94:$G94)&lt;400,1,MAX(IF(SUMPRODUCT((CLASS!$E94:$G94="RES")*1)&gt;=2,0.4,0.5),MIN(1,0.25+15/SQRT(IF(KLL!G94="",INPUTS!$B$18,KLL!G94)*SUMPRODUCT((CLASS!$E94:$G94="RES")*1,TRIB!$E94:$G94)))))</f>
        <v>1</v>
      </c>
      <c r="H94" s="15" t="n">
        <f aca="false">IF(IF(KLL!H94="",INPUTS!$B$18,KLL!H94)*SUMPRODUCT((CLASS!$E94:$H94="RES")*1,TRIB!$E94:$H94)&lt;400,1,MAX(IF(SUMPRODUCT((CLASS!$E94:$H94="RES")*1)&gt;=2,0.4,0.5),MIN(1,0.25+15/SQRT(IF(KLL!H94="",INPUTS!$B$18,KLL!H94)*SUMPRODUCT((CLASS!$E94:$H94="RES")*1,TRIB!$E94:$H94)))))</f>
        <v>1</v>
      </c>
      <c r="I94" s="15" t="n">
        <f aca="false">IF(IF(KLL!I94="",INPUTS!$B$18,KLL!I94)*SUMPRODUCT((CLASS!$E94:$I94="RES")*1,TRIB!$E94:$I94)&lt;400,1,MAX(IF(SUMPRODUCT((CLASS!$E94:$I94="RES")*1)&gt;=2,0.4,0.5),MIN(1,0.25+15/SQRT(IF(KLL!I94="",INPUTS!$B$18,KLL!I94)*SUMPRODUCT((CLASS!$E94:$I94="RES")*1,TRIB!$E94:$I94)))))</f>
        <v>1</v>
      </c>
      <c r="J94" s="15" t="n">
        <f aca="false">IF(IF(KLL!J94="",INPUTS!$B$18,KLL!J94)*SUMPRODUCT((CLASS!$E94:$J94="RES")*1,TRIB!$E94:$J94)&lt;400,1,MAX(IF(SUMPRODUCT((CLASS!$E94:$J94="RES")*1)&gt;=2,0.4,0.5),MIN(1,0.25+15/SQRT(IF(KLL!J94="",INPUTS!$B$18,KLL!J94)*SUMPRODUCT((CLASS!$E94:$J94="RES")*1,TRIB!$E94:$J94)))))</f>
        <v>1</v>
      </c>
      <c r="K94" s="15" t="n">
        <f aca="false">IF(IF(KLL!K94="",INPUTS!$B$18,KLL!K94)*SUMPRODUCT((CLASS!$E94:$K94="RES")*1,TRIB!$E94:$K94)&lt;400,1,MAX(IF(SUMPRODUCT((CLASS!$E94:$K94="RES")*1)&gt;=2,0.4,0.5),MIN(1,0.25+15/SQRT(IF(KLL!K94="",INPUTS!$B$18,KLL!K94)*SUMPRODUCT((CLASS!$E94:$K94="RES")*1,TRIB!$E94:$K94)))))</f>
        <v>1</v>
      </c>
      <c r="L94" s="15" t="n">
        <f aca="false">IF(IF(KLL!L94="",INPUTS!$B$18,KLL!L94)*SUMPRODUCT((CLASS!$E94:$L94="RES")*1,TRIB!$E94:$L94)&lt;400,1,MAX(IF(SUMPRODUCT((CLASS!$E94:$L94="RES")*1)&gt;=2,0.4,0.5),MIN(1,0.25+15/SQRT(IF(KLL!L94="",INPUTS!$B$18,KLL!L94)*SUMPRODUCT((CLASS!$E94:$L94="RES")*1,TRIB!$E94:$L94)))))</f>
        <v>1</v>
      </c>
      <c r="M94" s="15" t="n">
        <f aca="false">IF(IF(KLL!M94="",INPUTS!$B$18,KLL!M94)*SUMPRODUCT((CLASS!$E94:$M94="RES")*1,TRIB!$E94:$M94)&lt;400,1,MAX(IF(SUMPRODUCT((CLASS!$E94:$M94="RES")*1)&gt;=2,0.4,0.5),MIN(1,0.25+15/SQRT(IF(KLL!M94="",INPUTS!$B$18,KLL!M94)*SUMPRODUCT((CLASS!$E94:$M94="RES")*1,TRIB!$E94:$M94)))))</f>
        <v>1</v>
      </c>
      <c r="N94" s="15" t="n">
        <f aca="false">IF(IF(KLL!N94="",INPUTS!$B$18,KLL!N94)*SUMPRODUCT((CLASS!$E94:$N94="RES")*1,TRIB!$E94:$N94)&lt;400,1,MAX(IF(SUMPRODUCT((CLASS!$E94:$N94="RES")*1)&gt;=2,0.4,0.5),MIN(1,0.25+15/SQRT(IF(KLL!N94="",INPUTS!$B$18,KLL!N94)*SUMPRODUCT((CLASS!$E94:$N94="RES")*1,TRIB!$E94:$N94)))))</f>
        <v>1</v>
      </c>
      <c r="O94" s="15" t="n">
        <f aca="false">IF(IF(KLL!O94="",INPUTS!$B$18,KLL!O94)*SUMPRODUCT((CLASS!$E94:$O94="RES")*1,TRIB!$E94:$O94)&lt;400,1,MAX(IF(SUMPRODUCT((CLASS!$E94:$O94="RES")*1)&gt;=2,0.4,0.5),MIN(1,0.25+15/SQRT(IF(KLL!O94="",INPUTS!$B$18,KLL!O94)*SUMPRODUCT((CLASS!$E94:$O94="RES")*1,TRIB!$E94:$O94)))))</f>
        <v>1</v>
      </c>
      <c r="P94" s="15" t="n">
        <f aca="false">IF(IF(KLL!P94="",INPUTS!$B$18,KLL!P94)*SUMPRODUCT((CLASS!$E94:$P94="RES")*1,TRIB!$E94:$P94)&lt;400,1,MAX(IF(SUMPRODUCT((CLASS!$E94:$P94="RES")*1)&gt;=2,0.4,0.5),MIN(1,0.25+15/SQRT(IF(KLL!P94="",INPUTS!$B$18,KLL!P94)*SUMPRODUCT((CLASS!$E94:$P94="RES")*1,TRIB!$E94:$P94)))))</f>
        <v>1</v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15" t="n">
        <f aca="false">IF(IF(KLL!E95="",INPUTS!$B$18,KLL!E95)*SUMPRODUCT((CLASS!$E95:$E95="RES")*1,TRIB!$E95:$E95)&lt;400,1,MAX(IF(SUMPRODUCT((CLASS!$E95:$E95="RES")*1)&gt;=2,0.4,0.5),MIN(1,0.25+15/SQRT(IF(KLL!E95="",INPUTS!$B$18,KLL!E95)*SUMPRODUCT((CLASS!$E95:$E95="RES")*1,TRIB!$E95:$E95)))))</f>
        <v>1</v>
      </c>
      <c r="F95" s="15" t="n">
        <f aca="false">IF(IF(KLL!F95="",INPUTS!$B$18,KLL!F95)*SUMPRODUCT((CLASS!$E95:$F95="RES")*1,TRIB!$E95:$F95)&lt;400,1,MAX(IF(SUMPRODUCT((CLASS!$E95:$F95="RES")*1)&gt;=2,0.4,0.5),MIN(1,0.25+15/SQRT(IF(KLL!F95="",INPUTS!$B$18,KLL!F95)*SUMPRODUCT((CLASS!$E95:$F95="RES")*1,TRIB!$E95:$F95)))))</f>
        <v>1</v>
      </c>
      <c r="G95" s="15" t="n">
        <f aca="false">IF(IF(KLL!G95="",INPUTS!$B$18,KLL!G95)*SUMPRODUCT((CLASS!$E95:$G95="RES")*1,TRIB!$E95:$G95)&lt;400,1,MAX(IF(SUMPRODUCT((CLASS!$E95:$G95="RES")*1)&gt;=2,0.4,0.5),MIN(1,0.25+15/SQRT(IF(KLL!G95="",INPUTS!$B$18,KLL!G95)*SUMPRODUCT((CLASS!$E95:$G95="RES")*1,TRIB!$E95:$G95)))))</f>
        <v>1</v>
      </c>
      <c r="H95" s="15" t="n">
        <f aca="false">IF(IF(KLL!H95="",INPUTS!$B$18,KLL!H95)*SUMPRODUCT((CLASS!$E95:$H95="RES")*1,TRIB!$E95:$H95)&lt;400,1,MAX(IF(SUMPRODUCT((CLASS!$E95:$H95="RES")*1)&gt;=2,0.4,0.5),MIN(1,0.25+15/SQRT(IF(KLL!H95="",INPUTS!$B$18,KLL!H95)*SUMPRODUCT((CLASS!$E95:$H95="RES")*1,TRIB!$E95:$H95)))))</f>
        <v>1</v>
      </c>
      <c r="I95" s="15" t="n">
        <f aca="false">IF(IF(KLL!I95="",INPUTS!$B$18,KLL!I95)*SUMPRODUCT((CLASS!$E95:$I95="RES")*1,TRIB!$E95:$I95)&lt;400,1,MAX(IF(SUMPRODUCT((CLASS!$E95:$I95="RES")*1)&gt;=2,0.4,0.5),MIN(1,0.25+15/SQRT(IF(KLL!I95="",INPUTS!$B$18,KLL!I95)*SUMPRODUCT((CLASS!$E95:$I95="RES")*1,TRIB!$E95:$I95)))))</f>
        <v>1</v>
      </c>
      <c r="J95" s="15" t="n">
        <f aca="false">IF(IF(KLL!J95="",INPUTS!$B$18,KLL!J95)*SUMPRODUCT((CLASS!$E95:$J95="RES")*1,TRIB!$E95:$J95)&lt;400,1,MAX(IF(SUMPRODUCT((CLASS!$E95:$J95="RES")*1)&gt;=2,0.4,0.5),MIN(1,0.25+15/SQRT(IF(KLL!J95="",INPUTS!$B$18,KLL!J95)*SUMPRODUCT((CLASS!$E95:$J95="RES")*1,TRIB!$E95:$J95)))))</f>
        <v>1</v>
      </c>
      <c r="K95" s="15" t="n">
        <f aca="false">IF(IF(KLL!K95="",INPUTS!$B$18,KLL!K95)*SUMPRODUCT((CLASS!$E95:$K95="RES")*1,TRIB!$E95:$K95)&lt;400,1,MAX(IF(SUMPRODUCT((CLASS!$E95:$K95="RES")*1)&gt;=2,0.4,0.5),MIN(1,0.25+15/SQRT(IF(KLL!K95="",INPUTS!$B$18,KLL!K95)*SUMPRODUCT((CLASS!$E95:$K95="RES")*1,TRIB!$E95:$K95)))))</f>
        <v>1</v>
      </c>
      <c r="L95" s="15" t="n">
        <f aca="false">IF(IF(KLL!L95="",INPUTS!$B$18,KLL!L95)*SUMPRODUCT((CLASS!$E95:$L95="RES")*1,TRIB!$E95:$L95)&lt;400,1,MAX(IF(SUMPRODUCT((CLASS!$E95:$L95="RES")*1)&gt;=2,0.4,0.5),MIN(1,0.25+15/SQRT(IF(KLL!L95="",INPUTS!$B$18,KLL!L95)*SUMPRODUCT((CLASS!$E95:$L95="RES")*1,TRIB!$E95:$L95)))))</f>
        <v>1</v>
      </c>
      <c r="M95" s="15" t="n">
        <f aca="false">IF(IF(KLL!M95="",INPUTS!$B$18,KLL!M95)*SUMPRODUCT((CLASS!$E95:$M95="RES")*1,TRIB!$E95:$M95)&lt;400,1,MAX(IF(SUMPRODUCT((CLASS!$E95:$M95="RES")*1)&gt;=2,0.4,0.5),MIN(1,0.25+15/SQRT(IF(KLL!M95="",INPUTS!$B$18,KLL!M95)*SUMPRODUCT((CLASS!$E95:$M95="RES")*1,TRIB!$E95:$M95)))))</f>
        <v>1</v>
      </c>
      <c r="N95" s="15" t="n">
        <f aca="false">IF(IF(KLL!N95="",INPUTS!$B$18,KLL!N95)*SUMPRODUCT((CLASS!$E95:$N95="RES")*1,TRIB!$E95:$N95)&lt;400,1,MAX(IF(SUMPRODUCT((CLASS!$E95:$N95="RES")*1)&gt;=2,0.4,0.5),MIN(1,0.25+15/SQRT(IF(KLL!N95="",INPUTS!$B$18,KLL!N95)*SUMPRODUCT((CLASS!$E95:$N95="RES")*1,TRIB!$E95:$N95)))))</f>
        <v>1</v>
      </c>
      <c r="O95" s="15" t="n">
        <f aca="false">IF(IF(KLL!O95="",INPUTS!$B$18,KLL!O95)*SUMPRODUCT((CLASS!$E95:$O95="RES")*1,TRIB!$E95:$O95)&lt;400,1,MAX(IF(SUMPRODUCT((CLASS!$E95:$O95="RES")*1)&gt;=2,0.4,0.5),MIN(1,0.25+15/SQRT(IF(KLL!O95="",INPUTS!$B$18,KLL!O95)*SUMPRODUCT((CLASS!$E95:$O95="RES")*1,TRIB!$E95:$O95)))))</f>
        <v>1</v>
      </c>
      <c r="P95" s="15" t="n">
        <f aca="false">IF(IF(KLL!P95="",INPUTS!$B$18,KLL!P95)*SUMPRODUCT((CLASS!$E95:$P95="RES")*1,TRIB!$E95:$P95)&lt;400,1,MAX(IF(SUMPRODUCT((CLASS!$E95:$P95="RES")*1)&gt;=2,0.4,0.5),MIN(1,0.25+15/SQRT(IF(KLL!P95="",INPUTS!$B$18,KLL!P95)*SUMPRODUCT((CLASS!$E95:$P95="RES")*1,TRIB!$E95:$P95)))))</f>
        <v>1</v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15" t="n">
        <f aca="false">IF(IF(KLL!E96="",INPUTS!$B$18,KLL!E96)*SUMPRODUCT((CLASS!$E96:$E96="RES")*1,TRIB!$E96:$E96)&lt;400,1,MAX(IF(SUMPRODUCT((CLASS!$E96:$E96="RES")*1)&gt;=2,0.4,0.5),MIN(1,0.25+15/SQRT(IF(KLL!E96="",INPUTS!$B$18,KLL!E96)*SUMPRODUCT((CLASS!$E96:$E96="RES")*1,TRIB!$E96:$E96)))))</f>
        <v>1</v>
      </c>
      <c r="F96" s="15" t="n">
        <f aca="false">IF(IF(KLL!F96="",INPUTS!$B$18,KLL!F96)*SUMPRODUCT((CLASS!$E96:$F96="RES")*1,TRIB!$E96:$F96)&lt;400,1,MAX(IF(SUMPRODUCT((CLASS!$E96:$F96="RES")*1)&gt;=2,0.4,0.5),MIN(1,0.25+15/SQRT(IF(KLL!F96="",INPUTS!$B$18,KLL!F96)*SUMPRODUCT((CLASS!$E96:$F96="RES")*1,TRIB!$E96:$F96)))))</f>
        <v>1</v>
      </c>
      <c r="G96" s="15" t="n">
        <f aca="false">IF(IF(KLL!G96="",INPUTS!$B$18,KLL!G96)*SUMPRODUCT((CLASS!$E96:$G96="RES")*1,TRIB!$E96:$G96)&lt;400,1,MAX(IF(SUMPRODUCT((CLASS!$E96:$G96="RES")*1)&gt;=2,0.4,0.5),MIN(1,0.25+15/SQRT(IF(KLL!G96="",INPUTS!$B$18,KLL!G96)*SUMPRODUCT((CLASS!$E96:$G96="RES")*1,TRIB!$E96:$G96)))))</f>
        <v>1</v>
      </c>
      <c r="H96" s="15" t="n">
        <f aca="false">IF(IF(KLL!H96="",INPUTS!$B$18,KLL!H96)*SUMPRODUCT((CLASS!$E96:$H96="RES")*1,TRIB!$E96:$H96)&lt;400,1,MAX(IF(SUMPRODUCT((CLASS!$E96:$H96="RES")*1)&gt;=2,0.4,0.5),MIN(1,0.25+15/SQRT(IF(KLL!H96="",INPUTS!$B$18,KLL!H96)*SUMPRODUCT((CLASS!$E96:$H96="RES")*1,TRIB!$E96:$H96)))))</f>
        <v>1</v>
      </c>
      <c r="I96" s="15" t="n">
        <f aca="false">IF(IF(KLL!I96="",INPUTS!$B$18,KLL!I96)*SUMPRODUCT((CLASS!$E96:$I96="RES")*1,TRIB!$E96:$I96)&lt;400,1,MAX(IF(SUMPRODUCT((CLASS!$E96:$I96="RES")*1)&gt;=2,0.4,0.5),MIN(1,0.25+15/SQRT(IF(KLL!I96="",INPUTS!$B$18,KLL!I96)*SUMPRODUCT((CLASS!$E96:$I96="RES")*1,TRIB!$E96:$I96)))))</f>
        <v>1</v>
      </c>
      <c r="J96" s="15" t="n">
        <f aca="false">IF(IF(KLL!J96="",INPUTS!$B$18,KLL!J96)*SUMPRODUCT((CLASS!$E96:$J96="RES")*1,TRIB!$E96:$J96)&lt;400,1,MAX(IF(SUMPRODUCT((CLASS!$E96:$J96="RES")*1)&gt;=2,0.4,0.5),MIN(1,0.25+15/SQRT(IF(KLL!J96="",INPUTS!$B$18,KLL!J96)*SUMPRODUCT((CLASS!$E96:$J96="RES")*1,TRIB!$E96:$J96)))))</f>
        <v>1</v>
      </c>
      <c r="K96" s="15" t="n">
        <f aca="false">IF(IF(KLL!K96="",INPUTS!$B$18,KLL!K96)*SUMPRODUCT((CLASS!$E96:$K96="RES")*1,TRIB!$E96:$K96)&lt;400,1,MAX(IF(SUMPRODUCT((CLASS!$E96:$K96="RES")*1)&gt;=2,0.4,0.5),MIN(1,0.25+15/SQRT(IF(KLL!K96="",INPUTS!$B$18,KLL!K96)*SUMPRODUCT((CLASS!$E96:$K96="RES")*1,TRIB!$E96:$K96)))))</f>
        <v>1</v>
      </c>
      <c r="L96" s="15" t="n">
        <f aca="false">IF(IF(KLL!L96="",INPUTS!$B$18,KLL!L96)*SUMPRODUCT((CLASS!$E96:$L96="RES")*1,TRIB!$E96:$L96)&lt;400,1,MAX(IF(SUMPRODUCT((CLASS!$E96:$L96="RES")*1)&gt;=2,0.4,0.5),MIN(1,0.25+15/SQRT(IF(KLL!L96="",INPUTS!$B$18,KLL!L96)*SUMPRODUCT((CLASS!$E96:$L96="RES")*1,TRIB!$E96:$L96)))))</f>
        <v>1</v>
      </c>
      <c r="M96" s="15" t="n">
        <f aca="false">IF(IF(KLL!M96="",INPUTS!$B$18,KLL!M96)*SUMPRODUCT((CLASS!$E96:$M96="RES")*1,TRIB!$E96:$M96)&lt;400,1,MAX(IF(SUMPRODUCT((CLASS!$E96:$M96="RES")*1)&gt;=2,0.4,0.5),MIN(1,0.25+15/SQRT(IF(KLL!M96="",INPUTS!$B$18,KLL!M96)*SUMPRODUCT((CLASS!$E96:$M96="RES")*1,TRIB!$E96:$M96)))))</f>
        <v>1</v>
      </c>
      <c r="N96" s="15" t="n">
        <f aca="false">IF(IF(KLL!N96="",INPUTS!$B$18,KLL!N96)*SUMPRODUCT((CLASS!$E96:$N96="RES")*1,TRIB!$E96:$N96)&lt;400,1,MAX(IF(SUMPRODUCT((CLASS!$E96:$N96="RES")*1)&gt;=2,0.4,0.5),MIN(1,0.25+15/SQRT(IF(KLL!N96="",INPUTS!$B$18,KLL!N96)*SUMPRODUCT((CLASS!$E96:$N96="RES")*1,TRIB!$E96:$N96)))))</f>
        <v>1</v>
      </c>
      <c r="O96" s="15" t="n">
        <f aca="false">IF(IF(KLL!O96="",INPUTS!$B$18,KLL!O96)*SUMPRODUCT((CLASS!$E96:$O96="RES")*1,TRIB!$E96:$O96)&lt;400,1,MAX(IF(SUMPRODUCT((CLASS!$E96:$O96="RES")*1)&gt;=2,0.4,0.5),MIN(1,0.25+15/SQRT(IF(KLL!O96="",INPUTS!$B$18,KLL!O96)*SUMPRODUCT((CLASS!$E96:$O96="RES")*1,TRIB!$E96:$O96)))))</f>
        <v>1</v>
      </c>
      <c r="P96" s="15" t="n">
        <f aca="false">IF(IF(KLL!P96="",INPUTS!$B$18,KLL!P96)*SUMPRODUCT((CLASS!$E96:$P96="RES")*1,TRIB!$E96:$P96)&lt;400,1,MAX(IF(SUMPRODUCT((CLASS!$E96:$P96="RES")*1)&gt;=2,0.4,0.5),MIN(1,0.25+15/SQRT(IF(KLL!P96="",INPUTS!$B$18,KLL!P96)*SUMPRODUCT((CLASS!$E96:$P96="RES")*1,TRIB!$E96:$P96)))))</f>
        <v>1</v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15" t="n">
        <f aca="false">IF(IF(KLL!E97="",INPUTS!$B$18,KLL!E97)*SUMPRODUCT((CLASS!$E97:$E97="RES")*1,TRIB!$E97:$E97)&lt;400,1,MAX(IF(SUMPRODUCT((CLASS!$E97:$E97="RES")*1)&gt;=2,0.4,0.5),MIN(1,0.25+15/SQRT(IF(KLL!E97="",INPUTS!$B$18,KLL!E97)*SUMPRODUCT((CLASS!$E97:$E97="RES")*1,TRIB!$E97:$E97)))))</f>
        <v>1</v>
      </c>
      <c r="F97" s="15" t="n">
        <f aca="false">IF(IF(KLL!F97="",INPUTS!$B$18,KLL!F97)*SUMPRODUCT((CLASS!$E97:$F97="RES")*1,TRIB!$E97:$F97)&lt;400,1,MAX(IF(SUMPRODUCT((CLASS!$E97:$F97="RES")*1)&gt;=2,0.4,0.5),MIN(1,0.25+15/SQRT(IF(KLL!F97="",INPUTS!$B$18,KLL!F97)*SUMPRODUCT((CLASS!$E97:$F97="RES")*1,TRIB!$E97:$F97)))))</f>
        <v>1</v>
      </c>
      <c r="G97" s="15" t="n">
        <f aca="false">IF(IF(KLL!G97="",INPUTS!$B$18,KLL!G97)*SUMPRODUCT((CLASS!$E97:$G97="RES")*1,TRIB!$E97:$G97)&lt;400,1,MAX(IF(SUMPRODUCT((CLASS!$E97:$G97="RES")*1)&gt;=2,0.4,0.5),MIN(1,0.25+15/SQRT(IF(KLL!G97="",INPUTS!$B$18,KLL!G97)*SUMPRODUCT((CLASS!$E97:$G97="RES")*1,TRIB!$E97:$G97)))))</f>
        <v>1</v>
      </c>
      <c r="H97" s="15" t="n">
        <f aca="false">IF(IF(KLL!H97="",INPUTS!$B$18,KLL!H97)*SUMPRODUCT((CLASS!$E97:$H97="RES")*1,TRIB!$E97:$H97)&lt;400,1,MAX(IF(SUMPRODUCT((CLASS!$E97:$H97="RES")*1)&gt;=2,0.4,0.5),MIN(1,0.25+15/SQRT(IF(KLL!H97="",INPUTS!$B$18,KLL!H97)*SUMPRODUCT((CLASS!$E97:$H97="RES")*1,TRIB!$E97:$H97)))))</f>
        <v>1</v>
      </c>
      <c r="I97" s="15" t="n">
        <f aca="false">IF(IF(KLL!I97="",INPUTS!$B$18,KLL!I97)*SUMPRODUCT((CLASS!$E97:$I97="RES")*1,TRIB!$E97:$I97)&lt;400,1,MAX(IF(SUMPRODUCT((CLASS!$E97:$I97="RES")*1)&gt;=2,0.4,0.5),MIN(1,0.25+15/SQRT(IF(KLL!I97="",INPUTS!$B$18,KLL!I97)*SUMPRODUCT((CLASS!$E97:$I97="RES")*1,TRIB!$E97:$I97)))))</f>
        <v>1</v>
      </c>
      <c r="J97" s="15" t="n">
        <f aca="false">IF(IF(KLL!J97="",INPUTS!$B$18,KLL!J97)*SUMPRODUCT((CLASS!$E97:$J97="RES")*1,TRIB!$E97:$J97)&lt;400,1,MAX(IF(SUMPRODUCT((CLASS!$E97:$J97="RES")*1)&gt;=2,0.4,0.5),MIN(1,0.25+15/SQRT(IF(KLL!J97="",INPUTS!$B$18,KLL!J97)*SUMPRODUCT((CLASS!$E97:$J97="RES")*1,TRIB!$E97:$J97)))))</f>
        <v>1</v>
      </c>
      <c r="K97" s="15" t="n">
        <f aca="false">IF(IF(KLL!K97="",INPUTS!$B$18,KLL!K97)*SUMPRODUCT((CLASS!$E97:$K97="RES")*1,TRIB!$E97:$K97)&lt;400,1,MAX(IF(SUMPRODUCT((CLASS!$E97:$K97="RES")*1)&gt;=2,0.4,0.5),MIN(1,0.25+15/SQRT(IF(KLL!K97="",INPUTS!$B$18,KLL!K97)*SUMPRODUCT((CLASS!$E97:$K97="RES")*1,TRIB!$E97:$K97)))))</f>
        <v>1</v>
      </c>
      <c r="L97" s="15" t="n">
        <f aca="false">IF(IF(KLL!L97="",INPUTS!$B$18,KLL!L97)*SUMPRODUCT((CLASS!$E97:$L97="RES")*1,TRIB!$E97:$L97)&lt;400,1,MAX(IF(SUMPRODUCT((CLASS!$E97:$L97="RES")*1)&gt;=2,0.4,0.5),MIN(1,0.25+15/SQRT(IF(KLL!L97="",INPUTS!$B$18,KLL!L97)*SUMPRODUCT((CLASS!$E97:$L97="RES")*1,TRIB!$E97:$L97)))))</f>
        <v>1</v>
      </c>
      <c r="M97" s="15" t="n">
        <f aca="false">IF(IF(KLL!M97="",INPUTS!$B$18,KLL!M97)*SUMPRODUCT((CLASS!$E97:$M97="RES")*1,TRIB!$E97:$M97)&lt;400,1,MAX(IF(SUMPRODUCT((CLASS!$E97:$M97="RES")*1)&gt;=2,0.4,0.5),MIN(1,0.25+15/SQRT(IF(KLL!M97="",INPUTS!$B$18,KLL!M97)*SUMPRODUCT((CLASS!$E97:$M97="RES")*1,TRIB!$E97:$M97)))))</f>
        <v>1</v>
      </c>
      <c r="N97" s="15" t="n">
        <f aca="false">IF(IF(KLL!N97="",INPUTS!$B$18,KLL!N97)*SUMPRODUCT((CLASS!$E97:$N97="RES")*1,TRIB!$E97:$N97)&lt;400,1,MAX(IF(SUMPRODUCT((CLASS!$E97:$N97="RES")*1)&gt;=2,0.4,0.5),MIN(1,0.25+15/SQRT(IF(KLL!N97="",INPUTS!$B$18,KLL!N97)*SUMPRODUCT((CLASS!$E97:$N97="RES")*1,TRIB!$E97:$N97)))))</f>
        <v>1</v>
      </c>
      <c r="O97" s="15" t="n">
        <f aca="false">IF(IF(KLL!O97="",INPUTS!$B$18,KLL!O97)*SUMPRODUCT((CLASS!$E97:$O97="RES")*1,TRIB!$E97:$O97)&lt;400,1,MAX(IF(SUMPRODUCT((CLASS!$E97:$O97="RES")*1)&gt;=2,0.4,0.5),MIN(1,0.25+15/SQRT(IF(KLL!O97="",INPUTS!$B$18,KLL!O97)*SUMPRODUCT((CLASS!$E97:$O97="RES")*1,TRIB!$E97:$O97)))))</f>
        <v>1</v>
      </c>
      <c r="P97" s="15" t="n">
        <f aca="false">IF(IF(KLL!P97="",INPUTS!$B$18,KLL!P97)*SUMPRODUCT((CLASS!$E97:$P97="RES")*1,TRIB!$E97:$P97)&lt;400,1,MAX(IF(SUMPRODUCT((CLASS!$E97:$P97="RES")*1)&gt;=2,0.4,0.5),MIN(1,0.25+15/SQRT(IF(KLL!P97="",INPUTS!$B$18,KLL!P97)*SUMPRODUCT((CLASS!$E97:$P97="RES")*1,TRIB!$E97:$P97)))))</f>
        <v>1</v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15" t="n">
        <f aca="false">IF(IF(KLL!E98="",INPUTS!$B$18,KLL!E98)*SUMPRODUCT((CLASS!$E98:$E98="RES")*1,TRIB!$E98:$E98)&lt;400,1,MAX(IF(SUMPRODUCT((CLASS!$E98:$E98="RES")*1)&gt;=2,0.4,0.5),MIN(1,0.25+15/SQRT(IF(KLL!E98="",INPUTS!$B$18,KLL!E98)*SUMPRODUCT((CLASS!$E98:$E98="RES")*1,TRIB!$E98:$E98)))))</f>
        <v>1</v>
      </c>
      <c r="F98" s="15" t="n">
        <f aca="false">IF(IF(KLL!F98="",INPUTS!$B$18,KLL!F98)*SUMPRODUCT((CLASS!$E98:$F98="RES")*1,TRIB!$E98:$F98)&lt;400,1,MAX(IF(SUMPRODUCT((CLASS!$E98:$F98="RES")*1)&gt;=2,0.4,0.5),MIN(1,0.25+15/SQRT(IF(KLL!F98="",INPUTS!$B$18,KLL!F98)*SUMPRODUCT((CLASS!$E98:$F98="RES")*1,TRIB!$E98:$F98)))))</f>
        <v>1</v>
      </c>
      <c r="G98" s="15" t="n">
        <f aca="false">IF(IF(KLL!G98="",INPUTS!$B$18,KLL!G98)*SUMPRODUCT((CLASS!$E98:$G98="RES")*1,TRIB!$E98:$G98)&lt;400,1,MAX(IF(SUMPRODUCT((CLASS!$E98:$G98="RES")*1)&gt;=2,0.4,0.5),MIN(1,0.25+15/SQRT(IF(KLL!G98="",INPUTS!$B$18,KLL!G98)*SUMPRODUCT((CLASS!$E98:$G98="RES")*1,TRIB!$E98:$G98)))))</f>
        <v>1</v>
      </c>
      <c r="H98" s="15" t="n">
        <f aca="false">IF(IF(KLL!H98="",INPUTS!$B$18,KLL!H98)*SUMPRODUCT((CLASS!$E98:$H98="RES")*1,TRIB!$E98:$H98)&lt;400,1,MAX(IF(SUMPRODUCT((CLASS!$E98:$H98="RES")*1)&gt;=2,0.4,0.5),MIN(1,0.25+15/SQRT(IF(KLL!H98="",INPUTS!$B$18,KLL!H98)*SUMPRODUCT((CLASS!$E98:$H98="RES")*1,TRIB!$E98:$H98)))))</f>
        <v>1</v>
      </c>
      <c r="I98" s="15" t="n">
        <f aca="false">IF(IF(KLL!I98="",INPUTS!$B$18,KLL!I98)*SUMPRODUCT((CLASS!$E98:$I98="RES")*1,TRIB!$E98:$I98)&lt;400,1,MAX(IF(SUMPRODUCT((CLASS!$E98:$I98="RES")*1)&gt;=2,0.4,0.5),MIN(1,0.25+15/SQRT(IF(KLL!I98="",INPUTS!$B$18,KLL!I98)*SUMPRODUCT((CLASS!$E98:$I98="RES")*1,TRIB!$E98:$I98)))))</f>
        <v>1</v>
      </c>
      <c r="J98" s="15" t="n">
        <f aca="false">IF(IF(KLL!J98="",INPUTS!$B$18,KLL!J98)*SUMPRODUCT((CLASS!$E98:$J98="RES")*1,TRIB!$E98:$J98)&lt;400,1,MAX(IF(SUMPRODUCT((CLASS!$E98:$J98="RES")*1)&gt;=2,0.4,0.5),MIN(1,0.25+15/SQRT(IF(KLL!J98="",INPUTS!$B$18,KLL!J98)*SUMPRODUCT((CLASS!$E98:$J98="RES")*1,TRIB!$E98:$J98)))))</f>
        <v>1</v>
      </c>
      <c r="K98" s="15" t="n">
        <f aca="false">IF(IF(KLL!K98="",INPUTS!$B$18,KLL!K98)*SUMPRODUCT((CLASS!$E98:$K98="RES")*1,TRIB!$E98:$K98)&lt;400,1,MAX(IF(SUMPRODUCT((CLASS!$E98:$K98="RES")*1)&gt;=2,0.4,0.5),MIN(1,0.25+15/SQRT(IF(KLL!K98="",INPUTS!$B$18,KLL!K98)*SUMPRODUCT((CLASS!$E98:$K98="RES")*1,TRIB!$E98:$K98)))))</f>
        <v>1</v>
      </c>
      <c r="L98" s="15" t="n">
        <f aca="false">IF(IF(KLL!L98="",INPUTS!$B$18,KLL!L98)*SUMPRODUCT((CLASS!$E98:$L98="RES")*1,TRIB!$E98:$L98)&lt;400,1,MAX(IF(SUMPRODUCT((CLASS!$E98:$L98="RES")*1)&gt;=2,0.4,0.5),MIN(1,0.25+15/SQRT(IF(KLL!L98="",INPUTS!$B$18,KLL!L98)*SUMPRODUCT((CLASS!$E98:$L98="RES")*1,TRIB!$E98:$L98)))))</f>
        <v>1</v>
      </c>
      <c r="M98" s="15" t="n">
        <f aca="false">IF(IF(KLL!M98="",INPUTS!$B$18,KLL!M98)*SUMPRODUCT((CLASS!$E98:$M98="RES")*1,TRIB!$E98:$M98)&lt;400,1,MAX(IF(SUMPRODUCT((CLASS!$E98:$M98="RES")*1)&gt;=2,0.4,0.5),MIN(1,0.25+15/SQRT(IF(KLL!M98="",INPUTS!$B$18,KLL!M98)*SUMPRODUCT((CLASS!$E98:$M98="RES")*1,TRIB!$E98:$M98)))))</f>
        <v>1</v>
      </c>
      <c r="N98" s="15" t="n">
        <f aca="false">IF(IF(KLL!N98="",INPUTS!$B$18,KLL!N98)*SUMPRODUCT((CLASS!$E98:$N98="RES")*1,TRIB!$E98:$N98)&lt;400,1,MAX(IF(SUMPRODUCT((CLASS!$E98:$N98="RES")*1)&gt;=2,0.4,0.5),MIN(1,0.25+15/SQRT(IF(KLL!N98="",INPUTS!$B$18,KLL!N98)*SUMPRODUCT((CLASS!$E98:$N98="RES")*1,TRIB!$E98:$N98)))))</f>
        <v>1</v>
      </c>
      <c r="O98" s="15" t="n">
        <f aca="false">IF(IF(KLL!O98="",INPUTS!$B$18,KLL!O98)*SUMPRODUCT((CLASS!$E98:$O98="RES")*1,TRIB!$E98:$O98)&lt;400,1,MAX(IF(SUMPRODUCT((CLASS!$E98:$O98="RES")*1)&gt;=2,0.4,0.5),MIN(1,0.25+15/SQRT(IF(KLL!O98="",INPUTS!$B$18,KLL!O98)*SUMPRODUCT((CLASS!$E98:$O98="RES")*1,TRIB!$E98:$O98)))))</f>
        <v>1</v>
      </c>
      <c r="P98" s="15" t="n">
        <f aca="false">IF(IF(KLL!P98="",INPUTS!$B$18,KLL!P98)*SUMPRODUCT((CLASS!$E98:$P98="RES")*1,TRIB!$E98:$P98)&lt;400,1,MAX(IF(SUMPRODUCT((CLASS!$E98:$P98="RES")*1)&gt;=2,0.4,0.5),MIN(1,0.25+15/SQRT(IF(KLL!P98="",INPUTS!$B$18,KLL!P98)*SUMPRODUCT((CLASS!$E98:$P98="RES")*1,TRIB!$E98:$P98)))))</f>
        <v>1</v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15" t="n">
        <f aca="false">IF(IF(KLL!E99="",INPUTS!$B$18,KLL!E99)*SUMPRODUCT((CLASS!$E99:$E99="RES")*1,TRIB!$E99:$E99)&lt;400,1,MAX(IF(SUMPRODUCT((CLASS!$E99:$E99="RES")*1)&gt;=2,0.4,0.5),MIN(1,0.25+15/SQRT(IF(KLL!E99="",INPUTS!$B$18,KLL!E99)*SUMPRODUCT((CLASS!$E99:$E99="RES")*1,TRIB!$E99:$E99)))))</f>
        <v>1</v>
      </c>
      <c r="F99" s="15" t="n">
        <f aca="false">IF(IF(KLL!F99="",INPUTS!$B$18,KLL!F99)*SUMPRODUCT((CLASS!$E99:$F99="RES")*1,TRIB!$E99:$F99)&lt;400,1,MAX(IF(SUMPRODUCT((CLASS!$E99:$F99="RES")*1)&gt;=2,0.4,0.5),MIN(1,0.25+15/SQRT(IF(KLL!F99="",INPUTS!$B$18,KLL!F99)*SUMPRODUCT((CLASS!$E99:$F99="RES")*1,TRIB!$E99:$F99)))))</f>
        <v>1</v>
      </c>
      <c r="G99" s="15" t="n">
        <f aca="false">IF(IF(KLL!G99="",INPUTS!$B$18,KLL!G99)*SUMPRODUCT((CLASS!$E99:$G99="RES")*1,TRIB!$E99:$G99)&lt;400,1,MAX(IF(SUMPRODUCT((CLASS!$E99:$G99="RES")*1)&gt;=2,0.4,0.5),MIN(1,0.25+15/SQRT(IF(KLL!G99="",INPUTS!$B$18,KLL!G99)*SUMPRODUCT((CLASS!$E99:$G99="RES")*1,TRIB!$E99:$G99)))))</f>
        <v>1</v>
      </c>
      <c r="H99" s="15" t="n">
        <f aca="false">IF(IF(KLL!H99="",INPUTS!$B$18,KLL!H99)*SUMPRODUCT((CLASS!$E99:$H99="RES")*1,TRIB!$E99:$H99)&lt;400,1,MAX(IF(SUMPRODUCT((CLASS!$E99:$H99="RES")*1)&gt;=2,0.4,0.5),MIN(1,0.25+15/SQRT(IF(KLL!H99="",INPUTS!$B$18,KLL!H99)*SUMPRODUCT((CLASS!$E99:$H99="RES")*1,TRIB!$E99:$H99)))))</f>
        <v>1</v>
      </c>
      <c r="I99" s="15" t="n">
        <f aca="false">IF(IF(KLL!I99="",INPUTS!$B$18,KLL!I99)*SUMPRODUCT((CLASS!$E99:$I99="RES")*1,TRIB!$E99:$I99)&lt;400,1,MAX(IF(SUMPRODUCT((CLASS!$E99:$I99="RES")*1)&gt;=2,0.4,0.5),MIN(1,0.25+15/SQRT(IF(KLL!I99="",INPUTS!$B$18,KLL!I99)*SUMPRODUCT((CLASS!$E99:$I99="RES")*1,TRIB!$E99:$I99)))))</f>
        <v>1</v>
      </c>
      <c r="J99" s="15" t="n">
        <f aca="false">IF(IF(KLL!J99="",INPUTS!$B$18,KLL!J99)*SUMPRODUCT((CLASS!$E99:$J99="RES")*1,TRIB!$E99:$J99)&lt;400,1,MAX(IF(SUMPRODUCT((CLASS!$E99:$J99="RES")*1)&gt;=2,0.4,0.5),MIN(1,0.25+15/SQRT(IF(KLL!J99="",INPUTS!$B$18,KLL!J99)*SUMPRODUCT((CLASS!$E99:$J99="RES")*1,TRIB!$E99:$J99)))))</f>
        <v>1</v>
      </c>
      <c r="K99" s="15" t="n">
        <f aca="false">IF(IF(KLL!K99="",INPUTS!$B$18,KLL!K99)*SUMPRODUCT((CLASS!$E99:$K99="RES")*1,TRIB!$E99:$K99)&lt;400,1,MAX(IF(SUMPRODUCT((CLASS!$E99:$K99="RES")*1)&gt;=2,0.4,0.5),MIN(1,0.25+15/SQRT(IF(KLL!K99="",INPUTS!$B$18,KLL!K99)*SUMPRODUCT((CLASS!$E99:$K99="RES")*1,TRIB!$E99:$K99)))))</f>
        <v>1</v>
      </c>
      <c r="L99" s="15" t="n">
        <f aca="false">IF(IF(KLL!L99="",INPUTS!$B$18,KLL!L99)*SUMPRODUCT((CLASS!$E99:$L99="RES")*1,TRIB!$E99:$L99)&lt;400,1,MAX(IF(SUMPRODUCT((CLASS!$E99:$L99="RES")*1)&gt;=2,0.4,0.5),MIN(1,0.25+15/SQRT(IF(KLL!L99="",INPUTS!$B$18,KLL!L99)*SUMPRODUCT((CLASS!$E99:$L99="RES")*1,TRIB!$E99:$L99)))))</f>
        <v>1</v>
      </c>
      <c r="M99" s="15" t="n">
        <f aca="false">IF(IF(KLL!M99="",INPUTS!$B$18,KLL!M99)*SUMPRODUCT((CLASS!$E99:$M99="RES")*1,TRIB!$E99:$M99)&lt;400,1,MAX(IF(SUMPRODUCT((CLASS!$E99:$M99="RES")*1)&gt;=2,0.4,0.5),MIN(1,0.25+15/SQRT(IF(KLL!M99="",INPUTS!$B$18,KLL!M99)*SUMPRODUCT((CLASS!$E99:$M99="RES")*1,TRIB!$E99:$M99)))))</f>
        <v>1</v>
      </c>
      <c r="N99" s="15" t="n">
        <f aca="false">IF(IF(KLL!N99="",INPUTS!$B$18,KLL!N99)*SUMPRODUCT((CLASS!$E99:$N99="RES")*1,TRIB!$E99:$N99)&lt;400,1,MAX(IF(SUMPRODUCT((CLASS!$E99:$N99="RES")*1)&gt;=2,0.4,0.5),MIN(1,0.25+15/SQRT(IF(KLL!N99="",INPUTS!$B$18,KLL!N99)*SUMPRODUCT((CLASS!$E99:$N99="RES")*1,TRIB!$E99:$N99)))))</f>
        <v>1</v>
      </c>
      <c r="O99" s="15" t="n">
        <f aca="false">IF(IF(KLL!O99="",INPUTS!$B$18,KLL!O99)*SUMPRODUCT((CLASS!$E99:$O99="RES")*1,TRIB!$E99:$O99)&lt;400,1,MAX(IF(SUMPRODUCT((CLASS!$E99:$O99="RES")*1)&gt;=2,0.4,0.5),MIN(1,0.25+15/SQRT(IF(KLL!O99="",INPUTS!$B$18,KLL!O99)*SUMPRODUCT((CLASS!$E99:$O99="RES")*1,TRIB!$E99:$O99)))))</f>
        <v>1</v>
      </c>
      <c r="P99" s="15" t="n">
        <f aca="false">IF(IF(KLL!P99="",INPUTS!$B$18,KLL!P99)*SUMPRODUCT((CLASS!$E99:$P99="RES")*1,TRIB!$E99:$P99)&lt;400,1,MAX(IF(SUMPRODUCT((CLASS!$E99:$P99="RES")*1)&gt;=2,0.4,0.5),MIN(1,0.25+15/SQRT(IF(KLL!P99="",INPUTS!$B$18,KLL!P99)*SUMPRODUCT((CLASS!$E99:$P99="RES")*1,TRIB!$E99:$P99)))))</f>
        <v>1</v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15" t="n">
        <f aca="false">IF(IF(KLL!E100="",INPUTS!$B$18,KLL!E100)*SUMPRODUCT((CLASS!$E100:$E100="RES")*1,TRIB!$E100:$E100)&lt;400,1,MAX(IF(SUMPRODUCT((CLASS!$E100:$E100="RES")*1)&gt;=2,0.4,0.5),MIN(1,0.25+15/SQRT(IF(KLL!E100="",INPUTS!$B$18,KLL!E100)*SUMPRODUCT((CLASS!$E100:$E100="RES")*1,TRIB!$E100:$E100)))))</f>
        <v>1</v>
      </c>
      <c r="F100" s="15" t="n">
        <f aca="false">IF(IF(KLL!F100="",INPUTS!$B$18,KLL!F100)*SUMPRODUCT((CLASS!$E100:$F100="RES")*1,TRIB!$E100:$F100)&lt;400,1,MAX(IF(SUMPRODUCT((CLASS!$E100:$F100="RES")*1)&gt;=2,0.4,0.5),MIN(1,0.25+15/SQRT(IF(KLL!F100="",INPUTS!$B$18,KLL!F100)*SUMPRODUCT((CLASS!$E100:$F100="RES")*1,TRIB!$E100:$F100)))))</f>
        <v>1</v>
      </c>
      <c r="G100" s="15" t="n">
        <f aca="false">IF(IF(KLL!G100="",INPUTS!$B$18,KLL!G100)*SUMPRODUCT((CLASS!$E100:$G100="RES")*1,TRIB!$E100:$G100)&lt;400,1,MAX(IF(SUMPRODUCT((CLASS!$E100:$G100="RES")*1)&gt;=2,0.4,0.5),MIN(1,0.25+15/SQRT(IF(KLL!G100="",INPUTS!$B$18,KLL!G100)*SUMPRODUCT((CLASS!$E100:$G100="RES")*1,TRIB!$E100:$G100)))))</f>
        <v>1</v>
      </c>
      <c r="H100" s="15" t="n">
        <f aca="false">IF(IF(KLL!H100="",INPUTS!$B$18,KLL!H100)*SUMPRODUCT((CLASS!$E100:$H100="RES")*1,TRIB!$E100:$H100)&lt;400,1,MAX(IF(SUMPRODUCT((CLASS!$E100:$H100="RES")*1)&gt;=2,0.4,0.5),MIN(1,0.25+15/SQRT(IF(KLL!H100="",INPUTS!$B$18,KLL!H100)*SUMPRODUCT((CLASS!$E100:$H100="RES")*1,TRIB!$E100:$H100)))))</f>
        <v>1</v>
      </c>
      <c r="I100" s="15" t="n">
        <f aca="false">IF(IF(KLL!I100="",INPUTS!$B$18,KLL!I100)*SUMPRODUCT((CLASS!$E100:$I100="RES")*1,TRIB!$E100:$I100)&lt;400,1,MAX(IF(SUMPRODUCT((CLASS!$E100:$I100="RES")*1)&gt;=2,0.4,0.5),MIN(1,0.25+15/SQRT(IF(KLL!I100="",INPUTS!$B$18,KLL!I100)*SUMPRODUCT((CLASS!$E100:$I100="RES")*1,TRIB!$E100:$I100)))))</f>
        <v>1</v>
      </c>
      <c r="J100" s="15" t="n">
        <f aca="false">IF(IF(KLL!J100="",INPUTS!$B$18,KLL!J100)*SUMPRODUCT((CLASS!$E100:$J100="RES")*1,TRIB!$E100:$J100)&lt;400,1,MAX(IF(SUMPRODUCT((CLASS!$E100:$J100="RES")*1)&gt;=2,0.4,0.5),MIN(1,0.25+15/SQRT(IF(KLL!J100="",INPUTS!$B$18,KLL!J100)*SUMPRODUCT((CLASS!$E100:$J100="RES")*1,TRIB!$E100:$J100)))))</f>
        <v>1</v>
      </c>
      <c r="K100" s="15" t="n">
        <f aca="false">IF(IF(KLL!K100="",INPUTS!$B$18,KLL!K100)*SUMPRODUCT((CLASS!$E100:$K100="RES")*1,TRIB!$E100:$K100)&lt;400,1,MAX(IF(SUMPRODUCT((CLASS!$E100:$K100="RES")*1)&gt;=2,0.4,0.5),MIN(1,0.25+15/SQRT(IF(KLL!K100="",INPUTS!$B$18,KLL!K100)*SUMPRODUCT((CLASS!$E100:$K100="RES")*1,TRIB!$E100:$K100)))))</f>
        <v>1</v>
      </c>
      <c r="L100" s="15" t="n">
        <f aca="false">IF(IF(KLL!L100="",INPUTS!$B$18,KLL!L100)*SUMPRODUCT((CLASS!$E100:$L100="RES")*1,TRIB!$E100:$L100)&lt;400,1,MAX(IF(SUMPRODUCT((CLASS!$E100:$L100="RES")*1)&gt;=2,0.4,0.5),MIN(1,0.25+15/SQRT(IF(KLL!L100="",INPUTS!$B$18,KLL!L100)*SUMPRODUCT((CLASS!$E100:$L100="RES")*1,TRIB!$E100:$L100)))))</f>
        <v>1</v>
      </c>
      <c r="M100" s="15" t="n">
        <f aca="false">IF(IF(KLL!M100="",INPUTS!$B$18,KLL!M100)*SUMPRODUCT((CLASS!$E100:$M100="RES")*1,TRIB!$E100:$M100)&lt;400,1,MAX(IF(SUMPRODUCT((CLASS!$E100:$M100="RES")*1)&gt;=2,0.4,0.5),MIN(1,0.25+15/SQRT(IF(KLL!M100="",INPUTS!$B$18,KLL!M100)*SUMPRODUCT((CLASS!$E100:$M100="RES")*1,TRIB!$E100:$M100)))))</f>
        <v>1</v>
      </c>
      <c r="N100" s="15" t="n">
        <f aca="false">IF(IF(KLL!N100="",INPUTS!$B$18,KLL!N100)*SUMPRODUCT((CLASS!$E100:$N100="RES")*1,TRIB!$E100:$N100)&lt;400,1,MAX(IF(SUMPRODUCT((CLASS!$E100:$N100="RES")*1)&gt;=2,0.4,0.5),MIN(1,0.25+15/SQRT(IF(KLL!N100="",INPUTS!$B$18,KLL!N100)*SUMPRODUCT((CLASS!$E100:$N100="RES")*1,TRIB!$E100:$N100)))))</f>
        <v>1</v>
      </c>
      <c r="O100" s="15" t="n">
        <f aca="false">IF(IF(KLL!O100="",INPUTS!$B$18,KLL!O100)*SUMPRODUCT((CLASS!$E100:$O100="RES")*1,TRIB!$E100:$O100)&lt;400,1,MAX(IF(SUMPRODUCT((CLASS!$E100:$O100="RES")*1)&gt;=2,0.4,0.5),MIN(1,0.25+15/SQRT(IF(KLL!O100="",INPUTS!$B$18,KLL!O100)*SUMPRODUCT((CLASS!$E100:$O100="RES")*1,TRIB!$E100:$O100)))))</f>
        <v>1</v>
      </c>
      <c r="P100" s="15" t="n">
        <f aca="false">IF(IF(KLL!P100="",INPUTS!$B$18,KLL!P100)*SUMPRODUCT((CLASS!$E100:$P100="RES")*1,TRIB!$E100:$P100)&lt;400,1,MAX(IF(SUMPRODUCT((CLASS!$E100:$P100="RES")*1)&gt;=2,0.4,0.5),MIN(1,0.25+15/SQRT(IF(KLL!P100="",INPUTS!$B$18,KLL!P100)*SUMPRODUCT((CLASS!$E100:$P100="RES")*1,TRIB!$E100:$P100)))))</f>
        <v>1</v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15" t="n">
        <f aca="false">IF(IF(KLL!E101="",INPUTS!$B$18,KLL!E101)*SUMPRODUCT((CLASS!$E101:$E101="RES")*1,TRIB!$E101:$E101)&lt;400,1,MAX(IF(SUMPRODUCT((CLASS!$E101:$E101="RES")*1)&gt;=2,0.4,0.5),MIN(1,0.25+15/SQRT(IF(KLL!E101="",INPUTS!$B$18,KLL!E101)*SUMPRODUCT((CLASS!$E101:$E101="RES")*1,TRIB!$E101:$E101)))))</f>
        <v>1</v>
      </c>
      <c r="F101" s="15" t="n">
        <f aca="false">IF(IF(KLL!F101="",INPUTS!$B$18,KLL!F101)*SUMPRODUCT((CLASS!$E101:$F101="RES")*1,TRIB!$E101:$F101)&lt;400,1,MAX(IF(SUMPRODUCT((CLASS!$E101:$F101="RES")*1)&gt;=2,0.4,0.5),MIN(1,0.25+15/SQRT(IF(KLL!F101="",INPUTS!$B$18,KLL!F101)*SUMPRODUCT((CLASS!$E101:$F101="RES")*1,TRIB!$E101:$F101)))))</f>
        <v>1</v>
      </c>
      <c r="G101" s="15" t="n">
        <f aca="false">IF(IF(KLL!G101="",INPUTS!$B$18,KLL!G101)*SUMPRODUCT((CLASS!$E101:$G101="RES")*1,TRIB!$E101:$G101)&lt;400,1,MAX(IF(SUMPRODUCT((CLASS!$E101:$G101="RES")*1)&gt;=2,0.4,0.5),MIN(1,0.25+15/SQRT(IF(KLL!G101="",INPUTS!$B$18,KLL!G101)*SUMPRODUCT((CLASS!$E101:$G101="RES")*1,TRIB!$E101:$G101)))))</f>
        <v>1</v>
      </c>
      <c r="H101" s="15" t="n">
        <f aca="false">IF(IF(KLL!H101="",INPUTS!$B$18,KLL!H101)*SUMPRODUCT((CLASS!$E101:$H101="RES")*1,TRIB!$E101:$H101)&lt;400,1,MAX(IF(SUMPRODUCT((CLASS!$E101:$H101="RES")*1)&gt;=2,0.4,0.5),MIN(1,0.25+15/SQRT(IF(KLL!H101="",INPUTS!$B$18,KLL!H101)*SUMPRODUCT((CLASS!$E101:$H101="RES")*1,TRIB!$E101:$H101)))))</f>
        <v>1</v>
      </c>
      <c r="I101" s="15" t="n">
        <f aca="false">IF(IF(KLL!I101="",INPUTS!$B$18,KLL!I101)*SUMPRODUCT((CLASS!$E101:$I101="RES")*1,TRIB!$E101:$I101)&lt;400,1,MAX(IF(SUMPRODUCT((CLASS!$E101:$I101="RES")*1)&gt;=2,0.4,0.5),MIN(1,0.25+15/SQRT(IF(KLL!I101="",INPUTS!$B$18,KLL!I101)*SUMPRODUCT((CLASS!$E101:$I101="RES")*1,TRIB!$E101:$I101)))))</f>
        <v>1</v>
      </c>
      <c r="J101" s="15" t="n">
        <f aca="false">IF(IF(KLL!J101="",INPUTS!$B$18,KLL!J101)*SUMPRODUCT((CLASS!$E101:$J101="RES")*1,TRIB!$E101:$J101)&lt;400,1,MAX(IF(SUMPRODUCT((CLASS!$E101:$J101="RES")*1)&gt;=2,0.4,0.5),MIN(1,0.25+15/SQRT(IF(KLL!J101="",INPUTS!$B$18,KLL!J101)*SUMPRODUCT((CLASS!$E101:$J101="RES")*1,TRIB!$E101:$J101)))))</f>
        <v>1</v>
      </c>
      <c r="K101" s="15" t="n">
        <f aca="false">IF(IF(KLL!K101="",INPUTS!$B$18,KLL!K101)*SUMPRODUCT((CLASS!$E101:$K101="RES")*1,TRIB!$E101:$K101)&lt;400,1,MAX(IF(SUMPRODUCT((CLASS!$E101:$K101="RES")*1)&gt;=2,0.4,0.5),MIN(1,0.25+15/SQRT(IF(KLL!K101="",INPUTS!$B$18,KLL!K101)*SUMPRODUCT((CLASS!$E101:$K101="RES")*1,TRIB!$E101:$K101)))))</f>
        <v>1</v>
      </c>
      <c r="L101" s="15" t="n">
        <f aca="false">IF(IF(KLL!L101="",INPUTS!$B$18,KLL!L101)*SUMPRODUCT((CLASS!$E101:$L101="RES")*1,TRIB!$E101:$L101)&lt;400,1,MAX(IF(SUMPRODUCT((CLASS!$E101:$L101="RES")*1)&gt;=2,0.4,0.5),MIN(1,0.25+15/SQRT(IF(KLL!L101="",INPUTS!$B$18,KLL!L101)*SUMPRODUCT((CLASS!$E101:$L101="RES")*1,TRIB!$E101:$L101)))))</f>
        <v>1</v>
      </c>
      <c r="M101" s="15" t="n">
        <f aca="false">IF(IF(KLL!M101="",INPUTS!$B$18,KLL!M101)*SUMPRODUCT((CLASS!$E101:$M101="RES")*1,TRIB!$E101:$M101)&lt;400,1,MAX(IF(SUMPRODUCT((CLASS!$E101:$M101="RES")*1)&gt;=2,0.4,0.5),MIN(1,0.25+15/SQRT(IF(KLL!M101="",INPUTS!$B$18,KLL!M101)*SUMPRODUCT((CLASS!$E101:$M101="RES")*1,TRIB!$E101:$M101)))))</f>
        <v>1</v>
      </c>
      <c r="N101" s="15" t="n">
        <f aca="false">IF(IF(KLL!N101="",INPUTS!$B$18,KLL!N101)*SUMPRODUCT((CLASS!$E101:$N101="RES")*1,TRIB!$E101:$N101)&lt;400,1,MAX(IF(SUMPRODUCT((CLASS!$E101:$N101="RES")*1)&gt;=2,0.4,0.5),MIN(1,0.25+15/SQRT(IF(KLL!N101="",INPUTS!$B$18,KLL!N101)*SUMPRODUCT((CLASS!$E101:$N101="RES")*1,TRIB!$E101:$N101)))))</f>
        <v>1</v>
      </c>
      <c r="O101" s="15" t="n">
        <f aca="false">IF(IF(KLL!O101="",INPUTS!$B$18,KLL!O101)*SUMPRODUCT((CLASS!$E101:$O101="RES")*1,TRIB!$E101:$O101)&lt;400,1,MAX(IF(SUMPRODUCT((CLASS!$E101:$O101="RES")*1)&gt;=2,0.4,0.5),MIN(1,0.25+15/SQRT(IF(KLL!O101="",INPUTS!$B$18,KLL!O101)*SUMPRODUCT((CLASS!$E101:$O101="RES")*1,TRIB!$E101:$O101)))))</f>
        <v>1</v>
      </c>
      <c r="P101" s="15" t="n">
        <f aca="false">IF(IF(KLL!P101="",INPUTS!$B$18,KLL!P101)*SUMPRODUCT((CLASS!$E101:$P101="RES")*1,TRIB!$E101:$P101)&lt;400,1,MAX(IF(SUMPRODUCT((CLASS!$E101:$P101="RES")*1)&gt;=2,0.4,0.5),MIN(1,0.25+15/SQRT(IF(KLL!P101="",INPUTS!$B$18,KLL!P101)*SUMPRODUCT((CLASS!$E101:$P101="RES")*1,TRIB!$E101:$P101)))))</f>
        <v>1</v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15" t="n">
        <f aca="false">IF(IF(KLL!E102="",INPUTS!$B$18,KLL!E102)*SUMPRODUCT((CLASS!$E102:$E102="RES")*1,TRIB!$E102:$E102)&lt;400,1,MAX(IF(SUMPRODUCT((CLASS!$E102:$E102="RES")*1)&gt;=2,0.4,0.5),MIN(1,0.25+15/SQRT(IF(KLL!E102="",INPUTS!$B$18,KLL!E102)*SUMPRODUCT((CLASS!$E102:$E102="RES")*1,TRIB!$E102:$E102)))))</f>
        <v>1</v>
      </c>
      <c r="F102" s="15" t="n">
        <f aca="false">IF(IF(KLL!F102="",INPUTS!$B$18,KLL!F102)*SUMPRODUCT((CLASS!$E102:$F102="RES")*1,TRIB!$E102:$F102)&lt;400,1,MAX(IF(SUMPRODUCT((CLASS!$E102:$F102="RES")*1)&gt;=2,0.4,0.5),MIN(1,0.25+15/SQRT(IF(KLL!F102="",INPUTS!$B$18,KLL!F102)*SUMPRODUCT((CLASS!$E102:$F102="RES")*1,TRIB!$E102:$F102)))))</f>
        <v>1</v>
      </c>
      <c r="G102" s="15" t="n">
        <f aca="false">IF(IF(KLL!G102="",INPUTS!$B$18,KLL!G102)*SUMPRODUCT((CLASS!$E102:$G102="RES")*1,TRIB!$E102:$G102)&lt;400,1,MAX(IF(SUMPRODUCT((CLASS!$E102:$G102="RES")*1)&gt;=2,0.4,0.5),MIN(1,0.25+15/SQRT(IF(KLL!G102="",INPUTS!$B$18,KLL!G102)*SUMPRODUCT((CLASS!$E102:$G102="RES")*1,TRIB!$E102:$G102)))))</f>
        <v>1</v>
      </c>
      <c r="H102" s="15" t="n">
        <f aca="false">IF(IF(KLL!H102="",INPUTS!$B$18,KLL!H102)*SUMPRODUCT((CLASS!$E102:$H102="RES")*1,TRIB!$E102:$H102)&lt;400,1,MAX(IF(SUMPRODUCT((CLASS!$E102:$H102="RES")*1)&gt;=2,0.4,0.5),MIN(1,0.25+15/SQRT(IF(KLL!H102="",INPUTS!$B$18,KLL!H102)*SUMPRODUCT((CLASS!$E102:$H102="RES")*1,TRIB!$E102:$H102)))))</f>
        <v>1</v>
      </c>
      <c r="I102" s="15" t="n">
        <f aca="false">IF(IF(KLL!I102="",INPUTS!$B$18,KLL!I102)*SUMPRODUCT((CLASS!$E102:$I102="RES")*1,TRIB!$E102:$I102)&lt;400,1,MAX(IF(SUMPRODUCT((CLASS!$E102:$I102="RES")*1)&gt;=2,0.4,0.5),MIN(1,0.25+15/SQRT(IF(KLL!I102="",INPUTS!$B$18,KLL!I102)*SUMPRODUCT((CLASS!$E102:$I102="RES")*1,TRIB!$E102:$I102)))))</f>
        <v>1</v>
      </c>
      <c r="J102" s="15" t="n">
        <f aca="false">IF(IF(KLL!J102="",INPUTS!$B$18,KLL!J102)*SUMPRODUCT((CLASS!$E102:$J102="RES")*1,TRIB!$E102:$J102)&lt;400,1,MAX(IF(SUMPRODUCT((CLASS!$E102:$J102="RES")*1)&gt;=2,0.4,0.5),MIN(1,0.25+15/SQRT(IF(KLL!J102="",INPUTS!$B$18,KLL!J102)*SUMPRODUCT((CLASS!$E102:$J102="RES")*1,TRIB!$E102:$J102)))))</f>
        <v>1</v>
      </c>
      <c r="K102" s="15" t="n">
        <f aca="false">IF(IF(KLL!K102="",INPUTS!$B$18,KLL!K102)*SUMPRODUCT((CLASS!$E102:$K102="RES")*1,TRIB!$E102:$K102)&lt;400,1,MAX(IF(SUMPRODUCT((CLASS!$E102:$K102="RES")*1)&gt;=2,0.4,0.5),MIN(1,0.25+15/SQRT(IF(KLL!K102="",INPUTS!$B$18,KLL!K102)*SUMPRODUCT((CLASS!$E102:$K102="RES")*1,TRIB!$E102:$K102)))))</f>
        <v>1</v>
      </c>
      <c r="L102" s="15" t="n">
        <f aca="false">IF(IF(KLL!L102="",INPUTS!$B$18,KLL!L102)*SUMPRODUCT((CLASS!$E102:$L102="RES")*1,TRIB!$E102:$L102)&lt;400,1,MAX(IF(SUMPRODUCT((CLASS!$E102:$L102="RES")*1)&gt;=2,0.4,0.5),MIN(1,0.25+15/SQRT(IF(KLL!L102="",INPUTS!$B$18,KLL!L102)*SUMPRODUCT((CLASS!$E102:$L102="RES")*1,TRIB!$E102:$L102)))))</f>
        <v>1</v>
      </c>
      <c r="M102" s="15" t="n">
        <f aca="false">IF(IF(KLL!M102="",INPUTS!$B$18,KLL!M102)*SUMPRODUCT((CLASS!$E102:$M102="RES")*1,TRIB!$E102:$M102)&lt;400,1,MAX(IF(SUMPRODUCT((CLASS!$E102:$M102="RES")*1)&gt;=2,0.4,0.5),MIN(1,0.25+15/SQRT(IF(KLL!M102="",INPUTS!$B$18,KLL!M102)*SUMPRODUCT((CLASS!$E102:$M102="RES")*1,TRIB!$E102:$M102)))))</f>
        <v>1</v>
      </c>
      <c r="N102" s="15" t="n">
        <f aca="false">IF(IF(KLL!N102="",INPUTS!$B$18,KLL!N102)*SUMPRODUCT((CLASS!$E102:$N102="RES")*1,TRIB!$E102:$N102)&lt;400,1,MAX(IF(SUMPRODUCT((CLASS!$E102:$N102="RES")*1)&gt;=2,0.4,0.5),MIN(1,0.25+15/SQRT(IF(KLL!N102="",INPUTS!$B$18,KLL!N102)*SUMPRODUCT((CLASS!$E102:$N102="RES")*1,TRIB!$E102:$N102)))))</f>
        <v>1</v>
      </c>
      <c r="O102" s="15" t="n">
        <f aca="false">IF(IF(KLL!O102="",INPUTS!$B$18,KLL!O102)*SUMPRODUCT((CLASS!$E102:$O102="RES")*1,TRIB!$E102:$O102)&lt;400,1,MAX(IF(SUMPRODUCT((CLASS!$E102:$O102="RES")*1)&gt;=2,0.4,0.5),MIN(1,0.25+15/SQRT(IF(KLL!O102="",INPUTS!$B$18,KLL!O102)*SUMPRODUCT((CLASS!$E102:$O102="RES")*1,TRIB!$E102:$O102)))))</f>
        <v>1</v>
      </c>
      <c r="P102" s="15" t="n">
        <f aca="false">IF(IF(KLL!P102="",INPUTS!$B$18,KLL!P102)*SUMPRODUCT((CLASS!$E102:$P102="RES")*1,TRIB!$E102:$P102)&lt;400,1,MAX(IF(SUMPRODUCT((CLASS!$E102:$P102="RES")*1)&gt;=2,0.4,0.5),MIN(1,0.25+15/SQRT(IF(KLL!P102="",INPUTS!$B$18,KLL!P102)*SUMPRODUCT((CLASS!$E102:$P102="RES")*1,TRIB!$E102:$P102)))))</f>
        <v>1</v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15" t="n">
        <f aca="false">IF(IF(KLL!E103="",INPUTS!$B$18,KLL!E103)*SUMPRODUCT((CLASS!$E103:$E103="RES")*1,TRIB!$E103:$E103)&lt;400,1,MAX(IF(SUMPRODUCT((CLASS!$E103:$E103="RES")*1)&gt;=2,0.4,0.5),MIN(1,0.25+15/SQRT(IF(KLL!E103="",INPUTS!$B$18,KLL!E103)*SUMPRODUCT((CLASS!$E103:$E103="RES")*1,TRIB!$E103:$E103)))))</f>
        <v>1</v>
      </c>
      <c r="F103" s="15" t="n">
        <f aca="false">IF(IF(KLL!F103="",INPUTS!$B$18,KLL!F103)*SUMPRODUCT((CLASS!$E103:$F103="RES")*1,TRIB!$E103:$F103)&lt;400,1,MAX(IF(SUMPRODUCT((CLASS!$E103:$F103="RES")*1)&gt;=2,0.4,0.5),MIN(1,0.25+15/SQRT(IF(KLL!F103="",INPUTS!$B$18,KLL!F103)*SUMPRODUCT((CLASS!$E103:$F103="RES")*1,TRIB!$E103:$F103)))))</f>
        <v>1</v>
      </c>
      <c r="G103" s="15" t="n">
        <f aca="false">IF(IF(KLL!G103="",INPUTS!$B$18,KLL!G103)*SUMPRODUCT((CLASS!$E103:$G103="RES")*1,TRIB!$E103:$G103)&lt;400,1,MAX(IF(SUMPRODUCT((CLASS!$E103:$G103="RES")*1)&gt;=2,0.4,0.5),MIN(1,0.25+15/SQRT(IF(KLL!G103="",INPUTS!$B$18,KLL!G103)*SUMPRODUCT((CLASS!$E103:$G103="RES")*1,TRIB!$E103:$G103)))))</f>
        <v>1</v>
      </c>
      <c r="H103" s="15" t="n">
        <f aca="false">IF(IF(KLL!H103="",INPUTS!$B$18,KLL!H103)*SUMPRODUCT((CLASS!$E103:$H103="RES")*1,TRIB!$E103:$H103)&lt;400,1,MAX(IF(SUMPRODUCT((CLASS!$E103:$H103="RES")*1)&gt;=2,0.4,0.5),MIN(1,0.25+15/SQRT(IF(KLL!H103="",INPUTS!$B$18,KLL!H103)*SUMPRODUCT((CLASS!$E103:$H103="RES")*1,TRIB!$E103:$H103)))))</f>
        <v>1</v>
      </c>
      <c r="I103" s="15" t="n">
        <f aca="false">IF(IF(KLL!I103="",INPUTS!$B$18,KLL!I103)*SUMPRODUCT((CLASS!$E103:$I103="RES")*1,TRIB!$E103:$I103)&lt;400,1,MAX(IF(SUMPRODUCT((CLASS!$E103:$I103="RES")*1)&gt;=2,0.4,0.5),MIN(1,0.25+15/SQRT(IF(KLL!I103="",INPUTS!$B$18,KLL!I103)*SUMPRODUCT((CLASS!$E103:$I103="RES")*1,TRIB!$E103:$I103)))))</f>
        <v>1</v>
      </c>
      <c r="J103" s="15" t="n">
        <f aca="false">IF(IF(KLL!J103="",INPUTS!$B$18,KLL!J103)*SUMPRODUCT((CLASS!$E103:$J103="RES")*1,TRIB!$E103:$J103)&lt;400,1,MAX(IF(SUMPRODUCT((CLASS!$E103:$J103="RES")*1)&gt;=2,0.4,0.5),MIN(1,0.25+15/SQRT(IF(KLL!J103="",INPUTS!$B$18,KLL!J103)*SUMPRODUCT((CLASS!$E103:$J103="RES")*1,TRIB!$E103:$J103)))))</f>
        <v>1</v>
      </c>
      <c r="K103" s="15" t="n">
        <f aca="false">IF(IF(KLL!K103="",INPUTS!$B$18,KLL!K103)*SUMPRODUCT((CLASS!$E103:$K103="RES")*1,TRIB!$E103:$K103)&lt;400,1,MAX(IF(SUMPRODUCT((CLASS!$E103:$K103="RES")*1)&gt;=2,0.4,0.5),MIN(1,0.25+15/SQRT(IF(KLL!K103="",INPUTS!$B$18,KLL!K103)*SUMPRODUCT((CLASS!$E103:$K103="RES")*1,TRIB!$E103:$K103)))))</f>
        <v>1</v>
      </c>
      <c r="L103" s="15" t="n">
        <f aca="false">IF(IF(KLL!L103="",INPUTS!$B$18,KLL!L103)*SUMPRODUCT((CLASS!$E103:$L103="RES")*1,TRIB!$E103:$L103)&lt;400,1,MAX(IF(SUMPRODUCT((CLASS!$E103:$L103="RES")*1)&gt;=2,0.4,0.5),MIN(1,0.25+15/SQRT(IF(KLL!L103="",INPUTS!$B$18,KLL!L103)*SUMPRODUCT((CLASS!$E103:$L103="RES")*1,TRIB!$E103:$L103)))))</f>
        <v>1</v>
      </c>
      <c r="M103" s="15" t="n">
        <f aca="false">IF(IF(KLL!M103="",INPUTS!$B$18,KLL!M103)*SUMPRODUCT((CLASS!$E103:$M103="RES")*1,TRIB!$E103:$M103)&lt;400,1,MAX(IF(SUMPRODUCT((CLASS!$E103:$M103="RES")*1)&gt;=2,0.4,0.5),MIN(1,0.25+15/SQRT(IF(KLL!M103="",INPUTS!$B$18,KLL!M103)*SUMPRODUCT((CLASS!$E103:$M103="RES")*1,TRIB!$E103:$M103)))))</f>
        <v>1</v>
      </c>
      <c r="N103" s="15" t="n">
        <f aca="false">IF(IF(KLL!N103="",INPUTS!$B$18,KLL!N103)*SUMPRODUCT((CLASS!$E103:$N103="RES")*1,TRIB!$E103:$N103)&lt;400,1,MAX(IF(SUMPRODUCT((CLASS!$E103:$N103="RES")*1)&gt;=2,0.4,0.5),MIN(1,0.25+15/SQRT(IF(KLL!N103="",INPUTS!$B$18,KLL!N103)*SUMPRODUCT((CLASS!$E103:$N103="RES")*1,TRIB!$E103:$N103)))))</f>
        <v>1</v>
      </c>
      <c r="O103" s="15" t="n">
        <f aca="false">IF(IF(KLL!O103="",INPUTS!$B$18,KLL!O103)*SUMPRODUCT((CLASS!$E103:$O103="RES")*1,TRIB!$E103:$O103)&lt;400,1,MAX(IF(SUMPRODUCT((CLASS!$E103:$O103="RES")*1)&gt;=2,0.4,0.5),MIN(1,0.25+15/SQRT(IF(KLL!O103="",INPUTS!$B$18,KLL!O103)*SUMPRODUCT((CLASS!$E103:$O103="RES")*1,TRIB!$E103:$O103)))))</f>
        <v>1</v>
      </c>
      <c r="P103" s="15" t="n">
        <f aca="false">IF(IF(KLL!P103="",INPUTS!$B$18,KLL!P103)*SUMPRODUCT((CLASS!$E103:$P103="RES")*1,TRIB!$E103:$P103)&lt;400,1,MAX(IF(SUMPRODUCT((CLASS!$E103:$P103="RES")*1)&gt;=2,0.4,0.5),MIN(1,0.25+15/SQRT(IF(KLL!P103="",INPUTS!$B$18,KLL!P103)*SUMPRODUCT((CLASS!$E103:$P103="RES")*1,TRIB!$E103:$P103)))))</f>
        <v>1</v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15" t="n">
        <f aca="false">IF(IF(KLL!E104="",INPUTS!$B$18,KLL!E104)*SUMPRODUCT((CLASS!$E104:$E104="RES")*1,TRIB!$E104:$E104)&lt;400,1,MAX(IF(SUMPRODUCT((CLASS!$E104:$E104="RES")*1)&gt;=2,0.4,0.5),MIN(1,0.25+15/SQRT(IF(KLL!E104="",INPUTS!$B$18,KLL!E104)*SUMPRODUCT((CLASS!$E104:$E104="RES")*1,TRIB!$E104:$E104)))))</f>
        <v>1</v>
      </c>
      <c r="F104" s="15" t="n">
        <f aca="false">IF(IF(KLL!F104="",INPUTS!$B$18,KLL!F104)*SUMPRODUCT((CLASS!$E104:$F104="RES")*1,TRIB!$E104:$F104)&lt;400,1,MAX(IF(SUMPRODUCT((CLASS!$E104:$F104="RES")*1)&gt;=2,0.4,0.5),MIN(1,0.25+15/SQRT(IF(KLL!F104="",INPUTS!$B$18,KLL!F104)*SUMPRODUCT((CLASS!$E104:$F104="RES")*1,TRIB!$E104:$F104)))))</f>
        <v>1</v>
      </c>
      <c r="G104" s="15" t="n">
        <f aca="false">IF(IF(KLL!G104="",INPUTS!$B$18,KLL!G104)*SUMPRODUCT((CLASS!$E104:$G104="RES")*1,TRIB!$E104:$G104)&lt;400,1,MAX(IF(SUMPRODUCT((CLASS!$E104:$G104="RES")*1)&gt;=2,0.4,0.5),MIN(1,0.25+15/SQRT(IF(KLL!G104="",INPUTS!$B$18,KLL!G104)*SUMPRODUCT((CLASS!$E104:$G104="RES")*1,TRIB!$E104:$G104)))))</f>
        <v>1</v>
      </c>
      <c r="H104" s="15" t="n">
        <f aca="false">IF(IF(KLL!H104="",INPUTS!$B$18,KLL!H104)*SUMPRODUCT((CLASS!$E104:$H104="RES")*1,TRIB!$E104:$H104)&lt;400,1,MAX(IF(SUMPRODUCT((CLASS!$E104:$H104="RES")*1)&gt;=2,0.4,0.5),MIN(1,0.25+15/SQRT(IF(KLL!H104="",INPUTS!$B$18,KLL!H104)*SUMPRODUCT((CLASS!$E104:$H104="RES")*1,TRIB!$E104:$H104)))))</f>
        <v>1</v>
      </c>
      <c r="I104" s="15" t="n">
        <f aca="false">IF(IF(KLL!I104="",INPUTS!$B$18,KLL!I104)*SUMPRODUCT((CLASS!$E104:$I104="RES")*1,TRIB!$E104:$I104)&lt;400,1,MAX(IF(SUMPRODUCT((CLASS!$E104:$I104="RES")*1)&gt;=2,0.4,0.5),MIN(1,0.25+15/SQRT(IF(KLL!I104="",INPUTS!$B$18,KLL!I104)*SUMPRODUCT((CLASS!$E104:$I104="RES")*1,TRIB!$E104:$I104)))))</f>
        <v>1</v>
      </c>
      <c r="J104" s="15" t="n">
        <f aca="false">IF(IF(KLL!J104="",INPUTS!$B$18,KLL!J104)*SUMPRODUCT((CLASS!$E104:$J104="RES")*1,TRIB!$E104:$J104)&lt;400,1,MAX(IF(SUMPRODUCT((CLASS!$E104:$J104="RES")*1)&gt;=2,0.4,0.5),MIN(1,0.25+15/SQRT(IF(KLL!J104="",INPUTS!$B$18,KLL!J104)*SUMPRODUCT((CLASS!$E104:$J104="RES")*1,TRIB!$E104:$J104)))))</f>
        <v>1</v>
      </c>
      <c r="K104" s="15" t="n">
        <f aca="false">IF(IF(KLL!K104="",INPUTS!$B$18,KLL!K104)*SUMPRODUCT((CLASS!$E104:$K104="RES")*1,TRIB!$E104:$K104)&lt;400,1,MAX(IF(SUMPRODUCT((CLASS!$E104:$K104="RES")*1)&gt;=2,0.4,0.5),MIN(1,0.25+15/SQRT(IF(KLL!K104="",INPUTS!$B$18,KLL!K104)*SUMPRODUCT((CLASS!$E104:$K104="RES")*1,TRIB!$E104:$K104)))))</f>
        <v>1</v>
      </c>
      <c r="L104" s="15" t="n">
        <f aca="false">IF(IF(KLL!L104="",INPUTS!$B$18,KLL!L104)*SUMPRODUCT((CLASS!$E104:$L104="RES")*1,TRIB!$E104:$L104)&lt;400,1,MAX(IF(SUMPRODUCT((CLASS!$E104:$L104="RES")*1)&gt;=2,0.4,0.5),MIN(1,0.25+15/SQRT(IF(KLL!L104="",INPUTS!$B$18,KLL!L104)*SUMPRODUCT((CLASS!$E104:$L104="RES")*1,TRIB!$E104:$L104)))))</f>
        <v>1</v>
      </c>
      <c r="M104" s="15" t="n">
        <f aca="false">IF(IF(KLL!M104="",INPUTS!$B$18,KLL!M104)*SUMPRODUCT((CLASS!$E104:$M104="RES")*1,TRIB!$E104:$M104)&lt;400,1,MAX(IF(SUMPRODUCT((CLASS!$E104:$M104="RES")*1)&gt;=2,0.4,0.5),MIN(1,0.25+15/SQRT(IF(KLL!M104="",INPUTS!$B$18,KLL!M104)*SUMPRODUCT((CLASS!$E104:$M104="RES")*1,TRIB!$E104:$M104)))))</f>
        <v>1</v>
      </c>
      <c r="N104" s="15" t="n">
        <f aca="false">IF(IF(KLL!N104="",INPUTS!$B$18,KLL!N104)*SUMPRODUCT((CLASS!$E104:$N104="RES")*1,TRIB!$E104:$N104)&lt;400,1,MAX(IF(SUMPRODUCT((CLASS!$E104:$N104="RES")*1)&gt;=2,0.4,0.5),MIN(1,0.25+15/SQRT(IF(KLL!N104="",INPUTS!$B$18,KLL!N104)*SUMPRODUCT((CLASS!$E104:$N104="RES")*1,TRIB!$E104:$N104)))))</f>
        <v>1</v>
      </c>
      <c r="O104" s="15" t="n">
        <f aca="false">IF(IF(KLL!O104="",INPUTS!$B$18,KLL!O104)*SUMPRODUCT((CLASS!$E104:$O104="RES")*1,TRIB!$E104:$O104)&lt;400,1,MAX(IF(SUMPRODUCT((CLASS!$E104:$O104="RES")*1)&gt;=2,0.4,0.5),MIN(1,0.25+15/SQRT(IF(KLL!O104="",INPUTS!$B$18,KLL!O104)*SUMPRODUCT((CLASS!$E104:$O104="RES")*1,TRIB!$E104:$O104)))))</f>
        <v>1</v>
      </c>
      <c r="P104" s="15" t="n">
        <f aca="false">IF(IF(KLL!P104="",INPUTS!$B$18,KLL!P104)*SUMPRODUCT((CLASS!$E104:$P104="RES")*1,TRIB!$E104:$P104)&lt;400,1,MAX(IF(SUMPRODUCT((CLASS!$E104:$P104="RES")*1)&gt;=2,0.4,0.5),MIN(1,0.25+15/SQRT(IF(KLL!P104="",INPUTS!$B$18,KLL!P104)*SUMPRODUCT((CLASS!$E104:$P104="RES")*1,TRIB!$E104:$P104)))))</f>
        <v>1</v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15" t="n">
        <f aca="false">IF(IF(KLL!E105="",INPUTS!$B$18,KLL!E105)*SUMPRODUCT((CLASS!$E105:$E105="RES")*1,TRIB!$E105:$E105)&lt;400,1,MAX(IF(SUMPRODUCT((CLASS!$E105:$E105="RES")*1)&gt;=2,0.4,0.5),MIN(1,0.25+15/SQRT(IF(KLL!E105="",INPUTS!$B$18,KLL!E105)*SUMPRODUCT((CLASS!$E105:$E105="RES")*1,TRIB!$E105:$E105)))))</f>
        <v>1</v>
      </c>
      <c r="F105" s="15" t="n">
        <f aca="false">IF(IF(KLL!F105="",INPUTS!$B$18,KLL!F105)*SUMPRODUCT((CLASS!$E105:$F105="RES")*1,TRIB!$E105:$F105)&lt;400,1,MAX(IF(SUMPRODUCT((CLASS!$E105:$F105="RES")*1)&gt;=2,0.4,0.5),MIN(1,0.25+15/SQRT(IF(KLL!F105="",INPUTS!$B$18,KLL!F105)*SUMPRODUCT((CLASS!$E105:$F105="RES")*1,TRIB!$E105:$F105)))))</f>
        <v>1</v>
      </c>
      <c r="G105" s="15" t="n">
        <f aca="false">IF(IF(KLL!G105="",INPUTS!$B$18,KLL!G105)*SUMPRODUCT((CLASS!$E105:$G105="RES")*1,TRIB!$E105:$G105)&lt;400,1,MAX(IF(SUMPRODUCT((CLASS!$E105:$G105="RES")*1)&gt;=2,0.4,0.5),MIN(1,0.25+15/SQRT(IF(KLL!G105="",INPUTS!$B$18,KLL!G105)*SUMPRODUCT((CLASS!$E105:$G105="RES")*1,TRIB!$E105:$G105)))))</f>
        <v>1</v>
      </c>
      <c r="H105" s="15" t="n">
        <f aca="false">IF(IF(KLL!H105="",INPUTS!$B$18,KLL!H105)*SUMPRODUCT((CLASS!$E105:$H105="RES")*1,TRIB!$E105:$H105)&lt;400,1,MAX(IF(SUMPRODUCT((CLASS!$E105:$H105="RES")*1)&gt;=2,0.4,0.5),MIN(1,0.25+15/SQRT(IF(KLL!H105="",INPUTS!$B$18,KLL!H105)*SUMPRODUCT((CLASS!$E105:$H105="RES")*1,TRIB!$E105:$H105)))))</f>
        <v>1</v>
      </c>
      <c r="I105" s="15" t="n">
        <f aca="false">IF(IF(KLL!I105="",INPUTS!$B$18,KLL!I105)*SUMPRODUCT((CLASS!$E105:$I105="RES")*1,TRIB!$E105:$I105)&lt;400,1,MAX(IF(SUMPRODUCT((CLASS!$E105:$I105="RES")*1)&gt;=2,0.4,0.5),MIN(1,0.25+15/SQRT(IF(KLL!I105="",INPUTS!$B$18,KLL!I105)*SUMPRODUCT((CLASS!$E105:$I105="RES")*1,TRIB!$E105:$I105)))))</f>
        <v>1</v>
      </c>
      <c r="J105" s="15" t="n">
        <f aca="false">IF(IF(KLL!J105="",INPUTS!$B$18,KLL!J105)*SUMPRODUCT((CLASS!$E105:$J105="RES")*1,TRIB!$E105:$J105)&lt;400,1,MAX(IF(SUMPRODUCT((CLASS!$E105:$J105="RES")*1)&gt;=2,0.4,0.5),MIN(1,0.25+15/SQRT(IF(KLL!J105="",INPUTS!$B$18,KLL!J105)*SUMPRODUCT((CLASS!$E105:$J105="RES")*1,TRIB!$E105:$J105)))))</f>
        <v>1</v>
      </c>
      <c r="K105" s="15" t="n">
        <f aca="false">IF(IF(KLL!K105="",INPUTS!$B$18,KLL!K105)*SUMPRODUCT((CLASS!$E105:$K105="RES")*1,TRIB!$E105:$K105)&lt;400,1,MAX(IF(SUMPRODUCT((CLASS!$E105:$K105="RES")*1)&gt;=2,0.4,0.5),MIN(1,0.25+15/SQRT(IF(KLL!K105="",INPUTS!$B$18,KLL!K105)*SUMPRODUCT((CLASS!$E105:$K105="RES")*1,TRIB!$E105:$K105)))))</f>
        <v>1</v>
      </c>
      <c r="L105" s="15" t="n">
        <f aca="false">IF(IF(KLL!L105="",INPUTS!$B$18,KLL!L105)*SUMPRODUCT((CLASS!$E105:$L105="RES")*1,TRIB!$E105:$L105)&lt;400,1,MAX(IF(SUMPRODUCT((CLASS!$E105:$L105="RES")*1)&gt;=2,0.4,0.5),MIN(1,0.25+15/SQRT(IF(KLL!L105="",INPUTS!$B$18,KLL!L105)*SUMPRODUCT((CLASS!$E105:$L105="RES")*1,TRIB!$E105:$L105)))))</f>
        <v>1</v>
      </c>
      <c r="M105" s="15" t="n">
        <f aca="false">IF(IF(KLL!M105="",INPUTS!$B$18,KLL!M105)*SUMPRODUCT((CLASS!$E105:$M105="RES")*1,TRIB!$E105:$M105)&lt;400,1,MAX(IF(SUMPRODUCT((CLASS!$E105:$M105="RES")*1)&gt;=2,0.4,0.5),MIN(1,0.25+15/SQRT(IF(KLL!M105="",INPUTS!$B$18,KLL!M105)*SUMPRODUCT((CLASS!$E105:$M105="RES")*1,TRIB!$E105:$M105)))))</f>
        <v>1</v>
      </c>
      <c r="N105" s="15" t="n">
        <f aca="false">IF(IF(KLL!N105="",INPUTS!$B$18,KLL!N105)*SUMPRODUCT((CLASS!$E105:$N105="RES")*1,TRIB!$E105:$N105)&lt;400,1,MAX(IF(SUMPRODUCT((CLASS!$E105:$N105="RES")*1)&gt;=2,0.4,0.5),MIN(1,0.25+15/SQRT(IF(KLL!N105="",INPUTS!$B$18,KLL!N105)*SUMPRODUCT((CLASS!$E105:$N105="RES")*1,TRIB!$E105:$N105)))))</f>
        <v>1</v>
      </c>
      <c r="O105" s="15" t="n">
        <f aca="false">IF(IF(KLL!O105="",INPUTS!$B$18,KLL!O105)*SUMPRODUCT((CLASS!$E105:$O105="RES")*1,TRIB!$E105:$O105)&lt;400,1,MAX(IF(SUMPRODUCT((CLASS!$E105:$O105="RES")*1)&gt;=2,0.4,0.5),MIN(1,0.25+15/SQRT(IF(KLL!O105="",INPUTS!$B$18,KLL!O105)*SUMPRODUCT((CLASS!$E105:$O105="RES")*1,TRIB!$E105:$O105)))))</f>
        <v>1</v>
      </c>
      <c r="P105" s="15" t="n">
        <f aca="false">IF(IF(KLL!P105="",INPUTS!$B$18,KLL!P105)*SUMPRODUCT((CLASS!$E105:$P105="RES")*1,TRIB!$E105:$P105)&lt;400,1,MAX(IF(SUMPRODUCT((CLASS!$E105:$P105="RES")*1)&gt;=2,0.4,0.5),MIN(1,0.25+15/SQRT(IF(KLL!P105="",INPUTS!$B$18,KLL!P105)*SUMPRODUCT((CLASS!$E105:$P105="RES")*1,TRIB!$E105:$P105)))))</f>
        <v>1</v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15" t="n">
        <f aca="false">IF(IF(KLL!E106="",INPUTS!$B$18,KLL!E106)*SUMPRODUCT((CLASS!$E106:$E106="RES")*1,TRIB!$E106:$E106)&lt;400,1,MAX(IF(SUMPRODUCT((CLASS!$E106:$E106="RES")*1)&gt;=2,0.4,0.5),MIN(1,0.25+15/SQRT(IF(KLL!E106="",INPUTS!$B$18,KLL!E106)*SUMPRODUCT((CLASS!$E106:$E106="RES")*1,TRIB!$E106:$E106)))))</f>
        <v>1</v>
      </c>
      <c r="F106" s="15" t="n">
        <f aca="false">IF(IF(KLL!F106="",INPUTS!$B$18,KLL!F106)*SUMPRODUCT((CLASS!$E106:$F106="RES")*1,TRIB!$E106:$F106)&lt;400,1,MAX(IF(SUMPRODUCT((CLASS!$E106:$F106="RES")*1)&gt;=2,0.4,0.5),MIN(1,0.25+15/SQRT(IF(KLL!F106="",INPUTS!$B$18,KLL!F106)*SUMPRODUCT((CLASS!$E106:$F106="RES")*1,TRIB!$E106:$F106)))))</f>
        <v>1</v>
      </c>
      <c r="G106" s="15" t="n">
        <f aca="false">IF(IF(KLL!G106="",INPUTS!$B$18,KLL!G106)*SUMPRODUCT((CLASS!$E106:$G106="RES")*1,TRIB!$E106:$G106)&lt;400,1,MAX(IF(SUMPRODUCT((CLASS!$E106:$G106="RES")*1)&gt;=2,0.4,0.5),MIN(1,0.25+15/SQRT(IF(KLL!G106="",INPUTS!$B$18,KLL!G106)*SUMPRODUCT((CLASS!$E106:$G106="RES")*1,TRIB!$E106:$G106)))))</f>
        <v>1</v>
      </c>
      <c r="H106" s="15" t="n">
        <f aca="false">IF(IF(KLL!H106="",INPUTS!$B$18,KLL!H106)*SUMPRODUCT((CLASS!$E106:$H106="RES")*1,TRIB!$E106:$H106)&lt;400,1,MAX(IF(SUMPRODUCT((CLASS!$E106:$H106="RES")*1)&gt;=2,0.4,0.5),MIN(1,0.25+15/SQRT(IF(KLL!H106="",INPUTS!$B$18,KLL!H106)*SUMPRODUCT((CLASS!$E106:$H106="RES")*1,TRIB!$E106:$H106)))))</f>
        <v>1</v>
      </c>
      <c r="I106" s="15" t="n">
        <f aca="false">IF(IF(KLL!I106="",INPUTS!$B$18,KLL!I106)*SUMPRODUCT((CLASS!$E106:$I106="RES")*1,TRIB!$E106:$I106)&lt;400,1,MAX(IF(SUMPRODUCT((CLASS!$E106:$I106="RES")*1)&gt;=2,0.4,0.5),MIN(1,0.25+15/SQRT(IF(KLL!I106="",INPUTS!$B$18,KLL!I106)*SUMPRODUCT((CLASS!$E106:$I106="RES")*1,TRIB!$E106:$I106)))))</f>
        <v>1</v>
      </c>
      <c r="J106" s="15" t="n">
        <f aca="false">IF(IF(KLL!J106="",INPUTS!$B$18,KLL!J106)*SUMPRODUCT((CLASS!$E106:$J106="RES")*1,TRIB!$E106:$J106)&lt;400,1,MAX(IF(SUMPRODUCT((CLASS!$E106:$J106="RES")*1)&gt;=2,0.4,0.5),MIN(1,0.25+15/SQRT(IF(KLL!J106="",INPUTS!$B$18,KLL!J106)*SUMPRODUCT((CLASS!$E106:$J106="RES")*1,TRIB!$E106:$J106)))))</f>
        <v>1</v>
      </c>
      <c r="K106" s="15" t="n">
        <f aca="false">IF(IF(KLL!K106="",INPUTS!$B$18,KLL!K106)*SUMPRODUCT((CLASS!$E106:$K106="RES")*1,TRIB!$E106:$K106)&lt;400,1,MAX(IF(SUMPRODUCT((CLASS!$E106:$K106="RES")*1)&gt;=2,0.4,0.5),MIN(1,0.25+15/SQRT(IF(KLL!K106="",INPUTS!$B$18,KLL!K106)*SUMPRODUCT((CLASS!$E106:$K106="RES")*1,TRIB!$E106:$K106)))))</f>
        <v>1</v>
      </c>
      <c r="L106" s="15" t="n">
        <f aca="false">IF(IF(KLL!L106="",INPUTS!$B$18,KLL!L106)*SUMPRODUCT((CLASS!$E106:$L106="RES")*1,TRIB!$E106:$L106)&lt;400,1,MAX(IF(SUMPRODUCT((CLASS!$E106:$L106="RES")*1)&gt;=2,0.4,0.5),MIN(1,0.25+15/SQRT(IF(KLL!L106="",INPUTS!$B$18,KLL!L106)*SUMPRODUCT((CLASS!$E106:$L106="RES")*1,TRIB!$E106:$L106)))))</f>
        <v>1</v>
      </c>
      <c r="M106" s="15" t="n">
        <f aca="false">IF(IF(KLL!M106="",INPUTS!$B$18,KLL!M106)*SUMPRODUCT((CLASS!$E106:$M106="RES")*1,TRIB!$E106:$M106)&lt;400,1,MAX(IF(SUMPRODUCT((CLASS!$E106:$M106="RES")*1)&gt;=2,0.4,0.5),MIN(1,0.25+15/SQRT(IF(KLL!M106="",INPUTS!$B$18,KLL!M106)*SUMPRODUCT((CLASS!$E106:$M106="RES")*1,TRIB!$E106:$M106)))))</f>
        <v>1</v>
      </c>
      <c r="N106" s="15" t="n">
        <f aca="false">IF(IF(KLL!N106="",INPUTS!$B$18,KLL!N106)*SUMPRODUCT((CLASS!$E106:$N106="RES")*1,TRIB!$E106:$N106)&lt;400,1,MAX(IF(SUMPRODUCT((CLASS!$E106:$N106="RES")*1)&gt;=2,0.4,0.5),MIN(1,0.25+15/SQRT(IF(KLL!N106="",INPUTS!$B$18,KLL!N106)*SUMPRODUCT((CLASS!$E106:$N106="RES")*1,TRIB!$E106:$N106)))))</f>
        <v>1</v>
      </c>
      <c r="O106" s="15" t="n">
        <f aca="false">IF(IF(KLL!O106="",INPUTS!$B$18,KLL!O106)*SUMPRODUCT((CLASS!$E106:$O106="RES")*1,TRIB!$E106:$O106)&lt;400,1,MAX(IF(SUMPRODUCT((CLASS!$E106:$O106="RES")*1)&gt;=2,0.4,0.5),MIN(1,0.25+15/SQRT(IF(KLL!O106="",INPUTS!$B$18,KLL!O106)*SUMPRODUCT((CLASS!$E106:$O106="RES")*1,TRIB!$E106:$O106)))))</f>
        <v>1</v>
      </c>
      <c r="P106" s="15" t="n">
        <f aca="false">IF(IF(KLL!P106="",INPUTS!$B$18,KLL!P106)*SUMPRODUCT((CLASS!$E106:$P106="RES")*1,TRIB!$E106:$P106)&lt;400,1,MAX(IF(SUMPRODUCT((CLASS!$E106:$P106="RES")*1)&gt;=2,0.4,0.5),MIN(1,0.25+15/SQRT(IF(KLL!P106="",INPUTS!$B$18,KLL!P106)*SUMPRODUCT((CLASS!$E106:$P106="RES")*1,TRIB!$E106:$P106)))))</f>
        <v>1</v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15" t="n">
        <f aca="false">IF(IF(KLL!E107="",INPUTS!$B$18,KLL!E107)*SUMPRODUCT((CLASS!$E107:$E107="RES")*1,TRIB!$E107:$E107)&lt;400,1,MAX(IF(SUMPRODUCT((CLASS!$E107:$E107="RES")*1)&gt;=2,0.4,0.5),MIN(1,0.25+15/SQRT(IF(KLL!E107="",INPUTS!$B$18,KLL!E107)*SUMPRODUCT((CLASS!$E107:$E107="RES")*1,TRIB!$E107:$E107)))))</f>
        <v>1</v>
      </c>
      <c r="F107" s="15" t="n">
        <f aca="false">IF(IF(KLL!F107="",INPUTS!$B$18,KLL!F107)*SUMPRODUCT((CLASS!$E107:$F107="RES")*1,TRIB!$E107:$F107)&lt;400,1,MAX(IF(SUMPRODUCT((CLASS!$E107:$F107="RES")*1)&gt;=2,0.4,0.5),MIN(1,0.25+15/SQRT(IF(KLL!F107="",INPUTS!$B$18,KLL!F107)*SUMPRODUCT((CLASS!$E107:$F107="RES")*1,TRIB!$E107:$F107)))))</f>
        <v>1</v>
      </c>
      <c r="G107" s="15" t="n">
        <f aca="false">IF(IF(KLL!G107="",INPUTS!$B$18,KLL!G107)*SUMPRODUCT((CLASS!$E107:$G107="RES")*1,TRIB!$E107:$G107)&lt;400,1,MAX(IF(SUMPRODUCT((CLASS!$E107:$G107="RES")*1)&gt;=2,0.4,0.5),MIN(1,0.25+15/SQRT(IF(KLL!G107="",INPUTS!$B$18,KLL!G107)*SUMPRODUCT((CLASS!$E107:$G107="RES")*1,TRIB!$E107:$G107)))))</f>
        <v>1</v>
      </c>
      <c r="H107" s="15" t="n">
        <f aca="false">IF(IF(KLL!H107="",INPUTS!$B$18,KLL!H107)*SUMPRODUCT((CLASS!$E107:$H107="RES")*1,TRIB!$E107:$H107)&lt;400,1,MAX(IF(SUMPRODUCT((CLASS!$E107:$H107="RES")*1)&gt;=2,0.4,0.5),MIN(1,0.25+15/SQRT(IF(KLL!H107="",INPUTS!$B$18,KLL!H107)*SUMPRODUCT((CLASS!$E107:$H107="RES")*1,TRIB!$E107:$H107)))))</f>
        <v>1</v>
      </c>
      <c r="I107" s="15" t="n">
        <f aca="false">IF(IF(KLL!I107="",INPUTS!$B$18,KLL!I107)*SUMPRODUCT((CLASS!$E107:$I107="RES")*1,TRIB!$E107:$I107)&lt;400,1,MAX(IF(SUMPRODUCT((CLASS!$E107:$I107="RES")*1)&gt;=2,0.4,0.5),MIN(1,0.25+15/SQRT(IF(KLL!I107="",INPUTS!$B$18,KLL!I107)*SUMPRODUCT((CLASS!$E107:$I107="RES")*1,TRIB!$E107:$I107)))))</f>
        <v>1</v>
      </c>
      <c r="J107" s="15" t="n">
        <f aca="false">IF(IF(KLL!J107="",INPUTS!$B$18,KLL!J107)*SUMPRODUCT((CLASS!$E107:$J107="RES")*1,TRIB!$E107:$J107)&lt;400,1,MAX(IF(SUMPRODUCT((CLASS!$E107:$J107="RES")*1)&gt;=2,0.4,0.5),MIN(1,0.25+15/SQRT(IF(KLL!J107="",INPUTS!$B$18,KLL!J107)*SUMPRODUCT((CLASS!$E107:$J107="RES")*1,TRIB!$E107:$J107)))))</f>
        <v>1</v>
      </c>
      <c r="K107" s="15" t="n">
        <f aca="false">IF(IF(KLL!K107="",INPUTS!$B$18,KLL!K107)*SUMPRODUCT((CLASS!$E107:$K107="RES")*1,TRIB!$E107:$K107)&lt;400,1,MAX(IF(SUMPRODUCT((CLASS!$E107:$K107="RES")*1)&gt;=2,0.4,0.5),MIN(1,0.25+15/SQRT(IF(KLL!K107="",INPUTS!$B$18,KLL!K107)*SUMPRODUCT((CLASS!$E107:$K107="RES")*1,TRIB!$E107:$K107)))))</f>
        <v>1</v>
      </c>
      <c r="L107" s="15" t="n">
        <f aca="false">IF(IF(KLL!L107="",INPUTS!$B$18,KLL!L107)*SUMPRODUCT((CLASS!$E107:$L107="RES")*1,TRIB!$E107:$L107)&lt;400,1,MAX(IF(SUMPRODUCT((CLASS!$E107:$L107="RES")*1)&gt;=2,0.4,0.5),MIN(1,0.25+15/SQRT(IF(KLL!L107="",INPUTS!$B$18,KLL!L107)*SUMPRODUCT((CLASS!$E107:$L107="RES")*1,TRIB!$E107:$L107)))))</f>
        <v>1</v>
      </c>
      <c r="M107" s="15" t="n">
        <f aca="false">IF(IF(KLL!M107="",INPUTS!$B$18,KLL!M107)*SUMPRODUCT((CLASS!$E107:$M107="RES")*1,TRIB!$E107:$M107)&lt;400,1,MAX(IF(SUMPRODUCT((CLASS!$E107:$M107="RES")*1)&gt;=2,0.4,0.5),MIN(1,0.25+15/SQRT(IF(KLL!M107="",INPUTS!$B$18,KLL!M107)*SUMPRODUCT((CLASS!$E107:$M107="RES")*1,TRIB!$E107:$M107)))))</f>
        <v>1</v>
      </c>
      <c r="N107" s="15" t="n">
        <f aca="false">IF(IF(KLL!N107="",INPUTS!$B$18,KLL!N107)*SUMPRODUCT((CLASS!$E107:$N107="RES")*1,TRIB!$E107:$N107)&lt;400,1,MAX(IF(SUMPRODUCT((CLASS!$E107:$N107="RES")*1)&gt;=2,0.4,0.5),MIN(1,0.25+15/SQRT(IF(KLL!N107="",INPUTS!$B$18,KLL!N107)*SUMPRODUCT((CLASS!$E107:$N107="RES")*1,TRIB!$E107:$N107)))))</f>
        <v>1</v>
      </c>
      <c r="O107" s="15" t="n">
        <f aca="false">IF(IF(KLL!O107="",INPUTS!$B$18,KLL!O107)*SUMPRODUCT((CLASS!$E107:$O107="RES")*1,TRIB!$E107:$O107)&lt;400,1,MAX(IF(SUMPRODUCT((CLASS!$E107:$O107="RES")*1)&gt;=2,0.4,0.5),MIN(1,0.25+15/SQRT(IF(KLL!O107="",INPUTS!$B$18,KLL!O107)*SUMPRODUCT((CLASS!$E107:$O107="RES")*1,TRIB!$E107:$O107)))))</f>
        <v>1</v>
      </c>
      <c r="P107" s="15" t="n">
        <f aca="false">IF(IF(KLL!P107="",INPUTS!$B$18,KLL!P107)*SUMPRODUCT((CLASS!$E107:$P107="RES")*1,TRIB!$E107:$P107)&lt;400,1,MAX(IF(SUMPRODUCT((CLASS!$E107:$P107="RES")*1)&gt;=2,0.4,0.5),MIN(1,0.25+15/SQRT(IF(KLL!P107="",INPUTS!$B$18,KLL!P107)*SUMPRODUCT((CLASS!$E107:$P107="RES")*1,TRIB!$E107:$P107)))))</f>
        <v>1</v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15" t="n">
        <f aca="false">IF(IF(KLL!E108="",INPUTS!$B$18,KLL!E108)*SUMPRODUCT((CLASS!$E108:$E108="RES")*1,TRIB!$E108:$E108)&lt;400,1,MAX(IF(SUMPRODUCT((CLASS!$E108:$E108="RES")*1)&gt;=2,0.4,0.5),MIN(1,0.25+15/SQRT(IF(KLL!E108="",INPUTS!$B$18,KLL!E108)*SUMPRODUCT((CLASS!$E108:$E108="RES")*1,TRIB!$E108:$E108)))))</f>
        <v>1</v>
      </c>
      <c r="F108" s="15" t="n">
        <f aca="false">IF(IF(KLL!F108="",INPUTS!$B$18,KLL!F108)*SUMPRODUCT((CLASS!$E108:$F108="RES")*1,TRIB!$E108:$F108)&lt;400,1,MAX(IF(SUMPRODUCT((CLASS!$E108:$F108="RES")*1)&gt;=2,0.4,0.5),MIN(1,0.25+15/SQRT(IF(KLL!F108="",INPUTS!$B$18,KLL!F108)*SUMPRODUCT((CLASS!$E108:$F108="RES")*1,TRIB!$E108:$F108)))))</f>
        <v>1</v>
      </c>
      <c r="G108" s="15" t="n">
        <f aca="false">IF(IF(KLL!G108="",INPUTS!$B$18,KLL!G108)*SUMPRODUCT((CLASS!$E108:$G108="RES")*1,TRIB!$E108:$G108)&lt;400,1,MAX(IF(SUMPRODUCT((CLASS!$E108:$G108="RES")*1)&gt;=2,0.4,0.5),MIN(1,0.25+15/SQRT(IF(KLL!G108="",INPUTS!$B$18,KLL!G108)*SUMPRODUCT((CLASS!$E108:$G108="RES")*1,TRIB!$E108:$G108)))))</f>
        <v>1</v>
      </c>
      <c r="H108" s="15" t="n">
        <f aca="false">IF(IF(KLL!H108="",INPUTS!$B$18,KLL!H108)*SUMPRODUCT((CLASS!$E108:$H108="RES")*1,TRIB!$E108:$H108)&lt;400,1,MAX(IF(SUMPRODUCT((CLASS!$E108:$H108="RES")*1)&gt;=2,0.4,0.5),MIN(1,0.25+15/SQRT(IF(KLL!H108="",INPUTS!$B$18,KLL!H108)*SUMPRODUCT((CLASS!$E108:$H108="RES")*1,TRIB!$E108:$H108)))))</f>
        <v>1</v>
      </c>
      <c r="I108" s="15" t="n">
        <f aca="false">IF(IF(KLL!I108="",INPUTS!$B$18,KLL!I108)*SUMPRODUCT((CLASS!$E108:$I108="RES")*1,TRIB!$E108:$I108)&lt;400,1,MAX(IF(SUMPRODUCT((CLASS!$E108:$I108="RES")*1)&gt;=2,0.4,0.5),MIN(1,0.25+15/SQRT(IF(KLL!I108="",INPUTS!$B$18,KLL!I108)*SUMPRODUCT((CLASS!$E108:$I108="RES")*1,TRIB!$E108:$I108)))))</f>
        <v>1</v>
      </c>
      <c r="J108" s="15" t="n">
        <f aca="false">IF(IF(KLL!J108="",INPUTS!$B$18,KLL!J108)*SUMPRODUCT((CLASS!$E108:$J108="RES")*1,TRIB!$E108:$J108)&lt;400,1,MAX(IF(SUMPRODUCT((CLASS!$E108:$J108="RES")*1)&gt;=2,0.4,0.5),MIN(1,0.25+15/SQRT(IF(KLL!J108="",INPUTS!$B$18,KLL!J108)*SUMPRODUCT((CLASS!$E108:$J108="RES")*1,TRIB!$E108:$J108)))))</f>
        <v>1</v>
      </c>
      <c r="K108" s="15" t="n">
        <f aca="false">IF(IF(KLL!K108="",INPUTS!$B$18,KLL!K108)*SUMPRODUCT((CLASS!$E108:$K108="RES")*1,TRIB!$E108:$K108)&lt;400,1,MAX(IF(SUMPRODUCT((CLASS!$E108:$K108="RES")*1)&gt;=2,0.4,0.5),MIN(1,0.25+15/SQRT(IF(KLL!K108="",INPUTS!$B$18,KLL!K108)*SUMPRODUCT((CLASS!$E108:$K108="RES")*1,TRIB!$E108:$K108)))))</f>
        <v>1</v>
      </c>
      <c r="L108" s="15" t="n">
        <f aca="false">IF(IF(KLL!L108="",INPUTS!$B$18,KLL!L108)*SUMPRODUCT((CLASS!$E108:$L108="RES")*1,TRIB!$E108:$L108)&lt;400,1,MAX(IF(SUMPRODUCT((CLASS!$E108:$L108="RES")*1)&gt;=2,0.4,0.5),MIN(1,0.25+15/SQRT(IF(KLL!L108="",INPUTS!$B$18,KLL!L108)*SUMPRODUCT((CLASS!$E108:$L108="RES")*1,TRIB!$E108:$L108)))))</f>
        <v>1</v>
      </c>
      <c r="M108" s="15" t="n">
        <f aca="false">IF(IF(KLL!M108="",INPUTS!$B$18,KLL!M108)*SUMPRODUCT((CLASS!$E108:$M108="RES")*1,TRIB!$E108:$M108)&lt;400,1,MAX(IF(SUMPRODUCT((CLASS!$E108:$M108="RES")*1)&gt;=2,0.4,0.5),MIN(1,0.25+15/SQRT(IF(KLL!M108="",INPUTS!$B$18,KLL!M108)*SUMPRODUCT((CLASS!$E108:$M108="RES")*1,TRIB!$E108:$M108)))))</f>
        <v>1</v>
      </c>
      <c r="N108" s="15" t="n">
        <f aca="false">IF(IF(KLL!N108="",INPUTS!$B$18,KLL!N108)*SUMPRODUCT((CLASS!$E108:$N108="RES")*1,TRIB!$E108:$N108)&lt;400,1,MAX(IF(SUMPRODUCT((CLASS!$E108:$N108="RES")*1)&gt;=2,0.4,0.5),MIN(1,0.25+15/SQRT(IF(KLL!N108="",INPUTS!$B$18,KLL!N108)*SUMPRODUCT((CLASS!$E108:$N108="RES")*1,TRIB!$E108:$N108)))))</f>
        <v>1</v>
      </c>
      <c r="O108" s="15" t="n">
        <f aca="false">IF(IF(KLL!O108="",INPUTS!$B$18,KLL!O108)*SUMPRODUCT((CLASS!$E108:$O108="RES")*1,TRIB!$E108:$O108)&lt;400,1,MAX(IF(SUMPRODUCT((CLASS!$E108:$O108="RES")*1)&gt;=2,0.4,0.5),MIN(1,0.25+15/SQRT(IF(KLL!O108="",INPUTS!$B$18,KLL!O108)*SUMPRODUCT((CLASS!$E108:$O108="RES")*1,TRIB!$E108:$O108)))))</f>
        <v>1</v>
      </c>
      <c r="P108" s="15" t="n">
        <f aca="false">IF(IF(KLL!P108="",INPUTS!$B$18,KLL!P108)*SUMPRODUCT((CLASS!$E108:$P108="RES")*1,TRIB!$E108:$P108)&lt;400,1,MAX(IF(SUMPRODUCT((CLASS!$E108:$P108="RES")*1)&gt;=2,0.4,0.5),MIN(1,0.25+15/SQRT(IF(KLL!P108="",INPUTS!$B$18,KLL!P108)*SUMPRODUCT((CLASS!$E108:$P108="RES")*1,TRIB!$E108:$P108)))))</f>
        <v>1</v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15" t="n">
        <f aca="false">IF(IF(KLL!E109="",INPUTS!$B$18,KLL!E109)*SUMPRODUCT((CLASS!$E109:$E109="RES")*1,TRIB!$E109:$E109)&lt;400,1,MAX(IF(SUMPRODUCT((CLASS!$E109:$E109="RES")*1)&gt;=2,0.4,0.5),MIN(1,0.25+15/SQRT(IF(KLL!E109="",INPUTS!$B$18,KLL!E109)*SUMPRODUCT((CLASS!$E109:$E109="RES")*1,TRIB!$E109:$E109)))))</f>
        <v>1</v>
      </c>
      <c r="F109" s="15" t="n">
        <f aca="false">IF(IF(KLL!F109="",INPUTS!$B$18,KLL!F109)*SUMPRODUCT((CLASS!$E109:$F109="RES")*1,TRIB!$E109:$F109)&lt;400,1,MAX(IF(SUMPRODUCT((CLASS!$E109:$F109="RES")*1)&gt;=2,0.4,0.5),MIN(1,0.25+15/SQRT(IF(KLL!F109="",INPUTS!$B$18,KLL!F109)*SUMPRODUCT((CLASS!$E109:$F109="RES")*1,TRIB!$E109:$F109)))))</f>
        <v>1</v>
      </c>
      <c r="G109" s="15" t="n">
        <f aca="false">IF(IF(KLL!G109="",INPUTS!$B$18,KLL!G109)*SUMPRODUCT((CLASS!$E109:$G109="RES")*1,TRIB!$E109:$G109)&lt;400,1,MAX(IF(SUMPRODUCT((CLASS!$E109:$G109="RES")*1)&gt;=2,0.4,0.5),MIN(1,0.25+15/SQRT(IF(KLL!G109="",INPUTS!$B$18,KLL!G109)*SUMPRODUCT((CLASS!$E109:$G109="RES")*1,TRIB!$E109:$G109)))))</f>
        <v>1</v>
      </c>
      <c r="H109" s="15" t="n">
        <f aca="false">IF(IF(KLL!H109="",INPUTS!$B$18,KLL!H109)*SUMPRODUCT((CLASS!$E109:$H109="RES")*1,TRIB!$E109:$H109)&lt;400,1,MAX(IF(SUMPRODUCT((CLASS!$E109:$H109="RES")*1)&gt;=2,0.4,0.5),MIN(1,0.25+15/SQRT(IF(KLL!H109="",INPUTS!$B$18,KLL!H109)*SUMPRODUCT((CLASS!$E109:$H109="RES")*1,TRIB!$E109:$H109)))))</f>
        <v>1</v>
      </c>
      <c r="I109" s="15" t="n">
        <f aca="false">IF(IF(KLL!I109="",INPUTS!$B$18,KLL!I109)*SUMPRODUCT((CLASS!$E109:$I109="RES")*1,TRIB!$E109:$I109)&lt;400,1,MAX(IF(SUMPRODUCT((CLASS!$E109:$I109="RES")*1)&gt;=2,0.4,0.5),MIN(1,0.25+15/SQRT(IF(KLL!I109="",INPUTS!$B$18,KLL!I109)*SUMPRODUCT((CLASS!$E109:$I109="RES")*1,TRIB!$E109:$I109)))))</f>
        <v>1</v>
      </c>
      <c r="J109" s="15" t="n">
        <f aca="false">IF(IF(KLL!J109="",INPUTS!$B$18,KLL!J109)*SUMPRODUCT((CLASS!$E109:$J109="RES")*1,TRIB!$E109:$J109)&lt;400,1,MAX(IF(SUMPRODUCT((CLASS!$E109:$J109="RES")*1)&gt;=2,0.4,0.5),MIN(1,0.25+15/SQRT(IF(KLL!J109="",INPUTS!$B$18,KLL!J109)*SUMPRODUCT((CLASS!$E109:$J109="RES")*1,TRIB!$E109:$J109)))))</f>
        <v>1</v>
      </c>
      <c r="K109" s="15" t="n">
        <f aca="false">IF(IF(KLL!K109="",INPUTS!$B$18,KLL!K109)*SUMPRODUCT((CLASS!$E109:$K109="RES")*1,TRIB!$E109:$K109)&lt;400,1,MAX(IF(SUMPRODUCT((CLASS!$E109:$K109="RES")*1)&gt;=2,0.4,0.5),MIN(1,0.25+15/SQRT(IF(KLL!K109="",INPUTS!$B$18,KLL!K109)*SUMPRODUCT((CLASS!$E109:$K109="RES")*1,TRIB!$E109:$K109)))))</f>
        <v>1</v>
      </c>
      <c r="L109" s="15" t="n">
        <f aca="false">IF(IF(KLL!L109="",INPUTS!$B$18,KLL!L109)*SUMPRODUCT((CLASS!$E109:$L109="RES")*1,TRIB!$E109:$L109)&lt;400,1,MAX(IF(SUMPRODUCT((CLASS!$E109:$L109="RES")*1)&gt;=2,0.4,0.5),MIN(1,0.25+15/SQRT(IF(KLL!L109="",INPUTS!$B$18,KLL!L109)*SUMPRODUCT((CLASS!$E109:$L109="RES")*1,TRIB!$E109:$L109)))))</f>
        <v>1</v>
      </c>
      <c r="M109" s="15" t="n">
        <f aca="false">IF(IF(KLL!M109="",INPUTS!$B$18,KLL!M109)*SUMPRODUCT((CLASS!$E109:$M109="RES")*1,TRIB!$E109:$M109)&lt;400,1,MAX(IF(SUMPRODUCT((CLASS!$E109:$M109="RES")*1)&gt;=2,0.4,0.5),MIN(1,0.25+15/SQRT(IF(KLL!M109="",INPUTS!$B$18,KLL!M109)*SUMPRODUCT((CLASS!$E109:$M109="RES")*1,TRIB!$E109:$M109)))))</f>
        <v>1</v>
      </c>
      <c r="N109" s="15" t="n">
        <f aca="false">IF(IF(KLL!N109="",INPUTS!$B$18,KLL!N109)*SUMPRODUCT((CLASS!$E109:$N109="RES")*1,TRIB!$E109:$N109)&lt;400,1,MAX(IF(SUMPRODUCT((CLASS!$E109:$N109="RES")*1)&gt;=2,0.4,0.5),MIN(1,0.25+15/SQRT(IF(KLL!N109="",INPUTS!$B$18,KLL!N109)*SUMPRODUCT((CLASS!$E109:$N109="RES")*1,TRIB!$E109:$N109)))))</f>
        <v>1</v>
      </c>
      <c r="O109" s="15" t="n">
        <f aca="false">IF(IF(KLL!O109="",INPUTS!$B$18,KLL!O109)*SUMPRODUCT((CLASS!$E109:$O109="RES")*1,TRIB!$E109:$O109)&lt;400,1,MAX(IF(SUMPRODUCT((CLASS!$E109:$O109="RES")*1)&gt;=2,0.4,0.5),MIN(1,0.25+15/SQRT(IF(KLL!O109="",INPUTS!$B$18,KLL!O109)*SUMPRODUCT((CLASS!$E109:$O109="RES")*1,TRIB!$E109:$O109)))))</f>
        <v>1</v>
      </c>
      <c r="P109" s="15" t="n">
        <f aca="false">IF(IF(KLL!P109="",INPUTS!$B$18,KLL!P109)*SUMPRODUCT((CLASS!$E109:$P109="RES")*1,TRIB!$E109:$P109)&lt;400,1,MAX(IF(SUMPRODUCT((CLASS!$E109:$P109="RES")*1)&gt;=2,0.4,0.5),MIN(1,0.25+15/SQRT(IF(KLL!P109="",INPUTS!$B$18,KLL!P109)*SUMPRODUCT((CLASS!$E109:$P109="RES")*1,TRIB!$E109:$P109)))))</f>
        <v>1</v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15" t="n">
        <f aca="false">IF(IF(KLL!E110="",INPUTS!$B$18,KLL!E110)*SUMPRODUCT((CLASS!$E110:$E110="RES")*1,TRIB!$E110:$E110)&lt;400,1,MAX(IF(SUMPRODUCT((CLASS!$E110:$E110="RES")*1)&gt;=2,0.4,0.5),MIN(1,0.25+15/SQRT(IF(KLL!E110="",INPUTS!$B$18,KLL!E110)*SUMPRODUCT((CLASS!$E110:$E110="RES")*1,TRIB!$E110:$E110)))))</f>
        <v>1</v>
      </c>
      <c r="F110" s="15" t="n">
        <f aca="false">IF(IF(KLL!F110="",INPUTS!$B$18,KLL!F110)*SUMPRODUCT((CLASS!$E110:$F110="RES")*1,TRIB!$E110:$F110)&lt;400,1,MAX(IF(SUMPRODUCT((CLASS!$E110:$F110="RES")*1)&gt;=2,0.4,0.5),MIN(1,0.25+15/SQRT(IF(KLL!F110="",INPUTS!$B$18,KLL!F110)*SUMPRODUCT((CLASS!$E110:$F110="RES")*1,TRIB!$E110:$F110)))))</f>
        <v>1</v>
      </c>
      <c r="G110" s="15" t="n">
        <f aca="false">IF(IF(KLL!G110="",INPUTS!$B$18,KLL!G110)*SUMPRODUCT((CLASS!$E110:$G110="RES")*1,TRIB!$E110:$G110)&lt;400,1,MAX(IF(SUMPRODUCT((CLASS!$E110:$G110="RES")*1)&gt;=2,0.4,0.5),MIN(1,0.25+15/SQRT(IF(KLL!G110="",INPUTS!$B$18,KLL!G110)*SUMPRODUCT((CLASS!$E110:$G110="RES")*1,TRIB!$E110:$G110)))))</f>
        <v>1</v>
      </c>
      <c r="H110" s="15" t="n">
        <f aca="false">IF(IF(KLL!H110="",INPUTS!$B$18,KLL!H110)*SUMPRODUCT((CLASS!$E110:$H110="RES")*1,TRIB!$E110:$H110)&lt;400,1,MAX(IF(SUMPRODUCT((CLASS!$E110:$H110="RES")*1)&gt;=2,0.4,0.5),MIN(1,0.25+15/SQRT(IF(KLL!H110="",INPUTS!$B$18,KLL!H110)*SUMPRODUCT((CLASS!$E110:$H110="RES")*1,TRIB!$E110:$H110)))))</f>
        <v>1</v>
      </c>
      <c r="I110" s="15" t="n">
        <f aca="false">IF(IF(KLL!I110="",INPUTS!$B$18,KLL!I110)*SUMPRODUCT((CLASS!$E110:$I110="RES")*1,TRIB!$E110:$I110)&lt;400,1,MAX(IF(SUMPRODUCT((CLASS!$E110:$I110="RES")*1)&gt;=2,0.4,0.5),MIN(1,0.25+15/SQRT(IF(KLL!I110="",INPUTS!$B$18,KLL!I110)*SUMPRODUCT((CLASS!$E110:$I110="RES")*1,TRIB!$E110:$I110)))))</f>
        <v>1</v>
      </c>
      <c r="J110" s="15" t="n">
        <f aca="false">IF(IF(KLL!J110="",INPUTS!$B$18,KLL!J110)*SUMPRODUCT((CLASS!$E110:$J110="RES")*1,TRIB!$E110:$J110)&lt;400,1,MAX(IF(SUMPRODUCT((CLASS!$E110:$J110="RES")*1)&gt;=2,0.4,0.5),MIN(1,0.25+15/SQRT(IF(KLL!J110="",INPUTS!$B$18,KLL!J110)*SUMPRODUCT((CLASS!$E110:$J110="RES")*1,TRIB!$E110:$J110)))))</f>
        <v>1</v>
      </c>
      <c r="K110" s="15" t="n">
        <f aca="false">IF(IF(KLL!K110="",INPUTS!$B$18,KLL!K110)*SUMPRODUCT((CLASS!$E110:$K110="RES")*1,TRIB!$E110:$K110)&lt;400,1,MAX(IF(SUMPRODUCT((CLASS!$E110:$K110="RES")*1)&gt;=2,0.4,0.5),MIN(1,0.25+15/SQRT(IF(KLL!K110="",INPUTS!$B$18,KLL!K110)*SUMPRODUCT((CLASS!$E110:$K110="RES")*1,TRIB!$E110:$K110)))))</f>
        <v>1</v>
      </c>
      <c r="L110" s="15" t="n">
        <f aca="false">IF(IF(KLL!L110="",INPUTS!$B$18,KLL!L110)*SUMPRODUCT((CLASS!$E110:$L110="RES")*1,TRIB!$E110:$L110)&lt;400,1,MAX(IF(SUMPRODUCT((CLASS!$E110:$L110="RES")*1)&gt;=2,0.4,0.5),MIN(1,0.25+15/SQRT(IF(KLL!L110="",INPUTS!$B$18,KLL!L110)*SUMPRODUCT((CLASS!$E110:$L110="RES")*1,TRIB!$E110:$L110)))))</f>
        <v>1</v>
      </c>
      <c r="M110" s="15" t="n">
        <f aca="false">IF(IF(KLL!M110="",INPUTS!$B$18,KLL!M110)*SUMPRODUCT((CLASS!$E110:$M110="RES")*1,TRIB!$E110:$M110)&lt;400,1,MAX(IF(SUMPRODUCT((CLASS!$E110:$M110="RES")*1)&gt;=2,0.4,0.5),MIN(1,0.25+15/SQRT(IF(KLL!M110="",INPUTS!$B$18,KLL!M110)*SUMPRODUCT((CLASS!$E110:$M110="RES")*1,TRIB!$E110:$M110)))))</f>
        <v>1</v>
      </c>
      <c r="N110" s="15" t="n">
        <f aca="false">IF(IF(KLL!N110="",INPUTS!$B$18,KLL!N110)*SUMPRODUCT((CLASS!$E110:$N110="RES")*1,TRIB!$E110:$N110)&lt;400,1,MAX(IF(SUMPRODUCT((CLASS!$E110:$N110="RES")*1)&gt;=2,0.4,0.5),MIN(1,0.25+15/SQRT(IF(KLL!N110="",INPUTS!$B$18,KLL!N110)*SUMPRODUCT((CLASS!$E110:$N110="RES")*1,TRIB!$E110:$N110)))))</f>
        <v>1</v>
      </c>
      <c r="O110" s="15" t="n">
        <f aca="false">IF(IF(KLL!O110="",INPUTS!$B$18,KLL!O110)*SUMPRODUCT((CLASS!$E110:$O110="RES")*1,TRIB!$E110:$O110)&lt;400,1,MAX(IF(SUMPRODUCT((CLASS!$E110:$O110="RES")*1)&gt;=2,0.4,0.5),MIN(1,0.25+15/SQRT(IF(KLL!O110="",INPUTS!$B$18,KLL!O110)*SUMPRODUCT((CLASS!$E110:$O110="RES")*1,TRIB!$E110:$O110)))))</f>
        <v>1</v>
      </c>
      <c r="P110" s="15" t="n">
        <f aca="false">IF(IF(KLL!P110="",INPUTS!$B$18,KLL!P110)*SUMPRODUCT((CLASS!$E110:$P110="RES")*1,TRIB!$E110:$P110)&lt;400,1,MAX(IF(SUMPRODUCT((CLASS!$E110:$P110="RES")*1)&gt;=2,0.4,0.5),MIN(1,0.25+15/SQRT(IF(KLL!P110="",INPUTS!$B$18,KLL!P110)*SUMPRODUCT((CLASS!$E110:$P110="RES")*1,TRIB!$E110:$P110)))))</f>
        <v>1</v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15" t="n">
        <f aca="false">IF(IF(KLL!E111="",INPUTS!$B$18,KLL!E111)*SUMPRODUCT((CLASS!$E111:$E111="RES")*1,TRIB!$E111:$E111)&lt;400,1,MAX(IF(SUMPRODUCT((CLASS!$E111:$E111="RES")*1)&gt;=2,0.4,0.5),MIN(1,0.25+15/SQRT(IF(KLL!E111="",INPUTS!$B$18,KLL!E111)*SUMPRODUCT((CLASS!$E111:$E111="RES")*1,TRIB!$E111:$E111)))))</f>
        <v>1</v>
      </c>
      <c r="F111" s="15" t="n">
        <f aca="false">IF(IF(KLL!F111="",INPUTS!$B$18,KLL!F111)*SUMPRODUCT((CLASS!$E111:$F111="RES")*1,TRIB!$E111:$F111)&lt;400,1,MAX(IF(SUMPRODUCT((CLASS!$E111:$F111="RES")*1)&gt;=2,0.4,0.5),MIN(1,0.25+15/SQRT(IF(KLL!F111="",INPUTS!$B$18,KLL!F111)*SUMPRODUCT((CLASS!$E111:$F111="RES")*1,TRIB!$E111:$F111)))))</f>
        <v>1</v>
      </c>
      <c r="G111" s="15" t="n">
        <f aca="false">IF(IF(KLL!G111="",INPUTS!$B$18,KLL!G111)*SUMPRODUCT((CLASS!$E111:$G111="RES")*1,TRIB!$E111:$G111)&lt;400,1,MAX(IF(SUMPRODUCT((CLASS!$E111:$G111="RES")*1)&gt;=2,0.4,0.5),MIN(1,0.25+15/SQRT(IF(KLL!G111="",INPUTS!$B$18,KLL!G111)*SUMPRODUCT((CLASS!$E111:$G111="RES")*1,TRIB!$E111:$G111)))))</f>
        <v>1</v>
      </c>
      <c r="H111" s="15" t="n">
        <f aca="false">IF(IF(KLL!H111="",INPUTS!$B$18,KLL!H111)*SUMPRODUCT((CLASS!$E111:$H111="RES")*1,TRIB!$E111:$H111)&lt;400,1,MAX(IF(SUMPRODUCT((CLASS!$E111:$H111="RES")*1)&gt;=2,0.4,0.5),MIN(1,0.25+15/SQRT(IF(KLL!H111="",INPUTS!$B$18,KLL!H111)*SUMPRODUCT((CLASS!$E111:$H111="RES")*1,TRIB!$E111:$H111)))))</f>
        <v>1</v>
      </c>
      <c r="I111" s="15" t="n">
        <f aca="false">IF(IF(KLL!I111="",INPUTS!$B$18,KLL!I111)*SUMPRODUCT((CLASS!$E111:$I111="RES")*1,TRIB!$E111:$I111)&lt;400,1,MAX(IF(SUMPRODUCT((CLASS!$E111:$I111="RES")*1)&gt;=2,0.4,0.5),MIN(1,0.25+15/SQRT(IF(KLL!I111="",INPUTS!$B$18,KLL!I111)*SUMPRODUCT((CLASS!$E111:$I111="RES")*1,TRIB!$E111:$I111)))))</f>
        <v>1</v>
      </c>
      <c r="J111" s="15" t="n">
        <f aca="false">IF(IF(KLL!J111="",INPUTS!$B$18,KLL!J111)*SUMPRODUCT((CLASS!$E111:$J111="RES")*1,TRIB!$E111:$J111)&lt;400,1,MAX(IF(SUMPRODUCT((CLASS!$E111:$J111="RES")*1)&gt;=2,0.4,0.5),MIN(1,0.25+15/SQRT(IF(KLL!J111="",INPUTS!$B$18,KLL!J111)*SUMPRODUCT((CLASS!$E111:$J111="RES")*1,TRIB!$E111:$J111)))))</f>
        <v>1</v>
      </c>
      <c r="K111" s="15" t="n">
        <f aca="false">IF(IF(KLL!K111="",INPUTS!$B$18,KLL!K111)*SUMPRODUCT((CLASS!$E111:$K111="RES")*1,TRIB!$E111:$K111)&lt;400,1,MAX(IF(SUMPRODUCT((CLASS!$E111:$K111="RES")*1)&gt;=2,0.4,0.5),MIN(1,0.25+15/SQRT(IF(KLL!K111="",INPUTS!$B$18,KLL!K111)*SUMPRODUCT((CLASS!$E111:$K111="RES")*1,TRIB!$E111:$K111)))))</f>
        <v>1</v>
      </c>
      <c r="L111" s="15" t="n">
        <f aca="false">IF(IF(KLL!L111="",INPUTS!$B$18,KLL!L111)*SUMPRODUCT((CLASS!$E111:$L111="RES")*1,TRIB!$E111:$L111)&lt;400,1,MAX(IF(SUMPRODUCT((CLASS!$E111:$L111="RES")*1)&gt;=2,0.4,0.5),MIN(1,0.25+15/SQRT(IF(KLL!L111="",INPUTS!$B$18,KLL!L111)*SUMPRODUCT((CLASS!$E111:$L111="RES")*1,TRIB!$E111:$L111)))))</f>
        <v>1</v>
      </c>
      <c r="M111" s="15" t="n">
        <f aca="false">IF(IF(KLL!M111="",INPUTS!$B$18,KLL!M111)*SUMPRODUCT((CLASS!$E111:$M111="RES")*1,TRIB!$E111:$M111)&lt;400,1,MAX(IF(SUMPRODUCT((CLASS!$E111:$M111="RES")*1)&gt;=2,0.4,0.5),MIN(1,0.25+15/SQRT(IF(KLL!M111="",INPUTS!$B$18,KLL!M111)*SUMPRODUCT((CLASS!$E111:$M111="RES")*1,TRIB!$E111:$M111)))))</f>
        <v>1</v>
      </c>
      <c r="N111" s="15" t="n">
        <f aca="false">IF(IF(KLL!N111="",INPUTS!$B$18,KLL!N111)*SUMPRODUCT((CLASS!$E111:$N111="RES")*1,TRIB!$E111:$N111)&lt;400,1,MAX(IF(SUMPRODUCT((CLASS!$E111:$N111="RES")*1)&gt;=2,0.4,0.5),MIN(1,0.25+15/SQRT(IF(KLL!N111="",INPUTS!$B$18,KLL!N111)*SUMPRODUCT((CLASS!$E111:$N111="RES")*1,TRIB!$E111:$N111)))))</f>
        <v>1</v>
      </c>
      <c r="O111" s="15" t="n">
        <f aca="false">IF(IF(KLL!O111="",INPUTS!$B$18,KLL!O111)*SUMPRODUCT((CLASS!$E111:$O111="RES")*1,TRIB!$E111:$O111)&lt;400,1,MAX(IF(SUMPRODUCT((CLASS!$E111:$O111="RES")*1)&gt;=2,0.4,0.5),MIN(1,0.25+15/SQRT(IF(KLL!O111="",INPUTS!$B$18,KLL!O111)*SUMPRODUCT((CLASS!$E111:$O111="RES")*1,TRIB!$E111:$O111)))))</f>
        <v>1</v>
      </c>
      <c r="P111" s="15" t="n">
        <f aca="false">IF(IF(KLL!P111="",INPUTS!$B$18,KLL!P111)*SUMPRODUCT((CLASS!$E111:$P111="RES")*1,TRIB!$E111:$P111)&lt;400,1,MAX(IF(SUMPRODUCT((CLASS!$E111:$P111="RES")*1)&gt;=2,0.4,0.5),MIN(1,0.25+15/SQRT(IF(KLL!P111="",INPUTS!$B$18,KLL!P111)*SUMPRODUCT((CLASS!$E111:$P111="RES")*1,TRIB!$E111:$P111)))))</f>
        <v>1</v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15" t="n">
        <f aca="false">IF(IF(KLL!E112="",INPUTS!$B$18,KLL!E112)*SUMPRODUCT((CLASS!$E112:$E112="RES")*1,TRIB!$E112:$E112)&lt;400,1,MAX(IF(SUMPRODUCT((CLASS!$E112:$E112="RES")*1)&gt;=2,0.4,0.5),MIN(1,0.25+15/SQRT(IF(KLL!E112="",INPUTS!$B$18,KLL!E112)*SUMPRODUCT((CLASS!$E112:$E112="RES")*1,TRIB!$E112:$E112)))))</f>
        <v>1</v>
      </c>
      <c r="F112" s="15" t="n">
        <f aca="false">IF(IF(KLL!F112="",INPUTS!$B$18,KLL!F112)*SUMPRODUCT((CLASS!$E112:$F112="RES")*1,TRIB!$E112:$F112)&lt;400,1,MAX(IF(SUMPRODUCT((CLASS!$E112:$F112="RES")*1)&gt;=2,0.4,0.5),MIN(1,0.25+15/SQRT(IF(KLL!F112="",INPUTS!$B$18,KLL!F112)*SUMPRODUCT((CLASS!$E112:$F112="RES")*1,TRIB!$E112:$F112)))))</f>
        <v>1</v>
      </c>
      <c r="G112" s="15" t="n">
        <f aca="false">IF(IF(KLL!G112="",INPUTS!$B$18,KLL!G112)*SUMPRODUCT((CLASS!$E112:$G112="RES")*1,TRIB!$E112:$G112)&lt;400,1,MAX(IF(SUMPRODUCT((CLASS!$E112:$G112="RES")*1)&gt;=2,0.4,0.5),MIN(1,0.25+15/SQRT(IF(KLL!G112="",INPUTS!$B$18,KLL!G112)*SUMPRODUCT((CLASS!$E112:$G112="RES")*1,TRIB!$E112:$G112)))))</f>
        <v>1</v>
      </c>
      <c r="H112" s="15" t="n">
        <f aca="false">IF(IF(KLL!H112="",INPUTS!$B$18,KLL!H112)*SUMPRODUCT((CLASS!$E112:$H112="RES")*1,TRIB!$E112:$H112)&lt;400,1,MAX(IF(SUMPRODUCT((CLASS!$E112:$H112="RES")*1)&gt;=2,0.4,0.5),MIN(1,0.25+15/SQRT(IF(KLL!H112="",INPUTS!$B$18,KLL!H112)*SUMPRODUCT((CLASS!$E112:$H112="RES")*1,TRIB!$E112:$H112)))))</f>
        <v>1</v>
      </c>
      <c r="I112" s="15" t="n">
        <f aca="false">IF(IF(KLL!I112="",INPUTS!$B$18,KLL!I112)*SUMPRODUCT((CLASS!$E112:$I112="RES")*1,TRIB!$E112:$I112)&lt;400,1,MAX(IF(SUMPRODUCT((CLASS!$E112:$I112="RES")*1)&gt;=2,0.4,0.5),MIN(1,0.25+15/SQRT(IF(KLL!I112="",INPUTS!$B$18,KLL!I112)*SUMPRODUCT((CLASS!$E112:$I112="RES")*1,TRIB!$E112:$I112)))))</f>
        <v>1</v>
      </c>
      <c r="J112" s="15" t="n">
        <f aca="false">IF(IF(KLL!J112="",INPUTS!$B$18,KLL!J112)*SUMPRODUCT((CLASS!$E112:$J112="RES")*1,TRIB!$E112:$J112)&lt;400,1,MAX(IF(SUMPRODUCT((CLASS!$E112:$J112="RES")*1)&gt;=2,0.4,0.5),MIN(1,0.25+15/SQRT(IF(KLL!J112="",INPUTS!$B$18,KLL!J112)*SUMPRODUCT((CLASS!$E112:$J112="RES")*1,TRIB!$E112:$J112)))))</f>
        <v>1</v>
      </c>
      <c r="K112" s="15" t="n">
        <f aca="false">IF(IF(KLL!K112="",INPUTS!$B$18,KLL!K112)*SUMPRODUCT((CLASS!$E112:$K112="RES")*1,TRIB!$E112:$K112)&lt;400,1,MAX(IF(SUMPRODUCT((CLASS!$E112:$K112="RES")*1)&gt;=2,0.4,0.5),MIN(1,0.25+15/SQRT(IF(KLL!K112="",INPUTS!$B$18,KLL!K112)*SUMPRODUCT((CLASS!$E112:$K112="RES")*1,TRIB!$E112:$K112)))))</f>
        <v>1</v>
      </c>
      <c r="L112" s="15" t="n">
        <f aca="false">IF(IF(KLL!L112="",INPUTS!$B$18,KLL!L112)*SUMPRODUCT((CLASS!$E112:$L112="RES")*1,TRIB!$E112:$L112)&lt;400,1,MAX(IF(SUMPRODUCT((CLASS!$E112:$L112="RES")*1)&gt;=2,0.4,0.5),MIN(1,0.25+15/SQRT(IF(KLL!L112="",INPUTS!$B$18,KLL!L112)*SUMPRODUCT((CLASS!$E112:$L112="RES")*1,TRIB!$E112:$L112)))))</f>
        <v>1</v>
      </c>
      <c r="M112" s="15" t="n">
        <f aca="false">IF(IF(KLL!M112="",INPUTS!$B$18,KLL!M112)*SUMPRODUCT((CLASS!$E112:$M112="RES")*1,TRIB!$E112:$M112)&lt;400,1,MAX(IF(SUMPRODUCT((CLASS!$E112:$M112="RES")*1)&gt;=2,0.4,0.5),MIN(1,0.25+15/SQRT(IF(KLL!M112="",INPUTS!$B$18,KLL!M112)*SUMPRODUCT((CLASS!$E112:$M112="RES")*1,TRIB!$E112:$M112)))))</f>
        <v>1</v>
      </c>
      <c r="N112" s="15" t="n">
        <f aca="false">IF(IF(KLL!N112="",INPUTS!$B$18,KLL!N112)*SUMPRODUCT((CLASS!$E112:$N112="RES")*1,TRIB!$E112:$N112)&lt;400,1,MAX(IF(SUMPRODUCT((CLASS!$E112:$N112="RES")*1)&gt;=2,0.4,0.5),MIN(1,0.25+15/SQRT(IF(KLL!N112="",INPUTS!$B$18,KLL!N112)*SUMPRODUCT((CLASS!$E112:$N112="RES")*1,TRIB!$E112:$N112)))))</f>
        <v>1</v>
      </c>
      <c r="O112" s="15" t="n">
        <f aca="false">IF(IF(KLL!O112="",INPUTS!$B$18,KLL!O112)*SUMPRODUCT((CLASS!$E112:$O112="RES")*1,TRIB!$E112:$O112)&lt;400,1,MAX(IF(SUMPRODUCT((CLASS!$E112:$O112="RES")*1)&gt;=2,0.4,0.5),MIN(1,0.25+15/SQRT(IF(KLL!O112="",INPUTS!$B$18,KLL!O112)*SUMPRODUCT((CLASS!$E112:$O112="RES")*1,TRIB!$E112:$O112)))))</f>
        <v>1</v>
      </c>
      <c r="P112" s="15" t="n">
        <f aca="false">IF(IF(KLL!P112="",INPUTS!$B$18,KLL!P112)*SUMPRODUCT((CLASS!$E112:$P112="RES")*1,TRIB!$E112:$P112)&lt;400,1,MAX(IF(SUMPRODUCT((CLASS!$E112:$P112="RES")*1)&gt;=2,0.4,0.5),MIN(1,0.25+15/SQRT(IF(KLL!P112="",INPUTS!$B$18,KLL!P112)*SUMPRODUCT((CLASS!$E112:$P112="RES")*1,TRIB!$E112:$P112)))))</f>
        <v>1</v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15" t="n">
        <f aca="false">IF(IF(KLL!E113="",INPUTS!$B$18,KLL!E113)*SUMPRODUCT((CLASS!$E113:$E113="RES")*1,TRIB!$E113:$E113)&lt;400,1,MAX(IF(SUMPRODUCT((CLASS!$E113:$E113="RES")*1)&gt;=2,0.4,0.5),MIN(1,0.25+15/SQRT(IF(KLL!E113="",INPUTS!$B$18,KLL!E113)*SUMPRODUCT((CLASS!$E113:$E113="RES")*1,TRIB!$E113:$E113)))))</f>
        <v>1</v>
      </c>
      <c r="F113" s="15" t="n">
        <f aca="false">IF(IF(KLL!F113="",INPUTS!$B$18,KLL!F113)*SUMPRODUCT((CLASS!$E113:$F113="RES")*1,TRIB!$E113:$F113)&lt;400,1,MAX(IF(SUMPRODUCT((CLASS!$E113:$F113="RES")*1)&gt;=2,0.4,0.5),MIN(1,0.25+15/SQRT(IF(KLL!F113="",INPUTS!$B$18,KLL!F113)*SUMPRODUCT((CLASS!$E113:$F113="RES")*1,TRIB!$E113:$F113)))))</f>
        <v>1</v>
      </c>
      <c r="G113" s="15" t="n">
        <f aca="false">IF(IF(KLL!G113="",INPUTS!$B$18,KLL!G113)*SUMPRODUCT((CLASS!$E113:$G113="RES")*1,TRIB!$E113:$G113)&lt;400,1,MAX(IF(SUMPRODUCT((CLASS!$E113:$G113="RES")*1)&gt;=2,0.4,0.5),MIN(1,0.25+15/SQRT(IF(KLL!G113="",INPUTS!$B$18,KLL!G113)*SUMPRODUCT((CLASS!$E113:$G113="RES")*1,TRIB!$E113:$G113)))))</f>
        <v>1</v>
      </c>
      <c r="H113" s="15" t="n">
        <f aca="false">IF(IF(KLL!H113="",INPUTS!$B$18,KLL!H113)*SUMPRODUCT((CLASS!$E113:$H113="RES")*1,TRIB!$E113:$H113)&lt;400,1,MAX(IF(SUMPRODUCT((CLASS!$E113:$H113="RES")*1)&gt;=2,0.4,0.5),MIN(1,0.25+15/SQRT(IF(KLL!H113="",INPUTS!$B$18,KLL!H113)*SUMPRODUCT((CLASS!$E113:$H113="RES")*1,TRIB!$E113:$H113)))))</f>
        <v>1</v>
      </c>
      <c r="I113" s="15" t="n">
        <f aca="false">IF(IF(KLL!I113="",INPUTS!$B$18,KLL!I113)*SUMPRODUCT((CLASS!$E113:$I113="RES")*1,TRIB!$E113:$I113)&lt;400,1,MAX(IF(SUMPRODUCT((CLASS!$E113:$I113="RES")*1)&gt;=2,0.4,0.5),MIN(1,0.25+15/SQRT(IF(KLL!I113="",INPUTS!$B$18,KLL!I113)*SUMPRODUCT((CLASS!$E113:$I113="RES")*1,TRIB!$E113:$I113)))))</f>
        <v>1</v>
      </c>
      <c r="J113" s="15" t="n">
        <f aca="false">IF(IF(KLL!J113="",INPUTS!$B$18,KLL!J113)*SUMPRODUCT((CLASS!$E113:$J113="RES")*1,TRIB!$E113:$J113)&lt;400,1,MAX(IF(SUMPRODUCT((CLASS!$E113:$J113="RES")*1)&gt;=2,0.4,0.5),MIN(1,0.25+15/SQRT(IF(KLL!J113="",INPUTS!$B$18,KLL!J113)*SUMPRODUCT((CLASS!$E113:$J113="RES")*1,TRIB!$E113:$J113)))))</f>
        <v>1</v>
      </c>
      <c r="K113" s="15" t="n">
        <f aca="false">IF(IF(KLL!K113="",INPUTS!$B$18,KLL!K113)*SUMPRODUCT((CLASS!$E113:$K113="RES")*1,TRIB!$E113:$K113)&lt;400,1,MAX(IF(SUMPRODUCT((CLASS!$E113:$K113="RES")*1)&gt;=2,0.4,0.5),MIN(1,0.25+15/SQRT(IF(KLL!K113="",INPUTS!$B$18,KLL!K113)*SUMPRODUCT((CLASS!$E113:$K113="RES")*1,TRIB!$E113:$K113)))))</f>
        <v>1</v>
      </c>
      <c r="L113" s="15" t="n">
        <f aca="false">IF(IF(KLL!L113="",INPUTS!$B$18,KLL!L113)*SUMPRODUCT((CLASS!$E113:$L113="RES")*1,TRIB!$E113:$L113)&lt;400,1,MAX(IF(SUMPRODUCT((CLASS!$E113:$L113="RES")*1)&gt;=2,0.4,0.5),MIN(1,0.25+15/SQRT(IF(KLL!L113="",INPUTS!$B$18,KLL!L113)*SUMPRODUCT((CLASS!$E113:$L113="RES")*1,TRIB!$E113:$L113)))))</f>
        <v>1</v>
      </c>
      <c r="M113" s="15" t="n">
        <f aca="false">IF(IF(KLL!M113="",INPUTS!$B$18,KLL!M113)*SUMPRODUCT((CLASS!$E113:$M113="RES")*1,TRIB!$E113:$M113)&lt;400,1,MAX(IF(SUMPRODUCT((CLASS!$E113:$M113="RES")*1)&gt;=2,0.4,0.5),MIN(1,0.25+15/SQRT(IF(KLL!M113="",INPUTS!$B$18,KLL!M113)*SUMPRODUCT((CLASS!$E113:$M113="RES")*1,TRIB!$E113:$M113)))))</f>
        <v>1</v>
      </c>
      <c r="N113" s="15" t="n">
        <f aca="false">IF(IF(KLL!N113="",INPUTS!$B$18,KLL!N113)*SUMPRODUCT((CLASS!$E113:$N113="RES")*1,TRIB!$E113:$N113)&lt;400,1,MAX(IF(SUMPRODUCT((CLASS!$E113:$N113="RES")*1)&gt;=2,0.4,0.5),MIN(1,0.25+15/SQRT(IF(KLL!N113="",INPUTS!$B$18,KLL!N113)*SUMPRODUCT((CLASS!$E113:$N113="RES")*1,TRIB!$E113:$N113)))))</f>
        <v>1</v>
      </c>
      <c r="O113" s="15" t="n">
        <f aca="false">IF(IF(KLL!O113="",INPUTS!$B$18,KLL!O113)*SUMPRODUCT((CLASS!$E113:$O113="RES")*1,TRIB!$E113:$O113)&lt;400,1,MAX(IF(SUMPRODUCT((CLASS!$E113:$O113="RES")*1)&gt;=2,0.4,0.5),MIN(1,0.25+15/SQRT(IF(KLL!O113="",INPUTS!$B$18,KLL!O113)*SUMPRODUCT((CLASS!$E113:$O113="RES")*1,TRIB!$E113:$O113)))))</f>
        <v>1</v>
      </c>
      <c r="P113" s="15" t="n">
        <f aca="false">IF(IF(KLL!P113="",INPUTS!$B$18,KLL!P113)*SUMPRODUCT((CLASS!$E113:$P113="RES")*1,TRIB!$E113:$P113)&lt;400,1,MAX(IF(SUMPRODUCT((CLASS!$E113:$P113="RES")*1)&gt;=2,0.4,0.5),MIN(1,0.25+15/SQRT(IF(KLL!P113="",INPUTS!$B$18,KLL!P113)*SUMPRODUCT((CLASS!$E113:$P113="RES")*1,TRIB!$E113:$P113)))))</f>
        <v>1</v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15" t="n">
        <f aca="false">IF(IF(KLL!E114="",INPUTS!$B$18,KLL!E114)*SUMPRODUCT((CLASS!$E114:$E114="RES")*1,TRIB!$E114:$E114)&lt;400,1,MAX(IF(SUMPRODUCT((CLASS!$E114:$E114="RES")*1)&gt;=2,0.4,0.5),MIN(1,0.25+15/SQRT(IF(KLL!E114="",INPUTS!$B$18,KLL!E114)*SUMPRODUCT((CLASS!$E114:$E114="RES")*1,TRIB!$E114:$E114)))))</f>
        <v>1</v>
      </c>
      <c r="F114" s="15" t="n">
        <f aca="false">IF(IF(KLL!F114="",INPUTS!$B$18,KLL!F114)*SUMPRODUCT((CLASS!$E114:$F114="RES")*1,TRIB!$E114:$F114)&lt;400,1,MAX(IF(SUMPRODUCT((CLASS!$E114:$F114="RES")*1)&gt;=2,0.4,0.5),MIN(1,0.25+15/SQRT(IF(KLL!F114="",INPUTS!$B$18,KLL!F114)*SUMPRODUCT((CLASS!$E114:$F114="RES")*1,TRIB!$E114:$F114)))))</f>
        <v>1</v>
      </c>
      <c r="G114" s="15" t="n">
        <f aca="false">IF(IF(KLL!G114="",INPUTS!$B$18,KLL!G114)*SUMPRODUCT((CLASS!$E114:$G114="RES")*1,TRIB!$E114:$G114)&lt;400,1,MAX(IF(SUMPRODUCT((CLASS!$E114:$G114="RES")*1)&gt;=2,0.4,0.5),MIN(1,0.25+15/SQRT(IF(KLL!G114="",INPUTS!$B$18,KLL!G114)*SUMPRODUCT((CLASS!$E114:$G114="RES")*1,TRIB!$E114:$G114)))))</f>
        <v>1</v>
      </c>
      <c r="H114" s="15" t="n">
        <f aca="false">IF(IF(KLL!H114="",INPUTS!$B$18,KLL!H114)*SUMPRODUCT((CLASS!$E114:$H114="RES")*1,TRIB!$E114:$H114)&lt;400,1,MAX(IF(SUMPRODUCT((CLASS!$E114:$H114="RES")*1)&gt;=2,0.4,0.5),MIN(1,0.25+15/SQRT(IF(KLL!H114="",INPUTS!$B$18,KLL!H114)*SUMPRODUCT((CLASS!$E114:$H114="RES")*1,TRIB!$E114:$H114)))))</f>
        <v>1</v>
      </c>
      <c r="I114" s="15" t="n">
        <f aca="false">IF(IF(KLL!I114="",INPUTS!$B$18,KLL!I114)*SUMPRODUCT((CLASS!$E114:$I114="RES")*1,TRIB!$E114:$I114)&lt;400,1,MAX(IF(SUMPRODUCT((CLASS!$E114:$I114="RES")*1)&gt;=2,0.4,0.5),MIN(1,0.25+15/SQRT(IF(KLL!I114="",INPUTS!$B$18,KLL!I114)*SUMPRODUCT((CLASS!$E114:$I114="RES")*1,TRIB!$E114:$I114)))))</f>
        <v>1</v>
      </c>
      <c r="J114" s="15" t="n">
        <f aca="false">IF(IF(KLL!J114="",INPUTS!$B$18,KLL!J114)*SUMPRODUCT((CLASS!$E114:$J114="RES")*1,TRIB!$E114:$J114)&lt;400,1,MAX(IF(SUMPRODUCT((CLASS!$E114:$J114="RES")*1)&gt;=2,0.4,0.5),MIN(1,0.25+15/SQRT(IF(KLL!J114="",INPUTS!$B$18,KLL!J114)*SUMPRODUCT((CLASS!$E114:$J114="RES")*1,TRIB!$E114:$J114)))))</f>
        <v>1</v>
      </c>
      <c r="K114" s="15" t="n">
        <f aca="false">IF(IF(KLL!K114="",INPUTS!$B$18,KLL!K114)*SUMPRODUCT((CLASS!$E114:$K114="RES")*1,TRIB!$E114:$K114)&lt;400,1,MAX(IF(SUMPRODUCT((CLASS!$E114:$K114="RES")*1)&gt;=2,0.4,0.5),MIN(1,0.25+15/SQRT(IF(KLL!K114="",INPUTS!$B$18,KLL!K114)*SUMPRODUCT((CLASS!$E114:$K114="RES")*1,TRIB!$E114:$K114)))))</f>
        <v>1</v>
      </c>
      <c r="L114" s="15" t="n">
        <f aca="false">IF(IF(KLL!L114="",INPUTS!$B$18,KLL!L114)*SUMPRODUCT((CLASS!$E114:$L114="RES")*1,TRIB!$E114:$L114)&lt;400,1,MAX(IF(SUMPRODUCT((CLASS!$E114:$L114="RES")*1)&gt;=2,0.4,0.5),MIN(1,0.25+15/SQRT(IF(KLL!L114="",INPUTS!$B$18,KLL!L114)*SUMPRODUCT((CLASS!$E114:$L114="RES")*1,TRIB!$E114:$L114)))))</f>
        <v>1</v>
      </c>
      <c r="M114" s="15" t="n">
        <f aca="false">IF(IF(KLL!M114="",INPUTS!$B$18,KLL!M114)*SUMPRODUCT((CLASS!$E114:$M114="RES")*1,TRIB!$E114:$M114)&lt;400,1,MAX(IF(SUMPRODUCT((CLASS!$E114:$M114="RES")*1)&gt;=2,0.4,0.5),MIN(1,0.25+15/SQRT(IF(KLL!M114="",INPUTS!$B$18,KLL!M114)*SUMPRODUCT((CLASS!$E114:$M114="RES")*1,TRIB!$E114:$M114)))))</f>
        <v>1</v>
      </c>
      <c r="N114" s="15" t="n">
        <f aca="false">IF(IF(KLL!N114="",INPUTS!$B$18,KLL!N114)*SUMPRODUCT((CLASS!$E114:$N114="RES")*1,TRIB!$E114:$N114)&lt;400,1,MAX(IF(SUMPRODUCT((CLASS!$E114:$N114="RES")*1)&gt;=2,0.4,0.5),MIN(1,0.25+15/SQRT(IF(KLL!N114="",INPUTS!$B$18,KLL!N114)*SUMPRODUCT((CLASS!$E114:$N114="RES")*1,TRIB!$E114:$N114)))))</f>
        <v>1</v>
      </c>
      <c r="O114" s="15" t="n">
        <f aca="false">IF(IF(KLL!O114="",INPUTS!$B$18,KLL!O114)*SUMPRODUCT((CLASS!$E114:$O114="RES")*1,TRIB!$E114:$O114)&lt;400,1,MAX(IF(SUMPRODUCT((CLASS!$E114:$O114="RES")*1)&gt;=2,0.4,0.5),MIN(1,0.25+15/SQRT(IF(KLL!O114="",INPUTS!$B$18,KLL!O114)*SUMPRODUCT((CLASS!$E114:$O114="RES")*1,TRIB!$E114:$O114)))))</f>
        <v>1</v>
      </c>
      <c r="P114" s="15" t="n">
        <f aca="false">IF(IF(KLL!P114="",INPUTS!$B$18,KLL!P114)*SUMPRODUCT((CLASS!$E114:$P114="RES")*1,TRIB!$E114:$P114)&lt;400,1,MAX(IF(SUMPRODUCT((CLASS!$E114:$P114="RES")*1)&gt;=2,0.4,0.5),MIN(1,0.25+15/SQRT(IF(KLL!P114="",INPUTS!$B$18,KLL!P114)*SUMPRODUCT((CLASS!$E114:$P114="RES")*1,TRIB!$E114:$P114)))))</f>
        <v>1</v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15" t="n">
        <f aca="false">IF(IF(KLL!E115="",INPUTS!$B$18,KLL!E115)*SUMPRODUCT((CLASS!$E115:$E115="RES")*1,TRIB!$E115:$E115)&lt;400,1,MAX(IF(SUMPRODUCT((CLASS!$E115:$E115="RES")*1)&gt;=2,0.4,0.5),MIN(1,0.25+15/SQRT(IF(KLL!E115="",INPUTS!$B$18,KLL!E115)*SUMPRODUCT((CLASS!$E115:$E115="RES")*1,TRIB!$E115:$E115)))))</f>
        <v>1</v>
      </c>
      <c r="F115" s="15" t="n">
        <f aca="false">IF(IF(KLL!F115="",INPUTS!$B$18,KLL!F115)*SUMPRODUCT((CLASS!$E115:$F115="RES")*1,TRIB!$E115:$F115)&lt;400,1,MAX(IF(SUMPRODUCT((CLASS!$E115:$F115="RES")*1)&gt;=2,0.4,0.5),MIN(1,0.25+15/SQRT(IF(KLL!F115="",INPUTS!$B$18,KLL!F115)*SUMPRODUCT((CLASS!$E115:$F115="RES")*1,TRIB!$E115:$F115)))))</f>
        <v>1</v>
      </c>
      <c r="G115" s="15" t="n">
        <f aca="false">IF(IF(KLL!G115="",INPUTS!$B$18,KLL!G115)*SUMPRODUCT((CLASS!$E115:$G115="RES")*1,TRIB!$E115:$G115)&lt;400,1,MAX(IF(SUMPRODUCT((CLASS!$E115:$G115="RES")*1)&gt;=2,0.4,0.5),MIN(1,0.25+15/SQRT(IF(KLL!G115="",INPUTS!$B$18,KLL!G115)*SUMPRODUCT((CLASS!$E115:$G115="RES")*1,TRIB!$E115:$G115)))))</f>
        <v>1</v>
      </c>
      <c r="H115" s="15" t="n">
        <f aca="false">IF(IF(KLL!H115="",INPUTS!$B$18,KLL!H115)*SUMPRODUCT((CLASS!$E115:$H115="RES")*1,TRIB!$E115:$H115)&lt;400,1,MAX(IF(SUMPRODUCT((CLASS!$E115:$H115="RES")*1)&gt;=2,0.4,0.5),MIN(1,0.25+15/SQRT(IF(KLL!H115="",INPUTS!$B$18,KLL!H115)*SUMPRODUCT((CLASS!$E115:$H115="RES")*1,TRIB!$E115:$H115)))))</f>
        <v>1</v>
      </c>
      <c r="I115" s="15" t="n">
        <f aca="false">IF(IF(KLL!I115="",INPUTS!$B$18,KLL!I115)*SUMPRODUCT((CLASS!$E115:$I115="RES")*1,TRIB!$E115:$I115)&lt;400,1,MAX(IF(SUMPRODUCT((CLASS!$E115:$I115="RES")*1)&gt;=2,0.4,0.5),MIN(1,0.25+15/SQRT(IF(KLL!I115="",INPUTS!$B$18,KLL!I115)*SUMPRODUCT((CLASS!$E115:$I115="RES")*1,TRIB!$E115:$I115)))))</f>
        <v>1</v>
      </c>
      <c r="J115" s="15" t="n">
        <f aca="false">IF(IF(KLL!J115="",INPUTS!$B$18,KLL!J115)*SUMPRODUCT((CLASS!$E115:$J115="RES")*1,TRIB!$E115:$J115)&lt;400,1,MAX(IF(SUMPRODUCT((CLASS!$E115:$J115="RES")*1)&gt;=2,0.4,0.5),MIN(1,0.25+15/SQRT(IF(KLL!J115="",INPUTS!$B$18,KLL!J115)*SUMPRODUCT((CLASS!$E115:$J115="RES")*1,TRIB!$E115:$J115)))))</f>
        <v>1</v>
      </c>
      <c r="K115" s="15" t="n">
        <f aca="false">IF(IF(KLL!K115="",INPUTS!$B$18,KLL!K115)*SUMPRODUCT((CLASS!$E115:$K115="RES")*1,TRIB!$E115:$K115)&lt;400,1,MAX(IF(SUMPRODUCT((CLASS!$E115:$K115="RES")*1)&gt;=2,0.4,0.5),MIN(1,0.25+15/SQRT(IF(KLL!K115="",INPUTS!$B$18,KLL!K115)*SUMPRODUCT((CLASS!$E115:$K115="RES")*1,TRIB!$E115:$K115)))))</f>
        <v>1</v>
      </c>
      <c r="L115" s="15" t="n">
        <f aca="false">IF(IF(KLL!L115="",INPUTS!$B$18,KLL!L115)*SUMPRODUCT((CLASS!$E115:$L115="RES")*1,TRIB!$E115:$L115)&lt;400,1,MAX(IF(SUMPRODUCT((CLASS!$E115:$L115="RES")*1)&gt;=2,0.4,0.5),MIN(1,0.25+15/SQRT(IF(KLL!L115="",INPUTS!$B$18,KLL!L115)*SUMPRODUCT((CLASS!$E115:$L115="RES")*1,TRIB!$E115:$L115)))))</f>
        <v>1</v>
      </c>
      <c r="M115" s="15" t="n">
        <f aca="false">IF(IF(KLL!M115="",INPUTS!$B$18,KLL!M115)*SUMPRODUCT((CLASS!$E115:$M115="RES")*1,TRIB!$E115:$M115)&lt;400,1,MAX(IF(SUMPRODUCT((CLASS!$E115:$M115="RES")*1)&gt;=2,0.4,0.5),MIN(1,0.25+15/SQRT(IF(KLL!M115="",INPUTS!$B$18,KLL!M115)*SUMPRODUCT((CLASS!$E115:$M115="RES")*1,TRIB!$E115:$M115)))))</f>
        <v>1</v>
      </c>
      <c r="N115" s="15" t="n">
        <f aca="false">IF(IF(KLL!N115="",INPUTS!$B$18,KLL!N115)*SUMPRODUCT((CLASS!$E115:$N115="RES")*1,TRIB!$E115:$N115)&lt;400,1,MAX(IF(SUMPRODUCT((CLASS!$E115:$N115="RES")*1)&gt;=2,0.4,0.5),MIN(1,0.25+15/SQRT(IF(KLL!N115="",INPUTS!$B$18,KLL!N115)*SUMPRODUCT((CLASS!$E115:$N115="RES")*1,TRIB!$E115:$N115)))))</f>
        <v>1</v>
      </c>
      <c r="O115" s="15" t="n">
        <f aca="false">IF(IF(KLL!O115="",INPUTS!$B$18,KLL!O115)*SUMPRODUCT((CLASS!$E115:$O115="RES")*1,TRIB!$E115:$O115)&lt;400,1,MAX(IF(SUMPRODUCT((CLASS!$E115:$O115="RES")*1)&gt;=2,0.4,0.5),MIN(1,0.25+15/SQRT(IF(KLL!O115="",INPUTS!$B$18,KLL!O115)*SUMPRODUCT((CLASS!$E115:$O115="RES")*1,TRIB!$E115:$O115)))))</f>
        <v>1</v>
      </c>
      <c r="P115" s="15" t="n">
        <f aca="false">IF(IF(KLL!P115="",INPUTS!$B$18,KLL!P115)*SUMPRODUCT((CLASS!$E115:$P115="RES")*1,TRIB!$E115:$P115)&lt;400,1,MAX(IF(SUMPRODUCT((CLASS!$E115:$P115="RES")*1)&gt;=2,0.4,0.5),MIN(1,0.25+15/SQRT(IF(KLL!P115="",INPUTS!$B$18,KLL!P115)*SUMPRODUCT((CLASS!$E115:$P115="RES")*1,TRIB!$E115:$P115)))))</f>
        <v>1</v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15" t="n">
        <f aca="false">IF(IF(KLL!E116="",INPUTS!$B$18,KLL!E116)*SUMPRODUCT((CLASS!$E116:$E116="RES")*1,TRIB!$E116:$E116)&lt;400,1,MAX(IF(SUMPRODUCT((CLASS!$E116:$E116="RES")*1)&gt;=2,0.4,0.5),MIN(1,0.25+15/SQRT(IF(KLL!E116="",INPUTS!$B$18,KLL!E116)*SUMPRODUCT((CLASS!$E116:$E116="RES")*1,TRIB!$E116:$E116)))))</f>
        <v>1</v>
      </c>
      <c r="F116" s="15" t="n">
        <f aca="false">IF(IF(KLL!F116="",INPUTS!$B$18,KLL!F116)*SUMPRODUCT((CLASS!$E116:$F116="RES")*1,TRIB!$E116:$F116)&lt;400,1,MAX(IF(SUMPRODUCT((CLASS!$E116:$F116="RES")*1)&gt;=2,0.4,0.5),MIN(1,0.25+15/SQRT(IF(KLL!F116="",INPUTS!$B$18,KLL!F116)*SUMPRODUCT((CLASS!$E116:$F116="RES")*1,TRIB!$E116:$F116)))))</f>
        <v>1</v>
      </c>
      <c r="G116" s="15" t="n">
        <f aca="false">IF(IF(KLL!G116="",INPUTS!$B$18,KLL!G116)*SUMPRODUCT((CLASS!$E116:$G116="RES")*1,TRIB!$E116:$G116)&lt;400,1,MAX(IF(SUMPRODUCT((CLASS!$E116:$G116="RES")*1)&gt;=2,0.4,0.5),MIN(1,0.25+15/SQRT(IF(KLL!G116="",INPUTS!$B$18,KLL!G116)*SUMPRODUCT((CLASS!$E116:$G116="RES")*1,TRIB!$E116:$G116)))))</f>
        <v>1</v>
      </c>
      <c r="H116" s="15" t="n">
        <f aca="false">IF(IF(KLL!H116="",INPUTS!$B$18,KLL!H116)*SUMPRODUCT((CLASS!$E116:$H116="RES")*1,TRIB!$E116:$H116)&lt;400,1,MAX(IF(SUMPRODUCT((CLASS!$E116:$H116="RES")*1)&gt;=2,0.4,0.5),MIN(1,0.25+15/SQRT(IF(KLL!H116="",INPUTS!$B$18,KLL!H116)*SUMPRODUCT((CLASS!$E116:$H116="RES")*1,TRIB!$E116:$H116)))))</f>
        <v>1</v>
      </c>
      <c r="I116" s="15" t="n">
        <f aca="false">IF(IF(KLL!I116="",INPUTS!$B$18,KLL!I116)*SUMPRODUCT((CLASS!$E116:$I116="RES")*1,TRIB!$E116:$I116)&lt;400,1,MAX(IF(SUMPRODUCT((CLASS!$E116:$I116="RES")*1)&gt;=2,0.4,0.5),MIN(1,0.25+15/SQRT(IF(KLL!I116="",INPUTS!$B$18,KLL!I116)*SUMPRODUCT((CLASS!$E116:$I116="RES")*1,TRIB!$E116:$I116)))))</f>
        <v>1</v>
      </c>
      <c r="J116" s="15" t="n">
        <f aca="false">IF(IF(KLL!J116="",INPUTS!$B$18,KLL!J116)*SUMPRODUCT((CLASS!$E116:$J116="RES")*1,TRIB!$E116:$J116)&lt;400,1,MAX(IF(SUMPRODUCT((CLASS!$E116:$J116="RES")*1)&gt;=2,0.4,0.5),MIN(1,0.25+15/SQRT(IF(KLL!J116="",INPUTS!$B$18,KLL!J116)*SUMPRODUCT((CLASS!$E116:$J116="RES")*1,TRIB!$E116:$J116)))))</f>
        <v>1</v>
      </c>
      <c r="K116" s="15" t="n">
        <f aca="false">IF(IF(KLL!K116="",INPUTS!$B$18,KLL!K116)*SUMPRODUCT((CLASS!$E116:$K116="RES")*1,TRIB!$E116:$K116)&lt;400,1,MAX(IF(SUMPRODUCT((CLASS!$E116:$K116="RES")*1)&gt;=2,0.4,0.5),MIN(1,0.25+15/SQRT(IF(KLL!K116="",INPUTS!$B$18,KLL!K116)*SUMPRODUCT((CLASS!$E116:$K116="RES")*1,TRIB!$E116:$K116)))))</f>
        <v>1</v>
      </c>
      <c r="L116" s="15" t="n">
        <f aca="false">IF(IF(KLL!L116="",INPUTS!$B$18,KLL!L116)*SUMPRODUCT((CLASS!$E116:$L116="RES")*1,TRIB!$E116:$L116)&lt;400,1,MAX(IF(SUMPRODUCT((CLASS!$E116:$L116="RES")*1)&gt;=2,0.4,0.5),MIN(1,0.25+15/SQRT(IF(KLL!L116="",INPUTS!$B$18,KLL!L116)*SUMPRODUCT((CLASS!$E116:$L116="RES")*1,TRIB!$E116:$L116)))))</f>
        <v>1</v>
      </c>
      <c r="M116" s="15" t="n">
        <f aca="false">IF(IF(KLL!M116="",INPUTS!$B$18,KLL!M116)*SUMPRODUCT((CLASS!$E116:$M116="RES")*1,TRIB!$E116:$M116)&lt;400,1,MAX(IF(SUMPRODUCT((CLASS!$E116:$M116="RES")*1)&gt;=2,0.4,0.5),MIN(1,0.25+15/SQRT(IF(KLL!M116="",INPUTS!$B$18,KLL!M116)*SUMPRODUCT((CLASS!$E116:$M116="RES")*1,TRIB!$E116:$M116)))))</f>
        <v>1</v>
      </c>
      <c r="N116" s="15" t="n">
        <f aca="false">IF(IF(KLL!N116="",INPUTS!$B$18,KLL!N116)*SUMPRODUCT((CLASS!$E116:$N116="RES")*1,TRIB!$E116:$N116)&lt;400,1,MAX(IF(SUMPRODUCT((CLASS!$E116:$N116="RES")*1)&gt;=2,0.4,0.5),MIN(1,0.25+15/SQRT(IF(KLL!N116="",INPUTS!$B$18,KLL!N116)*SUMPRODUCT((CLASS!$E116:$N116="RES")*1,TRIB!$E116:$N116)))))</f>
        <v>1</v>
      </c>
      <c r="O116" s="15" t="n">
        <f aca="false">IF(IF(KLL!O116="",INPUTS!$B$18,KLL!O116)*SUMPRODUCT((CLASS!$E116:$O116="RES")*1,TRIB!$E116:$O116)&lt;400,1,MAX(IF(SUMPRODUCT((CLASS!$E116:$O116="RES")*1)&gt;=2,0.4,0.5),MIN(1,0.25+15/SQRT(IF(KLL!O116="",INPUTS!$B$18,KLL!O116)*SUMPRODUCT((CLASS!$E116:$O116="RES")*1,TRIB!$E116:$O116)))))</f>
        <v>1</v>
      </c>
      <c r="P116" s="15" t="n">
        <f aca="false">IF(IF(KLL!P116="",INPUTS!$B$18,KLL!P116)*SUMPRODUCT((CLASS!$E116:$P116="RES")*1,TRIB!$E116:$P116)&lt;400,1,MAX(IF(SUMPRODUCT((CLASS!$E116:$P116="RES")*1)&gt;=2,0.4,0.5),MIN(1,0.25+15/SQRT(IF(KLL!P116="",INPUTS!$B$18,KLL!P116)*SUMPRODUCT((CLASS!$E116:$P116="RES")*1,TRIB!$E116:$P116)))))</f>
        <v>1</v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15" t="n">
        <f aca="false">IF(IF(KLL!E117="",INPUTS!$B$18,KLL!E117)*SUMPRODUCT((CLASS!$E117:$E117="RES")*1,TRIB!$E117:$E117)&lt;400,1,MAX(IF(SUMPRODUCT((CLASS!$E117:$E117="RES")*1)&gt;=2,0.4,0.5),MIN(1,0.25+15/SQRT(IF(KLL!E117="",INPUTS!$B$18,KLL!E117)*SUMPRODUCT((CLASS!$E117:$E117="RES")*1,TRIB!$E117:$E117)))))</f>
        <v>1</v>
      </c>
      <c r="F117" s="15" t="n">
        <f aca="false">IF(IF(KLL!F117="",INPUTS!$B$18,KLL!F117)*SUMPRODUCT((CLASS!$E117:$F117="RES")*1,TRIB!$E117:$F117)&lt;400,1,MAX(IF(SUMPRODUCT((CLASS!$E117:$F117="RES")*1)&gt;=2,0.4,0.5),MIN(1,0.25+15/SQRT(IF(KLL!F117="",INPUTS!$B$18,KLL!F117)*SUMPRODUCT((CLASS!$E117:$F117="RES")*1,TRIB!$E117:$F117)))))</f>
        <v>1</v>
      </c>
      <c r="G117" s="15" t="n">
        <f aca="false">IF(IF(KLL!G117="",INPUTS!$B$18,KLL!G117)*SUMPRODUCT((CLASS!$E117:$G117="RES")*1,TRIB!$E117:$G117)&lt;400,1,MAX(IF(SUMPRODUCT((CLASS!$E117:$G117="RES")*1)&gt;=2,0.4,0.5),MIN(1,0.25+15/SQRT(IF(KLL!G117="",INPUTS!$B$18,KLL!G117)*SUMPRODUCT((CLASS!$E117:$G117="RES")*1,TRIB!$E117:$G117)))))</f>
        <v>1</v>
      </c>
      <c r="H117" s="15" t="n">
        <f aca="false">IF(IF(KLL!H117="",INPUTS!$B$18,KLL!H117)*SUMPRODUCT((CLASS!$E117:$H117="RES")*1,TRIB!$E117:$H117)&lt;400,1,MAX(IF(SUMPRODUCT((CLASS!$E117:$H117="RES")*1)&gt;=2,0.4,0.5),MIN(1,0.25+15/SQRT(IF(KLL!H117="",INPUTS!$B$18,KLL!H117)*SUMPRODUCT((CLASS!$E117:$H117="RES")*1,TRIB!$E117:$H117)))))</f>
        <v>1</v>
      </c>
      <c r="I117" s="15" t="n">
        <f aca="false">IF(IF(KLL!I117="",INPUTS!$B$18,KLL!I117)*SUMPRODUCT((CLASS!$E117:$I117="RES")*1,TRIB!$E117:$I117)&lt;400,1,MAX(IF(SUMPRODUCT((CLASS!$E117:$I117="RES")*1)&gt;=2,0.4,0.5),MIN(1,0.25+15/SQRT(IF(KLL!I117="",INPUTS!$B$18,KLL!I117)*SUMPRODUCT((CLASS!$E117:$I117="RES")*1,TRIB!$E117:$I117)))))</f>
        <v>1</v>
      </c>
      <c r="J117" s="15" t="n">
        <f aca="false">IF(IF(KLL!J117="",INPUTS!$B$18,KLL!J117)*SUMPRODUCT((CLASS!$E117:$J117="RES")*1,TRIB!$E117:$J117)&lt;400,1,MAX(IF(SUMPRODUCT((CLASS!$E117:$J117="RES")*1)&gt;=2,0.4,0.5),MIN(1,0.25+15/SQRT(IF(KLL!J117="",INPUTS!$B$18,KLL!J117)*SUMPRODUCT((CLASS!$E117:$J117="RES")*1,TRIB!$E117:$J117)))))</f>
        <v>1</v>
      </c>
      <c r="K117" s="15" t="n">
        <f aca="false">IF(IF(KLL!K117="",INPUTS!$B$18,KLL!K117)*SUMPRODUCT((CLASS!$E117:$K117="RES")*1,TRIB!$E117:$K117)&lt;400,1,MAX(IF(SUMPRODUCT((CLASS!$E117:$K117="RES")*1)&gt;=2,0.4,0.5),MIN(1,0.25+15/SQRT(IF(KLL!K117="",INPUTS!$B$18,KLL!K117)*SUMPRODUCT((CLASS!$E117:$K117="RES")*1,TRIB!$E117:$K117)))))</f>
        <v>1</v>
      </c>
      <c r="L117" s="15" t="n">
        <f aca="false">IF(IF(KLL!L117="",INPUTS!$B$18,KLL!L117)*SUMPRODUCT((CLASS!$E117:$L117="RES")*1,TRIB!$E117:$L117)&lt;400,1,MAX(IF(SUMPRODUCT((CLASS!$E117:$L117="RES")*1)&gt;=2,0.4,0.5),MIN(1,0.25+15/SQRT(IF(KLL!L117="",INPUTS!$B$18,KLL!L117)*SUMPRODUCT((CLASS!$E117:$L117="RES")*1,TRIB!$E117:$L117)))))</f>
        <v>1</v>
      </c>
      <c r="M117" s="15" t="n">
        <f aca="false">IF(IF(KLL!M117="",INPUTS!$B$18,KLL!M117)*SUMPRODUCT((CLASS!$E117:$M117="RES")*1,TRIB!$E117:$M117)&lt;400,1,MAX(IF(SUMPRODUCT((CLASS!$E117:$M117="RES")*1)&gt;=2,0.4,0.5),MIN(1,0.25+15/SQRT(IF(KLL!M117="",INPUTS!$B$18,KLL!M117)*SUMPRODUCT((CLASS!$E117:$M117="RES")*1,TRIB!$E117:$M117)))))</f>
        <v>1</v>
      </c>
      <c r="N117" s="15" t="n">
        <f aca="false">IF(IF(KLL!N117="",INPUTS!$B$18,KLL!N117)*SUMPRODUCT((CLASS!$E117:$N117="RES")*1,TRIB!$E117:$N117)&lt;400,1,MAX(IF(SUMPRODUCT((CLASS!$E117:$N117="RES")*1)&gt;=2,0.4,0.5),MIN(1,0.25+15/SQRT(IF(KLL!N117="",INPUTS!$B$18,KLL!N117)*SUMPRODUCT((CLASS!$E117:$N117="RES")*1,TRIB!$E117:$N117)))))</f>
        <v>1</v>
      </c>
      <c r="O117" s="15" t="n">
        <f aca="false">IF(IF(KLL!O117="",INPUTS!$B$18,KLL!O117)*SUMPRODUCT((CLASS!$E117:$O117="RES")*1,TRIB!$E117:$O117)&lt;400,1,MAX(IF(SUMPRODUCT((CLASS!$E117:$O117="RES")*1)&gt;=2,0.4,0.5),MIN(1,0.25+15/SQRT(IF(KLL!O117="",INPUTS!$B$18,KLL!O117)*SUMPRODUCT((CLASS!$E117:$O117="RES")*1,TRIB!$E117:$O117)))))</f>
        <v>1</v>
      </c>
      <c r="P117" s="15" t="n">
        <f aca="false">IF(IF(KLL!P117="",INPUTS!$B$18,KLL!P117)*SUMPRODUCT((CLASS!$E117:$P117="RES")*1,TRIB!$E117:$P117)&lt;400,1,MAX(IF(SUMPRODUCT((CLASS!$E117:$P117="RES")*1)&gt;=2,0.4,0.5),MIN(1,0.25+15/SQRT(IF(KLL!P117="",INPUTS!$B$18,KLL!P117)*SUMPRODUCT((CLASS!$E117:$P117="RES")*1,TRIB!$E117:$P117)))))</f>
        <v>1</v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15" t="n">
        <f aca="false">IF(IF(KLL!E118="",INPUTS!$B$18,KLL!E118)*SUMPRODUCT((CLASS!$E118:$E118="RES")*1,TRIB!$E118:$E118)&lt;400,1,MAX(IF(SUMPRODUCT((CLASS!$E118:$E118="RES")*1)&gt;=2,0.4,0.5),MIN(1,0.25+15/SQRT(IF(KLL!E118="",INPUTS!$B$18,KLL!E118)*SUMPRODUCT((CLASS!$E118:$E118="RES")*1,TRIB!$E118:$E118)))))</f>
        <v>1</v>
      </c>
      <c r="F118" s="15" t="n">
        <f aca="false">IF(IF(KLL!F118="",INPUTS!$B$18,KLL!F118)*SUMPRODUCT((CLASS!$E118:$F118="RES")*1,TRIB!$E118:$F118)&lt;400,1,MAX(IF(SUMPRODUCT((CLASS!$E118:$F118="RES")*1)&gt;=2,0.4,0.5),MIN(1,0.25+15/SQRT(IF(KLL!F118="",INPUTS!$B$18,KLL!F118)*SUMPRODUCT((CLASS!$E118:$F118="RES")*1,TRIB!$E118:$F118)))))</f>
        <v>1</v>
      </c>
      <c r="G118" s="15" t="n">
        <f aca="false">IF(IF(KLL!G118="",INPUTS!$B$18,KLL!G118)*SUMPRODUCT((CLASS!$E118:$G118="RES")*1,TRIB!$E118:$G118)&lt;400,1,MAX(IF(SUMPRODUCT((CLASS!$E118:$G118="RES")*1)&gt;=2,0.4,0.5),MIN(1,0.25+15/SQRT(IF(KLL!G118="",INPUTS!$B$18,KLL!G118)*SUMPRODUCT((CLASS!$E118:$G118="RES")*1,TRIB!$E118:$G118)))))</f>
        <v>1</v>
      </c>
      <c r="H118" s="15" t="n">
        <f aca="false">IF(IF(KLL!H118="",INPUTS!$B$18,KLL!H118)*SUMPRODUCT((CLASS!$E118:$H118="RES")*1,TRIB!$E118:$H118)&lt;400,1,MAX(IF(SUMPRODUCT((CLASS!$E118:$H118="RES")*1)&gt;=2,0.4,0.5),MIN(1,0.25+15/SQRT(IF(KLL!H118="",INPUTS!$B$18,KLL!H118)*SUMPRODUCT((CLASS!$E118:$H118="RES")*1,TRIB!$E118:$H118)))))</f>
        <v>1</v>
      </c>
      <c r="I118" s="15" t="n">
        <f aca="false">IF(IF(KLL!I118="",INPUTS!$B$18,KLL!I118)*SUMPRODUCT((CLASS!$E118:$I118="RES")*1,TRIB!$E118:$I118)&lt;400,1,MAX(IF(SUMPRODUCT((CLASS!$E118:$I118="RES")*1)&gt;=2,0.4,0.5),MIN(1,0.25+15/SQRT(IF(KLL!I118="",INPUTS!$B$18,KLL!I118)*SUMPRODUCT((CLASS!$E118:$I118="RES")*1,TRIB!$E118:$I118)))))</f>
        <v>1</v>
      </c>
      <c r="J118" s="15" t="n">
        <f aca="false">IF(IF(KLL!J118="",INPUTS!$B$18,KLL!J118)*SUMPRODUCT((CLASS!$E118:$J118="RES")*1,TRIB!$E118:$J118)&lt;400,1,MAX(IF(SUMPRODUCT((CLASS!$E118:$J118="RES")*1)&gt;=2,0.4,0.5),MIN(1,0.25+15/SQRT(IF(KLL!J118="",INPUTS!$B$18,KLL!J118)*SUMPRODUCT((CLASS!$E118:$J118="RES")*1,TRIB!$E118:$J118)))))</f>
        <v>1</v>
      </c>
      <c r="K118" s="15" t="n">
        <f aca="false">IF(IF(KLL!K118="",INPUTS!$B$18,KLL!K118)*SUMPRODUCT((CLASS!$E118:$K118="RES")*1,TRIB!$E118:$K118)&lt;400,1,MAX(IF(SUMPRODUCT((CLASS!$E118:$K118="RES")*1)&gt;=2,0.4,0.5),MIN(1,0.25+15/SQRT(IF(KLL!K118="",INPUTS!$B$18,KLL!K118)*SUMPRODUCT((CLASS!$E118:$K118="RES")*1,TRIB!$E118:$K118)))))</f>
        <v>1</v>
      </c>
      <c r="L118" s="15" t="n">
        <f aca="false">IF(IF(KLL!L118="",INPUTS!$B$18,KLL!L118)*SUMPRODUCT((CLASS!$E118:$L118="RES")*1,TRIB!$E118:$L118)&lt;400,1,MAX(IF(SUMPRODUCT((CLASS!$E118:$L118="RES")*1)&gt;=2,0.4,0.5),MIN(1,0.25+15/SQRT(IF(KLL!L118="",INPUTS!$B$18,KLL!L118)*SUMPRODUCT((CLASS!$E118:$L118="RES")*1,TRIB!$E118:$L118)))))</f>
        <v>1</v>
      </c>
      <c r="M118" s="15" t="n">
        <f aca="false">IF(IF(KLL!M118="",INPUTS!$B$18,KLL!M118)*SUMPRODUCT((CLASS!$E118:$M118="RES")*1,TRIB!$E118:$M118)&lt;400,1,MAX(IF(SUMPRODUCT((CLASS!$E118:$M118="RES")*1)&gt;=2,0.4,0.5),MIN(1,0.25+15/SQRT(IF(KLL!M118="",INPUTS!$B$18,KLL!M118)*SUMPRODUCT((CLASS!$E118:$M118="RES")*1,TRIB!$E118:$M118)))))</f>
        <v>1</v>
      </c>
      <c r="N118" s="15" t="n">
        <f aca="false">IF(IF(KLL!N118="",INPUTS!$B$18,KLL!N118)*SUMPRODUCT((CLASS!$E118:$N118="RES")*1,TRIB!$E118:$N118)&lt;400,1,MAX(IF(SUMPRODUCT((CLASS!$E118:$N118="RES")*1)&gt;=2,0.4,0.5),MIN(1,0.25+15/SQRT(IF(KLL!N118="",INPUTS!$B$18,KLL!N118)*SUMPRODUCT((CLASS!$E118:$N118="RES")*1,TRIB!$E118:$N118)))))</f>
        <v>1</v>
      </c>
      <c r="O118" s="15" t="n">
        <f aca="false">IF(IF(KLL!O118="",INPUTS!$B$18,KLL!O118)*SUMPRODUCT((CLASS!$E118:$O118="RES")*1,TRIB!$E118:$O118)&lt;400,1,MAX(IF(SUMPRODUCT((CLASS!$E118:$O118="RES")*1)&gt;=2,0.4,0.5),MIN(1,0.25+15/SQRT(IF(KLL!O118="",INPUTS!$B$18,KLL!O118)*SUMPRODUCT((CLASS!$E118:$O118="RES")*1,TRIB!$E118:$O118)))))</f>
        <v>1</v>
      </c>
      <c r="P118" s="15" t="n">
        <f aca="false">IF(IF(KLL!P118="",INPUTS!$B$18,KLL!P118)*SUMPRODUCT((CLASS!$E118:$P118="RES")*1,TRIB!$E118:$P118)&lt;400,1,MAX(IF(SUMPRODUCT((CLASS!$E118:$P118="RES")*1)&gt;=2,0.4,0.5),MIN(1,0.25+15/SQRT(IF(KLL!P118="",INPUTS!$B$18,KLL!P118)*SUMPRODUCT((CLASS!$E118:$P118="RES")*1,TRIB!$E118:$P118)))))</f>
        <v>1</v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15" t="n">
        <f aca="false">IF(IF(KLL!E119="",INPUTS!$B$18,KLL!E119)*SUMPRODUCT((CLASS!$E119:$E119="RES")*1,TRIB!$E119:$E119)&lt;400,1,MAX(IF(SUMPRODUCT((CLASS!$E119:$E119="RES")*1)&gt;=2,0.4,0.5),MIN(1,0.25+15/SQRT(IF(KLL!E119="",INPUTS!$B$18,KLL!E119)*SUMPRODUCT((CLASS!$E119:$E119="RES")*1,TRIB!$E119:$E119)))))</f>
        <v>1</v>
      </c>
      <c r="F119" s="15" t="n">
        <f aca="false">IF(IF(KLL!F119="",INPUTS!$B$18,KLL!F119)*SUMPRODUCT((CLASS!$E119:$F119="RES")*1,TRIB!$E119:$F119)&lt;400,1,MAX(IF(SUMPRODUCT((CLASS!$E119:$F119="RES")*1)&gt;=2,0.4,0.5),MIN(1,0.25+15/SQRT(IF(KLL!F119="",INPUTS!$B$18,KLL!F119)*SUMPRODUCT((CLASS!$E119:$F119="RES")*1,TRIB!$E119:$F119)))))</f>
        <v>1</v>
      </c>
      <c r="G119" s="15" t="n">
        <f aca="false">IF(IF(KLL!G119="",INPUTS!$B$18,KLL!G119)*SUMPRODUCT((CLASS!$E119:$G119="RES")*1,TRIB!$E119:$G119)&lt;400,1,MAX(IF(SUMPRODUCT((CLASS!$E119:$G119="RES")*1)&gt;=2,0.4,0.5),MIN(1,0.25+15/SQRT(IF(KLL!G119="",INPUTS!$B$18,KLL!G119)*SUMPRODUCT((CLASS!$E119:$G119="RES")*1,TRIB!$E119:$G119)))))</f>
        <v>1</v>
      </c>
      <c r="H119" s="15" t="n">
        <f aca="false">IF(IF(KLL!H119="",INPUTS!$B$18,KLL!H119)*SUMPRODUCT((CLASS!$E119:$H119="RES")*1,TRIB!$E119:$H119)&lt;400,1,MAX(IF(SUMPRODUCT((CLASS!$E119:$H119="RES")*1)&gt;=2,0.4,0.5),MIN(1,0.25+15/SQRT(IF(KLL!H119="",INPUTS!$B$18,KLL!H119)*SUMPRODUCT((CLASS!$E119:$H119="RES")*1,TRIB!$E119:$H119)))))</f>
        <v>1</v>
      </c>
      <c r="I119" s="15" t="n">
        <f aca="false">IF(IF(KLL!I119="",INPUTS!$B$18,KLL!I119)*SUMPRODUCT((CLASS!$E119:$I119="RES")*1,TRIB!$E119:$I119)&lt;400,1,MAX(IF(SUMPRODUCT((CLASS!$E119:$I119="RES")*1)&gt;=2,0.4,0.5),MIN(1,0.25+15/SQRT(IF(KLL!I119="",INPUTS!$B$18,KLL!I119)*SUMPRODUCT((CLASS!$E119:$I119="RES")*1,TRIB!$E119:$I119)))))</f>
        <v>1</v>
      </c>
      <c r="J119" s="15" t="n">
        <f aca="false">IF(IF(KLL!J119="",INPUTS!$B$18,KLL!J119)*SUMPRODUCT((CLASS!$E119:$J119="RES")*1,TRIB!$E119:$J119)&lt;400,1,MAX(IF(SUMPRODUCT((CLASS!$E119:$J119="RES")*1)&gt;=2,0.4,0.5),MIN(1,0.25+15/SQRT(IF(KLL!J119="",INPUTS!$B$18,KLL!J119)*SUMPRODUCT((CLASS!$E119:$J119="RES")*1,TRIB!$E119:$J119)))))</f>
        <v>1</v>
      </c>
      <c r="K119" s="15" t="n">
        <f aca="false">IF(IF(KLL!K119="",INPUTS!$B$18,KLL!K119)*SUMPRODUCT((CLASS!$E119:$K119="RES")*1,TRIB!$E119:$K119)&lt;400,1,MAX(IF(SUMPRODUCT((CLASS!$E119:$K119="RES")*1)&gt;=2,0.4,0.5),MIN(1,0.25+15/SQRT(IF(KLL!K119="",INPUTS!$B$18,KLL!K119)*SUMPRODUCT((CLASS!$E119:$K119="RES")*1,TRIB!$E119:$K119)))))</f>
        <v>1</v>
      </c>
      <c r="L119" s="15" t="n">
        <f aca="false">IF(IF(KLL!L119="",INPUTS!$B$18,KLL!L119)*SUMPRODUCT((CLASS!$E119:$L119="RES")*1,TRIB!$E119:$L119)&lt;400,1,MAX(IF(SUMPRODUCT((CLASS!$E119:$L119="RES")*1)&gt;=2,0.4,0.5),MIN(1,0.25+15/SQRT(IF(KLL!L119="",INPUTS!$B$18,KLL!L119)*SUMPRODUCT((CLASS!$E119:$L119="RES")*1,TRIB!$E119:$L119)))))</f>
        <v>1</v>
      </c>
      <c r="M119" s="15" t="n">
        <f aca="false">IF(IF(KLL!M119="",INPUTS!$B$18,KLL!M119)*SUMPRODUCT((CLASS!$E119:$M119="RES")*1,TRIB!$E119:$M119)&lt;400,1,MAX(IF(SUMPRODUCT((CLASS!$E119:$M119="RES")*1)&gt;=2,0.4,0.5),MIN(1,0.25+15/SQRT(IF(KLL!M119="",INPUTS!$B$18,KLL!M119)*SUMPRODUCT((CLASS!$E119:$M119="RES")*1,TRIB!$E119:$M119)))))</f>
        <v>1</v>
      </c>
      <c r="N119" s="15" t="n">
        <f aca="false">IF(IF(KLL!N119="",INPUTS!$B$18,KLL!N119)*SUMPRODUCT((CLASS!$E119:$N119="RES")*1,TRIB!$E119:$N119)&lt;400,1,MAX(IF(SUMPRODUCT((CLASS!$E119:$N119="RES")*1)&gt;=2,0.4,0.5),MIN(1,0.25+15/SQRT(IF(KLL!N119="",INPUTS!$B$18,KLL!N119)*SUMPRODUCT((CLASS!$E119:$N119="RES")*1,TRIB!$E119:$N119)))))</f>
        <v>1</v>
      </c>
      <c r="O119" s="15" t="n">
        <f aca="false">IF(IF(KLL!O119="",INPUTS!$B$18,KLL!O119)*SUMPRODUCT((CLASS!$E119:$O119="RES")*1,TRIB!$E119:$O119)&lt;400,1,MAX(IF(SUMPRODUCT((CLASS!$E119:$O119="RES")*1)&gt;=2,0.4,0.5),MIN(1,0.25+15/SQRT(IF(KLL!O119="",INPUTS!$B$18,KLL!O119)*SUMPRODUCT((CLASS!$E119:$O119="RES")*1,TRIB!$E119:$O119)))))</f>
        <v>1</v>
      </c>
      <c r="P119" s="15" t="n">
        <f aca="false">IF(IF(KLL!P119="",INPUTS!$B$18,KLL!P119)*SUMPRODUCT((CLASS!$E119:$P119="RES")*1,TRIB!$E119:$P119)&lt;400,1,MAX(IF(SUMPRODUCT((CLASS!$E119:$P119="RES")*1)&gt;=2,0.4,0.5),MIN(1,0.25+15/SQRT(IF(KLL!P119="",INPUTS!$B$18,KLL!P119)*SUMPRODUCT((CLASS!$E119:$P119="RES")*1,TRIB!$E119:$P119)))))</f>
        <v>1</v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15" t="n">
        <f aca="false">IF(IF(KLL!E120="",INPUTS!$B$18,KLL!E120)*SUMPRODUCT((CLASS!$E120:$E120="RES")*1,TRIB!$E120:$E120)&lt;400,1,MAX(IF(SUMPRODUCT((CLASS!$E120:$E120="RES")*1)&gt;=2,0.4,0.5),MIN(1,0.25+15/SQRT(IF(KLL!E120="",INPUTS!$B$18,KLL!E120)*SUMPRODUCT((CLASS!$E120:$E120="RES")*1,TRIB!$E120:$E120)))))</f>
        <v>1</v>
      </c>
      <c r="F120" s="15" t="n">
        <f aca="false">IF(IF(KLL!F120="",INPUTS!$B$18,KLL!F120)*SUMPRODUCT((CLASS!$E120:$F120="RES")*1,TRIB!$E120:$F120)&lt;400,1,MAX(IF(SUMPRODUCT((CLASS!$E120:$F120="RES")*1)&gt;=2,0.4,0.5),MIN(1,0.25+15/SQRT(IF(KLL!F120="",INPUTS!$B$18,KLL!F120)*SUMPRODUCT((CLASS!$E120:$F120="RES")*1,TRIB!$E120:$F120)))))</f>
        <v>1</v>
      </c>
      <c r="G120" s="15" t="n">
        <f aca="false">IF(IF(KLL!G120="",INPUTS!$B$18,KLL!G120)*SUMPRODUCT((CLASS!$E120:$G120="RES")*1,TRIB!$E120:$G120)&lt;400,1,MAX(IF(SUMPRODUCT((CLASS!$E120:$G120="RES")*1)&gt;=2,0.4,0.5),MIN(1,0.25+15/SQRT(IF(KLL!G120="",INPUTS!$B$18,KLL!G120)*SUMPRODUCT((CLASS!$E120:$G120="RES")*1,TRIB!$E120:$G120)))))</f>
        <v>1</v>
      </c>
      <c r="H120" s="15" t="n">
        <f aca="false">IF(IF(KLL!H120="",INPUTS!$B$18,KLL!H120)*SUMPRODUCT((CLASS!$E120:$H120="RES")*1,TRIB!$E120:$H120)&lt;400,1,MAX(IF(SUMPRODUCT((CLASS!$E120:$H120="RES")*1)&gt;=2,0.4,0.5),MIN(1,0.25+15/SQRT(IF(KLL!H120="",INPUTS!$B$18,KLL!H120)*SUMPRODUCT((CLASS!$E120:$H120="RES")*1,TRIB!$E120:$H120)))))</f>
        <v>1</v>
      </c>
      <c r="I120" s="15" t="n">
        <f aca="false">IF(IF(KLL!I120="",INPUTS!$B$18,KLL!I120)*SUMPRODUCT((CLASS!$E120:$I120="RES")*1,TRIB!$E120:$I120)&lt;400,1,MAX(IF(SUMPRODUCT((CLASS!$E120:$I120="RES")*1)&gt;=2,0.4,0.5),MIN(1,0.25+15/SQRT(IF(KLL!I120="",INPUTS!$B$18,KLL!I120)*SUMPRODUCT((CLASS!$E120:$I120="RES")*1,TRIB!$E120:$I120)))))</f>
        <v>1</v>
      </c>
      <c r="J120" s="15" t="n">
        <f aca="false">IF(IF(KLL!J120="",INPUTS!$B$18,KLL!J120)*SUMPRODUCT((CLASS!$E120:$J120="RES")*1,TRIB!$E120:$J120)&lt;400,1,MAX(IF(SUMPRODUCT((CLASS!$E120:$J120="RES")*1)&gt;=2,0.4,0.5),MIN(1,0.25+15/SQRT(IF(KLL!J120="",INPUTS!$B$18,KLL!J120)*SUMPRODUCT((CLASS!$E120:$J120="RES")*1,TRIB!$E120:$J120)))))</f>
        <v>1</v>
      </c>
      <c r="K120" s="15" t="n">
        <f aca="false">IF(IF(KLL!K120="",INPUTS!$B$18,KLL!K120)*SUMPRODUCT((CLASS!$E120:$K120="RES")*1,TRIB!$E120:$K120)&lt;400,1,MAX(IF(SUMPRODUCT((CLASS!$E120:$K120="RES")*1)&gt;=2,0.4,0.5),MIN(1,0.25+15/SQRT(IF(KLL!K120="",INPUTS!$B$18,KLL!K120)*SUMPRODUCT((CLASS!$E120:$K120="RES")*1,TRIB!$E120:$K120)))))</f>
        <v>1</v>
      </c>
      <c r="L120" s="15" t="n">
        <f aca="false">IF(IF(KLL!L120="",INPUTS!$B$18,KLL!L120)*SUMPRODUCT((CLASS!$E120:$L120="RES")*1,TRIB!$E120:$L120)&lt;400,1,MAX(IF(SUMPRODUCT((CLASS!$E120:$L120="RES")*1)&gt;=2,0.4,0.5),MIN(1,0.25+15/SQRT(IF(KLL!L120="",INPUTS!$B$18,KLL!L120)*SUMPRODUCT((CLASS!$E120:$L120="RES")*1,TRIB!$E120:$L120)))))</f>
        <v>1</v>
      </c>
      <c r="M120" s="15" t="n">
        <f aca="false">IF(IF(KLL!M120="",INPUTS!$B$18,KLL!M120)*SUMPRODUCT((CLASS!$E120:$M120="RES")*1,TRIB!$E120:$M120)&lt;400,1,MAX(IF(SUMPRODUCT((CLASS!$E120:$M120="RES")*1)&gt;=2,0.4,0.5),MIN(1,0.25+15/SQRT(IF(KLL!M120="",INPUTS!$B$18,KLL!M120)*SUMPRODUCT((CLASS!$E120:$M120="RES")*1,TRIB!$E120:$M120)))))</f>
        <v>1</v>
      </c>
      <c r="N120" s="15" t="n">
        <f aca="false">IF(IF(KLL!N120="",INPUTS!$B$18,KLL!N120)*SUMPRODUCT((CLASS!$E120:$N120="RES")*1,TRIB!$E120:$N120)&lt;400,1,MAX(IF(SUMPRODUCT((CLASS!$E120:$N120="RES")*1)&gt;=2,0.4,0.5),MIN(1,0.25+15/SQRT(IF(KLL!N120="",INPUTS!$B$18,KLL!N120)*SUMPRODUCT((CLASS!$E120:$N120="RES")*1,TRIB!$E120:$N120)))))</f>
        <v>1</v>
      </c>
      <c r="O120" s="15" t="n">
        <f aca="false">IF(IF(KLL!O120="",INPUTS!$B$18,KLL!O120)*SUMPRODUCT((CLASS!$E120:$O120="RES")*1,TRIB!$E120:$O120)&lt;400,1,MAX(IF(SUMPRODUCT((CLASS!$E120:$O120="RES")*1)&gt;=2,0.4,0.5),MIN(1,0.25+15/SQRT(IF(KLL!O120="",INPUTS!$B$18,KLL!O120)*SUMPRODUCT((CLASS!$E120:$O120="RES")*1,TRIB!$E120:$O120)))))</f>
        <v>1</v>
      </c>
      <c r="P120" s="15" t="n">
        <f aca="false">IF(IF(KLL!P120="",INPUTS!$B$18,KLL!P120)*SUMPRODUCT((CLASS!$E120:$P120="RES")*1,TRIB!$E120:$P120)&lt;400,1,MAX(IF(SUMPRODUCT((CLASS!$E120:$P120="RES")*1)&gt;=2,0.4,0.5),MIN(1,0.25+15/SQRT(IF(KLL!P120="",INPUTS!$B$18,KLL!P120)*SUMPRODUCT((CLASS!$E120:$P120="RES")*1,TRIB!$E120:$P120)))))</f>
        <v>1</v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15" t="n">
        <f aca="false">IF(IF(KLL!E121="",INPUTS!$B$18,KLL!E121)*SUMPRODUCT((CLASS!$E121:$E121="RES")*1,TRIB!$E121:$E121)&lt;400,1,MAX(IF(SUMPRODUCT((CLASS!$E121:$E121="RES")*1)&gt;=2,0.4,0.5),MIN(1,0.25+15/SQRT(IF(KLL!E121="",INPUTS!$B$18,KLL!E121)*SUMPRODUCT((CLASS!$E121:$E121="RES")*1,TRIB!$E121:$E121)))))</f>
        <v>1</v>
      </c>
      <c r="F121" s="15" t="n">
        <f aca="false">IF(IF(KLL!F121="",INPUTS!$B$18,KLL!F121)*SUMPRODUCT((CLASS!$E121:$F121="RES")*1,TRIB!$E121:$F121)&lt;400,1,MAX(IF(SUMPRODUCT((CLASS!$E121:$F121="RES")*1)&gt;=2,0.4,0.5),MIN(1,0.25+15/SQRT(IF(KLL!F121="",INPUTS!$B$18,KLL!F121)*SUMPRODUCT((CLASS!$E121:$F121="RES")*1,TRIB!$E121:$F121)))))</f>
        <v>1</v>
      </c>
      <c r="G121" s="15" t="n">
        <f aca="false">IF(IF(KLL!G121="",INPUTS!$B$18,KLL!G121)*SUMPRODUCT((CLASS!$E121:$G121="RES")*1,TRIB!$E121:$G121)&lt;400,1,MAX(IF(SUMPRODUCT((CLASS!$E121:$G121="RES")*1)&gt;=2,0.4,0.5),MIN(1,0.25+15/SQRT(IF(KLL!G121="",INPUTS!$B$18,KLL!G121)*SUMPRODUCT((CLASS!$E121:$G121="RES")*1,TRIB!$E121:$G121)))))</f>
        <v>1</v>
      </c>
      <c r="H121" s="15" t="n">
        <f aca="false">IF(IF(KLL!H121="",INPUTS!$B$18,KLL!H121)*SUMPRODUCT((CLASS!$E121:$H121="RES")*1,TRIB!$E121:$H121)&lt;400,1,MAX(IF(SUMPRODUCT((CLASS!$E121:$H121="RES")*1)&gt;=2,0.4,0.5),MIN(1,0.25+15/SQRT(IF(KLL!H121="",INPUTS!$B$18,KLL!H121)*SUMPRODUCT((CLASS!$E121:$H121="RES")*1,TRIB!$E121:$H121)))))</f>
        <v>1</v>
      </c>
      <c r="I121" s="15" t="n">
        <f aca="false">IF(IF(KLL!I121="",INPUTS!$B$18,KLL!I121)*SUMPRODUCT((CLASS!$E121:$I121="RES")*1,TRIB!$E121:$I121)&lt;400,1,MAX(IF(SUMPRODUCT((CLASS!$E121:$I121="RES")*1)&gt;=2,0.4,0.5),MIN(1,0.25+15/SQRT(IF(KLL!I121="",INPUTS!$B$18,KLL!I121)*SUMPRODUCT((CLASS!$E121:$I121="RES")*1,TRIB!$E121:$I121)))))</f>
        <v>1</v>
      </c>
      <c r="J121" s="15" t="n">
        <f aca="false">IF(IF(KLL!J121="",INPUTS!$B$18,KLL!J121)*SUMPRODUCT((CLASS!$E121:$J121="RES")*1,TRIB!$E121:$J121)&lt;400,1,MAX(IF(SUMPRODUCT((CLASS!$E121:$J121="RES")*1)&gt;=2,0.4,0.5),MIN(1,0.25+15/SQRT(IF(KLL!J121="",INPUTS!$B$18,KLL!J121)*SUMPRODUCT((CLASS!$E121:$J121="RES")*1,TRIB!$E121:$J121)))))</f>
        <v>1</v>
      </c>
      <c r="K121" s="15" t="n">
        <f aca="false">IF(IF(KLL!K121="",INPUTS!$B$18,KLL!K121)*SUMPRODUCT((CLASS!$E121:$K121="RES")*1,TRIB!$E121:$K121)&lt;400,1,MAX(IF(SUMPRODUCT((CLASS!$E121:$K121="RES")*1)&gt;=2,0.4,0.5),MIN(1,0.25+15/SQRT(IF(KLL!K121="",INPUTS!$B$18,KLL!K121)*SUMPRODUCT((CLASS!$E121:$K121="RES")*1,TRIB!$E121:$K121)))))</f>
        <v>1</v>
      </c>
      <c r="L121" s="15" t="n">
        <f aca="false">IF(IF(KLL!L121="",INPUTS!$B$18,KLL!L121)*SUMPRODUCT((CLASS!$E121:$L121="RES")*1,TRIB!$E121:$L121)&lt;400,1,MAX(IF(SUMPRODUCT((CLASS!$E121:$L121="RES")*1)&gt;=2,0.4,0.5),MIN(1,0.25+15/SQRT(IF(KLL!L121="",INPUTS!$B$18,KLL!L121)*SUMPRODUCT((CLASS!$E121:$L121="RES")*1,TRIB!$E121:$L121)))))</f>
        <v>1</v>
      </c>
      <c r="M121" s="15" t="n">
        <f aca="false">IF(IF(KLL!M121="",INPUTS!$B$18,KLL!M121)*SUMPRODUCT((CLASS!$E121:$M121="RES")*1,TRIB!$E121:$M121)&lt;400,1,MAX(IF(SUMPRODUCT((CLASS!$E121:$M121="RES")*1)&gt;=2,0.4,0.5),MIN(1,0.25+15/SQRT(IF(KLL!M121="",INPUTS!$B$18,KLL!M121)*SUMPRODUCT((CLASS!$E121:$M121="RES")*1,TRIB!$E121:$M121)))))</f>
        <v>1</v>
      </c>
      <c r="N121" s="15" t="n">
        <f aca="false">IF(IF(KLL!N121="",INPUTS!$B$18,KLL!N121)*SUMPRODUCT((CLASS!$E121:$N121="RES")*1,TRIB!$E121:$N121)&lt;400,1,MAX(IF(SUMPRODUCT((CLASS!$E121:$N121="RES")*1)&gt;=2,0.4,0.5),MIN(1,0.25+15/SQRT(IF(KLL!N121="",INPUTS!$B$18,KLL!N121)*SUMPRODUCT((CLASS!$E121:$N121="RES")*1,TRIB!$E121:$N121)))))</f>
        <v>1</v>
      </c>
      <c r="O121" s="15" t="n">
        <f aca="false">IF(IF(KLL!O121="",INPUTS!$B$18,KLL!O121)*SUMPRODUCT((CLASS!$E121:$O121="RES")*1,TRIB!$E121:$O121)&lt;400,1,MAX(IF(SUMPRODUCT((CLASS!$E121:$O121="RES")*1)&gt;=2,0.4,0.5),MIN(1,0.25+15/SQRT(IF(KLL!O121="",INPUTS!$B$18,KLL!O121)*SUMPRODUCT((CLASS!$E121:$O121="RES")*1,TRIB!$E121:$O121)))))</f>
        <v>1</v>
      </c>
      <c r="P121" s="15" t="n">
        <f aca="false">IF(IF(KLL!P121="",INPUTS!$B$18,KLL!P121)*SUMPRODUCT((CLASS!$E121:$P121="RES")*1,TRIB!$E121:$P121)&lt;400,1,MAX(IF(SUMPRODUCT((CLASS!$E121:$P121="RES")*1)&gt;=2,0.4,0.5),MIN(1,0.25+15/SQRT(IF(KLL!P121="",INPUTS!$B$18,KLL!P121)*SUMPRODUCT((CLASS!$E121:$P121="RES")*1,TRIB!$E121:$P121)))))</f>
        <v>1</v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15" t="n">
        <f aca="false">IF(IF(KLL!E122="",INPUTS!$B$18,KLL!E122)*SUMPRODUCT((CLASS!$E122:$E122="RES")*1,TRIB!$E122:$E122)&lt;400,1,MAX(IF(SUMPRODUCT((CLASS!$E122:$E122="RES")*1)&gt;=2,0.4,0.5),MIN(1,0.25+15/SQRT(IF(KLL!E122="",INPUTS!$B$18,KLL!E122)*SUMPRODUCT((CLASS!$E122:$E122="RES")*1,TRIB!$E122:$E122)))))</f>
        <v>1</v>
      </c>
      <c r="F122" s="15" t="n">
        <f aca="false">IF(IF(KLL!F122="",INPUTS!$B$18,KLL!F122)*SUMPRODUCT((CLASS!$E122:$F122="RES")*1,TRIB!$E122:$F122)&lt;400,1,MAX(IF(SUMPRODUCT((CLASS!$E122:$F122="RES")*1)&gt;=2,0.4,0.5),MIN(1,0.25+15/SQRT(IF(KLL!F122="",INPUTS!$B$18,KLL!F122)*SUMPRODUCT((CLASS!$E122:$F122="RES")*1,TRIB!$E122:$F122)))))</f>
        <v>1</v>
      </c>
      <c r="G122" s="15" t="n">
        <f aca="false">IF(IF(KLL!G122="",INPUTS!$B$18,KLL!G122)*SUMPRODUCT((CLASS!$E122:$G122="RES")*1,TRIB!$E122:$G122)&lt;400,1,MAX(IF(SUMPRODUCT((CLASS!$E122:$G122="RES")*1)&gt;=2,0.4,0.5),MIN(1,0.25+15/SQRT(IF(KLL!G122="",INPUTS!$B$18,KLL!G122)*SUMPRODUCT((CLASS!$E122:$G122="RES")*1,TRIB!$E122:$G122)))))</f>
        <v>1</v>
      </c>
      <c r="H122" s="15" t="n">
        <f aca="false">IF(IF(KLL!H122="",INPUTS!$B$18,KLL!H122)*SUMPRODUCT((CLASS!$E122:$H122="RES")*1,TRIB!$E122:$H122)&lt;400,1,MAX(IF(SUMPRODUCT((CLASS!$E122:$H122="RES")*1)&gt;=2,0.4,0.5),MIN(1,0.25+15/SQRT(IF(KLL!H122="",INPUTS!$B$18,KLL!H122)*SUMPRODUCT((CLASS!$E122:$H122="RES")*1,TRIB!$E122:$H122)))))</f>
        <v>1</v>
      </c>
      <c r="I122" s="15" t="n">
        <f aca="false">IF(IF(KLL!I122="",INPUTS!$B$18,KLL!I122)*SUMPRODUCT((CLASS!$E122:$I122="RES")*1,TRIB!$E122:$I122)&lt;400,1,MAX(IF(SUMPRODUCT((CLASS!$E122:$I122="RES")*1)&gt;=2,0.4,0.5),MIN(1,0.25+15/SQRT(IF(KLL!I122="",INPUTS!$B$18,KLL!I122)*SUMPRODUCT((CLASS!$E122:$I122="RES")*1,TRIB!$E122:$I122)))))</f>
        <v>1</v>
      </c>
      <c r="J122" s="15" t="n">
        <f aca="false">IF(IF(KLL!J122="",INPUTS!$B$18,KLL!J122)*SUMPRODUCT((CLASS!$E122:$J122="RES")*1,TRIB!$E122:$J122)&lt;400,1,MAX(IF(SUMPRODUCT((CLASS!$E122:$J122="RES")*1)&gt;=2,0.4,0.5),MIN(1,0.25+15/SQRT(IF(KLL!J122="",INPUTS!$B$18,KLL!J122)*SUMPRODUCT((CLASS!$E122:$J122="RES")*1,TRIB!$E122:$J122)))))</f>
        <v>1</v>
      </c>
      <c r="K122" s="15" t="n">
        <f aca="false">IF(IF(KLL!K122="",INPUTS!$B$18,KLL!K122)*SUMPRODUCT((CLASS!$E122:$K122="RES")*1,TRIB!$E122:$K122)&lt;400,1,MAX(IF(SUMPRODUCT((CLASS!$E122:$K122="RES")*1)&gt;=2,0.4,0.5),MIN(1,0.25+15/SQRT(IF(KLL!K122="",INPUTS!$B$18,KLL!K122)*SUMPRODUCT((CLASS!$E122:$K122="RES")*1,TRIB!$E122:$K122)))))</f>
        <v>1</v>
      </c>
      <c r="L122" s="15" t="n">
        <f aca="false">IF(IF(KLL!L122="",INPUTS!$B$18,KLL!L122)*SUMPRODUCT((CLASS!$E122:$L122="RES")*1,TRIB!$E122:$L122)&lt;400,1,MAX(IF(SUMPRODUCT((CLASS!$E122:$L122="RES")*1)&gt;=2,0.4,0.5),MIN(1,0.25+15/SQRT(IF(KLL!L122="",INPUTS!$B$18,KLL!L122)*SUMPRODUCT((CLASS!$E122:$L122="RES")*1,TRIB!$E122:$L122)))))</f>
        <v>1</v>
      </c>
      <c r="M122" s="15" t="n">
        <f aca="false">IF(IF(KLL!M122="",INPUTS!$B$18,KLL!M122)*SUMPRODUCT((CLASS!$E122:$M122="RES")*1,TRIB!$E122:$M122)&lt;400,1,MAX(IF(SUMPRODUCT((CLASS!$E122:$M122="RES")*1)&gt;=2,0.4,0.5),MIN(1,0.25+15/SQRT(IF(KLL!M122="",INPUTS!$B$18,KLL!M122)*SUMPRODUCT((CLASS!$E122:$M122="RES")*1,TRIB!$E122:$M122)))))</f>
        <v>1</v>
      </c>
      <c r="N122" s="15" t="n">
        <f aca="false">IF(IF(KLL!N122="",INPUTS!$B$18,KLL!N122)*SUMPRODUCT((CLASS!$E122:$N122="RES")*1,TRIB!$E122:$N122)&lt;400,1,MAX(IF(SUMPRODUCT((CLASS!$E122:$N122="RES")*1)&gt;=2,0.4,0.5),MIN(1,0.25+15/SQRT(IF(KLL!N122="",INPUTS!$B$18,KLL!N122)*SUMPRODUCT((CLASS!$E122:$N122="RES")*1,TRIB!$E122:$N122)))))</f>
        <v>1</v>
      </c>
      <c r="O122" s="15" t="n">
        <f aca="false">IF(IF(KLL!O122="",INPUTS!$B$18,KLL!O122)*SUMPRODUCT((CLASS!$E122:$O122="RES")*1,TRIB!$E122:$O122)&lt;400,1,MAX(IF(SUMPRODUCT((CLASS!$E122:$O122="RES")*1)&gt;=2,0.4,0.5),MIN(1,0.25+15/SQRT(IF(KLL!O122="",INPUTS!$B$18,KLL!O122)*SUMPRODUCT((CLASS!$E122:$O122="RES")*1,TRIB!$E122:$O122)))))</f>
        <v>1</v>
      </c>
      <c r="P122" s="15" t="n">
        <f aca="false">IF(IF(KLL!P122="",INPUTS!$B$18,KLL!P122)*SUMPRODUCT((CLASS!$E122:$P122="RES")*1,TRIB!$E122:$P122)&lt;400,1,MAX(IF(SUMPRODUCT((CLASS!$E122:$P122="RES")*1)&gt;=2,0.4,0.5),MIN(1,0.25+15/SQRT(IF(KLL!P122="",INPUTS!$B$18,KLL!P122)*SUMPRODUCT((CLASS!$E122:$P122="RES")*1,TRIB!$E122:$P122)))))</f>
        <v>1</v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15" t="n">
        <f aca="false">IF(IF(KLL!E123="",INPUTS!$B$18,KLL!E123)*SUMPRODUCT((CLASS!$E123:$E123="RES")*1,TRIB!$E123:$E123)&lt;400,1,MAX(IF(SUMPRODUCT((CLASS!$E123:$E123="RES")*1)&gt;=2,0.4,0.5),MIN(1,0.25+15/SQRT(IF(KLL!E123="",INPUTS!$B$18,KLL!E123)*SUMPRODUCT((CLASS!$E123:$E123="RES")*1,TRIB!$E123:$E123)))))</f>
        <v>1</v>
      </c>
      <c r="F123" s="15" t="n">
        <f aca="false">IF(IF(KLL!F123="",INPUTS!$B$18,KLL!F123)*SUMPRODUCT((CLASS!$E123:$F123="RES")*1,TRIB!$E123:$F123)&lt;400,1,MAX(IF(SUMPRODUCT((CLASS!$E123:$F123="RES")*1)&gt;=2,0.4,0.5),MIN(1,0.25+15/SQRT(IF(KLL!F123="",INPUTS!$B$18,KLL!F123)*SUMPRODUCT((CLASS!$E123:$F123="RES")*1,TRIB!$E123:$F123)))))</f>
        <v>1</v>
      </c>
      <c r="G123" s="15" t="n">
        <f aca="false">IF(IF(KLL!G123="",INPUTS!$B$18,KLL!G123)*SUMPRODUCT((CLASS!$E123:$G123="RES")*1,TRIB!$E123:$G123)&lt;400,1,MAX(IF(SUMPRODUCT((CLASS!$E123:$G123="RES")*1)&gt;=2,0.4,0.5),MIN(1,0.25+15/SQRT(IF(KLL!G123="",INPUTS!$B$18,KLL!G123)*SUMPRODUCT((CLASS!$E123:$G123="RES")*1,TRIB!$E123:$G123)))))</f>
        <v>1</v>
      </c>
      <c r="H123" s="15" t="n">
        <f aca="false">IF(IF(KLL!H123="",INPUTS!$B$18,KLL!H123)*SUMPRODUCT((CLASS!$E123:$H123="RES")*1,TRIB!$E123:$H123)&lt;400,1,MAX(IF(SUMPRODUCT((CLASS!$E123:$H123="RES")*1)&gt;=2,0.4,0.5),MIN(1,0.25+15/SQRT(IF(KLL!H123="",INPUTS!$B$18,KLL!H123)*SUMPRODUCT((CLASS!$E123:$H123="RES")*1,TRIB!$E123:$H123)))))</f>
        <v>1</v>
      </c>
      <c r="I123" s="15" t="n">
        <f aca="false">IF(IF(KLL!I123="",INPUTS!$B$18,KLL!I123)*SUMPRODUCT((CLASS!$E123:$I123="RES")*1,TRIB!$E123:$I123)&lt;400,1,MAX(IF(SUMPRODUCT((CLASS!$E123:$I123="RES")*1)&gt;=2,0.4,0.5),MIN(1,0.25+15/SQRT(IF(KLL!I123="",INPUTS!$B$18,KLL!I123)*SUMPRODUCT((CLASS!$E123:$I123="RES")*1,TRIB!$E123:$I123)))))</f>
        <v>1</v>
      </c>
      <c r="J123" s="15" t="n">
        <f aca="false">IF(IF(KLL!J123="",INPUTS!$B$18,KLL!J123)*SUMPRODUCT((CLASS!$E123:$J123="RES")*1,TRIB!$E123:$J123)&lt;400,1,MAX(IF(SUMPRODUCT((CLASS!$E123:$J123="RES")*1)&gt;=2,0.4,0.5),MIN(1,0.25+15/SQRT(IF(KLL!J123="",INPUTS!$B$18,KLL!J123)*SUMPRODUCT((CLASS!$E123:$J123="RES")*1,TRIB!$E123:$J123)))))</f>
        <v>1</v>
      </c>
      <c r="K123" s="15" t="n">
        <f aca="false">IF(IF(KLL!K123="",INPUTS!$B$18,KLL!K123)*SUMPRODUCT((CLASS!$E123:$K123="RES")*1,TRIB!$E123:$K123)&lt;400,1,MAX(IF(SUMPRODUCT((CLASS!$E123:$K123="RES")*1)&gt;=2,0.4,0.5),MIN(1,0.25+15/SQRT(IF(KLL!K123="",INPUTS!$B$18,KLL!K123)*SUMPRODUCT((CLASS!$E123:$K123="RES")*1,TRIB!$E123:$K123)))))</f>
        <v>1</v>
      </c>
      <c r="L123" s="15" t="n">
        <f aca="false">IF(IF(KLL!L123="",INPUTS!$B$18,KLL!L123)*SUMPRODUCT((CLASS!$E123:$L123="RES")*1,TRIB!$E123:$L123)&lt;400,1,MAX(IF(SUMPRODUCT((CLASS!$E123:$L123="RES")*1)&gt;=2,0.4,0.5),MIN(1,0.25+15/SQRT(IF(KLL!L123="",INPUTS!$B$18,KLL!L123)*SUMPRODUCT((CLASS!$E123:$L123="RES")*1,TRIB!$E123:$L123)))))</f>
        <v>1</v>
      </c>
      <c r="M123" s="15" t="n">
        <f aca="false">IF(IF(KLL!M123="",INPUTS!$B$18,KLL!M123)*SUMPRODUCT((CLASS!$E123:$M123="RES")*1,TRIB!$E123:$M123)&lt;400,1,MAX(IF(SUMPRODUCT((CLASS!$E123:$M123="RES")*1)&gt;=2,0.4,0.5),MIN(1,0.25+15/SQRT(IF(KLL!M123="",INPUTS!$B$18,KLL!M123)*SUMPRODUCT((CLASS!$E123:$M123="RES")*1,TRIB!$E123:$M123)))))</f>
        <v>1</v>
      </c>
      <c r="N123" s="15" t="n">
        <f aca="false">IF(IF(KLL!N123="",INPUTS!$B$18,KLL!N123)*SUMPRODUCT((CLASS!$E123:$N123="RES")*1,TRIB!$E123:$N123)&lt;400,1,MAX(IF(SUMPRODUCT((CLASS!$E123:$N123="RES")*1)&gt;=2,0.4,0.5),MIN(1,0.25+15/SQRT(IF(KLL!N123="",INPUTS!$B$18,KLL!N123)*SUMPRODUCT((CLASS!$E123:$N123="RES")*1,TRIB!$E123:$N123)))))</f>
        <v>1</v>
      </c>
      <c r="O123" s="15" t="n">
        <f aca="false">IF(IF(KLL!O123="",INPUTS!$B$18,KLL!O123)*SUMPRODUCT((CLASS!$E123:$O123="RES")*1,TRIB!$E123:$O123)&lt;400,1,MAX(IF(SUMPRODUCT((CLASS!$E123:$O123="RES")*1)&gt;=2,0.4,0.5),MIN(1,0.25+15/SQRT(IF(KLL!O123="",INPUTS!$B$18,KLL!O123)*SUMPRODUCT((CLASS!$E123:$O123="RES")*1,TRIB!$E123:$O123)))))</f>
        <v>1</v>
      </c>
      <c r="P123" s="15" t="n">
        <f aca="false">IF(IF(KLL!P123="",INPUTS!$B$18,KLL!P123)*SUMPRODUCT((CLASS!$E123:$P123="RES")*1,TRIB!$E123:$P123)&lt;400,1,MAX(IF(SUMPRODUCT((CLASS!$E123:$P123="RES")*1)&gt;=2,0.4,0.5),MIN(1,0.25+15/SQRT(IF(KLL!P123="",INPUTS!$B$18,KLL!P123)*SUMPRODUCT((CLASS!$E123:$P123="RES")*1,TRIB!$E123:$P123)))))</f>
        <v>1</v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15" t="n">
        <f aca="false">IF(IF(KLL!E124="",INPUTS!$B$18,KLL!E124)*SUMPRODUCT((CLASS!$E124:$E124="RES")*1,TRIB!$E124:$E124)&lt;400,1,MAX(IF(SUMPRODUCT((CLASS!$E124:$E124="RES")*1)&gt;=2,0.4,0.5),MIN(1,0.25+15/SQRT(IF(KLL!E124="",INPUTS!$B$18,KLL!E124)*SUMPRODUCT((CLASS!$E124:$E124="RES")*1,TRIB!$E124:$E124)))))</f>
        <v>1</v>
      </c>
      <c r="F124" s="15" t="n">
        <f aca="false">IF(IF(KLL!F124="",INPUTS!$B$18,KLL!F124)*SUMPRODUCT((CLASS!$E124:$F124="RES")*1,TRIB!$E124:$F124)&lt;400,1,MAX(IF(SUMPRODUCT((CLASS!$E124:$F124="RES")*1)&gt;=2,0.4,0.5),MIN(1,0.25+15/SQRT(IF(KLL!F124="",INPUTS!$B$18,KLL!F124)*SUMPRODUCT((CLASS!$E124:$F124="RES")*1,TRIB!$E124:$F124)))))</f>
        <v>1</v>
      </c>
      <c r="G124" s="15" t="n">
        <f aca="false">IF(IF(KLL!G124="",INPUTS!$B$18,KLL!G124)*SUMPRODUCT((CLASS!$E124:$G124="RES")*1,TRIB!$E124:$G124)&lt;400,1,MAX(IF(SUMPRODUCT((CLASS!$E124:$G124="RES")*1)&gt;=2,0.4,0.5),MIN(1,0.25+15/SQRT(IF(KLL!G124="",INPUTS!$B$18,KLL!G124)*SUMPRODUCT((CLASS!$E124:$G124="RES")*1,TRIB!$E124:$G124)))))</f>
        <v>1</v>
      </c>
      <c r="H124" s="15" t="n">
        <f aca="false">IF(IF(KLL!H124="",INPUTS!$B$18,KLL!H124)*SUMPRODUCT((CLASS!$E124:$H124="RES")*1,TRIB!$E124:$H124)&lt;400,1,MAX(IF(SUMPRODUCT((CLASS!$E124:$H124="RES")*1)&gt;=2,0.4,0.5),MIN(1,0.25+15/SQRT(IF(KLL!H124="",INPUTS!$B$18,KLL!H124)*SUMPRODUCT((CLASS!$E124:$H124="RES")*1,TRIB!$E124:$H124)))))</f>
        <v>1</v>
      </c>
      <c r="I124" s="15" t="n">
        <f aca="false">IF(IF(KLL!I124="",INPUTS!$B$18,KLL!I124)*SUMPRODUCT((CLASS!$E124:$I124="RES")*1,TRIB!$E124:$I124)&lt;400,1,MAX(IF(SUMPRODUCT((CLASS!$E124:$I124="RES")*1)&gt;=2,0.4,0.5),MIN(1,0.25+15/SQRT(IF(KLL!I124="",INPUTS!$B$18,KLL!I124)*SUMPRODUCT((CLASS!$E124:$I124="RES")*1,TRIB!$E124:$I124)))))</f>
        <v>1</v>
      </c>
      <c r="J124" s="15" t="n">
        <f aca="false">IF(IF(KLL!J124="",INPUTS!$B$18,KLL!J124)*SUMPRODUCT((CLASS!$E124:$J124="RES")*1,TRIB!$E124:$J124)&lt;400,1,MAX(IF(SUMPRODUCT((CLASS!$E124:$J124="RES")*1)&gt;=2,0.4,0.5),MIN(1,0.25+15/SQRT(IF(KLL!J124="",INPUTS!$B$18,KLL!J124)*SUMPRODUCT((CLASS!$E124:$J124="RES")*1,TRIB!$E124:$J124)))))</f>
        <v>0.86034134407837</v>
      </c>
      <c r="K124" s="15" t="n">
        <f aca="false">IF(IF(KLL!K124="",INPUTS!$B$18,KLL!K124)*SUMPRODUCT((CLASS!$E124:$K124="RES")*1,TRIB!$E124:$K124)&lt;400,1,MAX(IF(SUMPRODUCT((CLASS!$E124:$K124="RES")*1)&gt;=2,0.4,0.5),MIN(1,0.25+15/SQRT(IF(KLL!K124="",INPUTS!$B$18,KLL!K124)*SUMPRODUCT((CLASS!$E124:$K124="RES")*1,TRIB!$E124:$K124)))))</f>
        <v>0.86034134407837</v>
      </c>
      <c r="L124" s="15" t="n">
        <f aca="false">IF(IF(KLL!L124="",INPUTS!$B$18,KLL!L124)*SUMPRODUCT((CLASS!$E124:$L124="RES")*1,TRIB!$E124:$L124)&lt;400,1,MAX(IF(SUMPRODUCT((CLASS!$E124:$L124="RES")*1)&gt;=2,0.4,0.5),MIN(1,0.25+15/SQRT(IF(KLL!L124="",INPUTS!$B$18,KLL!L124)*SUMPRODUCT((CLASS!$E124:$L124="RES")*1,TRIB!$E124:$L124)))))</f>
        <v>0.86034134407837</v>
      </c>
      <c r="M124" s="15" t="n">
        <f aca="false">IF(IF(KLL!M124="",INPUTS!$B$18,KLL!M124)*SUMPRODUCT((CLASS!$E124:$M124="RES")*1,TRIB!$E124:$M124)&lt;400,1,MAX(IF(SUMPRODUCT((CLASS!$E124:$M124="RES")*1)&gt;=2,0.4,0.5),MIN(1,0.25+15/SQRT(IF(KLL!M124="",INPUTS!$B$18,KLL!M124)*SUMPRODUCT((CLASS!$E124:$M124="RES")*1,TRIB!$E124:$M124)))))</f>
        <v>0.86034134407837</v>
      </c>
      <c r="N124" s="15" t="n">
        <f aca="false">IF(IF(KLL!N124="",INPUTS!$B$18,KLL!N124)*SUMPRODUCT((CLASS!$E124:$N124="RES")*1,TRIB!$E124:$N124)&lt;400,1,MAX(IF(SUMPRODUCT((CLASS!$E124:$N124="RES")*1)&gt;=2,0.4,0.5),MIN(1,0.25+15/SQRT(IF(KLL!N124="",INPUTS!$B$18,KLL!N124)*SUMPRODUCT((CLASS!$E124:$N124="RES")*1,TRIB!$E124:$N124)))))</f>
        <v>0.86034134407837</v>
      </c>
      <c r="O124" s="15" t="n">
        <f aca="false">IF(IF(KLL!O124="",INPUTS!$B$18,KLL!O124)*SUMPRODUCT((CLASS!$E124:$O124="RES")*1,TRIB!$E124:$O124)&lt;400,1,MAX(IF(SUMPRODUCT((CLASS!$E124:$O124="RES")*1)&gt;=2,0.4,0.5),MIN(1,0.25+15/SQRT(IF(KLL!O124="",INPUTS!$B$18,KLL!O124)*SUMPRODUCT((CLASS!$E124:$O124="RES")*1,TRIB!$E124:$O124)))))</f>
        <v>0.86034134407837</v>
      </c>
      <c r="P124" s="15" t="n">
        <f aca="false">IF(IF(KLL!P124="",INPUTS!$B$18,KLL!P124)*SUMPRODUCT((CLASS!$E124:$P124="RES")*1,TRIB!$E124:$P124)&lt;400,1,MAX(IF(SUMPRODUCT((CLASS!$E124:$P124="RES")*1)&gt;=2,0.4,0.5),MIN(1,0.25+15/SQRT(IF(KLL!P124="",INPUTS!$B$18,KLL!P124)*SUMPRODUCT((CLASS!$E124:$P124="RES")*1,TRIB!$E124:$P124)))))</f>
        <v>0.86034134407837</v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15" t="n">
        <f aca="false">IF(IF(KLL!E125="",INPUTS!$B$18,KLL!E125)*SUMPRODUCT((CLASS!$E125:$E125="RES")*1,TRIB!$E125:$E125)&lt;400,1,MAX(IF(SUMPRODUCT((CLASS!$E125:$E125="RES")*1)&gt;=2,0.4,0.5),MIN(1,0.25+15/SQRT(IF(KLL!E125="",INPUTS!$B$18,KLL!E125)*SUMPRODUCT((CLASS!$E125:$E125="RES")*1,TRIB!$E125:$E125)))))</f>
        <v>1</v>
      </c>
      <c r="F125" s="15" t="n">
        <f aca="false">IF(IF(KLL!F125="",INPUTS!$B$18,KLL!F125)*SUMPRODUCT((CLASS!$E125:$F125="RES")*1,TRIB!$E125:$F125)&lt;400,1,MAX(IF(SUMPRODUCT((CLASS!$E125:$F125="RES")*1)&gt;=2,0.4,0.5),MIN(1,0.25+15/SQRT(IF(KLL!F125="",INPUTS!$B$18,KLL!F125)*SUMPRODUCT((CLASS!$E125:$F125="RES")*1,TRIB!$E125:$F125)))))</f>
        <v>1</v>
      </c>
      <c r="G125" s="15" t="n">
        <f aca="false">IF(IF(KLL!G125="",INPUTS!$B$18,KLL!G125)*SUMPRODUCT((CLASS!$E125:$G125="RES")*1,TRIB!$E125:$G125)&lt;400,1,MAX(IF(SUMPRODUCT((CLASS!$E125:$G125="RES")*1)&gt;=2,0.4,0.5),MIN(1,0.25+15/SQRT(IF(KLL!G125="",INPUTS!$B$18,KLL!G125)*SUMPRODUCT((CLASS!$E125:$G125="RES")*1,TRIB!$E125:$G125)))))</f>
        <v>1</v>
      </c>
      <c r="H125" s="15" t="n">
        <f aca="false">IF(IF(KLL!H125="",INPUTS!$B$18,KLL!H125)*SUMPRODUCT((CLASS!$E125:$H125="RES")*1,TRIB!$E125:$H125)&lt;400,1,MAX(IF(SUMPRODUCT((CLASS!$E125:$H125="RES")*1)&gt;=2,0.4,0.5),MIN(1,0.25+15/SQRT(IF(KLL!H125="",INPUTS!$B$18,KLL!H125)*SUMPRODUCT((CLASS!$E125:$H125="RES")*1,TRIB!$E125:$H125)))))</f>
        <v>1</v>
      </c>
      <c r="I125" s="15" t="n">
        <f aca="false">IF(IF(KLL!I125="",INPUTS!$B$18,KLL!I125)*SUMPRODUCT((CLASS!$E125:$I125="RES")*1,TRIB!$E125:$I125)&lt;400,1,MAX(IF(SUMPRODUCT((CLASS!$E125:$I125="RES")*1)&gt;=2,0.4,0.5),MIN(1,0.25+15/SQRT(IF(KLL!I125="",INPUTS!$B$18,KLL!I125)*SUMPRODUCT((CLASS!$E125:$I125="RES")*1,TRIB!$E125:$I125)))))</f>
        <v>1</v>
      </c>
      <c r="J125" s="15" t="n">
        <f aca="false">IF(IF(KLL!J125="",INPUTS!$B$18,KLL!J125)*SUMPRODUCT((CLASS!$E125:$J125="RES")*1,TRIB!$E125:$J125)&lt;400,1,MAX(IF(SUMPRODUCT((CLASS!$E125:$J125="RES")*1)&gt;=2,0.4,0.5),MIN(1,0.25+15/SQRT(IF(KLL!J125="",INPUTS!$B$18,KLL!J125)*SUMPRODUCT((CLASS!$E125:$J125="RES")*1,TRIB!$E125:$J125)))))</f>
        <v>1</v>
      </c>
      <c r="K125" s="15" t="n">
        <f aca="false">IF(IF(KLL!K125="",INPUTS!$B$18,KLL!K125)*SUMPRODUCT((CLASS!$E125:$K125="RES")*1,TRIB!$E125:$K125)&lt;400,1,MAX(IF(SUMPRODUCT((CLASS!$E125:$K125="RES")*1)&gt;=2,0.4,0.5),MIN(1,0.25+15/SQRT(IF(KLL!K125="",INPUTS!$B$18,KLL!K125)*SUMPRODUCT((CLASS!$E125:$K125="RES")*1,TRIB!$E125:$K125)))))</f>
        <v>1</v>
      </c>
      <c r="L125" s="15" t="n">
        <f aca="false">IF(IF(KLL!L125="",INPUTS!$B$18,KLL!L125)*SUMPRODUCT((CLASS!$E125:$L125="RES")*1,TRIB!$E125:$L125)&lt;400,1,MAX(IF(SUMPRODUCT((CLASS!$E125:$L125="RES")*1)&gt;=2,0.4,0.5),MIN(1,0.25+15/SQRT(IF(KLL!L125="",INPUTS!$B$18,KLL!L125)*SUMPRODUCT((CLASS!$E125:$L125="RES")*1,TRIB!$E125:$L125)))))</f>
        <v>1</v>
      </c>
      <c r="M125" s="15" t="n">
        <f aca="false">IF(IF(KLL!M125="",INPUTS!$B$18,KLL!M125)*SUMPRODUCT((CLASS!$E125:$M125="RES")*1,TRIB!$E125:$M125)&lt;400,1,MAX(IF(SUMPRODUCT((CLASS!$E125:$M125="RES")*1)&gt;=2,0.4,0.5),MIN(1,0.25+15/SQRT(IF(KLL!M125="",INPUTS!$B$18,KLL!M125)*SUMPRODUCT((CLASS!$E125:$M125="RES")*1,TRIB!$E125:$M125)))))</f>
        <v>1</v>
      </c>
      <c r="N125" s="15" t="n">
        <f aca="false">IF(IF(KLL!N125="",INPUTS!$B$18,KLL!N125)*SUMPRODUCT((CLASS!$E125:$N125="RES")*1,TRIB!$E125:$N125)&lt;400,1,MAX(IF(SUMPRODUCT((CLASS!$E125:$N125="RES")*1)&gt;=2,0.4,0.5),MIN(1,0.25+15/SQRT(IF(KLL!N125="",INPUTS!$B$18,KLL!N125)*SUMPRODUCT((CLASS!$E125:$N125="RES")*1,TRIB!$E125:$N125)))))</f>
        <v>1</v>
      </c>
      <c r="O125" s="15" t="n">
        <f aca="false">IF(IF(KLL!O125="",INPUTS!$B$18,KLL!O125)*SUMPRODUCT((CLASS!$E125:$O125="RES")*1,TRIB!$E125:$O125)&lt;400,1,MAX(IF(SUMPRODUCT((CLASS!$E125:$O125="RES")*1)&gt;=2,0.4,0.5),MIN(1,0.25+15/SQRT(IF(KLL!O125="",INPUTS!$B$18,KLL!O125)*SUMPRODUCT((CLASS!$E125:$O125="RES")*1,TRIB!$E125:$O125)))))</f>
        <v>1</v>
      </c>
      <c r="P125" s="15" t="n">
        <f aca="false">IF(IF(KLL!P125="",INPUTS!$B$18,KLL!P125)*SUMPRODUCT((CLASS!$E125:$P125="RES")*1,TRIB!$E125:$P125)&lt;400,1,MAX(IF(SUMPRODUCT((CLASS!$E125:$P125="RES")*1)&gt;=2,0.4,0.5),MIN(1,0.25+15/SQRT(IF(KLL!P125="",INPUTS!$B$18,KLL!P125)*SUMPRODUCT((CLASS!$E125:$P125="RES")*1,TRIB!$E125:$P125)))))</f>
        <v>1</v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15" t="n">
        <f aca="false">IF(IF(KLL!E126="",INPUTS!$B$18,KLL!E126)*SUMPRODUCT((CLASS!$E126:$E126="RES")*1,TRIB!$E126:$E126)&lt;400,1,MAX(IF(SUMPRODUCT((CLASS!$E126:$E126="RES")*1)&gt;=2,0.4,0.5),MIN(1,0.25+15/SQRT(IF(KLL!E126="",INPUTS!$B$18,KLL!E126)*SUMPRODUCT((CLASS!$E126:$E126="RES")*1,TRIB!$E126:$E126)))))</f>
        <v>1</v>
      </c>
      <c r="F126" s="15" t="n">
        <f aca="false">IF(IF(KLL!F126="",INPUTS!$B$18,KLL!F126)*SUMPRODUCT((CLASS!$E126:$F126="RES")*1,TRIB!$E126:$F126)&lt;400,1,MAX(IF(SUMPRODUCT((CLASS!$E126:$F126="RES")*1)&gt;=2,0.4,0.5),MIN(1,0.25+15/SQRT(IF(KLL!F126="",INPUTS!$B$18,KLL!F126)*SUMPRODUCT((CLASS!$E126:$F126="RES")*1,TRIB!$E126:$F126)))))</f>
        <v>1</v>
      </c>
      <c r="G126" s="15" t="n">
        <f aca="false">IF(IF(KLL!G126="",INPUTS!$B$18,KLL!G126)*SUMPRODUCT((CLASS!$E126:$G126="RES")*1,TRIB!$E126:$G126)&lt;400,1,MAX(IF(SUMPRODUCT((CLASS!$E126:$G126="RES")*1)&gt;=2,0.4,0.5),MIN(1,0.25+15/SQRT(IF(KLL!G126="",INPUTS!$B$18,KLL!G126)*SUMPRODUCT((CLASS!$E126:$G126="RES")*1,TRIB!$E126:$G126)))))</f>
        <v>1</v>
      </c>
      <c r="H126" s="15" t="n">
        <f aca="false">IF(IF(KLL!H126="",INPUTS!$B$18,KLL!H126)*SUMPRODUCT((CLASS!$E126:$H126="RES")*1,TRIB!$E126:$H126)&lt;400,1,MAX(IF(SUMPRODUCT((CLASS!$E126:$H126="RES")*1)&gt;=2,0.4,0.5),MIN(1,0.25+15/SQRT(IF(KLL!H126="",INPUTS!$B$18,KLL!H126)*SUMPRODUCT((CLASS!$E126:$H126="RES")*1,TRIB!$E126:$H126)))))</f>
        <v>1</v>
      </c>
      <c r="I126" s="15" t="n">
        <f aca="false">IF(IF(KLL!I126="",INPUTS!$B$18,KLL!I126)*SUMPRODUCT((CLASS!$E126:$I126="RES")*1,TRIB!$E126:$I126)&lt;400,1,MAX(IF(SUMPRODUCT((CLASS!$E126:$I126="RES")*1)&gt;=2,0.4,0.5),MIN(1,0.25+15/SQRT(IF(KLL!I126="",INPUTS!$B$18,KLL!I126)*SUMPRODUCT((CLASS!$E126:$I126="RES")*1,TRIB!$E126:$I126)))))</f>
        <v>1</v>
      </c>
      <c r="J126" s="15" t="n">
        <f aca="false">IF(IF(KLL!J126="",INPUTS!$B$18,KLL!J126)*SUMPRODUCT((CLASS!$E126:$J126="RES")*1,TRIB!$E126:$J126)&lt;400,1,MAX(IF(SUMPRODUCT((CLASS!$E126:$J126="RES")*1)&gt;=2,0.4,0.5),MIN(1,0.25+15/SQRT(IF(KLL!J126="",INPUTS!$B$18,KLL!J126)*SUMPRODUCT((CLASS!$E126:$J126="RES")*1,TRIB!$E126:$J126)))))</f>
        <v>1</v>
      </c>
      <c r="K126" s="15" t="n">
        <f aca="false">IF(IF(KLL!K126="",INPUTS!$B$18,KLL!K126)*SUMPRODUCT((CLASS!$E126:$K126="RES")*1,TRIB!$E126:$K126)&lt;400,1,MAX(IF(SUMPRODUCT((CLASS!$E126:$K126="RES")*1)&gt;=2,0.4,0.5),MIN(1,0.25+15/SQRT(IF(KLL!K126="",INPUTS!$B$18,KLL!K126)*SUMPRODUCT((CLASS!$E126:$K126="RES")*1,TRIB!$E126:$K126)))))</f>
        <v>1</v>
      </c>
      <c r="L126" s="15" t="n">
        <f aca="false">IF(IF(KLL!L126="",INPUTS!$B$18,KLL!L126)*SUMPRODUCT((CLASS!$E126:$L126="RES")*1,TRIB!$E126:$L126)&lt;400,1,MAX(IF(SUMPRODUCT((CLASS!$E126:$L126="RES")*1)&gt;=2,0.4,0.5),MIN(1,0.25+15/SQRT(IF(KLL!L126="",INPUTS!$B$18,KLL!L126)*SUMPRODUCT((CLASS!$E126:$L126="RES")*1,TRIB!$E126:$L126)))))</f>
        <v>1</v>
      </c>
      <c r="M126" s="15" t="n">
        <f aca="false">IF(IF(KLL!M126="",INPUTS!$B$18,KLL!M126)*SUMPRODUCT((CLASS!$E126:$M126="RES")*1,TRIB!$E126:$M126)&lt;400,1,MAX(IF(SUMPRODUCT((CLASS!$E126:$M126="RES")*1)&gt;=2,0.4,0.5),MIN(1,0.25+15/SQRT(IF(KLL!M126="",INPUTS!$B$18,KLL!M126)*SUMPRODUCT((CLASS!$E126:$M126="RES")*1,TRIB!$E126:$M126)))))</f>
        <v>1</v>
      </c>
      <c r="N126" s="15" t="n">
        <f aca="false">IF(IF(KLL!N126="",INPUTS!$B$18,KLL!N126)*SUMPRODUCT((CLASS!$E126:$N126="RES")*1,TRIB!$E126:$N126)&lt;400,1,MAX(IF(SUMPRODUCT((CLASS!$E126:$N126="RES")*1)&gt;=2,0.4,0.5),MIN(1,0.25+15/SQRT(IF(KLL!N126="",INPUTS!$B$18,KLL!N126)*SUMPRODUCT((CLASS!$E126:$N126="RES")*1,TRIB!$E126:$N126)))))</f>
        <v>1</v>
      </c>
      <c r="O126" s="15" t="n">
        <f aca="false">IF(IF(KLL!O126="",INPUTS!$B$18,KLL!O126)*SUMPRODUCT((CLASS!$E126:$O126="RES")*1,TRIB!$E126:$O126)&lt;400,1,MAX(IF(SUMPRODUCT((CLASS!$E126:$O126="RES")*1)&gt;=2,0.4,0.5),MIN(1,0.25+15/SQRT(IF(KLL!O126="",INPUTS!$B$18,KLL!O126)*SUMPRODUCT((CLASS!$E126:$O126="RES")*1,TRIB!$E126:$O126)))))</f>
        <v>1</v>
      </c>
      <c r="P126" s="15" t="n">
        <f aca="false">IF(IF(KLL!P126="",INPUTS!$B$18,KLL!P126)*SUMPRODUCT((CLASS!$E126:$P126="RES")*1,TRIB!$E126:$P126)&lt;400,1,MAX(IF(SUMPRODUCT((CLASS!$E126:$P126="RES")*1)&gt;=2,0.4,0.5),MIN(1,0.25+15/SQRT(IF(KLL!P126="",INPUTS!$B$18,KLL!P126)*SUMPRODUCT((CLASS!$E126:$P126="RES")*1,TRIB!$E126:$P126)))))</f>
        <v>1</v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15" t="n">
        <f aca="false">IF(IF(KLL!E127="",INPUTS!$B$18,KLL!E127)*SUMPRODUCT((CLASS!$E127:$E127="RES")*1,TRIB!$E127:$E127)&lt;400,1,MAX(IF(SUMPRODUCT((CLASS!$E127:$E127="RES")*1)&gt;=2,0.4,0.5),MIN(1,0.25+15/SQRT(IF(KLL!E127="",INPUTS!$B$18,KLL!E127)*SUMPRODUCT((CLASS!$E127:$E127="RES")*1,TRIB!$E127:$E127)))))</f>
        <v>1</v>
      </c>
      <c r="F127" s="15" t="n">
        <f aca="false">IF(IF(KLL!F127="",INPUTS!$B$18,KLL!F127)*SUMPRODUCT((CLASS!$E127:$F127="RES")*1,TRIB!$E127:$F127)&lt;400,1,MAX(IF(SUMPRODUCT((CLASS!$E127:$F127="RES")*1)&gt;=2,0.4,0.5),MIN(1,0.25+15/SQRT(IF(KLL!F127="",INPUTS!$B$18,KLL!F127)*SUMPRODUCT((CLASS!$E127:$F127="RES")*1,TRIB!$E127:$F127)))))</f>
        <v>1</v>
      </c>
      <c r="G127" s="15" t="n">
        <f aca="false">IF(IF(KLL!G127="",INPUTS!$B$18,KLL!G127)*SUMPRODUCT((CLASS!$E127:$G127="RES")*1,TRIB!$E127:$G127)&lt;400,1,MAX(IF(SUMPRODUCT((CLASS!$E127:$G127="RES")*1)&gt;=2,0.4,0.5),MIN(1,0.25+15/SQRT(IF(KLL!G127="",INPUTS!$B$18,KLL!G127)*SUMPRODUCT((CLASS!$E127:$G127="RES")*1,TRIB!$E127:$G127)))))</f>
        <v>1</v>
      </c>
      <c r="H127" s="15" t="n">
        <f aca="false">IF(IF(KLL!H127="",INPUTS!$B$18,KLL!H127)*SUMPRODUCT((CLASS!$E127:$H127="RES")*1,TRIB!$E127:$H127)&lt;400,1,MAX(IF(SUMPRODUCT((CLASS!$E127:$H127="RES")*1)&gt;=2,0.4,0.5),MIN(1,0.25+15/SQRT(IF(KLL!H127="",INPUTS!$B$18,KLL!H127)*SUMPRODUCT((CLASS!$E127:$H127="RES")*1,TRIB!$E127:$H127)))))</f>
        <v>1</v>
      </c>
      <c r="I127" s="15" t="n">
        <f aca="false">IF(IF(KLL!I127="",INPUTS!$B$18,KLL!I127)*SUMPRODUCT((CLASS!$E127:$I127="RES")*1,TRIB!$E127:$I127)&lt;400,1,MAX(IF(SUMPRODUCT((CLASS!$E127:$I127="RES")*1)&gt;=2,0.4,0.5),MIN(1,0.25+15/SQRT(IF(KLL!I127="",INPUTS!$B$18,KLL!I127)*SUMPRODUCT((CLASS!$E127:$I127="RES")*1,TRIB!$E127:$I127)))))</f>
        <v>1</v>
      </c>
      <c r="J127" s="15" t="n">
        <f aca="false">IF(IF(KLL!J127="",INPUTS!$B$18,KLL!J127)*SUMPRODUCT((CLASS!$E127:$J127="RES")*1,TRIB!$E127:$J127)&lt;400,1,MAX(IF(SUMPRODUCT((CLASS!$E127:$J127="RES")*1)&gt;=2,0.4,0.5),MIN(1,0.25+15/SQRT(IF(KLL!J127="",INPUTS!$B$18,KLL!J127)*SUMPRODUCT((CLASS!$E127:$J127="RES")*1,TRIB!$E127:$J127)))))</f>
        <v>1</v>
      </c>
      <c r="K127" s="15" t="n">
        <f aca="false">IF(IF(KLL!K127="",INPUTS!$B$18,KLL!K127)*SUMPRODUCT((CLASS!$E127:$K127="RES")*1,TRIB!$E127:$K127)&lt;400,1,MAX(IF(SUMPRODUCT((CLASS!$E127:$K127="RES")*1)&gt;=2,0.4,0.5),MIN(1,0.25+15/SQRT(IF(KLL!K127="",INPUTS!$B$18,KLL!K127)*SUMPRODUCT((CLASS!$E127:$K127="RES")*1,TRIB!$E127:$K127)))))</f>
        <v>1</v>
      </c>
      <c r="L127" s="15" t="n">
        <f aca="false">IF(IF(KLL!L127="",INPUTS!$B$18,KLL!L127)*SUMPRODUCT((CLASS!$E127:$L127="RES")*1,TRIB!$E127:$L127)&lt;400,1,MAX(IF(SUMPRODUCT((CLASS!$E127:$L127="RES")*1)&gt;=2,0.4,0.5),MIN(1,0.25+15/SQRT(IF(KLL!L127="",INPUTS!$B$18,KLL!L127)*SUMPRODUCT((CLASS!$E127:$L127="RES")*1,TRIB!$E127:$L127)))))</f>
        <v>1</v>
      </c>
      <c r="M127" s="15" t="n">
        <f aca="false">IF(IF(KLL!M127="",INPUTS!$B$18,KLL!M127)*SUMPRODUCT((CLASS!$E127:$M127="RES")*1,TRIB!$E127:$M127)&lt;400,1,MAX(IF(SUMPRODUCT((CLASS!$E127:$M127="RES")*1)&gt;=2,0.4,0.5),MIN(1,0.25+15/SQRT(IF(KLL!M127="",INPUTS!$B$18,KLL!M127)*SUMPRODUCT((CLASS!$E127:$M127="RES")*1,TRIB!$E127:$M127)))))</f>
        <v>1</v>
      </c>
      <c r="N127" s="15" t="n">
        <f aca="false">IF(IF(KLL!N127="",INPUTS!$B$18,KLL!N127)*SUMPRODUCT((CLASS!$E127:$N127="RES")*1,TRIB!$E127:$N127)&lt;400,1,MAX(IF(SUMPRODUCT((CLASS!$E127:$N127="RES")*1)&gt;=2,0.4,0.5),MIN(1,0.25+15/SQRT(IF(KLL!N127="",INPUTS!$B$18,KLL!N127)*SUMPRODUCT((CLASS!$E127:$N127="RES")*1,TRIB!$E127:$N127)))))</f>
        <v>1</v>
      </c>
      <c r="O127" s="15" t="n">
        <f aca="false">IF(IF(KLL!O127="",INPUTS!$B$18,KLL!O127)*SUMPRODUCT((CLASS!$E127:$O127="RES")*1,TRIB!$E127:$O127)&lt;400,1,MAX(IF(SUMPRODUCT((CLASS!$E127:$O127="RES")*1)&gt;=2,0.4,0.5),MIN(1,0.25+15/SQRT(IF(KLL!O127="",INPUTS!$B$18,KLL!O127)*SUMPRODUCT((CLASS!$E127:$O127="RES")*1,TRIB!$E127:$O127)))))</f>
        <v>1</v>
      </c>
      <c r="P127" s="15" t="n">
        <f aca="false">IF(IF(KLL!P127="",INPUTS!$B$18,KLL!P127)*SUMPRODUCT((CLASS!$E127:$P127="RES")*1,TRIB!$E127:$P127)&lt;400,1,MAX(IF(SUMPRODUCT((CLASS!$E127:$P127="RES")*1)&gt;=2,0.4,0.5),MIN(1,0.25+15/SQRT(IF(KLL!P127="",INPUTS!$B$18,KLL!P127)*SUMPRODUCT((CLASS!$E127:$P127="RES")*1,TRIB!$E127:$P127)))))</f>
        <v>1</v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15" t="n">
        <f aca="false">IF(IF(KLL!E128="",INPUTS!$B$18,KLL!E128)*SUMPRODUCT((CLASS!$E128:$E128="RES")*1,TRIB!$E128:$E128)&lt;400,1,MAX(IF(SUMPRODUCT((CLASS!$E128:$E128="RES")*1)&gt;=2,0.4,0.5),MIN(1,0.25+15/SQRT(IF(KLL!E128="",INPUTS!$B$18,KLL!E128)*SUMPRODUCT((CLASS!$E128:$E128="RES")*1,TRIB!$E128:$E128)))))</f>
        <v>1</v>
      </c>
      <c r="F128" s="15" t="n">
        <f aca="false">IF(IF(KLL!F128="",INPUTS!$B$18,KLL!F128)*SUMPRODUCT((CLASS!$E128:$F128="RES")*1,TRIB!$E128:$F128)&lt;400,1,MAX(IF(SUMPRODUCT((CLASS!$E128:$F128="RES")*1)&gt;=2,0.4,0.5),MIN(1,0.25+15/SQRT(IF(KLL!F128="",INPUTS!$B$18,KLL!F128)*SUMPRODUCT((CLASS!$E128:$F128="RES")*1,TRIB!$E128:$F128)))))</f>
        <v>1</v>
      </c>
      <c r="G128" s="15" t="n">
        <f aca="false">IF(IF(KLL!G128="",INPUTS!$B$18,KLL!G128)*SUMPRODUCT((CLASS!$E128:$G128="RES")*1,TRIB!$E128:$G128)&lt;400,1,MAX(IF(SUMPRODUCT((CLASS!$E128:$G128="RES")*1)&gt;=2,0.4,0.5),MIN(1,0.25+15/SQRT(IF(KLL!G128="",INPUTS!$B$18,KLL!G128)*SUMPRODUCT((CLASS!$E128:$G128="RES")*1,TRIB!$E128:$G128)))))</f>
        <v>1</v>
      </c>
      <c r="H128" s="15" t="n">
        <f aca="false">IF(IF(KLL!H128="",INPUTS!$B$18,KLL!H128)*SUMPRODUCT((CLASS!$E128:$H128="RES")*1,TRIB!$E128:$H128)&lt;400,1,MAX(IF(SUMPRODUCT((CLASS!$E128:$H128="RES")*1)&gt;=2,0.4,0.5),MIN(1,0.25+15/SQRT(IF(KLL!H128="",INPUTS!$B$18,KLL!H128)*SUMPRODUCT((CLASS!$E128:$H128="RES")*1,TRIB!$E128:$H128)))))</f>
        <v>1</v>
      </c>
      <c r="I128" s="15" t="n">
        <f aca="false">IF(IF(KLL!I128="",INPUTS!$B$18,KLL!I128)*SUMPRODUCT((CLASS!$E128:$I128="RES")*1,TRIB!$E128:$I128)&lt;400,1,MAX(IF(SUMPRODUCT((CLASS!$E128:$I128="RES")*1)&gt;=2,0.4,0.5),MIN(1,0.25+15/SQRT(IF(KLL!I128="",INPUTS!$B$18,KLL!I128)*SUMPRODUCT((CLASS!$E128:$I128="RES")*1,TRIB!$E128:$I128)))))</f>
        <v>1</v>
      </c>
      <c r="J128" s="15" t="n">
        <f aca="false">IF(IF(KLL!J128="",INPUTS!$B$18,KLL!J128)*SUMPRODUCT((CLASS!$E128:$J128="RES")*1,TRIB!$E128:$J128)&lt;400,1,MAX(IF(SUMPRODUCT((CLASS!$E128:$J128="RES")*1)&gt;=2,0.4,0.5),MIN(1,0.25+15/SQRT(IF(KLL!J128="",INPUTS!$B$18,KLL!J128)*SUMPRODUCT((CLASS!$E128:$J128="RES")*1,TRIB!$E128:$J128)))))</f>
        <v>1</v>
      </c>
      <c r="K128" s="15" t="n">
        <f aca="false">IF(IF(KLL!K128="",INPUTS!$B$18,KLL!K128)*SUMPRODUCT((CLASS!$E128:$K128="RES")*1,TRIB!$E128:$K128)&lt;400,1,MAX(IF(SUMPRODUCT((CLASS!$E128:$K128="RES")*1)&gt;=2,0.4,0.5),MIN(1,0.25+15/SQRT(IF(KLL!K128="",INPUTS!$B$18,KLL!K128)*SUMPRODUCT((CLASS!$E128:$K128="RES")*1,TRIB!$E128:$K128)))))</f>
        <v>1</v>
      </c>
      <c r="L128" s="15" t="n">
        <f aca="false">IF(IF(KLL!L128="",INPUTS!$B$18,KLL!L128)*SUMPRODUCT((CLASS!$E128:$L128="RES")*1,TRIB!$E128:$L128)&lt;400,1,MAX(IF(SUMPRODUCT((CLASS!$E128:$L128="RES")*1)&gt;=2,0.4,0.5),MIN(1,0.25+15/SQRT(IF(KLL!L128="",INPUTS!$B$18,KLL!L128)*SUMPRODUCT((CLASS!$E128:$L128="RES")*1,TRIB!$E128:$L128)))))</f>
        <v>1</v>
      </c>
      <c r="M128" s="15" t="n">
        <f aca="false">IF(IF(KLL!M128="",INPUTS!$B$18,KLL!M128)*SUMPRODUCT((CLASS!$E128:$M128="RES")*1,TRIB!$E128:$M128)&lt;400,1,MAX(IF(SUMPRODUCT((CLASS!$E128:$M128="RES")*1)&gt;=2,0.4,0.5),MIN(1,0.25+15/SQRT(IF(KLL!M128="",INPUTS!$B$18,KLL!M128)*SUMPRODUCT((CLASS!$E128:$M128="RES")*1,TRIB!$E128:$M128)))))</f>
        <v>1</v>
      </c>
      <c r="N128" s="15" t="n">
        <f aca="false">IF(IF(KLL!N128="",INPUTS!$B$18,KLL!N128)*SUMPRODUCT((CLASS!$E128:$N128="RES")*1,TRIB!$E128:$N128)&lt;400,1,MAX(IF(SUMPRODUCT((CLASS!$E128:$N128="RES")*1)&gt;=2,0.4,0.5),MIN(1,0.25+15/SQRT(IF(KLL!N128="",INPUTS!$B$18,KLL!N128)*SUMPRODUCT((CLASS!$E128:$N128="RES")*1,TRIB!$E128:$N128)))))</f>
        <v>1</v>
      </c>
      <c r="O128" s="15" t="n">
        <f aca="false">IF(IF(KLL!O128="",INPUTS!$B$18,KLL!O128)*SUMPRODUCT((CLASS!$E128:$O128="RES")*1,TRIB!$E128:$O128)&lt;400,1,MAX(IF(SUMPRODUCT((CLASS!$E128:$O128="RES")*1)&gt;=2,0.4,0.5),MIN(1,0.25+15/SQRT(IF(KLL!O128="",INPUTS!$B$18,KLL!O128)*SUMPRODUCT((CLASS!$E128:$O128="RES")*1,TRIB!$E128:$O128)))))</f>
        <v>1</v>
      </c>
      <c r="P128" s="15" t="n">
        <f aca="false">IF(IF(KLL!P128="",INPUTS!$B$18,KLL!P128)*SUMPRODUCT((CLASS!$E128:$P128="RES")*1,TRIB!$E128:$P128)&lt;400,1,MAX(IF(SUMPRODUCT((CLASS!$E128:$P128="RES")*1)&gt;=2,0.4,0.5),MIN(1,0.25+15/SQRT(IF(KLL!P128="",INPUTS!$B$18,KLL!P128)*SUMPRODUCT((CLASS!$E128:$P128="RES")*1,TRIB!$E128:$P128)))))</f>
        <v>1</v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15" t="n">
        <f aca="false">IF(IF(KLL!E129="",INPUTS!$B$18,KLL!E129)*SUMPRODUCT((CLASS!$E129:$E129="RES")*1,TRIB!$E129:$E129)&lt;400,1,MAX(IF(SUMPRODUCT((CLASS!$E129:$E129="RES")*1)&gt;=2,0.4,0.5),MIN(1,0.25+15/SQRT(IF(KLL!E129="",INPUTS!$B$18,KLL!E129)*SUMPRODUCT((CLASS!$E129:$E129="RES")*1,TRIB!$E129:$E129)))))</f>
        <v>1</v>
      </c>
      <c r="F129" s="15" t="n">
        <f aca="false">IF(IF(KLL!F129="",INPUTS!$B$18,KLL!F129)*SUMPRODUCT((CLASS!$E129:$F129="RES")*1,TRIB!$E129:$F129)&lt;400,1,MAX(IF(SUMPRODUCT((CLASS!$E129:$F129="RES")*1)&gt;=2,0.4,0.5),MIN(1,0.25+15/SQRT(IF(KLL!F129="",INPUTS!$B$18,KLL!F129)*SUMPRODUCT((CLASS!$E129:$F129="RES")*1,TRIB!$E129:$F129)))))</f>
        <v>1</v>
      </c>
      <c r="G129" s="15" t="n">
        <f aca="false">IF(IF(KLL!G129="",INPUTS!$B$18,KLL!G129)*SUMPRODUCT((CLASS!$E129:$G129="RES")*1,TRIB!$E129:$G129)&lt;400,1,MAX(IF(SUMPRODUCT((CLASS!$E129:$G129="RES")*1)&gt;=2,0.4,0.5),MIN(1,0.25+15/SQRT(IF(KLL!G129="",INPUTS!$B$18,KLL!G129)*SUMPRODUCT((CLASS!$E129:$G129="RES")*1,TRIB!$E129:$G129)))))</f>
        <v>1</v>
      </c>
      <c r="H129" s="15" t="n">
        <f aca="false">IF(IF(KLL!H129="",INPUTS!$B$18,KLL!H129)*SUMPRODUCT((CLASS!$E129:$H129="RES")*1,TRIB!$E129:$H129)&lt;400,1,MAX(IF(SUMPRODUCT((CLASS!$E129:$H129="RES")*1)&gt;=2,0.4,0.5),MIN(1,0.25+15/SQRT(IF(KLL!H129="",INPUTS!$B$18,KLL!H129)*SUMPRODUCT((CLASS!$E129:$H129="RES")*1,TRIB!$E129:$H129)))))</f>
        <v>1</v>
      </c>
      <c r="I129" s="15" t="n">
        <f aca="false">IF(IF(KLL!I129="",INPUTS!$B$18,KLL!I129)*SUMPRODUCT((CLASS!$E129:$I129="RES")*1,TRIB!$E129:$I129)&lt;400,1,MAX(IF(SUMPRODUCT((CLASS!$E129:$I129="RES")*1)&gt;=2,0.4,0.5),MIN(1,0.25+15/SQRT(IF(KLL!I129="",INPUTS!$B$18,KLL!I129)*SUMPRODUCT((CLASS!$E129:$I129="RES")*1,TRIB!$E129:$I129)))))</f>
        <v>1</v>
      </c>
      <c r="J129" s="15" t="n">
        <f aca="false">IF(IF(KLL!J129="",INPUTS!$B$18,KLL!J129)*SUMPRODUCT((CLASS!$E129:$J129="RES")*1,TRIB!$E129:$J129)&lt;400,1,MAX(IF(SUMPRODUCT((CLASS!$E129:$J129="RES")*1)&gt;=2,0.4,0.5),MIN(1,0.25+15/SQRT(IF(KLL!J129="",INPUTS!$B$18,KLL!J129)*SUMPRODUCT((CLASS!$E129:$J129="RES")*1,TRIB!$E129:$J129)))))</f>
        <v>1</v>
      </c>
      <c r="K129" s="15" t="n">
        <f aca="false">IF(IF(KLL!K129="",INPUTS!$B$18,KLL!K129)*SUMPRODUCT((CLASS!$E129:$K129="RES")*1,TRIB!$E129:$K129)&lt;400,1,MAX(IF(SUMPRODUCT((CLASS!$E129:$K129="RES")*1)&gt;=2,0.4,0.5),MIN(1,0.25+15/SQRT(IF(KLL!K129="",INPUTS!$B$18,KLL!K129)*SUMPRODUCT((CLASS!$E129:$K129="RES")*1,TRIB!$E129:$K129)))))</f>
        <v>1</v>
      </c>
      <c r="L129" s="15" t="n">
        <f aca="false">IF(IF(KLL!L129="",INPUTS!$B$18,KLL!L129)*SUMPRODUCT((CLASS!$E129:$L129="RES")*1,TRIB!$E129:$L129)&lt;400,1,MAX(IF(SUMPRODUCT((CLASS!$E129:$L129="RES")*1)&gt;=2,0.4,0.5),MIN(1,0.25+15/SQRT(IF(KLL!L129="",INPUTS!$B$18,KLL!L129)*SUMPRODUCT((CLASS!$E129:$L129="RES")*1,TRIB!$E129:$L129)))))</f>
        <v>1</v>
      </c>
      <c r="M129" s="15" t="n">
        <f aca="false">IF(IF(KLL!M129="",INPUTS!$B$18,KLL!M129)*SUMPRODUCT((CLASS!$E129:$M129="RES")*1,TRIB!$E129:$M129)&lt;400,1,MAX(IF(SUMPRODUCT((CLASS!$E129:$M129="RES")*1)&gt;=2,0.4,0.5),MIN(1,0.25+15/SQRT(IF(KLL!M129="",INPUTS!$B$18,KLL!M129)*SUMPRODUCT((CLASS!$E129:$M129="RES")*1,TRIB!$E129:$M129)))))</f>
        <v>1</v>
      </c>
      <c r="N129" s="15" t="n">
        <f aca="false">IF(IF(KLL!N129="",INPUTS!$B$18,KLL!N129)*SUMPRODUCT((CLASS!$E129:$N129="RES")*1,TRIB!$E129:$N129)&lt;400,1,MAX(IF(SUMPRODUCT((CLASS!$E129:$N129="RES")*1)&gt;=2,0.4,0.5),MIN(1,0.25+15/SQRT(IF(KLL!N129="",INPUTS!$B$18,KLL!N129)*SUMPRODUCT((CLASS!$E129:$N129="RES")*1,TRIB!$E129:$N129)))))</f>
        <v>1</v>
      </c>
      <c r="O129" s="15" t="n">
        <f aca="false">IF(IF(KLL!O129="",INPUTS!$B$18,KLL!O129)*SUMPRODUCT((CLASS!$E129:$O129="RES")*1,TRIB!$E129:$O129)&lt;400,1,MAX(IF(SUMPRODUCT((CLASS!$E129:$O129="RES")*1)&gt;=2,0.4,0.5),MIN(1,0.25+15/SQRT(IF(KLL!O129="",INPUTS!$B$18,KLL!O129)*SUMPRODUCT((CLASS!$E129:$O129="RES")*1,TRIB!$E129:$O129)))))</f>
        <v>1</v>
      </c>
      <c r="P129" s="15" t="n">
        <f aca="false">IF(IF(KLL!P129="",INPUTS!$B$18,KLL!P129)*SUMPRODUCT((CLASS!$E129:$P129="RES")*1,TRIB!$E129:$P129)&lt;400,1,MAX(IF(SUMPRODUCT((CLASS!$E129:$P129="RES")*1)&gt;=2,0.4,0.5),MIN(1,0.25+15/SQRT(IF(KLL!P129="",INPUTS!$B$18,KLL!P129)*SUMPRODUCT((CLASS!$E129:$P129="RES")*1,TRIB!$E129:$P129)))))</f>
        <v>1</v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15" t="n">
        <f aca="false">IF(IF(KLL!E130="",INPUTS!$B$18,KLL!E130)*SUMPRODUCT((CLASS!$E130:$E130="RES")*1,TRIB!$E130:$E130)&lt;400,1,MAX(IF(SUMPRODUCT((CLASS!$E130:$E130="RES")*1)&gt;=2,0.4,0.5),MIN(1,0.25+15/SQRT(IF(KLL!E130="",INPUTS!$B$18,KLL!E130)*SUMPRODUCT((CLASS!$E130:$E130="RES")*1,TRIB!$E130:$E130)))))</f>
        <v>1</v>
      </c>
      <c r="F130" s="15" t="n">
        <f aca="false">IF(IF(KLL!F130="",INPUTS!$B$18,KLL!F130)*SUMPRODUCT((CLASS!$E130:$F130="RES")*1,TRIB!$E130:$F130)&lt;400,1,MAX(IF(SUMPRODUCT((CLASS!$E130:$F130="RES")*1)&gt;=2,0.4,0.5),MIN(1,0.25+15/SQRT(IF(KLL!F130="",INPUTS!$B$18,KLL!F130)*SUMPRODUCT((CLASS!$E130:$F130="RES")*1,TRIB!$E130:$F130)))))</f>
        <v>1</v>
      </c>
      <c r="G130" s="15" t="n">
        <f aca="false">IF(IF(KLL!G130="",INPUTS!$B$18,KLL!G130)*SUMPRODUCT((CLASS!$E130:$G130="RES")*1,TRIB!$E130:$G130)&lt;400,1,MAX(IF(SUMPRODUCT((CLASS!$E130:$G130="RES")*1)&gt;=2,0.4,0.5),MIN(1,0.25+15/SQRT(IF(KLL!G130="",INPUTS!$B$18,KLL!G130)*SUMPRODUCT((CLASS!$E130:$G130="RES")*1,TRIB!$E130:$G130)))))</f>
        <v>1</v>
      </c>
      <c r="H130" s="15" t="n">
        <f aca="false">IF(IF(KLL!H130="",INPUTS!$B$18,KLL!H130)*SUMPRODUCT((CLASS!$E130:$H130="RES")*1,TRIB!$E130:$H130)&lt;400,1,MAX(IF(SUMPRODUCT((CLASS!$E130:$H130="RES")*1)&gt;=2,0.4,0.5),MIN(1,0.25+15/SQRT(IF(KLL!H130="",INPUTS!$B$18,KLL!H130)*SUMPRODUCT((CLASS!$E130:$H130="RES")*1,TRIB!$E130:$H130)))))</f>
        <v>1</v>
      </c>
      <c r="I130" s="15" t="n">
        <f aca="false">IF(IF(KLL!I130="",INPUTS!$B$18,KLL!I130)*SUMPRODUCT((CLASS!$E130:$I130="RES")*1,TRIB!$E130:$I130)&lt;400,1,MAX(IF(SUMPRODUCT((CLASS!$E130:$I130="RES")*1)&gt;=2,0.4,0.5),MIN(1,0.25+15/SQRT(IF(KLL!I130="",INPUTS!$B$18,KLL!I130)*SUMPRODUCT((CLASS!$E130:$I130="RES")*1,TRIB!$E130:$I130)))))</f>
        <v>1</v>
      </c>
      <c r="J130" s="15" t="n">
        <f aca="false">IF(IF(KLL!J130="",INPUTS!$B$18,KLL!J130)*SUMPRODUCT((CLASS!$E130:$J130="RES")*1,TRIB!$E130:$J130)&lt;400,1,MAX(IF(SUMPRODUCT((CLASS!$E130:$J130="RES")*1)&gt;=2,0.4,0.5),MIN(1,0.25+15/SQRT(IF(KLL!J130="",INPUTS!$B$18,KLL!J130)*SUMPRODUCT((CLASS!$E130:$J130="RES")*1,TRIB!$E130:$J130)))))</f>
        <v>0.926252226000574</v>
      </c>
      <c r="K130" s="15" t="n">
        <f aca="false">IF(IF(KLL!K130="",INPUTS!$B$18,KLL!K130)*SUMPRODUCT((CLASS!$E130:$K130="RES")*1,TRIB!$E130:$K130)&lt;400,1,MAX(IF(SUMPRODUCT((CLASS!$E130:$K130="RES")*1)&gt;=2,0.4,0.5),MIN(1,0.25+15/SQRT(IF(KLL!K130="",INPUTS!$B$18,KLL!K130)*SUMPRODUCT((CLASS!$E130:$K130="RES")*1,TRIB!$E130:$K130)))))</f>
        <v>0.926252226000574</v>
      </c>
      <c r="L130" s="15" t="n">
        <f aca="false">IF(IF(KLL!L130="",INPUTS!$B$18,KLL!L130)*SUMPRODUCT((CLASS!$E130:$L130="RES")*1,TRIB!$E130:$L130)&lt;400,1,MAX(IF(SUMPRODUCT((CLASS!$E130:$L130="RES")*1)&gt;=2,0.4,0.5),MIN(1,0.25+15/SQRT(IF(KLL!L130="",INPUTS!$B$18,KLL!L130)*SUMPRODUCT((CLASS!$E130:$L130="RES")*1,TRIB!$E130:$L130)))))</f>
        <v>0.926252226000574</v>
      </c>
      <c r="M130" s="15" t="n">
        <f aca="false">IF(IF(KLL!M130="",INPUTS!$B$18,KLL!M130)*SUMPRODUCT((CLASS!$E130:$M130="RES")*1,TRIB!$E130:$M130)&lt;400,1,MAX(IF(SUMPRODUCT((CLASS!$E130:$M130="RES")*1)&gt;=2,0.4,0.5),MIN(1,0.25+15/SQRT(IF(KLL!M130="",INPUTS!$B$18,KLL!M130)*SUMPRODUCT((CLASS!$E130:$M130="RES")*1,TRIB!$E130:$M130)))))</f>
        <v>0.926252226000574</v>
      </c>
      <c r="N130" s="15" t="n">
        <f aca="false">IF(IF(KLL!N130="",INPUTS!$B$18,KLL!N130)*SUMPRODUCT((CLASS!$E130:$N130="RES")*1,TRIB!$E130:$N130)&lt;400,1,MAX(IF(SUMPRODUCT((CLASS!$E130:$N130="RES")*1)&gt;=2,0.4,0.5),MIN(1,0.25+15/SQRT(IF(KLL!N130="",INPUTS!$B$18,KLL!N130)*SUMPRODUCT((CLASS!$E130:$N130="RES")*1,TRIB!$E130:$N130)))))</f>
        <v>0.926252226000574</v>
      </c>
      <c r="O130" s="15" t="n">
        <f aca="false">IF(IF(KLL!O130="",INPUTS!$B$18,KLL!O130)*SUMPRODUCT((CLASS!$E130:$O130="RES")*1,TRIB!$E130:$O130)&lt;400,1,MAX(IF(SUMPRODUCT((CLASS!$E130:$O130="RES")*1)&gt;=2,0.4,0.5),MIN(1,0.25+15/SQRT(IF(KLL!O130="",INPUTS!$B$18,KLL!O130)*SUMPRODUCT((CLASS!$E130:$O130="RES")*1,TRIB!$E130:$O130)))))</f>
        <v>0.926252226000574</v>
      </c>
      <c r="P130" s="15" t="n">
        <f aca="false">IF(IF(KLL!P130="",INPUTS!$B$18,KLL!P130)*SUMPRODUCT((CLASS!$E130:$P130="RES")*1,TRIB!$E130:$P130)&lt;400,1,MAX(IF(SUMPRODUCT((CLASS!$E130:$P130="RES")*1)&gt;=2,0.4,0.5),MIN(1,0.25+15/SQRT(IF(KLL!P130="",INPUTS!$B$18,KLL!P130)*SUMPRODUCT((CLASS!$E130:$P130="RES")*1,TRIB!$E130:$P130)))))</f>
        <v>0.926252226000574</v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15" t="n">
        <f aca="false">IF(IF(KLL!E131="",INPUTS!$B$18,KLL!E131)*SUMPRODUCT((CLASS!$E131:$E131="RES")*1,TRIB!$E131:$E131)&lt;400,1,MAX(IF(SUMPRODUCT((CLASS!$E131:$E131="RES")*1)&gt;=2,0.4,0.5),MIN(1,0.25+15/SQRT(IF(KLL!E131="",INPUTS!$B$18,KLL!E131)*SUMPRODUCT((CLASS!$E131:$E131="RES")*1,TRIB!$E131:$E131)))))</f>
        <v>1</v>
      </c>
      <c r="F131" s="15" t="n">
        <f aca="false">IF(IF(KLL!F131="",INPUTS!$B$18,KLL!F131)*SUMPRODUCT((CLASS!$E131:$F131="RES")*1,TRIB!$E131:$F131)&lt;400,1,MAX(IF(SUMPRODUCT((CLASS!$E131:$F131="RES")*1)&gt;=2,0.4,0.5),MIN(1,0.25+15/SQRT(IF(KLL!F131="",INPUTS!$B$18,KLL!F131)*SUMPRODUCT((CLASS!$E131:$F131="RES")*1,TRIB!$E131:$F131)))))</f>
        <v>1</v>
      </c>
      <c r="G131" s="15" t="n">
        <f aca="false">IF(IF(KLL!G131="",INPUTS!$B$18,KLL!G131)*SUMPRODUCT((CLASS!$E131:$G131="RES")*1,TRIB!$E131:$G131)&lt;400,1,MAX(IF(SUMPRODUCT((CLASS!$E131:$G131="RES")*1)&gt;=2,0.4,0.5),MIN(1,0.25+15/SQRT(IF(KLL!G131="",INPUTS!$B$18,KLL!G131)*SUMPRODUCT((CLASS!$E131:$G131="RES")*1,TRIB!$E131:$G131)))))</f>
        <v>1</v>
      </c>
      <c r="H131" s="15" t="n">
        <f aca="false">IF(IF(KLL!H131="",INPUTS!$B$18,KLL!H131)*SUMPRODUCT((CLASS!$E131:$H131="RES")*1,TRIB!$E131:$H131)&lt;400,1,MAX(IF(SUMPRODUCT((CLASS!$E131:$H131="RES")*1)&gt;=2,0.4,0.5),MIN(1,0.25+15/SQRT(IF(KLL!H131="",INPUTS!$B$18,KLL!H131)*SUMPRODUCT((CLASS!$E131:$H131="RES")*1,TRIB!$E131:$H131)))))</f>
        <v>1</v>
      </c>
      <c r="I131" s="15" t="n">
        <f aca="false">IF(IF(KLL!I131="",INPUTS!$B$18,KLL!I131)*SUMPRODUCT((CLASS!$E131:$I131="RES")*1,TRIB!$E131:$I131)&lt;400,1,MAX(IF(SUMPRODUCT((CLASS!$E131:$I131="RES")*1)&gt;=2,0.4,0.5),MIN(1,0.25+15/SQRT(IF(KLL!I131="",INPUTS!$B$18,KLL!I131)*SUMPRODUCT((CLASS!$E131:$I131="RES")*1,TRIB!$E131:$I131)))))</f>
        <v>1</v>
      </c>
      <c r="J131" s="15" t="n">
        <f aca="false">IF(IF(KLL!J131="",INPUTS!$B$18,KLL!J131)*SUMPRODUCT((CLASS!$E131:$J131="RES")*1,TRIB!$E131:$J131)&lt;400,1,MAX(IF(SUMPRODUCT((CLASS!$E131:$J131="RES")*1)&gt;=2,0.4,0.5),MIN(1,0.25+15/SQRT(IF(KLL!J131="",INPUTS!$B$18,KLL!J131)*SUMPRODUCT((CLASS!$E131:$J131="RES")*1,TRIB!$E131:$J131)))))</f>
        <v>1</v>
      </c>
      <c r="K131" s="15" t="n">
        <f aca="false">IF(IF(KLL!K131="",INPUTS!$B$18,KLL!K131)*SUMPRODUCT((CLASS!$E131:$K131="RES")*1,TRIB!$E131:$K131)&lt;400,1,MAX(IF(SUMPRODUCT((CLASS!$E131:$K131="RES")*1)&gt;=2,0.4,0.5),MIN(1,0.25+15/SQRT(IF(KLL!K131="",INPUTS!$B$18,KLL!K131)*SUMPRODUCT((CLASS!$E131:$K131="RES")*1,TRIB!$E131:$K131)))))</f>
        <v>1</v>
      </c>
      <c r="L131" s="15" t="n">
        <f aca="false">IF(IF(KLL!L131="",INPUTS!$B$18,KLL!L131)*SUMPRODUCT((CLASS!$E131:$L131="RES")*1,TRIB!$E131:$L131)&lt;400,1,MAX(IF(SUMPRODUCT((CLASS!$E131:$L131="RES")*1)&gt;=2,0.4,0.5),MIN(1,0.25+15/SQRT(IF(KLL!L131="",INPUTS!$B$18,KLL!L131)*SUMPRODUCT((CLASS!$E131:$L131="RES")*1,TRIB!$E131:$L131)))))</f>
        <v>1</v>
      </c>
      <c r="M131" s="15" t="n">
        <f aca="false">IF(IF(KLL!M131="",INPUTS!$B$18,KLL!M131)*SUMPRODUCT((CLASS!$E131:$M131="RES")*1,TRIB!$E131:$M131)&lt;400,1,MAX(IF(SUMPRODUCT((CLASS!$E131:$M131="RES")*1)&gt;=2,0.4,0.5),MIN(1,0.25+15/SQRT(IF(KLL!M131="",INPUTS!$B$18,KLL!M131)*SUMPRODUCT((CLASS!$E131:$M131="RES")*1,TRIB!$E131:$M131)))))</f>
        <v>1</v>
      </c>
      <c r="N131" s="15" t="n">
        <f aca="false">IF(IF(KLL!N131="",INPUTS!$B$18,KLL!N131)*SUMPRODUCT((CLASS!$E131:$N131="RES")*1,TRIB!$E131:$N131)&lt;400,1,MAX(IF(SUMPRODUCT((CLASS!$E131:$N131="RES")*1)&gt;=2,0.4,0.5),MIN(1,0.25+15/SQRT(IF(KLL!N131="",INPUTS!$B$18,KLL!N131)*SUMPRODUCT((CLASS!$E131:$N131="RES")*1,TRIB!$E131:$N131)))))</f>
        <v>1</v>
      </c>
      <c r="O131" s="15" t="n">
        <f aca="false">IF(IF(KLL!O131="",INPUTS!$B$18,KLL!O131)*SUMPRODUCT((CLASS!$E131:$O131="RES")*1,TRIB!$E131:$O131)&lt;400,1,MAX(IF(SUMPRODUCT((CLASS!$E131:$O131="RES")*1)&gt;=2,0.4,0.5),MIN(1,0.25+15/SQRT(IF(KLL!O131="",INPUTS!$B$18,KLL!O131)*SUMPRODUCT((CLASS!$E131:$O131="RES")*1,TRIB!$E131:$O131)))))</f>
        <v>1</v>
      </c>
      <c r="P131" s="15" t="n">
        <f aca="false">IF(IF(KLL!P131="",INPUTS!$B$18,KLL!P131)*SUMPRODUCT((CLASS!$E131:$P131="RES")*1,TRIB!$E131:$P131)&lt;400,1,MAX(IF(SUMPRODUCT((CLASS!$E131:$P131="RES")*1)&gt;=2,0.4,0.5),MIN(1,0.25+15/SQRT(IF(KLL!P131="",INPUTS!$B$18,KLL!P131)*SUMPRODUCT((CLASS!$E131:$P131="RES")*1,TRIB!$E131:$P131)))))</f>
        <v>1</v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15" t="n">
        <f aca="false">IF(IF(KLL!E132="",INPUTS!$B$18,KLL!E132)*SUMPRODUCT((CLASS!$E132:$E132="RES")*1,TRIB!$E132:$E132)&lt;400,1,MAX(IF(SUMPRODUCT((CLASS!$E132:$E132="RES")*1)&gt;=2,0.4,0.5),MIN(1,0.25+15/SQRT(IF(KLL!E132="",INPUTS!$B$18,KLL!E132)*SUMPRODUCT((CLASS!$E132:$E132="RES")*1,TRIB!$E132:$E132)))))</f>
        <v>1</v>
      </c>
      <c r="F132" s="15" t="n">
        <f aca="false">IF(IF(KLL!F132="",INPUTS!$B$18,KLL!F132)*SUMPRODUCT((CLASS!$E132:$F132="RES")*1,TRIB!$E132:$F132)&lt;400,1,MAX(IF(SUMPRODUCT((CLASS!$E132:$F132="RES")*1)&gt;=2,0.4,0.5),MIN(1,0.25+15/SQRT(IF(KLL!F132="",INPUTS!$B$18,KLL!F132)*SUMPRODUCT((CLASS!$E132:$F132="RES")*1,TRIB!$E132:$F132)))))</f>
        <v>1</v>
      </c>
      <c r="G132" s="15" t="n">
        <f aca="false">IF(IF(KLL!G132="",INPUTS!$B$18,KLL!G132)*SUMPRODUCT((CLASS!$E132:$G132="RES")*1,TRIB!$E132:$G132)&lt;400,1,MAX(IF(SUMPRODUCT((CLASS!$E132:$G132="RES")*1)&gt;=2,0.4,0.5),MIN(1,0.25+15/SQRT(IF(KLL!G132="",INPUTS!$B$18,KLL!G132)*SUMPRODUCT((CLASS!$E132:$G132="RES")*1,TRIB!$E132:$G132)))))</f>
        <v>1</v>
      </c>
      <c r="H132" s="15" t="n">
        <f aca="false">IF(IF(KLL!H132="",INPUTS!$B$18,KLL!H132)*SUMPRODUCT((CLASS!$E132:$H132="RES")*1,TRIB!$E132:$H132)&lt;400,1,MAX(IF(SUMPRODUCT((CLASS!$E132:$H132="RES")*1)&gt;=2,0.4,0.5),MIN(1,0.25+15/SQRT(IF(KLL!H132="",INPUTS!$B$18,KLL!H132)*SUMPRODUCT((CLASS!$E132:$H132="RES")*1,TRIB!$E132:$H132)))))</f>
        <v>1</v>
      </c>
      <c r="I132" s="15" t="n">
        <f aca="false">IF(IF(KLL!I132="",INPUTS!$B$18,KLL!I132)*SUMPRODUCT((CLASS!$E132:$I132="RES")*1,TRIB!$E132:$I132)&lt;400,1,MAX(IF(SUMPRODUCT((CLASS!$E132:$I132="RES")*1)&gt;=2,0.4,0.5),MIN(1,0.25+15/SQRT(IF(KLL!I132="",INPUTS!$B$18,KLL!I132)*SUMPRODUCT((CLASS!$E132:$I132="RES")*1,TRIB!$E132:$I132)))))</f>
        <v>1</v>
      </c>
      <c r="J132" s="15" t="n">
        <f aca="false">IF(IF(KLL!J132="",INPUTS!$B$18,KLL!J132)*SUMPRODUCT((CLASS!$E132:$J132="RES")*1,TRIB!$E132:$J132)&lt;400,1,MAX(IF(SUMPRODUCT((CLASS!$E132:$J132="RES")*1)&gt;=2,0.4,0.5),MIN(1,0.25+15/SQRT(IF(KLL!J132="",INPUTS!$B$18,KLL!J132)*SUMPRODUCT((CLASS!$E132:$J132="RES")*1,TRIB!$E132:$J132)))))</f>
        <v>1</v>
      </c>
      <c r="K132" s="15" t="n">
        <f aca="false">IF(IF(KLL!K132="",INPUTS!$B$18,KLL!K132)*SUMPRODUCT((CLASS!$E132:$K132="RES")*1,TRIB!$E132:$K132)&lt;400,1,MAX(IF(SUMPRODUCT((CLASS!$E132:$K132="RES")*1)&gt;=2,0.4,0.5),MIN(1,0.25+15/SQRT(IF(KLL!K132="",INPUTS!$B$18,KLL!K132)*SUMPRODUCT((CLASS!$E132:$K132="RES")*1,TRIB!$E132:$K132)))))</f>
        <v>1</v>
      </c>
      <c r="L132" s="15" t="n">
        <f aca="false">IF(IF(KLL!L132="",INPUTS!$B$18,KLL!L132)*SUMPRODUCT((CLASS!$E132:$L132="RES")*1,TRIB!$E132:$L132)&lt;400,1,MAX(IF(SUMPRODUCT((CLASS!$E132:$L132="RES")*1)&gt;=2,0.4,0.5),MIN(1,0.25+15/SQRT(IF(KLL!L132="",INPUTS!$B$18,KLL!L132)*SUMPRODUCT((CLASS!$E132:$L132="RES")*1,TRIB!$E132:$L132)))))</f>
        <v>1</v>
      </c>
      <c r="M132" s="15" t="n">
        <f aca="false">IF(IF(KLL!M132="",INPUTS!$B$18,KLL!M132)*SUMPRODUCT((CLASS!$E132:$M132="RES")*1,TRIB!$E132:$M132)&lt;400,1,MAX(IF(SUMPRODUCT((CLASS!$E132:$M132="RES")*1)&gt;=2,0.4,0.5),MIN(1,0.25+15/SQRT(IF(KLL!M132="",INPUTS!$B$18,KLL!M132)*SUMPRODUCT((CLASS!$E132:$M132="RES")*1,TRIB!$E132:$M132)))))</f>
        <v>1</v>
      </c>
      <c r="N132" s="15" t="n">
        <f aca="false">IF(IF(KLL!N132="",INPUTS!$B$18,KLL!N132)*SUMPRODUCT((CLASS!$E132:$N132="RES")*1,TRIB!$E132:$N132)&lt;400,1,MAX(IF(SUMPRODUCT((CLASS!$E132:$N132="RES")*1)&gt;=2,0.4,0.5),MIN(1,0.25+15/SQRT(IF(KLL!N132="",INPUTS!$B$18,KLL!N132)*SUMPRODUCT((CLASS!$E132:$N132="RES")*1,TRIB!$E132:$N132)))))</f>
        <v>1</v>
      </c>
      <c r="O132" s="15" t="n">
        <f aca="false">IF(IF(KLL!O132="",INPUTS!$B$18,KLL!O132)*SUMPRODUCT((CLASS!$E132:$O132="RES")*1,TRIB!$E132:$O132)&lt;400,1,MAX(IF(SUMPRODUCT((CLASS!$E132:$O132="RES")*1)&gt;=2,0.4,0.5),MIN(1,0.25+15/SQRT(IF(KLL!O132="",INPUTS!$B$18,KLL!O132)*SUMPRODUCT((CLASS!$E132:$O132="RES")*1,TRIB!$E132:$O132)))))</f>
        <v>1</v>
      </c>
      <c r="P132" s="15" t="n">
        <f aca="false">IF(IF(KLL!P132="",INPUTS!$B$18,KLL!P132)*SUMPRODUCT((CLASS!$E132:$P132="RES")*1,TRIB!$E132:$P132)&lt;400,1,MAX(IF(SUMPRODUCT((CLASS!$E132:$P132="RES")*1)&gt;=2,0.4,0.5),MIN(1,0.25+15/SQRT(IF(KLL!P132="",INPUTS!$B$18,KLL!P132)*SUMPRODUCT((CLASS!$E132:$P132="RES")*1,TRIB!$E132:$P132)))))</f>
        <v>1</v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15" t="n">
        <f aca="false">IF(IF(KLL!E133="",INPUTS!$B$18,KLL!E133)*SUMPRODUCT((CLASS!$E133:$E133="RES")*1,TRIB!$E133:$E133)&lt;400,1,MAX(IF(SUMPRODUCT((CLASS!$E133:$E133="RES")*1)&gt;=2,0.4,0.5),MIN(1,0.25+15/SQRT(IF(KLL!E133="",INPUTS!$B$18,KLL!E133)*SUMPRODUCT((CLASS!$E133:$E133="RES")*1,TRIB!$E133:$E133)))))</f>
        <v>1</v>
      </c>
      <c r="F133" s="15" t="n">
        <f aca="false">IF(IF(KLL!F133="",INPUTS!$B$18,KLL!F133)*SUMPRODUCT((CLASS!$E133:$F133="RES")*1,TRIB!$E133:$F133)&lt;400,1,MAX(IF(SUMPRODUCT((CLASS!$E133:$F133="RES")*1)&gt;=2,0.4,0.5),MIN(1,0.25+15/SQRT(IF(KLL!F133="",INPUTS!$B$18,KLL!F133)*SUMPRODUCT((CLASS!$E133:$F133="RES")*1,TRIB!$E133:$F133)))))</f>
        <v>1</v>
      </c>
      <c r="G133" s="15" t="n">
        <f aca="false">IF(IF(KLL!G133="",INPUTS!$B$18,KLL!G133)*SUMPRODUCT((CLASS!$E133:$G133="RES")*1,TRIB!$E133:$G133)&lt;400,1,MAX(IF(SUMPRODUCT((CLASS!$E133:$G133="RES")*1)&gt;=2,0.4,0.5),MIN(1,0.25+15/SQRT(IF(KLL!G133="",INPUTS!$B$18,KLL!G133)*SUMPRODUCT((CLASS!$E133:$G133="RES")*1,TRIB!$E133:$G133)))))</f>
        <v>1</v>
      </c>
      <c r="H133" s="15" t="n">
        <f aca="false">IF(IF(KLL!H133="",INPUTS!$B$18,KLL!H133)*SUMPRODUCT((CLASS!$E133:$H133="RES")*1,TRIB!$E133:$H133)&lt;400,1,MAX(IF(SUMPRODUCT((CLASS!$E133:$H133="RES")*1)&gt;=2,0.4,0.5),MIN(1,0.25+15/SQRT(IF(KLL!H133="",INPUTS!$B$18,KLL!H133)*SUMPRODUCT((CLASS!$E133:$H133="RES")*1,TRIB!$E133:$H133)))))</f>
        <v>1</v>
      </c>
      <c r="I133" s="15" t="n">
        <f aca="false">IF(IF(KLL!I133="",INPUTS!$B$18,KLL!I133)*SUMPRODUCT((CLASS!$E133:$I133="RES")*1,TRIB!$E133:$I133)&lt;400,1,MAX(IF(SUMPRODUCT((CLASS!$E133:$I133="RES")*1)&gt;=2,0.4,0.5),MIN(1,0.25+15/SQRT(IF(KLL!I133="",INPUTS!$B$18,KLL!I133)*SUMPRODUCT((CLASS!$E133:$I133="RES")*1,TRIB!$E133:$I133)))))</f>
        <v>1</v>
      </c>
      <c r="J133" s="15" t="n">
        <f aca="false">IF(IF(KLL!J133="",INPUTS!$B$18,KLL!J133)*SUMPRODUCT((CLASS!$E133:$J133="RES")*1,TRIB!$E133:$J133)&lt;400,1,MAX(IF(SUMPRODUCT((CLASS!$E133:$J133="RES")*1)&gt;=2,0.4,0.5),MIN(1,0.25+15/SQRT(IF(KLL!J133="",INPUTS!$B$18,KLL!J133)*SUMPRODUCT((CLASS!$E133:$J133="RES")*1,TRIB!$E133:$J133)))))</f>
        <v>1</v>
      </c>
      <c r="K133" s="15" t="n">
        <f aca="false">IF(IF(KLL!K133="",INPUTS!$B$18,KLL!K133)*SUMPRODUCT((CLASS!$E133:$K133="RES")*1,TRIB!$E133:$K133)&lt;400,1,MAX(IF(SUMPRODUCT((CLASS!$E133:$K133="RES")*1)&gt;=2,0.4,0.5),MIN(1,0.25+15/SQRT(IF(KLL!K133="",INPUTS!$B$18,KLL!K133)*SUMPRODUCT((CLASS!$E133:$K133="RES")*1,TRIB!$E133:$K133)))))</f>
        <v>1</v>
      </c>
      <c r="L133" s="15" t="n">
        <f aca="false">IF(IF(KLL!L133="",INPUTS!$B$18,KLL!L133)*SUMPRODUCT((CLASS!$E133:$L133="RES")*1,TRIB!$E133:$L133)&lt;400,1,MAX(IF(SUMPRODUCT((CLASS!$E133:$L133="RES")*1)&gt;=2,0.4,0.5),MIN(1,0.25+15/SQRT(IF(KLL!L133="",INPUTS!$B$18,KLL!L133)*SUMPRODUCT((CLASS!$E133:$L133="RES")*1,TRIB!$E133:$L133)))))</f>
        <v>1</v>
      </c>
      <c r="M133" s="15" t="n">
        <f aca="false">IF(IF(KLL!M133="",INPUTS!$B$18,KLL!M133)*SUMPRODUCT((CLASS!$E133:$M133="RES")*1,TRIB!$E133:$M133)&lt;400,1,MAX(IF(SUMPRODUCT((CLASS!$E133:$M133="RES")*1)&gt;=2,0.4,0.5),MIN(1,0.25+15/SQRT(IF(KLL!M133="",INPUTS!$B$18,KLL!M133)*SUMPRODUCT((CLASS!$E133:$M133="RES")*1,TRIB!$E133:$M133)))))</f>
        <v>1</v>
      </c>
      <c r="N133" s="15" t="n">
        <f aca="false">IF(IF(KLL!N133="",INPUTS!$B$18,KLL!N133)*SUMPRODUCT((CLASS!$E133:$N133="RES")*1,TRIB!$E133:$N133)&lt;400,1,MAX(IF(SUMPRODUCT((CLASS!$E133:$N133="RES")*1)&gt;=2,0.4,0.5),MIN(1,0.25+15/SQRT(IF(KLL!N133="",INPUTS!$B$18,KLL!N133)*SUMPRODUCT((CLASS!$E133:$N133="RES")*1,TRIB!$E133:$N133)))))</f>
        <v>1</v>
      </c>
      <c r="O133" s="15" t="n">
        <f aca="false">IF(IF(KLL!O133="",INPUTS!$B$18,KLL!O133)*SUMPRODUCT((CLASS!$E133:$O133="RES")*1,TRIB!$E133:$O133)&lt;400,1,MAX(IF(SUMPRODUCT((CLASS!$E133:$O133="RES")*1)&gt;=2,0.4,0.5),MIN(1,0.25+15/SQRT(IF(KLL!O133="",INPUTS!$B$18,KLL!O133)*SUMPRODUCT((CLASS!$E133:$O133="RES")*1,TRIB!$E133:$O133)))))</f>
        <v>1</v>
      </c>
      <c r="P133" s="15" t="n">
        <f aca="false">IF(IF(KLL!P133="",INPUTS!$B$18,KLL!P133)*SUMPRODUCT((CLASS!$E133:$P133="RES")*1,TRIB!$E133:$P133)&lt;400,1,MAX(IF(SUMPRODUCT((CLASS!$E133:$P133="RES")*1)&gt;=2,0.4,0.5),MIN(1,0.25+15/SQRT(IF(KLL!P133="",INPUTS!$B$18,KLL!P133)*SUMPRODUCT((CLASS!$E133:$P133="RES")*1,TRIB!$E133:$P133)))))</f>
        <v>1</v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15" t="n">
        <f aca="false">IF(IF(KLL!E134="",INPUTS!$B$18,KLL!E134)*SUMPRODUCT((CLASS!$E134:$E134="RES")*1,TRIB!$E134:$E134)&lt;400,1,MAX(IF(SUMPRODUCT((CLASS!$E134:$E134="RES")*1)&gt;=2,0.4,0.5),MIN(1,0.25+15/SQRT(IF(KLL!E134="",INPUTS!$B$18,KLL!E134)*SUMPRODUCT((CLASS!$E134:$E134="RES")*1,TRIB!$E134:$E134)))))</f>
        <v>1</v>
      </c>
      <c r="F134" s="15" t="n">
        <f aca="false">IF(IF(KLL!F134="",INPUTS!$B$18,KLL!F134)*SUMPRODUCT((CLASS!$E134:$F134="RES")*1,TRIB!$E134:$F134)&lt;400,1,MAX(IF(SUMPRODUCT((CLASS!$E134:$F134="RES")*1)&gt;=2,0.4,0.5),MIN(1,0.25+15/SQRT(IF(KLL!F134="",INPUTS!$B$18,KLL!F134)*SUMPRODUCT((CLASS!$E134:$F134="RES")*1,TRIB!$E134:$F134)))))</f>
        <v>1</v>
      </c>
      <c r="G134" s="15" t="n">
        <f aca="false">IF(IF(KLL!G134="",INPUTS!$B$18,KLL!G134)*SUMPRODUCT((CLASS!$E134:$G134="RES")*1,TRIB!$E134:$G134)&lt;400,1,MAX(IF(SUMPRODUCT((CLASS!$E134:$G134="RES")*1)&gt;=2,0.4,0.5),MIN(1,0.25+15/SQRT(IF(KLL!G134="",INPUTS!$B$18,KLL!G134)*SUMPRODUCT((CLASS!$E134:$G134="RES")*1,TRIB!$E134:$G134)))))</f>
        <v>1</v>
      </c>
      <c r="H134" s="15" t="n">
        <f aca="false">IF(IF(KLL!H134="",INPUTS!$B$18,KLL!H134)*SUMPRODUCT((CLASS!$E134:$H134="RES")*1,TRIB!$E134:$H134)&lt;400,1,MAX(IF(SUMPRODUCT((CLASS!$E134:$H134="RES")*1)&gt;=2,0.4,0.5),MIN(1,0.25+15/SQRT(IF(KLL!H134="",INPUTS!$B$18,KLL!H134)*SUMPRODUCT((CLASS!$E134:$H134="RES")*1,TRIB!$E134:$H134)))))</f>
        <v>1</v>
      </c>
      <c r="I134" s="15" t="n">
        <f aca="false">IF(IF(KLL!I134="",INPUTS!$B$18,KLL!I134)*SUMPRODUCT((CLASS!$E134:$I134="RES")*1,TRIB!$E134:$I134)&lt;400,1,MAX(IF(SUMPRODUCT((CLASS!$E134:$I134="RES")*1)&gt;=2,0.4,0.5),MIN(1,0.25+15/SQRT(IF(KLL!I134="",INPUTS!$B$18,KLL!I134)*SUMPRODUCT((CLASS!$E134:$I134="RES")*1,TRIB!$E134:$I134)))))</f>
        <v>1</v>
      </c>
      <c r="J134" s="15" t="n">
        <f aca="false">IF(IF(KLL!J134="",INPUTS!$B$18,KLL!J134)*SUMPRODUCT((CLASS!$E134:$J134="RES")*1,TRIB!$E134:$J134)&lt;400,1,MAX(IF(SUMPRODUCT((CLASS!$E134:$J134="RES")*1)&gt;=2,0.4,0.5),MIN(1,0.25+15/SQRT(IF(KLL!J134="",INPUTS!$B$18,KLL!J134)*SUMPRODUCT((CLASS!$E134:$J134="RES")*1,TRIB!$E134:$J134)))))</f>
        <v>1</v>
      </c>
      <c r="K134" s="15" t="n">
        <f aca="false">IF(IF(KLL!K134="",INPUTS!$B$18,KLL!K134)*SUMPRODUCT((CLASS!$E134:$K134="RES")*1,TRIB!$E134:$K134)&lt;400,1,MAX(IF(SUMPRODUCT((CLASS!$E134:$K134="RES")*1)&gt;=2,0.4,0.5),MIN(1,0.25+15/SQRT(IF(KLL!K134="",INPUTS!$B$18,KLL!K134)*SUMPRODUCT((CLASS!$E134:$K134="RES")*1,TRIB!$E134:$K134)))))</f>
        <v>1</v>
      </c>
      <c r="L134" s="15" t="n">
        <f aca="false">IF(IF(KLL!L134="",INPUTS!$B$18,KLL!L134)*SUMPRODUCT((CLASS!$E134:$L134="RES")*1,TRIB!$E134:$L134)&lt;400,1,MAX(IF(SUMPRODUCT((CLASS!$E134:$L134="RES")*1)&gt;=2,0.4,0.5),MIN(1,0.25+15/SQRT(IF(KLL!L134="",INPUTS!$B$18,KLL!L134)*SUMPRODUCT((CLASS!$E134:$L134="RES")*1,TRIB!$E134:$L134)))))</f>
        <v>1</v>
      </c>
      <c r="M134" s="15" t="n">
        <f aca="false">IF(IF(KLL!M134="",INPUTS!$B$18,KLL!M134)*SUMPRODUCT((CLASS!$E134:$M134="RES")*1,TRIB!$E134:$M134)&lt;400,1,MAX(IF(SUMPRODUCT((CLASS!$E134:$M134="RES")*1)&gt;=2,0.4,0.5),MIN(1,0.25+15/SQRT(IF(KLL!M134="",INPUTS!$B$18,KLL!M134)*SUMPRODUCT((CLASS!$E134:$M134="RES")*1,TRIB!$E134:$M134)))))</f>
        <v>1</v>
      </c>
      <c r="N134" s="15" t="n">
        <f aca="false">IF(IF(KLL!N134="",INPUTS!$B$18,KLL!N134)*SUMPRODUCT((CLASS!$E134:$N134="RES")*1,TRIB!$E134:$N134)&lt;400,1,MAX(IF(SUMPRODUCT((CLASS!$E134:$N134="RES")*1)&gt;=2,0.4,0.5),MIN(1,0.25+15/SQRT(IF(KLL!N134="",INPUTS!$B$18,KLL!N134)*SUMPRODUCT((CLASS!$E134:$N134="RES")*1,TRIB!$E134:$N134)))))</f>
        <v>1</v>
      </c>
      <c r="O134" s="15" t="n">
        <f aca="false">IF(IF(KLL!O134="",INPUTS!$B$18,KLL!O134)*SUMPRODUCT((CLASS!$E134:$O134="RES")*1,TRIB!$E134:$O134)&lt;400,1,MAX(IF(SUMPRODUCT((CLASS!$E134:$O134="RES")*1)&gt;=2,0.4,0.5),MIN(1,0.25+15/SQRT(IF(KLL!O134="",INPUTS!$B$18,KLL!O134)*SUMPRODUCT((CLASS!$E134:$O134="RES")*1,TRIB!$E134:$O134)))))</f>
        <v>1</v>
      </c>
      <c r="P134" s="15" t="n">
        <f aca="false">IF(IF(KLL!P134="",INPUTS!$B$18,KLL!P134)*SUMPRODUCT((CLASS!$E134:$P134="RES")*1,TRIB!$E134:$P134)&lt;400,1,MAX(IF(SUMPRODUCT((CLASS!$E134:$P134="RES")*1)&gt;=2,0.4,0.5),MIN(1,0.25+15/SQRT(IF(KLL!P134="",INPUTS!$B$18,KLL!P134)*SUMPRODUCT((CLASS!$E134:$P134="RES")*1,TRIB!$E134:$P134)))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269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10" t="n">
        <f aca="false">INPUTS!$B$13*SUM(DEAD!$E2:$E2)+INPUTS!$B$14*(RED!E2*SUMPRODUCT((CLASS!$E2:$E2="RES")*1,LIVE!$E2:$E2)+IF(SUMPRODUCT((CLASS!$E2:$E2="GAR")*1)&gt;=2,INPUTS!$B$20,1)*SUMPRODUCT((CLASS!$E2:$E2="GAR")*1,LIVE!$E2:$E2)+SUMPRODUCT((CLASS!$E2:$E2="NR")*1,LIVE!$E2:$E2))</f>
        <v>0</v>
      </c>
      <c r="F2" s="10" t="n">
        <f aca="false">INPUTS!$B$13*SUM(DEAD!$E2:$F2)+INPUTS!$B$14*(RED!F2*SUMPRODUCT((CLASS!$E2:$F2="RES")*1,LIVE!$E2:$F2)+IF(SUMPRODUCT((CLASS!$E2:$F2="GAR")*1)&gt;=2,INPUTS!$B$20,1)*SUMPRODUCT((CLASS!$E2:$F2="GAR")*1,LIVE!$E2:$F2)+SUMPRODUCT((CLASS!$E2:$F2="NR")*1,LIVE!$E2:$F2))</f>
        <v>119.713</v>
      </c>
      <c r="G2" s="10" t="n">
        <f aca="false">INPUTS!$B$13*SUM(DEAD!$E2:$G2)+INPUTS!$B$14*(RED!G2*SUMPRODUCT((CLASS!$E2:$G2="RES")*1,LIVE!$E2:$G2)+IF(SUMPRODUCT((CLASS!$E2:$G2="GAR")*1)&gt;=2,INPUTS!$B$20,1)*SUMPRODUCT((CLASS!$E2:$G2="GAR")*1,LIVE!$E2:$G2)+SUMPRODUCT((CLASS!$E2:$G2="NR")*1,LIVE!$E2:$G2))</f>
        <v>165.812</v>
      </c>
      <c r="H2" s="10" t="n">
        <f aca="false">INPUTS!$B$13*SUM(DEAD!$E2:$H2)+INPUTS!$B$14*(RED!H2*SUMPRODUCT((CLASS!$E2:$H2="RES")*1,LIVE!$E2:$H2)+IF(SUMPRODUCT((CLASS!$E2:$H2="GAR")*1)&gt;=2,INPUTS!$B$20,1)*SUMPRODUCT((CLASS!$E2:$H2="GAR")*1,LIVE!$E2:$H2)+SUMPRODUCT((CLASS!$E2:$H2="NR")*1,LIVE!$E2:$H2))</f>
        <v>208.520646832623</v>
      </c>
      <c r="I2" s="10" t="n">
        <f aca="false">INPUTS!$B$13*SUM(DEAD!$E2:$I2)+INPUTS!$B$14*(RED!I2*SUMPRODUCT((CLASS!$E2:$I2="RES")*1,LIVE!$E2:$I2)+IF(SUMPRODUCT((CLASS!$E2:$I2="GAR")*1)&gt;=2,INPUTS!$B$20,1)*SUMPRODUCT((CLASS!$E2:$I2="GAR")*1,LIVE!$E2:$I2)+SUMPRODUCT((CLASS!$E2:$I2="NR")*1,LIVE!$E2:$I2))</f>
        <v>249.558307072954</v>
      </c>
      <c r="J2" s="10" t="n">
        <f aca="false">INPUTS!$B$13*SUM(DEAD!$E2:$J2)+INPUTS!$B$14*(RED!J2*SUMPRODUCT((CLASS!$E2:$J2="RES")*1,LIVE!$E2:$J2)+IF(SUMPRODUCT((CLASS!$E2:$J2="GAR")*1)&gt;=2,INPUTS!$B$20,1)*SUMPRODUCT((CLASS!$E2:$J2="GAR")*1,LIVE!$E2:$J2)+SUMPRODUCT((CLASS!$E2:$J2="NR")*1,LIVE!$E2:$J2))</f>
        <v>290.339646122227</v>
      </c>
      <c r="K2" s="10" t="n">
        <f aca="false">INPUTS!$B$13*SUM(DEAD!$E2:$K2)+INPUTS!$B$14*(RED!K2*SUMPRODUCT((CLASS!$E2:$K2="RES")*1,LIVE!$E2:$K2)+IF(SUMPRODUCT((CLASS!$E2:$K2="GAR")*1)&gt;=2,INPUTS!$B$20,1)*SUMPRODUCT((CLASS!$E2:$K2="GAR")*1,LIVE!$E2:$K2)+SUMPRODUCT((CLASS!$E2:$K2="NR")*1,LIVE!$E2:$K2))</f>
        <v>328.755940149533</v>
      </c>
      <c r="L2" s="10" t="n">
        <f aca="false">INPUTS!$B$13*SUM(DEAD!$E2:$L2)+INPUTS!$B$14*(RED!L2*SUMPRODUCT((CLASS!$E2:$L2="RES")*1,LIVE!$E2:$L2)+IF(SUMPRODUCT((CLASS!$E2:$L2="GAR")*1)&gt;=2,INPUTS!$B$20,1)*SUMPRODUCT((CLASS!$E2:$L2="GAR")*1,LIVE!$E2:$L2)+SUMPRODUCT((CLASS!$E2:$L2="NR")*1,LIVE!$E2:$L2))</f>
        <v>366.99362588311</v>
      </c>
      <c r="M2" s="10" t="n">
        <f aca="false">INPUTS!$B$13*SUM(DEAD!$E2:$M2)+INPUTS!$B$14*(RED!M2*SUMPRODUCT((CLASS!$E2:$M2="RES")*1,LIVE!$E2:$M2)+IF(SUMPRODUCT((CLASS!$E2:$M2="GAR")*1)&gt;=2,INPUTS!$B$20,1)*SUMPRODUCT((CLASS!$E2:$M2="GAR")*1,LIVE!$E2:$M2)+SUMPRODUCT((CLASS!$E2:$M2="NR")*1,LIVE!$E2:$M2))</f>
        <v>405.094466155299</v>
      </c>
      <c r="N2" s="10" t="n">
        <f aca="false">INPUTS!$B$13*SUM(DEAD!$E2:$N2)+INPUTS!$B$14*(RED!N2*SUMPRODUCT((CLASS!$E2:$N2="RES")*1,LIVE!$E2:$N2)+IF(SUMPRODUCT((CLASS!$E2:$N2="GAR")*1)&gt;=2,INPUTS!$B$20,1)*SUMPRODUCT((CLASS!$E2:$N2="GAR")*1,LIVE!$E2:$N2)+SUMPRODUCT((CLASS!$E2:$N2="NR")*1,LIVE!$E2:$N2))</f>
        <v>443.086111600785</v>
      </c>
      <c r="O2" s="10" t="n">
        <f aca="false">INPUTS!$B$13*SUM(DEAD!$E2:$O2)+INPUTS!$B$14*(RED!O2*SUMPRODUCT((CLASS!$E2:$O2="RES")*1,LIVE!$E2:$O2)+IF(SUMPRODUCT((CLASS!$E2:$O2="GAR")*1)&gt;=2,INPUTS!$B$20,1)*SUMPRODUCT((CLASS!$E2:$O2="GAR")*1,LIVE!$E2:$O2)+SUMPRODUCT((CLASS!$E2:$O2="NR")*1,LIVE!$E2:$O2))</f>
        <v>480.987992181391</v>
      </c>
      <c r="P2" s="10" t="n">
        <f aca="false">INPUTS!$B$13*SUM(DEAD!$E2:$P2)+INPUTS!$B$14*(RED!P2*SUMPRODUCT((CLASS!$E2:$P2="RES")*1,LIVE!$E2:$P2)+IF(SUMPRODUCT((CLASS!$E2:$P2="GAR")*1)&gt;=2,INPUTS!$B$20,1)*SUMPRODUCT((CLASS!$E2:$P2="GAR")*1,LIVE!$E2:$P2)+SUMPRODUCT((CLASS!$E2:$P2="NR")*1,LIVE!$E2:$P2))</f>
        <v>519.759379467083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10" t="n">
        <f aca="false">INPUTS!$B$13*SUM(DEAD!$E3:$E3)+INPUTS!$B$14*(RED!E3*SUMPRODUCT((CLASS!$E3:$E3="RES")*1,LIVE!$E3:$E3)+IF(SUMPRODUCT((CLASS!$E3:$E3="GAR")*1)&gt;=2,INPUTS!$B$20,1)*SUMPRODUCT((CLASS!$E3:$E3="GAR")*1,LIVE!$E3:$E3)+SUMPRODUCT((CLASS!$E3:$E3="NR")*1,LIVE!$E3:$E3))</f>
        <v>0</v>
      </c>
      <c r="F3" s="10" t="n">
        <f aca="false">INPUTS!$B$13*SUM(DEAD!$E3:$F3)+INPUTS!$B$14*(RED!F3*SUMPRODUCT((CLASS!$E3:$F3="RES")*1,LIVE!$E3:$F3)+IF(SUMPRODUCT((CLASS!$E3:$F3="GAR")*1)&gt;=2,INPUTS!$B$20,1)*SUMPRODUCT((CLASS!$E3:$F3="GAR")*1,LIVE!$E3:$F3)+SUMPRODUCT((CLASS!$E3:$F3="NR")*1,LIVE!$E3:$F3))</f>
        <v>0</v>
      </c>
      <c r="G3" s="10" t="n">
        <f aca="false">INPUTS!$B$13*SUM(DEAD!$E3:$G3)+INPUTS!$B$14*(RED!G3*SUMPRODUCT((CLASS!$E3:$G3="RES")*1,LIVE!$E3:$G3)+IF(SUMPRODUCT((CLASS!$E3:$G3="GAR")*1)&gt;=2,INPUTS!$B$20,1)*SUMPRODUCT((CLASS!$E3:$G3="GAR")*1,LIVE!$E3:$G3)+SUMPRODUCT((CLASS!$E3:$G3="NR")*1,LIVE!$E3:$G3))</f>
        <v>70.915160880644</v>
      </c>
      <c r="H3" s="10" t="n">
        <f aca="false">INPUTS!$B$13*SUM(DEAD!$E3:$H3)+INPUTS!$B$14*(RED!H3*SUMPRODUCT((CLASS!$E3:$H3="RES")*1,LIVE!$E3:$H3)+IF(SUMPRODUCT((CLASS!$E3:$H3="GAR")*1)&gt;=2,INPUTS!$B$20,1)*SUMPRODUCT((CLASS!$E3:$H3="GAR")*1,LIVE!$E3:$H3)+SUMPRODUCT((CLASS!$E3:$H3="NR")*1,LIVE!$E3:$H3))</f>
        <v>134.769045798451</v>
      </c>
      <c r="I3" s="10" t="n">
        <f aca="false">INPUTS!$B$13*SUM(DEAD!$E3:$I3)+INPUTS!$B$14*(RED!I3*SUMPRODUCT((CLASS!$E3:$I3="RES")*1,LIVE!$E3:$I3)+IF(SUMPRODUCT((CLASS!$E3:$I3="GAR")*1)&gt;=2,INPUTS!$B$20,1)*SUMPRODUCT((CLASS!$E3:$I3="GAR")*1,LIVE!$E3:$I3)+SUMPRODUCT((CLASS!$E3:$I3="NR")*1,LIVE!$E3:$I3))</f>
        <v>197.494865642255</v>
      </c>
      <c r="J3" s="10" t="n">
        <f aca="false">INPUTS!$B$13*SUM(DEAD!$E3:$J3)+INPUTS!$B$14*(RED!J3*SUMPRODUCT((CLASS!$E3:$J3="RES")*1,LIVE!$E3:$J3)+IF(SUMPRODUCT((CLASS!$E3:$J3="GAR")*1)&gt;=2,INPUTS!$B$20,1)*SUMPRODUCT((CLASS!$E3:$J3="GAR")*1,LIVE!$E3:$J3)+SUMPRODUCT((CLASS!$E3:$J3="NR")*1,LIVE!$E3:$J3))</f>
        <v>259.636129720771</v>
      </c>
      <c r="K3" s="10" t="n">
        <f aca="false">INPUTS!$B$13*SUM(DEAD!$E3:$K3)+INPUTS!$B$14*(RED!K3*SUMPRODUCT((CLASS!$E3:$K3="RES")*1,LIVE!$E3:$K3)+IF(SUMPRODUCT((CLASS!$E3:$K3="GAR")*1)&gt;=2,INPUTS!$B$20,1)*SUMPRODUCT((CLASS!$E3:$K3="GAR")*1,LIVE!$E3:$K3)+SUMPRODUCT((CLASS!$E3:$K3="NR")*1,LIVE!$E3:$K3))</f>
        <v>321.403655692284</v>
      </c>
      <c r="L3" s="10" t="n">
        <f aca="false">INPUTS!$B$13*SUM(DEAD!$E3:$L3)+INPUTS!$B$14*(RED!L3*SUMPRODUCT((CLASS!$E3:$L3="RES")*1,LIVE!$E3:$L3)+IF(SUMPRODUCT((CLASS!$E3:$L3="GAR")*1)&gt;=2,INPUTS!$B$20,1)*SUMPRODUCT((CLASS!$E3:$L3="GAR")*1,LIVE!$E3:$L3)+SUMPRODUCT((CLASS!$E3:$L3="NR")*1,LIVE!$E3:$L3))</f>
        <v>382.905632875283</v>
      </c>
      <c r="M3" s="10" t="n">
        <f aca="false">INPUTS!$B$13*SUM(DEAD!$E3:$M3)+INPUTS!$B$14*(RED!M3*SUMPRODUCT((CLASS!$E3:$M3="RES")*1,LIVE!$E3:$M3)+IF(SUMPRODUCT((CLASS!$E3:$M3="GAR")*1)&gt;=2,INPUTS!$B$20,1)*SUMPRODUCT((CLASS!$E3:$M3="GAR")*1,LIVE!$E3:$M3)+SUMPRODUCT((CLASS!$E3:$M3="NR")*1,LIVE!$E3:$M3))</f>
        <v>444.206355006731</v>
      </c>
      <c r="N3" s="10" t="n">
        <f aca="false">INPUTS!$B$13*SUM(DEAD!$E3:$N3)+INPUTS!$B$14*(RED!N3*SUMPRODUCT((CLASS!$E3:$N3="RES")*1,LIVE!$E3:$N3)+IF(SUMPRODUCT((CLASS!$E3:$N3="GAR")*1)&gt;=2,INPUTS!$B$20,1)*SUMPRODUCT((CLASS!$E3:$N3="GAR")*1,LIVE!$E3:$N3)+SUMPRODUCT((CLASS!$E3:$N3="NR")*1,LIVE!$E3:$N3))</f>
        <v>505.347723590619</v>
      </c>
      <c r="O3" s="10" t="n">
        <f aca="false">INPUTS!$B$13*SUM(DEAD!$E3:$O3)+INPUTS!$B$14*(RED!O3*SUMPRODUCT((CLASS!$E3:$O3="RES")*1,LIVE!$E3:$O3)+IF(SUMPRODUCT((CLASS!$E3:$O3="GAR")*1)&gt;=2,INPUTS!$B$20,1)*SUMPRODUCT((CLASS!$E3:$O3="GAR")*1,LIVE!$E3:$O3)+SUMPRODUCT((CLASS!$E3:$O3="NR")*1,LIVE!$E3:$O3))</f>
        <v>566.358848787023</v>
      </c>
      <c r="P3" s="10" t="n">
        <f aca="false">INPUTS!$B$13*SUM(DEAD!$E3:$P3)+INPUTS!$B$14*(RED!P3*SUMPRODUCT((CLASS!$E3:$P3="RES")*1,LIVE!$E3:$P3)+IF(SUMPRODUCT((CLASS!$E3:$P3="GAR")*1)&gt;=2,INPUTS!$B$20,1)*SUMPRODUCT((CLASS!$E3:$P3="GAR")*1,LIVE!$E3:$P3)+SUMPRODUCT((CLASS!$E3:$P3="NR")*1,LIVE!$E3:$P3))</f>
        <v>628.109158441642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10" t="n">
        <f aca="false">INPUTS!$B$13*SUM(DEAD!$E4:$E4)+INPUTS!$B$14*(RED!E4*SUMPRODUCT((CLASS!$E4:$E4="RES")*1,LIVE!$E4:$E4)+IF(SUMPRODUCT((CLASS!$E4:$E4="GAR")*1)&gt;=2,INPUTS!$B$20,1)*SUMPRODUCT((CLASS!$E4:$E4="GAR")*1,LIVE!$E4:$E4)+SUMPRODUCT((CLASS!$E4:$E4="NR")*1,LIVE!$E4:$E4))</f>
        <v>0</v>
      </c>
      <c r="F4" s="10" t="n">
        <f aca="false">INPUTS!$B$13*SUM(DEAD!$E4:$F4)+INPUTS!$B$14*(RED!F4*SUMPRODUCT((CLASS!$E4:$F4="RES")*1,LIVE!$E4:$F4)+IF(SUMPRODUCT((CLASS!$E4:$F4="GAR")*1)&gt;=2,INPUTS!$B$20,1)*SUMPRODUCT((CLASS!$E4:$F4="GAR")*1,LIVE!$E4:$F4)+SUMPRODUCT((CLASS!$E4:$F4="NR")*1,LIVE!$E4:$F4))</f>
        <v>105.909</v>
      </c>
      <c r="G4" s="10" t="n">
        <f aca="false">INPUTS!$B$13*SUM(DEAD!$E4:$G4)+INPUTS!$B$14*(RED!G4*SUMPRODUCT((CLASS!$E4:$G4="RES")*1,LIVE!$E4:$G4)+IF(SUMPRODUCT((CLASS!$E4:$G4="GAR")*1)&gt;=2,INPUTS!$B$20,1)*SUMPRODUCT((CLASS!$E4:$G4="GAR")*1,LIVE!$E4:$G4)+SUMPRODUCT((CLASS!$E4:$G4="NR")*1,LIVE!$E4:$G4))</f>
        <v>174.263982608683</v>
      </c>
      <c r="H4" s="10" t="n">
        <f aca="false">INPUTS!$B$13*SUM(DEAD!$E4:$H4)+INPUTS!$B$14*(RED!H4*SUMPRODUCT((CLASS!$E4:$H4="RES")*1,LIVE!$E4:$H4)+IF(SUMPRODUCT((CLASS!$E4:$H4="GAR")*1)&gt;=2,INPUTS!$B$20,1)*SUMPRODUCT((CLASS!$E4:$H4="GAR")*1,LIVE!$E4:$H4)+SUMPRODUCT((CLASS!$E4:$H4="NR")*1,LIVE!$E4:$H4))</f>
        <v>233.971532429671</v>
      </c>
      <c r="I4" s="10" t="n">
        <f aca="false">INPUTS!$B$13*SUM(DEAD!$E4:$I4)+INPUTS!$B$14*(RED!I4*SUMPRODUCT((CLASS!$E4:$I4="RES")*1,LIVE!$E4:$I4)+IF(SUMPRODUCT((CLASS!$E4:$I4="GAR")*1)&gt;=2,INPUTS!$B$20,1)*SUMPRODUCT((CLASS!$E4:$I4="GAR")*1,LIVE!$E4:$I4)+SUMPRODUCT((CLASS!$E4:$I4="NR")*1,LIVE!$E4:$I4))</f>
        <v>292.63298164366</v>
      </c>
      <c r="J4" s="10" t="n">
        <f aca="false">INPUTS!$B$13*SUM(DEAD!$E4:$J4)+INPUTS!$B$14*(RED!J4*SUMPRODUCT((CLASS!$E4:$J4="RES")*1,LIVE!$E4:$J4)+IF(SUMPRODUCT((CLASS!$E4:$J4="GAR")*1)&gt;=2,INPUTS!$B$20,1)*SUMPRODUCT((CLASS!$E4:$J4="GAR")*1,LIVE!$E4:$J4)+SUMPRODUCT((CLASS!$E4:$J4="NR")*1,LIVE!$E4:$J4))</f>
        <v>350.745466155299</v>
      </c>
      <c r="K4" s="10" t="n">
        <f aca="false">INPUTS!$B$13*SUM(DEAD!$E4:$K4)+INPUTS!$B$14*(RED!K4*SUMPRODUCT((CLASS!$E4:$K4="RES")*1,LIVE!$E4:$K4)+IF(SUMPRODUCT((CLASS!$E4:$K4="GAR")*1)&gt;=2,INPUTS!$B$20,1)*SUMPRODUCT((CLASS!$E4:$K4="GAR")*1,LIVE!$E4:$K4)+SUMPRODUCT((CLASS!$E4:$K4="NR")*1,LIVE!$E4:$K4))</f>
        <v>403.865860381274</v>
      </c>
      <c r="L4" s="10" t="n">
        <f aca="false">INPUTS!$B$13*SUM(DEAD!$E4:$L4)+INPUTS!$B$14*(RED!L4*SUMPRODUCT((CLASS!$E4:$L4="RES")*1,LIVE!$E4:$L4)+IF(SUMPRODUCT((CLASS!$E4:$L4="GAR")*1)&gt;=2,INPUTS!$B$20,1)*SUMPRODUCT((CLASS!$E4:$L4="GAR")*1,LIVE!$E4:$L4)+SUMPRODUCT((CLASS!$E4:$L4="NR")*1,LIVE!$E4:$L4))</f>
        <v>461.268307817799</v>
      </c>
      <c r="M4" s="10" t="n">
        <f aca="false">INPUTS!$B$13*SUM(DEAD!$E4:$M4)+INPUTS!$B$14*(RED!M4*SUMPRODUCT((CLASS!$E4:$M4="RES")*1,LIVE!$E4:$M4)+IF(SUMPRODUCT((CLASS!$E4:$M4="GAR")*1)&gt;=2,INPUTS!$B$20,1)*SUMPRODUCT((CLASS!$E4:$M4="GAR")*1,LIVE!$E4:$M4)+SUMPRODUCT((CLASS!$E4:$M4="NR")*1,LIVE!$E4:$M4))</f>
        <v>518.512746896596</v>
      </c>
      <c r="N4" s="10" t="n">
        <f aca="false">INPUTS!$B$13*SUM(DEAD!$E4:$N4)+INPUTS!$B$14*(RED!N4*SUMPRODUCT((CLASS!$E4:$N4="RES")*1,LIVE!$E4:$N4)+IF(SUMPRODUCT((CLASS!$E4:$N4="GAR")*1)&gt;=2,INPUTS!$B$20,1)*SUMPRODUCT((CLASS!$E4:$N4="GAR")*1,LIVE!$E4:$N4)+SUMPRODUCT((CLASS!$E4:$N4="NR")*1,LIVE!$E4:$N4))</f>
        <v>575.632057292202</v>
      </c>
      <c r="O4" s="10" t="n">
        <f aca="false">INPUTS!$B$13*SUM(DEAD!$E4:$O4)+INPUTS!$B$14*(RED!O4*SUMPRODUCT((CLASS!$E4:$O4="RES")*1,LIVE!$E4:$O4)+IF(SUMPRODUCT((CLASS!$E4:$O4="GAR")*1)&gt;=2,INPUTS!$B$20,1)*SUMPRODUCT((CLASS!$E4:$O4="GAR")*1,LIVE!$E4:$O4)+SUMPRODUCT((CLASS!$E4:$O4="NR")*1,LIVE!$E4:$O4))</f>
        <v>632.649086237901</v>
      </c>
      <c r="P4" s="10" t="n">
        <f aca="false">INPUTS!$B$13*SUM(DEAD!$E4:$P4)+INPUTS!$B$14*(RED!P4*SUMPRODUCT((CLASS!$E4:$P4="RES")*1,LIVE!$E4:$P4)+IF(SUMPRODUCT((CLASS!$E4:$P4="GAR")*1)&gt;=2,INPUTS!$B$20,1)*SUMPRODUCT((CLASS!$E4:$P4="GAR")*1,LIVE!$E4:$P4)+SUMPRODUCT((CLASS!$E4:$P4="NR")*1,LIVE!$E4:$P4))</f>
        <v>690.525473574856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10" t="n">
        <f aca="false">INPUTS!$B$13*SUM(DEAD!$E5:$E5)+INPUTS!$B$14*(RED!E5*SUMPRODUCT((CLASS!$E5:$E5="RES")*1,LIVE!$E5:$E5)+IF(SUMPRODUCT((CLASS!$E5:$E5="GAR")*1)&gt;=2,INPUTS!$B$20,1)*SUMPRODUCT((CLASS!$E5:$E5="GAR")*1,LIVE!$E5:$E5)+SUMPRODUCT((CLASS!$E5:$E5="NR")*1,LIVE!$E5:$E5))</f>
        <v>0</v>
      </c>
      <c r="F5" s="10" t="n">
        <f aca="false">INPUTS!$B$13*SUM(DEAD!$E5:$F5)+INPUTS!$B$14*(RED!F5*SUMPRODUCT((CLASS!$E5:$F5="RES")*1,LIVE!$E5:$F5)+IF(SUMPRODUCT((CLASS!$E5:$F5="GAR")*1)&gt;=2,INPUTS!$B$20,1)*SUMPRODUCT((CLASS!$E5:$F5="GAR")*1,LIVE!$E5:$F5)+SUMPRODUCT((CLASS!$E5:$F5="NR")*1,LIVE!$E5:$F5))</f>
        <v>116.826</v>
      </c>
      <c r="G5" s="10" t="n">
        <f aca="false">INPUTS!$B$13*SUM(DEAD!$E5:$G5)+INPUTS!$B$14*(RED!G5*SUMPRODUCT((CLASS!$E5:$G5="RES")*1,LIVE!$E5:$G5)+IF(SUMPRODUCT((CLASS!$E5:$G5="GAR")*1)&gt;=2,INPUTS!$B$20,1)*SUMPRODUCT((CLASS!$E5:$G5="GAR")*1,LIVE!$E5:$G5)+SUMPRODUCT((CLASS!$E5:$G5="NR")*1,LIVE!$E5:$G5))</f>
        <v>178.835368403556</v>
      </c>
      <c r="H5" s="10" t="n">
        <f aca="false">INPUTS!$B$13*SUM(DEAD!$E5:$H5)+INPUTS!$B$14*(RED!H5*SUMPRODUCT((CLASS!$E5:$H5="RES")*1,LIVE!$E5:$H5)+IF(SUMPRODUCT((CLASS!$E5:$H5="GAR")*1)&gt;=2,INPUTS!$B$20,1)*SUMPRODUCT((CLASS!$E5:$H5="GAR")*1,LIVE!$E5:$H5)+SUMPRODUCT((CLASS!$E5:$H5="NR")*1,LIVE!$E5:$H5))</f>
        <v>234.167141398797</v>
      </c>
      <c r="I5" s="10" t="n">
        <f aca="false">INPUTS!$B$13*SUM(DEAD!$E5:$I5)+INPUTS!$B$14*(RED!I5*SUMPRODUCT((CLASS!$E5:$I5="RES")*1,LIVE!$E5:$I5)+IF(SUMPRODUCT((CLASS!$E5:$I5="GAR")*1)&gt;=2,INPUTS!$B$20,1)*SUMPRODUCT((CLASS!$E5:$I5="GAR")*1,LIVE!$E5:$I5)+SUMPRODUCT((CLASS!$E5:$I5="NR")*1,LIVE!$E5:$I5))</f>
        <v>288.400285249155</v>
      </c>
      <c r="J5" s="10" t="n">
        <f aca="false">INPUTS!$B$13*SUM(DEAD!$E5:$J5)+INPUTS!$B$14*(RED!J5*SUMPRODUCT((CLASS!$E5:$J5="RES")*1,LIVE!$E5:$J5)+IF(SUMPRODUCT((CLASS!$E5:$J5="GAR")*1)&gt;=2,INPUTS!$B$20,1)*SUMPRODUCT((CLASS!$E5:$J5="GAR")*1,LIVE!$E5:$J5)+SUMPRODUCT((CLASS!$E5:$J5="NR")*1,LIVE!$E5:$J5))</f>
        <v>342.064736807113</v>
      </c>
      <c r="K5" s="10" t="n">
        <f aca="false">INPUTS!$B$13*SUM(DEAD!$E5:$K5)+INPUTS!$B$14*(RED!K5*SUMPRODUCT((CLASS!$E5:$K5="RES")*1,LIVE!$E5:$K5)+IF(SUMPRODUCT((CLASS!$E5:$K5="GAR")*1)&gt;=2,INPUTS!$B$20,1)*SUMPRODUCT((CLASS!$E5:$K5="GAR")*1,LIVE!$E5:$K5)+SUMPRODUCT((CLASS!$E5:$K5="NR")*1,LIVE!$E5:$K5))</f>
        <v>390.688304053132</v>
      </c>
      <c r="L5" s="10" t="n">
        <f aca="false">INPUTS!$B$13*SUM(DEAD!$E5:$L5)+INPUTS!$B$14*(RED!L5*SUMPRODUCT((CLASS!$E5:$L5="RES")*1,LIVE!$E5:$L5)+IF(SUMPRODUCT((CLASS!$E5:$L5="GAR")*1)&gt;=2,INPUTS!$B$20,1)*SUMPRODUCT((CLASS!$E5:$L5="GAR")*1,LIVE!$E5:$L5)+SUMPRODUCT((CLASS!$E5:$L5="NR")*1,LIVE!$E5:$L5))</f>
        <v>443.284736807113</v>
      </c>
      <c r="M5" s="10" t="n">
        <f aca="false">INPUTS!$B$13*SUM(DEAD!$E5:$M5)+INPUTS!$B$14*(RED!M5*SUMPRODUCT((CLASS!$E5:$M5="RES")*1,LIVE!$E5:$M5)+IF(SUMPRODUCT((CLASS!$E5:$M5="GAR")*1)&gt;=2,INPUTS!$B$20,1)*SUMPRODUCT((CLASS!$E5:$M5="GAR")*1,LIVE!$E5:$M5)+SUMPRODUCT((CLASS!$E5:$M5="NR")*1,LIVE!$E5:$M5))</f>
        <v>495.721450249691</v>
      </c>
      <c r="N5" s="10" t="n">
        <f aca="false">INPUTS!$B$13*SUM(DEAD!$E5:$N5)+INPUTS!$B$14*(RED!N5*SUMPRODUCT((CLASS!$E5:$N5="RES")*1,LIVE!$E5:$N5)+IF(SUMPRODUCT((CLASS!$E5:$N5="GAR")*1)&gt;=2,INPUTS!$B$20,1)*SUMPRODUCT((CLASS!$E5:$N5="GAR")*1,LIVE!$E5:$N5)+SUMPRODUCT((CLASS!$E5:$N5="NR")*1,LIVE!$E5:$N5))</f>
        <v>548.03171366554</v>
      </c>
      <c r="O5" s="10" t="n">
        <f aca="false">INPUTS!$B$13*SUM(DEAD!$E5:$O5)+INPUTS!$B$14*(RED!O5*SUMPRODUCT((CLASS!$E5:$O5="RES")*1,LIVE!$E5:$O5)+IF(SUMPRODUCT((CLASS!$E5:$O5="GAR")*1)&gt;=2,INPUTS!$B$20,1)*SUMPRODUCT((CLASS!$E5:$O5="GAR")*1,LIVE!$E5:$O5)+SUMPRODUCT((CLASS!$E5:$O5="NR")*1,LIVE!$E5:$O5))</f>
        <v>600.238635978718</v>
      </c>
      <c r="P5" s="10" t="n">
        <f aca="false">INPUTS!$B$13*SUM(DEAD!$E5:$P5)+INPUTS!$B$14*(RED!P5*SUMPRODUCT((CLASS!$E5:$P5="RES")*1,LIVE!$E5:$P5)+IF(SUMPRODUCT((CLASS!$E5:$P5="GAR")*1)&gt;=2,INPUTS!$B$20,1)*SUMPRODUCT((CLASS!$E5:$P5="GAR")*1,LIVE!$E5:$P5)+SUMPRODUCT((CLASS!$E5:$P5="NR")*1,LIVE!$E5:$P5))</f>
        <v>652.989042656171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10" t="n">
        <f aca="false">INPUTS!$B$13*SUM(DEAD!$E6:$E6)+INPUTS!$B$14*(RED!E6*SUMPRODUCT((CLASS!$E6:$E6="RES")*1,LIVE!$E6:$E6)+IF(SUMPRODUCT((CLASS!$E6:$E6="GAR")*1)&gt;=2,INPUTS!$B$20,1)*SUMPRODUCT((CLASS!$E6:$E6="GAR")*1,LIVE!$E6:$E6)+SUMPRODUCT((CLASS!$E6:$E6="NR")*1,LIVE!$E6:$E6))</f>
        <v>0</v>
      </c>
      <c r="F6" s="10" t="n">
        <f aca="false">INPUTS!$B$13*SUM(DEAD!$E6:$F6)+INPUTS!$B$14*(RED!F6*SUMPRODUCT((CLASS!$E6:$F6="RES")*1,LIVE!$E6:$F6)+IF(SUMPRODUCT((CLASS!$E6:$F6="GAR")*1)&gt;=2,INPUTS!$B$20,1)*SUMPRODUCT((CLASS!$E6:$F6="GAR")*1,LIVE!$E6:$F6)+SUMPRODUCT((CLASS!$E6:$F6="NR")*1,LIVE!$E6:$F6))</f>
        <v>38.226</v>
      </c>
      <c r="G6" s="10" t="n">
        <f aca="false">INPUTS!$B$13*SUM(DEAD!$E6:$G6)+INPUTS!$B$14*(RED!G6*SUMPRODUCT((CLASS!$E6:$G6="RES")*1,LIVE!$E6:$G6)+IF(SUMPRODUCT((CLASS!$E6:$G6="GAR")*1)&gt;=2,INPUTS!$B$20,1)*SUMPRODUCT((CLASS!$E6:$G6="GAR")*1,LIVE!$E6:$G6)+SUMPRODUCT((CLASS!$E6:$G6="NR")*1,LIVE!$E6:$G6))</f>
        <v>67.328</v>
      </c>
      <c r="H6" s="10" t="n">
        <f aca="false">INPUTS!$B$13*SUM(DEAD!$E6:$H6)+INPUTS!$B$14*(RED!H6*SUMPRODUCT((CLASS!$E6:$H6="RES")*1,LIVE!$E6:$H6)+IF(SUMPRODUCT((CLASS!$E6:$H6="GAR")*1)&gt;=2,INPUTS!$B$20,1)*SUMPRODUCT((CLASS!$E6:$H6="GAR")*1,LIVE!$E6:$H6)+SUMPRODUCT((CLASS!$E6:$H6="NR")*1,LIVE!$E6:$H6))</f>
        <v>96.2361174660982</v>
      </c>
      <c r="I6" s="10" t="n">
        <f aca="false">INPUTS!$B$13*SUM(DEAD!$E6:$I6)+INPUTS!$B$14*(RED!I6*SUMPRODUCT((CLASS!$E6:$I6="RES")*1,LIVE!$E6:$I6)+IF(SUMPRODUCT((CLASS!$E6:$I6="GAR")*1)&gt;=2,INPUTS!$B$20,1)*SUMPRODUCT((CLASS!$E6:$I6="GAR")*1,LIVE!$E6:$I6)+SUMPRODUCT((CLASS!$E6:$I6="NR")*1,LIVE!$E6:$I6))</f>
        <v>122.546396156925</v>
      </c>
      <c r="J6" s="10" t="n">
        <f aca="false">INPUTS!$B$13*SUM(DEAD!$E6:$J6)+INPUTS!$B$14*(RED!J6*SUMPRODUCT((CLASS!$E6:$J6="RES")*1,LIVE!$E6:$J6)+IF(SUMPRODUCT((CLASS!$E6:$J6="GAR")*1)&gt;=2,INPUTS!$B$20,1)*SUMPRODUCT((CLASS!$E6:$J6="GAR")*1,LIVE!$E6:$J6)+SUMPRODUCT((CLASS!$E6:$J6="NR")*1,LIVE!$E6:$J6))</f>
        <v>148.511316897782</v>
      </c>
      <c r="K6" s="10" t="n">
        <f aca="false">INPUTS!$B$13*SUM(DEAD!$E6:$K6)+INPUTS!$B$14*(RED!K6*SUMPRODUCT((CLASS!$E6:$K6="RES")*1,LIVE!$E6:$K6)+IF(SUMPRODUCT((CLASS!$E6:$K6="GAR")*1)&gt;=2,INPUTS!$B$20,1)*SUMPRODUCT((CLASS!$E6:$K6="GAR")*1,LIVE!$E6:$K6)+SUMPRODUCT((CLASS!$E6:$K6="NR")*1,LIVE!$E6:$K6))</f>
        <v>170.554076164501</v>
      </c>
      <c r="L6" s="10" t="n">
        <f aca="false">INPUTS!$B$13*SUM(DEAD!$E6:$L6)+INPUTS!$B$14*(RED!L6*SUMPRODUCT((CLASS!$E6:$L6="RES")*1,LIVE!$E6:$L6)+IF(SUMPRODUCT((CLASS!$E6:$L6="GAR")*1)&gt;=2,INPUTS!$B$20,1)*SUMPRODUCT((CLASS!$E6:$L6="GAR")*1,LIVE!$E6:$L6)+SUMPRODUCT((CLASS!$E6:$L6="NR")*1,LIVE!$E6:$L6))</f>
        <v>195.01992878968</v>
      </c>
      <c r="M6" s="10" t="n">
        <f aca="false">INPUTS!$B$13*SUM(DEAD!$E6:$M6)+INPUTS!$B$14*(RED!M6*SUMPRODUCT((CLASS!$E6:$M6="RES")*1,LIVE!$E6:$M6)+IF(SUMPRODUCT((CLASS!$E6:$M6="GAR")*1)&gt;=2,INPUTS!$B$20,1)*SUMPRODUCT((CLASS!$E6:$M6="GAR")*1,LIVE!$E6:$M6)+SUMPRODUCT((CLASS!$E6:$M6="NR")*1,LIVE!$E6:$M6))</f>
        <v>219.395783782204</v>
      </c>
      <c r="N6" s="10" t="n">
        <f aca="false">INPUTS!$B$13*SUM(DEAD!$E6:$N6)+INPUTS!$B$14*(RED!N6*SUMPRODUCT((CLASS!$E6:$N6="RES")*1,LIVE!$E6:$N6)+IF(SUMPRODUCT((CLASS!$E6:$N6="GAR")*1)&gt;=2,INPUTS!$B$20,1)*SUMPRODUCT((CLASS!$E6:$N6="GAR")*1,LIVE!$E6:$N6)+SUMPRODUCT((CLASS!$E6:$N6="NR")*1,LIVE!$E6:$N6))</f>
        <v>243.699872229444</v>
      </c>
      <c r="O6" s="10" t="n">
        <f aca="false">INPUTS!$B$13*SUM(DEAD!$E6:$O6)+INPUTS!$B$14*(RED!O6*SUMPRODUCT((CLASS!$E6:$O6="RES")*1,LIVE!$E6:$O6)+IF(SUMPRODUCT((CLASS!$E6:$O6="GAR")*1)&gt;=2,INPUTS!$B$20,1)*SUMPRODUCT((CLASS!$E6:$O6="GAR")*1,LIVE!$E6:$O6)+SUMPRODUCT((CLASS!$E6:$O6="NR")*1,LIVE!$E6:$O6))</f>
        <v>267.944992796938</v>
      </c>
      <c r="P6" s="10" t="n">
        <f aca="false">INPUTS!$B$13*SUM(DEAD!$E6:$P6)+INPUTS!$B$14*(RED!P6*SUMPRODUCT((CLASS!$E6:$P6="RES")*1,LIVE!$E6:$P6)+IF(SUMPRODUCT((CLASS!$E6:$P6="GAR")*1)&gt;=2,INPUTS!$B$20,1)*SUMPRODUCT((CLASS!$E6:$P6="GAR")*1,LIVE!$E6:$P6)+SUMPRODUCT((CLASS!$E6:$P6="NR")*1,LIVE!$E6:$P6))</f>
        <v>292.770539448989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10" t="n">
        <f aca="false">INPUTS!$B$13*SUM(DEAD!$E7:$E7)+INPUTS!$B$14*(RED!E7*SUMPRODUCT((CLASS!$E7:$E7="RES")*1,LIVE!$E7:$E7)+IF(SUMPRODUCT((CLASS!$E7:$E7="GAR")*1)&gt;=2,INPUTS!$B$20,1)*SUMPRODUCT((CLASS!$E7:$E7="GAR")*1,LIVE!$E7:$E7)+SUMPRODUCT((CLASS!$E7:$E7="NR")*1,LIVE!$E7:$E7))</f>
        <v>0</v>
      </c>
      <c r="F7" s="10" t="n">
        <f aca="false">INPUTS!$B$13*SUM(DEAD!$E7:$F7)+INPUTS!$B$14*(RED!F7*SUMPRODUCT((CLASS!$E7:$F7="RES")*1,LIVE!$E7:$F7)+IF(SUMPRODUCT((CLASS!$E7:$F7="GAR")*1)&gt;=2,INPUTS!$B$20,1)*SUMPRODUCT((CLASS!$E7:$F7="GAR")*1,LIVE!$E7:$F7)+SUMPRODUCT((CLASS!$E7:$F7="NR")*1,LIVE!$E7:$F7))</f>
        <v>73.086</v>
      </c>
      <c r="G7" s="10" t="n">
        <f aca="false">INPUTS!$B$13*SUM(DEAD!$E7:$G7)+INPUTS!$B$14*(RED!G7*SUMPRODUCT((CLASS!$E7:$G7="RES")*1,LIVE!$E7:$G7)+IF(SUMPRODUCT((CLASS!$E7:$G7="GAR")*1)&gt;=2,INPUTS!$B$20,1)*SUMPRODUCT((CLASS!$E7:$G7="GAR")*1,LIVE!$E7:$G7)+SUMPRODUCT((CLASS!$E7:$G7="NR")*1,LIVE!$E7:$G7))</f>
        <v>122.032612651597</v>
      </c>
      <c r="H7" s="10" t="n">
        <f aca="false">INPUTS!$B$13*SUM(DEAD!$E7:$H7)+INPUTS!$B$14*(RED!H7*SUMPRODUCT((CLASS!$E7:$H7="RES")*1,LIVE!$E7:$H7)+IF(SUMPRODUCT((CLASS!$E7:$H7="GAR")*1)&gt;=2,INPUTS!$B$20,1)*SUMPRODUCT((CLASS!$E7:$H7="GAR")*1,LIVE!$E7:$H7)+SUMPRODUCT((CLASS!$E7:$H7="NR")*1,LIVE!$E7:$H7))</f>
        <v>165.135060918431</v>
      </c>
      <c r="I7" s="10" t="n">
        <f aca="false">INPUTS!$B$13*SUM(DEAD!$E7:$I7)+INPUTS!$B$14*(RED!I7*SUMPRODUCT((CLASS!$E7:$I7="RES")*1,LIVE!$E7:$I7)+IF(SUMPRODUCT((CLASS!$E7:$I7="GAR")*1)&gt;=2,INPUTS!$B$20,1)*SUMPRODUCT((CLASS!$E7:$I7="GAR")*1,LIVE!$E7:$I7)+SUMPRODUCT((CLASS!$E7:$I7="NR")*1,LIVE!$E7:$I7))</f>
        <v>207.276</v>
      </c>
      <c r="J7" s="10" t="n">
        <f aca="false">INPUTS!$B$13*SUM(DEAD!$E7:$J7)+INPUTS!$B$14*(RED!J7*SUMPRODUCT((CLASS!$E7:$J7="RES")*1,LIVE!$E7:$J7)+IF(SUMPRODUCT((CLASS!$E7:$J7="GAR")*1)&gt;=2,INPUTS!$B$20,1)*SUMPRODUCT((CLASS!$E7:$J7="GAR")*1,LIVE!$E7:$J7)+SUMPRODUCT((CLASS!$E7:$J7="NR")*1,LIVE!$E7:$J7))</f>
        <v>248.919225303194</v>
      </c>
      <c r="K7" s="10" t="n">
        <f aca="false">INPUTS!$B$13*SUM(DEAD!$E7:$K7)+INPUTS!$B$14*(RED!K7*SUMPRODUCT((CLASS!$E7:$K7="RES")*1,LIVE!$E7:$K7)+IF(SUMPRODUCT((CLASS!$E7:$K7="GAR")*1)&gt;=2,INPUTS!$B$20,1)*SUMPRODUCT((CLASS!$E7:$K7="GAR")*1,LIVE!$E7:$K7)+SUMPRODUCT((CLASS!$E7:$K7="NR")*1,LIVE!$E7:$K7))</f>
        <v>285.982284629215</v>
      </c>
      <c r="L7" s="10" t="n">
        <f aca="false">INPUTS!$B$13*SUM(DEAD!$E7:$L7)+INPUTS!$B$14*(RED!L7*SUMPRODUCT((CLASS!$E7:$L7="RES")*1,LIVE!$E7:$L7)+IF(SUMPRODUCT((CLASS!$E7:$L7="GAR")*1)&gt;=2,INPUTS!$B$20,1)*SUMPRODUCT((CLASS!$E7:$L7="GAR")*1,LIVE!$E7:$L7)+SUMPRODUCT((CLASS!$E7:$L7="NR")*1,LIVE!$E7:$L7))</f>
        <v>326.52382335161</v>
      </c>
      <c r="M7" s="10" t="n">
        <f aca="false">INPUTS!$B$13*SUM(DEAD!$E7:$M7)+INPUTS!$B$14*(RED!M7*SUMPRODUCT((CLASS!$E7:$M7="RES")*1,LIVE!$E7:$M7)+IF(SUMPRODUCT((CLASS!$E7:$M7="GAR")*1)&gt;=2,INPUTS!$B$20,1)*SUMPRODUCT((CLASS!$E7:$M7="GAR")*1,LIVE!$E7:$M7)+SUMPRODUCT((CLASS!$E7:$M7="NR")*1,LIVE!$E7:$M7))</f>
        <v>366.926555032326</v>
      </c>
      <c r="N7" s="10" t="n">
        <f aca="false">INPUTS!$B$13*SUM(DEAD!$E7:$N7)+INPUTS!$B$14*(RED!N7*SUMPRODUCT((CLASS!$E7:$N7="RES")*1,LIVE!$E7:$N7)+IF(SUMPRODUCT((CLASS!$E7:$N7="GAR")*1)&gt;=2,INPUTS!$B$20,1)*SUMPRODUCT((CLASS!$E7:$N7="GAR")*1,LIVE!$E7:$N7)+SUMPRODUCT((CLASS!$E7:$N7="NR")*1,LIVE!$E7:$N7))</f>
        <v>407.219317883348</v>
      </c>
      <c r="O7" s="10" t="n">
        <f aca="false">INPUTS!$B$13*SUM(DEAD!$E7:$O7)+INPUTS!$B$14*(RED!O7*SUMPRODUCT((CLASS!$E7:$O7="RES")*1,LIVE!$E7:$O7)+IF(SUMPRODUCT((CLASS!$E7:$O7="GAR")*1)&gt;=2,INPUTS!$B$20,1)*SUMPRODUCT((CLASS!$E7:$O7="GAR")*1,LIVE!$E7:$O7)+SUMPRODUCT((CLASS!$E7:$O7="NR")*1,LIVE!$E7:$O7))</f>
        <v>447.422163156056</v>
      </c>
      <c r="P7" s="10" t="n">
        <f aca="false">INPUTS!$B$13*SUM(DEAD!$E7:$P7)+INPUTS!$B$14*(RED!P7*SUMPRODUCT((CLASS!$E7:$P7="RES")*1,LIVE!$E7:$P7)+IF(SUMPRODUCT((CLASS!$E7:$P7="GAR")*1)&gt;=2,INPUTS!$B$20,1)*SUMPRODUCT((CLASS!$E7:$P7="GAR")*1,LIVE!$E7:$P7)+SUMPRODUCT((CLASS!$E7:$P7="NR")*1,LIVE!$E7:$P7))</f>
        <v>488.179701133391</v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10" t="n">
        <f aca="false">INPUTS!$B$13*SUM(DEAD!$E8:$E8)+INPUTS!$B$14*(RED!E8*SUMPRODUCT((CLASS!$E8:$E8="RES")*1,LIVE!$E8:$E8)+IF(SUMPRODUCT((CLASS!$E8:$E8="GAR")*1)&gt;=2,INPUTS!$B$20,1)*SUMPRODUCT((CLASS!$E8:$E8="GAR")*1,LIVE!$E8:$E8)+SUMPRODUCT((CLASS!$E8:$E8="NR")*1,LIVE!$E8:$E8))</f>
        <v>0</v>
      </c>
      <c r="F8" s="10" t="n">
        <f aca="false">INPUTS!$B$13*SUM(DEAD!$E8:$F8)+INPUTS!$B$14*(RED!F8*SUMPRODUCT((CLASS!$E8:$F8="RES")*1,LIVE!$E8:$F8)+IF(SUMPRODUCT((CLASS!$E8:$F8="GAR")*1)&gt;=2,INPUTS!$B$20,1)*SUMPRODUCT((CLASS!$E8:$F8="GAR")*1,LIVE!$E8:$F8)+SUMPRODUCT((CLASS!$E8:$F8="NR")*1,LIVE!$E8:$F8))</f>
        <v>132.861</v>
      </c>
      <c r="G8" s="10" t="n">
        <f aca="false">INPUTS!$B$13*SUM(DEAD!$E8:$G8)+INPUTS!$B$14*(RED!G8*SUMPRODUCT((CLASS!$E8:$G8="RES")*1,LIVE!$E8:$G8)+IF(SUMPRODUCT((CLASS!$E8:$G8="GAR")*1)&gt;=2,INPUTS!$B$20,1)*SUMPRODUCT((CLASS!$E8:$G8="GAR")*1,LIVE!$E8:$G8)+SUMPRODUCT((CLASS!$E8:$G8="NR")*1,LIVE!$E8:$G8))</f>
        <v>221.17769933418</v>
      </c>
      <c r="H8" s="10" t="n">
        <f aca="false">INPUTS!$B$13*SUM(DEAD!$E8:$H8)+INPUTS!$B$14*(RED!H8*SUMPRODUCT((CLASS!$E8:$H8="RES")*1,LIVE!$E8:$H8)+IF(SUMPRODUCT((CLASS!$E8:$H8="GAR")*1)&gt;=2,INPUTS!$B$20,1)*SUMPRODUCT((CLASS!$E8:$H8="GAR")*1,LIVE!$E8:$H8)+SUMPRODUCT((CLASS!$E8:$H8="NR")*1,LIVE!$E8:$H8))</f>
        <v>302.944310848775</v>
      </c>
      <c r="I8" s="10" t="n">
        <f aca="false">INPUTS!$B$13*SUM(DEAD!$E8:$I8)+INPUTS!$B$14*(RED!I8*SUMPRODUCT((CLASS!$E8:$I8="RES")*1,LIVE!$E8:$I8)+IF(SUMPRODUCT((CLASS!$E8:$I8="GAR")*1)&gt;=2,INPUTS!$B$20,1)*SUMPRODUCT((CLASS!$E8:$I8="GAR")*1,LIVE!$E8:$I8)+SUMPRODUCT((CLASS!$E8:$I8="NR")*1,LIVE!$E8:$I8))</f>
        <v>383.633271361759</v>
      </c>
      <c r="J8" s="10" t="n">
        <f aca="false">INPUTS!$B$13*SUM(DEAD!$E8:$J8)+INPUTS!$B$14*(RED!J8*SUMPRODUCT((CLASS!$E8:$J8="RES")*1,LIVE!$E8:$J8)+IF(SUMPRODUCT((CLASS!$E8:$J8="GAR")*1)&gt;=2,INPUTS!$B$20,1)*SUMPRODUCT((CLASS!$E8:$J8="GAR")*1,LIVE!$E8:$J8)+SUMPRODUCT((CLASS!$E8:$J8="NR")*1,LIVE!$E8:$J8))</f>
        <v>463.58439866836</v>
      </c>
      <c r="K8" s="10" t="n">
        <f aca="false">INPUTS!$B$13*SUM(DEAD!$E8:$K8)+INPUTS!$B$14*(RED!K8*SUMPRODUCT((CLASS!$E8:$K8="RES")*1,LIVE!$E8:$K8)+IF(SUMPRODUCT((CLASS!$E8:$K8="GAR")*1)&gt;=2,INPUTS!$B$20,1)*SUMPRODUCT((CLASS!$E8:$K8="GAR")*1,LIVE!$E8:$K8)+SUMPRODUCT((CLASS!$E8:$K8="NR")*1,LIVE!$E8:$K8))</f>
        <v>543.359039815191</v>
      </c>
      <c r="L8" s="10" t="n">
        <f aca="false">INPUTS!$B$13*SUM(DEAD!$E8:$L8)+INPUTS!$B$14*(RED!L8*SUMPRODUCT((CLASS!$E8:$L8="RES")*1,LIVE!$E8:$L8)+IF(SUMPRODUCT((CLASS!$E8:$L8="GAR")*1)&gt;=2,INPUTS!$B$20,1)*SUMPRODUCT((CLASS!$E8:$L8="GAR")*1,LIVE!$E8:$L8)+SUMPRODUCT((CLASS!$E8:$L8="NR")*1,LIVE!$E8:$L8))</f>
        <v>622.880457825959</v>
      </c>
      <c r="M8" s="10" t="n">
        <f aca="false">INPUTS!$B$13*SUM(DEAD!$E8:$M8)+INPUTS!$B$14*(RED!M8*SUMPRODUCT((CLASS!$E8:$M8="RES")*1,LIVE!$E8:$M8)+IF(SUMPRODUCT((CLASS!$E8:$M8="GAR")*1)&gt;=2,INPUTS!$B$20,1)*SUMPRODUCT((CLASS!$E8:$M8="GAR")*1,LIVE!$E8:$M8)+SUMPRODUCT((CLASS!$E8:$M8="NR")*1,LIVE!$E8:$M8))</f>
        <v>702.209995673337</v>
      </c>
      <c r="N8" s="10" t="n">
        <f aca="false">INPUTS!$B$13*SUM(DEAD!$E8:$N8)+INPUTS!$B$14*(RED!N8*SUMPRODUCT((CLASS!$E8:$N8="RES")*1,LIVE!$E8:$N8)+IF(SUMPRODUCT((CLASS!$E8:$N8="GAR")*1)&gt;=2,INPUTS!$B$20,1)*SUMPRODUCT((CLASS!$E8:$N8="GAR")*1,LIVE!$E8:$N8)+SUMPRODUCT((CLASS!$E8:$N8="NR")*1,LIVE!$E8:$N8))</f>
        <v>781.387621697551</v>
      </c>
      <c r="O8" s="10" t="n">
        <f aca="false">INPUTS!$B$13*SUM(DEAD!$E8:$O8)+INPUTS!$B$14*(RED!O8*SUMPRODUCT((CLASS!$E8:$O8="RES")*1,LIVE!$E8:$O8)+IF(SUMPRODUCT((CLASS!$E8:$O8="GAR")*1)&gt;=2,INPUTS!$B$20,1)*SUMPRODUCT((CLASS!$E8:$O8="GAR")*1,LIVE!$E8:$O8)+SUMPRODUCT((CLASS!$E8:$O8="NR")*1,LIVE!$E8:$O8))</f>
        <v>862.0608</v>
      </c>
      <c r="P8" s="10" t="n">
        <f aca="false">INPUTS!$B$13*SUM(DEAD!$E8:$P8)+INPUTS!$B$14*(RED!P8*SUMPRODUCT((CLASS!$E8:$P8="RES")*1,LIVE!$E8:$P8)+IF(SUMPRODUCT((CLASS!$E8:$P8="GAR")*1)&gt;=2,INPUTS!$B$20,1)*SUMPRODUCT((CLASS!$E8:$P8="GAR")*1,LIVE!$E8:$P8)+SUMPRODUCT((CLASS!$E8:$P8="NR")*1,LIVE!$E8:$P8))</f>
        <v>944.048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10" t="n">
        <f aca="false">INPUTS!$B$13*SUM(DEAD!$E9:$E9)+INPUTS!$B$14*(RED!E9*SUMPRODUCT((CLASS!$E9:$E9="RES")*1,LIVE!$E9:$E9)+IF(SUMPRODUCT((CLASS!$E9:$E9="GAR")*1)&gt;=2,INPUTS!$B$20,1)*SUMPRODUCT((CLASS!$E9:$E9="GAR")*1,LIVE!$E9:$E9)+SUMPRODUCT((CLASS!$E9:$E9="NR")*1,LIVE!$E9:$E9))</f>
        <v>0</v>
      </c>
      <c r="F9" s="10" t="n">
        <f aca="false">INPUTS!$B$13*SUM(DEAD!$E9:$F9)+INPUTS!$B$14*(RED!F9*SUMPRODUCT((CLASS!$E9:$F9="RES")*1,LIVE!$E9:$F9)+IF(SUMPRODUCT((CLASS!$E9:$F9="GAR")*1)&gt;=2,INPUTS!$B$20,1)*SUMPRODUCT((CLASS!$E9:$F9="GAR")*1,LIVE!$E9:$F9)+SUMPRODUCT((CLASS!$E9:$F9="NR")*1,LIVE!$E9:$F9))</f>
        <v>145.653</v>
      </c>
      <c r="G9" s="10" t="n">
        <f aca="false">INPUTS!$B$13*SUM(DEAD!$E9:$G9)+INPUTS!$B$14*(RED!G9*SUMPRODUCT((CLASS!$E9:$G9="RES")*1,LIVE!$E9:$G9)+IF(SUMPRODUCT((CLASS!$E9:$G9="GAR")*1)&gt;=2,INPUTS!$B$20,1)*SUMPRODUCT((CLASS!$E9:$G9="GAR")*1,LIVE!$E9:$G9)+SUMPRODUCT((CLASS!$E9:$G9="NR")*1,LIVE!$E9:$G9))</f>
        <v>233.947724134651</v>
      </c>
      <c r="H9" s="10" t="n">
        <f aca="false">INPUTS!$B$13*SUM(DEAD!$E9:$H9)+INPUTS!$B$14*(RED!H9*SUMPRODUCT((CLASS!$E9:$H9="RES")*1,LIVE!$E9:$H9)+IF(SUMPRODUCT((CLASS!$E9:$H9="GAR")*1)&gt;=2,INPUTS!$B$20,1)*SUMPRODUCT((CLASS!$E9:$H9="GAR")*1,LIVE!$E9:$H9)+SUMPRODUCT((CLASS!$E9:$H9="NR")*1,LIVE!$E9:$H9))</f>
        <v>315.44748719101</v>
      </c>
      <c r="I9" s="10" t="n">
        <f aca="false">INPUTS!$B$13*SUM(DEAD!$E9:$I9)+INPUTS!$B$14*(RED!I9*SUMPRODUCT((CLASS!$E9:$I9="RES")*1,LIVE!$E9:$I9)+IF(SUMPRODUCT((CLASS!$E9:$I9="GAR")*1)&gt;=2,INPUTS!$B$20,1)*SUMPRODUCT((CLASS!$E9:$I9="GAR")*1,LIVE!$E9:$I9)+SUMPRODUCT((CLASS!$E9:$I9="NR")*1,LIVE!$E9:$I9))</f>
        <v>395.829311554998</v>
      </c>
      <c r="J9" s="10" t="n">
        <f aca="false">INPUTS!$B$13*SUM(DEAD!$E9:$J9)+INPUTS!$B$14*(RED!J9*SUMPRODUCT((CLASS!$E9:$J9="RES")*1,LIVE!$E9:$J9)+IF(SUMPRODUCT((CLASS!$E9:$J9="GAR")*1)&gt;=2,INPUTS!$B$20,1)*SUMPRODUCT((CLASS!$E9:$J9="GAR")*1,LIVE!$E9:$J9)+SUMPRODUCT((CLASS!$E9:$J9="NR")*1,LIVE!$E9:$J9))</f>
        <v>475.632448269302</v>
      </c>
      <c r="K9" s="10" t="n">
        <f aca="false">INPUTS!$B$13*SUM(DEAD!$E9:$K9)+INPUTS!$B$14*(RED!K9*SUMPRODUCT((CLASS!$E9:$K9="RES")*1,LIVE!$E9:$K9)+IF(SUMPRODUCT((CLASS!$E9:$K9="GAR")*1)&gt;=2,INPUTS!$B$20,1)*SUMPRODUCT((CLASS!$E9:$K9="GAR")*1,LIVE!$E9:$K9)+SUMPRODUCT((CLASS!$E9:$K9="NR")*1,LIVE!$E9:$K9))</f>
        <v>551.590769197051</v>
      </c>
      <c r="L9" s="10" t="n">
        <f aca="false">INPUTS!$B$13*SUM(DEAD!$E9:$L9)+INPUTS!$B$14*(RED!L9*SUMPRODUCT((CLASS!$E9:$L9="RES")*1,LIVE!$E9:$L9)+IF(SUMPRODUCT((CLASS!$E9:$L9="GAR")*1)&gt;=2,INPUTS!$B$20,1)*SUMPRODUCT((CLASS!$E9:$L9="GAR")*1,LIVE!$E9:$L9)+SUMPRODUCT((CLASS!$E9:$L9="NR")*1,LIVE!$E9:$L9))</f>
        <v>631.0518</v>
      </c>
      <c r="M9" s="10" t="n">
        <f aca="false">INPUTS!$B$13*SUM(DEAD!$E9:$M9)+INPUTS!$B$14*(RED!M9*SUMPRODUCT((CLASS!$E9:$M9="RES")*1,LIVE!$E9:$M9)+IF(SUMPRODUCT((CLASS!$E9:$M9="GAR")*1)&gt;=2,INPUTS!$B$20,1)*SUMPRODUCT((CLASS!$E9:$M9="GAR")*1,LIVE!$E9:$M9)+SUMPRODUCT((CLASS!$E9:$M9="NR")*1,LIVE!$E9:$M9))</f>
        <v>711.9516</v>
      </c>
      <c r="N9" s="10" t="n">
        <f aca="false">INPUTS!$B$13*SUM(DEAD!$E9:$N9)+INPUTS!$B$14*(RED!N9*SUMPRODUCT((CLASS!$E9:$N9="RES")*1,LIVE!$E9:$N9)+IF(SUMPRODUCT((CLASS!$E9:$N9="GAR")*1)&gt;=2,INPUTS!$B$20,1)*SUMPRODUCT((CLASS!$E9:$N9="GAR")*1,LIVE!$E9:$N9)+SUMPRODUCT((CLASS!$E9:$N9="NR")*1,LIVE!$E9:$N9))</f>
        <v>792.8514</v>
      </c>
      <c r="O9" s="10" t="n">
        <f aca="false">INPUTS!$B$13*SUM(DEAD!$E9:$O9)+INPUTS!$B$14*(RED!O9*SUMPRODUCT((CLASS!$E9:$O9="RES")*1,LIVE!$E9:$O9)+IF(SUMPRODUCT((CLASS!$E9:$O9="GAR")*1)&gt;=2,INPUTS!$B$20,1)*SUMPRODUCT((CLASS!$E9:$O9="GAR")*1,LIVE!$E9:$O9)+SUMPRODUCT((CLASS!$E9:$O9="NR")*1,LIVE!$E9:$O9))</f>
        <v>873.7512</v>
      </c>
      <c r="P9" s="10" t="n">
        <f aca="false">INPUTS!$B$13*SUM(DEAD!$E9:$P9)+INPUTS!$B$14*(RED!P9*SUMPRODUCT((CLASS!$E9:$P9="RES")*1,LIVE!$E9:$P9)+IF(SUMPRODUCT((CLASS!$E9:$P9="GAR")*1)&gt;=2,INPUTS!$B$20,1)*SUMPRODUCT((CLASS!$E9:$P9="GAR")*1,LIVE!$E9:$P9)+SUMPRODUCT((CLASS!$E9:$P9="NR")*1,LIVE!$E9:$P9))</f>
        <v>955.596</v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10" t="n">
        <f aca="false">INPUTS!$B$13*SUM(DEAD!$E10:$E10)+INPUTS!$B$14*(RED!E10*SUMPRODUCT((CLASS!$E10:$E10="RES")*1,LIVE!$E10:$E10)+IF(SUMPRODUCT((CLASS!$E10:$E10="GAR")*1)&gt;=2,INPUTS!$B$20,1)*SUMPRODUCT((CLASS!$E10:$E10="GAR")*1,LIVE!$E10:$E10)+SUMPRODUCT((CLASS!$E10:$E10="NR")*1,LIVE!$E10:$E10))</f>
        <v>0</v>
      </c>
      <c r="F10" s="10" t="n">
        <f aca="false">INPUTS!$B$13*SUM(DEAD!$E10:$F10)+INPUTS!$B$14*(RED!F10*SUMPRODUCT((CLASS!$E10:$F10="RES")*1,LIVE!$E10:$F10)+IF(SUMPRODUCT((CLASS!$E10:$F10="GAR")*1)&gt;=2,INPUTS!$B$20,1)*SUMPRODUCT((CLASS!$E10:$F10="GAR")*1,LIVE!$E10:$F10)+SUMPRODUCT((CLASS!$E10:$F10="NR")*1,LIVE!$E10:$F10))</f>
        <v>155.133</v>
      </c>
      <c r="G10" s="10" t="n">
        <f aca="false">INPUTS!$B$13*SUM(DEAD!$E10:$G10)+INPUTS!$B$14*(RED!G10*SUMPRODUCT((CLASS!$E10:$G10="RES")*1,LIVE!$E10:$G10)+IF(SUMPRODUCT((CLASS!$E10:$G10="GAR")*1)&gt;=2,INPUTS!$B$20,1)*SUMPRODUCT((CLASS!$E10:$G10="GAR")*1,LIVE!$E10:$G10)+SUMPRODUCT((CLASS!$E10:$G10="NR")*1,LIVE!$E10:$G10))</f>
        <v>248.618396156925</v>
      </c>
      <c r="H10" s="10" t="n">
        <f aca="false">INPUTS!$B$13*SUM(DEAD!$E10:$H10)+INPUTS!$B$14*(RED!H10*SUMPRODUCT((CLASS!$E10:$H10="RES")*1,LIVE!$E10:$H10)+IF(SUMPRODUCT((CLASS!$E10:$H10="GAR")*1)&gt;=2,INPUTS!$B$20,1)*SUMPRODUCT((CLASS!$E10:$H10="GAR")*1,LIVE!$E10:$H10)+SUMPRODUCT((CLASS!$E10:$H10="NR")*1,LIVE!$E10:$H10))</f>
        <v>335.07998086335</v>
      </c>
      <c r="I10" s="10" t="n">
        <f aca="false">INPUTS!$B$13*SUM(DEAD!$E10:$I10)+INPUTS!$B$14*(RED!I10*SUMPRODUCT((CLASS!$E10:$I10="RES")*1,LIVE!$E10:$I10)+IF(SUMPRODUCT((CLASS!$E10:$I10="GAR")*1)&gt;=2,INPUTS!$B$20,1)*SUMPRODUCT((CLASS!$E10:$I10="GAR")*1,LIVE!$E10:$I10)+SUMPRODUCT((CLASS!$E10:$I10="NR")*1,LIVE!$E10:$I10))</f>
        <v>420.385975346673</v>
      </c>
      <c r="J10" s="10" t="n">
        <f aca="false">INPUTS!$B$13*SUM(DEAD!$E10:$J10)+INPUTS!$B$14*(RED!J10*SUMPRODUCT((CLASS!$E10:$J10="RES")*1,LIVE!$E10:$J10)+IF(SUMPRODUCT((CLASS!$E10:$J10="GAR")*1)&gt;=2,INPUTS!$B$20,1)*SUMPRODUCT((CLASS!$E10:$J10="GAR")*1,LIVE!$E10:$J10)+SUMPRODUCT((CLASS!$E10:$J10="NR")*1,LIVE!$E10:$J10))</f>
        <v>505.09379231385</v>
      </c>
      <c r="K10" s="10" t="n">
        <f aca="false">INPUTS!$B$13*SUM(DEAD!$E10:$K10)+INPUTS!$B$14*(RED!K10*SUMPRODUCT((CLASS!$E10:$K10="RES")*1,LIVE!$E10:$K10)+IF(SUMPRODUCT((CLASS!$E10:$K10="GAR")*1)&gt;=2,INPUTS!$B$20,1)*SUMPRODUCT((CLASS!$E10:$K10="GAR")*1,LIVE!$E10:$K10)+SUMPRODUCT((CLASS!$E10:$K10="NR")*1,LIVE!$E10:$K10))</f>
        <v>585.8273023151</v>
      </c>
      <c r="L10" s="10" t="n">
        <f aca="false">INPUTS!$B$13*SUM(DEAD!$E10:$L10)+INPUTS!$B$14*(RED!L10*SUMPRODUCT((CLASS!$E10:$L10="RES")*1,LIVE!$E10:$L10)+IF(SUMPRODUCT((CLASS!$E10:$L10="GAR")*1)&gt;=2,INPUTS!$B$20,1)*SUMPRODUCT((CLASS!$E10:$L10="GAR")*1,LIVE!$E10:$L10)+SUMPRODUCT((CLASS!$E10:$L10="NR")*1,LIVE!$E10:$L10))</f>
        <v>671.0598</v>
      </c>
      <c r="M10" s="10" t="n">
        <f aca="false">INPUTS!$B$13*SUM(DEAD!$E10:$M10)+INPUTS!$B$14*(RED!M10*SUMPRODUCT((CLASS!$E10:$M10="RES")*1,LIVE!$E10:$M10)+IF(SUMPRODUCT((CLASS!$E10:$M10="GAR")*1)&gt;=2,INPUTS!$B$20,1)*SUMPRODUCT((CLASS!$E10:$M10="GAR")*1,LIVE!$E10:$M10)+SUMPRODUCT((CLASS!$E10:$M10="NR")*1,LIVE!$E10:$M10))</f>
        <v>757.0476</v>
      </c>
      <c r="N10" s="10" t="n">
        <f aca="false">INPUTS!$B$13*SUM(DEAD!$E10:$N10)+INPUTS!$B$14*(RED!N10*SUMPRODUCT((CLASS!$E10:$N10="RES")*1,LIVE!$E10:$N10)+IF(SUMPRODUCT((CLASS!$E10:$N10="GAR")*1)&gt;=2,INPUTS!$B$20,1)*SUMPRODUCT((CLASS!$E10:$N10="GAR")*1,LIVE!$E10:$N10)+SUMPRODUCT((CLASS!$E10:$N10="NR")*1,LIVE!$E10:$N10))</f>
        <v>843.0354</v>
      </c>
      <c r="O10" s="10" t="n">
        <f aca="false">INPUTS!$B$13*SUM(DEAD!$E10:$O10)+INPUTS!$B$14*(RED!O10*SUMPRODUCT((CLASS!$E10:$O10="RES")*1,LIVE!$E10:$O10)+IF(SUMPRODUCT((CLASS!$E10:$O10="GAR")*1)&gt;=2,INPUTS!$B$20,1)*SUMPRODUCT((CLASS!$E10:$O10="GAR")*1,LIVE!$E10:$O10)+SUMPRODUCT((CLASS!$E10:$O10="NR")*1,LIVE!$E10:$O10))</f>
        <v>929.0232</v>
      </c>
      <c r="P10" s="10" t="n">
        <f aca="false">INPUTS!$B$13*SUM(DEAD!$E10:$P10)+INPUTS!$B$14*(RED!P10*SUMPRODUCT((CLASS!$E10:$P10="RES")*1,LIVE!$E10:$P10)+IF(SUMPRODUCT((CLASS!$E10:$P10="GAR")*1)&gt;=2,INPUTS!$B$20,1)*SUMPRODUCT((CLASS!$E10:$P10="GAR")*1,LIVE!$E10:$P10)+SUMPRODUCT((CLASS!$E10:$P10="NR")*1,LIVE!$E10:$P10))</f>
        <v>1015.956</v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10" t="n">
        <f aca="false">INPUTS!$B$13*SUM(DEAD!$E11:$E11)+INPUTS!$B$14*(RED!E11*SUMPRODUCT((CLASS!$E11:$E11="RES")*1,LIVE!$E11:$E11)+IF(SUMPRODUCT((CLASS!$E11:$E11="GAR")*1)&gt;=2,INPUTS!$B$20,1)*SUMPRODUCT((CLASS!$E11:$E11="GAR")*1,LIVE!$E11:$E11)+SUMPRODUCT((CLASS!$E11:$E11="NR")*1,LIVE!$E11:$E11))</f>
        <v>0</v>
      </c>
      <c r="F11" s="10" t="n">
        <f aca="false">INPUTS!$B$13*SUM(DEAD!$E11:$F11)+INPUTS!$B$14*(RED!F11*SUMPRODUCT((CLASS!$E11:$F11="RES")*1,LIVE!$E11:$F11)+IF(SUMPRODUCT((CLASS!$E11:$F11="GAR")*1)&gt;=2,INPUTS!$B$20,1)*SUMPRODUCT((CLASS!$E11:$F11="GAR")*1,LIVE!$E11:$F11)+SUMPRODUCT((CLASS!$E11:$F11="NR")*1,LIVE!$E11:$F11))</f>
        <v>136.065</v>
      </c>
      <c r="G11" s="10" t="n">
        <f aca="false">INPUTS!$B$13*SUM(DEAD!$E11:$G11)+INPUTS!$B$14*(RED!G11*SUMPRODUCT((CLASS!$E11:$G11="RES")*1,LIVE!$E11:$G11)+IF(SUMPRODUCT((CLASS!$E11:$G11="GAR")*1)&gt;=2,INPUTS!$B$20,1)*SUMPRODUCT((CLASS!$E11:$G11="GAR")*1,LIVE!$E11:$G11)+SUMPRODUCT((CLASS!$E11:$G11="NR")*1,LIVE!$E11:$G11))</f>
        <v>226.111795974161</v>
      </c>
      <c r="H11" s="10" t="n">
        <f aca="false">INPUTS!$B$13*SUM(DEAD!$E11:$H11)+INPUTS!$B$14*(RED!H11*SUMPRODUCT((CLASS!$E11:$H11="RES")*1,LIVE!$E11:$H11)+IF(SUMPRODUCT((CLASS!$E11:$H11="GAR")*1)&gt;=2,INPUTS!$B$20,1)*SUMPRODUCT((CLASS!$E11:$H11="GAR")*1,LIVE!$E11:$H11)+SUMPRODUCT((CLASS!$E11:$H11="NR")*1,LIVE!$E11:$H11))</f>
        <v>309.520579552703</v>
      </c>
      <c r="I11" s="10" t="n">
        <f aca="false">INPUTS!$B$13*SUM(DEAD!$E11:$I11)+INPUTS!$B$14*(RED!I11*SUMPRODUCT((CLASS!$E11:$I11="RES")*1,LIVE!$E11:$I11)+IF(SUMPRODUCT((CLASS!$E11:$I11="GAR")*1)&gt;=2,INPUTS!$B$20,1)*SUMPRODUCT((CLASS!$E11:$I11="GAR")*1,LIVE!$E11:$I11)+SUMPRODUCT((CLASS!$E11:$I11="NR")*1,LIVE!$E11:$I11))</f>
        <v>391.83724636825</v>
      </c>
      <c r="J11" s="10" t="n">
        <f aca="false">INPUTS!$B$13*SUM(DEAD!$E11:$J11)+INPUTS!$B$14*(RED!J11*SUMPRODUCT((CLASS!$E11:$J11="RES")*1,LIVE!$E11:$J11)+IF(SUMPRODUCT((CLASS!$E11:$J11="GAR")*1)&gt;=2,INPUTS!$B$20,1)*SUMPRODUCT((CLASS!$E11:$J11="GAR")*1,LIVE!$E11:$J11)+SUMPRODUCT((CLASS!$E11:$J11="NR")*1,LIVE!$E11:$J11))</f>
        <v>473.588591948321</v>
      </c>
      <c r="K11" s="10" t="n">
        <f aca="false">INPUTS!$B$13*SUM(DEAD!$E11:$K11)+INPUTS!$B$14*(RED!K11*SUMPRODUCT((CLASS!$E11:$K11="RES")*1,LIVE!$E11:$K11)+IF(SUMPRODUCT((CLASS!$E11:$K11="GAR")*1)&gt;=2,INPUTS!$B$20,1)*SUMPRODUCT((CLASS!$E11:$K11="GAR")*1,LIVE!$E11:$K11)+SUMPRODUCT((CLASS!$E11:$K11="NR")*1,LIVE!$E11:$K11))</f>
        <v>554.978666105381</v>
      </c>
      <c r="L11" s="10" t="n">
        <f aca="false">INPUTS!$B$13*SUM(DEAD!$E11:$L11)+INPUTS!$B$14*(RED!L11*SUMPRODUCT((CLASS!$E11:$L11="RES")*1,LIVE!$E11:$L11)+IF(SUMPRODUCT((CLASS!$E11:$L11="GAR")*1)&gt;=2,INPUTS!$B$20,1)*SUMPRODUCT((CLASS!$E11:$L11="GAR")*1,LIVE!$E11:$L11)+SUMPRODUCT((CLASS!$E11:$L11="NR")*1,LIVE!$E11:$L11))</f>
        <v>636.112118006018</v>
      </c>
      <c r="M11" s="10" t="n">
        <f aca="false">INPUTS!$B$13*SUM(DEAD!$E11:$M11)+INPUTS!$B$14*(RED!M11*SUMPRODUCT((CLASS!$E11:$M11="RES")*1,LIVE!$E11:$M11)+IF(SUMPRODUCT((CLASS!$E11:$M11="GAR")*1)&gt;=2,INPUTS!$B$20,1)*SUMPRODUCT((CLASS!$E11:$M11="GAR")*1,LIVE!$E11:$M11)+SUMPRODUCT((CLASS!$E11:$M11="NR")*1,LIVE!$E11:$M11))</f>
        <v>717.051114055352</v>
      </c>
      <c r="N11" s="10" t="n">
        <f aca="false">INPUTS!$B$13*SUM(DEAD!$E11:$N11)+INPUTS!$B$14*(RED!N11*SUMPRODUCT((CLASS!$E11:$N11="RES")*1,LIVE!$E11:$N11)+IF(SUMPRODUCT((CLASS!$E11:$N11="GAR")*1)&gt;=2,INPUTS!$B$20,1)*SUMPRODUCT((CLASS!$E11:$N11="GAR")*1,LIVE!$E11:$N11)+SUMPRODUCT((CLASS!$E11:$N11="NR")*1,LIVE!$E11:$N11))</f>
        <v>797.8874</v>
      </c>
      <c r="O11" s="10" t="n">
        <f aca="false">INPUTS!$B$13*SUM(DEAD!$E11:$O11)+INPUTS!$B$14*(RED!O11*SUMPRODUCT((CLASS!$E11:$O11="RES")*1,LIVE!$E11:$O11)+IF(SUMPRODUCT((CLASS!$E11:$O11="GAR")*1)&gt;=2,INPUTS!$B$20,1)*SUMPRODUCT((CLASS!$E11:$O11="GAR")*1,LIVE!$E11:$O11)+SUMPRODUCT((CLASS!$E11:$O11="NR")*1,LIVE!$E11:$O11))</f>
        <v>880.6152</v>
      </c>
      <c r="P11" s="10" t="n">
        <f aca="false">INPUTS!$B$13*SUM(DEAD!$E11:$P11)+INPUTS!$B$14*(RED!P11*SUMPRODUCT((CLASS!$E11:$P11="RES")*1,LIVE!$E11:$P11)+IF(SUMPRODUCT((CLASS!$E11:$P11="GAR")*1)&gt;=2,INPUTS!$B$20,1)*SUMPRODUCT((CLASS!$E11:$P11="GAR")*1,LIVE!$E11:$P11)+SUMPRODUCT((CLASS!$E11:$P11="NR")*1,LIVE!$E11:$P11))</f>
        <v>964.288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10" t="n">
        <f aca="false">INPUTS!$B$13*SUM(DEAD!$E12:$E12)+INPUTS!$B$14*(RED!E12*SUMPRODUCT((CLASS!$E12:$E12="RES")*1,LIVE!$E12:$E12)+IF(SUMPRODUCT((CLASS!$E12:$E12="GAR")*1)&gt;=2,INPUTS!$B$20,1)*SUMPRODUCT((CLASS!$E12:$E12="GAR")*1,LIVE!$E12:$E12)+SUMPRODUCT((CLASS!$E12:$E12="NR")*1,LIVE!$E12:$E12))</f>
        <v>0</v>
      </c>
      <c r="F12" s="10" t="n">
        <f aca="false">INPUTS!$B$13*SUM(DEAD!$E12:$F12)+INPUTS!$B$14*(RED!F12*SUMPRODUCT((CLASS!$E12:$F12="RES")*1,LIVE!$E12:$F12)+IF(SUMPRODUCT((CLASS!$E12:$F12="GAR")*1)&gt;=2,INPUTS!$B$20,1)*SUMPRODUCT((CLASS!$E12:$F12="GAR")*1,LIVE!$E12:$F12)+SUMPRODUCT((CLASS!$E12:$F12="NR")*1,LIVE!$E12:$F12))</f>
        <v>44.05</v>
      </c>
      <c r="G12" s="10" t="n">
        <f aca="false">INPUTS!$B$13*SUM(DEAD!$E12:$G12)+INPUTS!$B$14*(RED!G12*SUMPRODUCT((CLASS!$E12:$G12="RES")*1,LIVE!$E12:$G12)+IF(SUMPRODUCT((CLASS!$E12:$G12="GAR")*1)&gt;=2,INPUTS!$B$20,1)*SUMPRODUCT((CLASS!$E12:$G12="GAR")*1,LIVE!$E12:$G12)+SUMPRODUCT((CLASS!$E12:$G12="NR")*1,LIVE!$E12:$G12))</f>
        <v>75.26</v>
      </c>
      <c r="H12" s="10" t="n">
        <f aca="false">INPUTS!$B$13*SUM(DEAD!$E12:$H12)+INPUTS!$B$14*(RED!H12*SUMPRODUCT((CLASS!$E12:$H12="RES")*1,LIVE!$E12:$H12)+IF(SUMPRODUCT((CLASS!$E12:$H12="GAR")*1)&gt;=2,INPUTS!$B$20,1)*SUMPRODUCT((CLASS!$E12:$H12="GAR")*1,LIVE!$E12:$H12)+SUMPRODUCT((CLASS!$E12:$H12="NR")*1,LIVE!$E12:$H12))</f>
        <v>103.655712343401</v>
      </c>
      <c r="I12" s="10" t="n">
        <f aca="false">INPUTS!$B$13*SUM(DEAD!$E12:$I12)+INPUTS!$B$14*(RED!I12*SUMPRODUCT((CLASS!$E12:$I12="RES")*1,LIVE!$E12:$I12)+IF(SUMPRODUCT((CLASS!$E12:$I12="GAR")*1)&gt;=2,INPUTS!$B$20,1)*SUMPRODUCT((CLASS!$E12:$I12="GAR")*1,LIVE!$E12:$I12)+SUMPRODUCT((CLASS!$E12:$I12="NR")*1,LIVE!$E12:$I12))</f>
        <v>131.054853082973</v>
      </c>
      <c r="J12" s="10" t="n">
        <f aca="false">INPUTS!$B$13*SUM(DEAD!$E12:$J12)+INPUTS!$B$14*(RED!J12*SUMPRODUCT((CLASS!$E12:$J12="RES")*1,LIVE!$E12:$J12)+IF(SUMPRODUCT((CLASS!$E12:$J12="GAR")*1)&gt;=2,INPUTS!$B$20,1)*SUMPRODUCT((CLASS!$E12:$J12="GAR")*1,LIVE!$E12:$J12)+SUMPRODUCT((CLASS!$E12:$J12="NR")*1,LIVE!$E12:$J12))</f>
        <v>158.157472397444</v>
      </c>
      <c r="K12" s="10" t="n">
        <f aca="false">INPUTS!$B$13*SUM(DEAD!$E12:$K12)+INPUTS!$B$14*(RED!K12*SUMPRODUCT((CLASS!$E12:$K12="RES")*1,LIVE!$E12:$K12)+IF(SUMPRODUCT((CLASS!$E12:$K12="GAR")*1)&gt;=2,INPUTS!$B$20,1)*SUMPRODUCT((CLASS!$E12:$K12="GAR")*1,LIVE!$E12:$K12)+SUMPRODUCT((CLASS!$E12:$K12="NR")*1,LIVE!$E12:$K12))</f>
        <v>183.18285683277</v>
      </c>
      <c r="L12" s="10" t="n">
        <f aca="false">INPUTS!$B$13*SUM(DEAD!$E12:$L12)+INPUTS!$B$14*(RED!L12*SUMPRODUCT((CLASS!$E12:$L12="RES")*1,LIVE!$E12:$L12)+IF(SUMPRODUCT((CLASS!$E12:$L12="GAR")*1)&gt;=2,INPUTS!$B$20,1)*SUMPRODUCT((CLASS!$E12:$L12="GAR")*1,LIVE!$E12:$L12)+SUMPRODUCT((CLASS!$E12:$L12="NR")*1,LIVE!$E12:$L12))</f>
        <v>208.095138742784</v>
      </c>
      <c r="M12" s="10" t="n">
        <f aca="false">INPUTS!$B$13*SUM(DEAD!$E12:$M12)+INPUTS!$B$14*(RED!M12*SUMPRODUCT((CLASS!$E12:$M12="RES")*1,LIVE!$E12:$M12)+IF(SUMPRODUCT((CLASS!$E12:$M12="GAR")*1)&gt;=2,INPUTS!$B$20,1)*SUMPRODUCT((CLASS!$E12:$M12="GAR")*1,LIVE!$E12:$M12)+SUMPRODUCT((CLASS!$E12:$M12="NR")*1,LIVE!$E12:$M12))</f>
        <v>232.91994805186</v>
      </c>
      <c r="N12" s="10" t="n">
        <f aca="false">INPUTS!$B$13*SUM(DEAD!$E12:$N12)+INPUTS!$B$14*(RED!N12*SUMPRODUCT((CLASS!$E12:$N12="RES")*1,LIVE!$E12:$N12)+IF(SUMPRODUCT((CLASS!$E12:$N12="GAR")*1)&gt;=2,INPUTS!$B$20,1)*SUMPRODUCT((CLASS!$E12:$N12="GAR")*1,LIVE!$E12:$N12)+SUMPRODUCT((CLASS!$E12:$N12="NR")*1,LIVE!$E12:$N12))</f>
        <v>257.67448719101</v>
      </c>
      <c r="O12" s="10" t="n">
        <f aca="false">INPUTS!$B$13*SUM(DEAD!$E12:$O12)+INPUTS!$B$14*(RED!O12*SUMPRODUCT((CLASS!$E12:$O12="RES")*1,LIVE!$E12:$O12)+IF(SUMPRODUCT((CLASS!$E12:$O12="GAR")*1)&gt;=2,INPUTS!$B$20,1)*SUMPRODUCT((CLASS!$E12:$O12="GAR")*1,LIVE!$E12:$O12)+SUMPRODUCT((CLASS!$E12:$O12="NR")*1,LIVE!$E12:$O12))</f>
        <v>282.370965391009</v>
      </c>
      <c r="P12" s="10" t="n">
        <f aca="false">INPUTS!$B$13*SUM(DEAD!$E12:$P12)+INPUTS!$B$14*(RED!P12*SUMPRODUCT((CLASS!$E12:$P12="RES")*1,LIVE!$E12:$P12)+IF(SUMPRODUCT((CLASS!$E12:$P12="GAR")*1)&gt;=2,INPUTS!$B$20,1)*SUMPRODUCT((CLASS!$E12:$P12="GAR")*1,LIVE!$E12:$P12)+SUMPRODUCT((CLASS!$E12:$P12="NR")*1,LIVE!$E12:$P12))</f>
        <v>307.648419109611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10" t="n">
        <f aca="false">INPUTS!$B$13*SUM(DEAD!$E13:$E13)+INPUTS!$B$14*(RED!E13*SUMPRODUCT((CLASS!$E13:$E13="RES")*1,LIVE!$E13:$E13)+IF(SUMPRODUCT((CLASS!$E13:$E13="GAR")*1)&gt;=2,INPUTS!$B$20,1)*SUMPRODUCT((CLASS!$E13:$E13="GAR")*1,LIVE!$E13:$E13)+SUMPRODUCT((CLASS!$E13:$E13="NR")*1,LIVE!$E13:$E13))</f>
        <v>0</v>
      </c>
      <c r="F13" s="10" t="n">
        <f aca="false">INPUTS!$B$13*SUM(DEAD!$E13:$F13)+INPUTS!$B$14*(RED!F13*SUMPRODUCT((CLASS!$E13:$F13="RES")*1,LIVE!$E13:$F13)+IF(SUMPRODUCT((CLASS!$E13:$F13="GAR")*1)&gt;=2,INPUTS!$B$20,1)*SUMPRODUCT((CLASS!$E13:$F13="GAR")*1,LIVE!$E13:$F13)+SUMPRODUCT((CLASS!$E13:$F13="NR")*1,LIVE!$E13:$F13))</f>
        <v>157.029</v>
      </c>
      <c r="G13" s="10" t="n">
        <f aca="false">INPUTS!$B$13*SUM(DEAD!$E13:$G13)+INPUTS!$B$14*(RED!G13*SUMPRODUCT((CLASS!$E13:$G13="RES")*1,LIVE!$E13:$G13)+IF(SUMPRODUCT((CLASS!$E13:$G13="GAR")*1)&gt;=2,INPUTS!$B$20,1)*SUMPRODUCT((CLASS!$E13:$G13="GAR")*1,LIVE!$E13:$G13)+SUMPRODUCT((CLASS!$E13:$G13="NR")*1,LIVE!$E13:$G13))</f>
        <v>251.551012886377</v>
      </c>
      <c r="H13" s="10" t="n">
        <f aca="false">INPUTS!$B$13*SUM(DEAD!$E13:$H13)+INPUTS!$B$14*(RED!H13*SUMPRODUCT((CLASS!$E13:$H13="RES")*1,LIVE!$E13:$H13)+IF(SUMPRODUCT((CLASS!$E13:$H13="GAR")*1)&gt;=2,INPUTS!$B$20,1)*SUMPRODUCT((CLASS!$E13:$H13="GAR")*1,LIVE!$E13:$H13)+SUMPRODUCT((CLASS!$E13:$H13="NR")*1,LIVE!$E13:$H13))</f>
        <v>339.004333281246</v>
      </c>
      <c r="I13" s="10" t="n">
        <f aca="false">INPUTS!$B$13*SUM(DEAD!$E13:$I13)+INPUTS!$B$14*(RED!I13*SUMPRODUCT((CLASS!$E13:$I13="RES")*1,LIVE!$E13:$I13)+IF(SUMPRODUCT((CLASS!$E13:$I13="GAR")*1)&gt;=2,INPUTS!$B$20,1)*SUMPRODUCT((CLASS!$E13:$I13="GAR")*1,LIVE!$E13:$I13)+SUMPRODUCT((CLASS!$E13:$I13="NR")*1,LIVE!$E13:$I13))</f>
        <v>425.294679414794</v>
      </c>
      <c r="J13" s="10" t="n">
        <f aca="false">INPUTS!$B$13*SUM(DEAD!$E13:$J13)+INPUTS!$B$14*(RED!J13*SUMPRODUCT((CLASS!$E13:$J13="RES")*1,LIVE!$E13:$J13)+IF(SUMPRODUCT((CLASS!$E13:$J13="GAR")*1)&gt;=2,INPUTS!$B$20,1)*SUMPRODUCT((CLASS!$E13:$J13="GAR")*1,LIVE!$E13:$J13)+SUMPRODUCT((CLASS!$E13:$J13="NR")*1,LIVE!$E13:$J13))</f>
        <v>510.983025772755</v>
      </c>
      <c r="K13" s="10" t="n">
        <f aca="false">INPUTS!$B$13*SUM(DEAD!$E13:$K13)+INPUTS!$B$14*(RED!K13*SUMPRODUCT((CLASS!$E13:$K13="RES")*1,LIVE!$E13:$K13)+IF(SUMPRODUCT((CLASS!$E13:$K13="GAR")*1)&gt;=2,INPUTS!$B$20,1)*SUMPRODUCT((CLASS!$E13:$K13="GAR")*1,LIVE!$E13:$K13)+SUMPRODUCT((CLASS!$E13:$K13="NR")*1,LIVE!$E13:$K13))</f>
        <v>592.671669973705</v>
      </c>
      <c r="L13" s="10" t="n">
        <f aca="false">INPUTS!$B$13*SUM(DEAD!$E13:$L13)+INPUTS!$B$14*(RED!L13*SUMPRODUCT((CLASS!$E13:$L13="RES")*1,LIVE!$E13:$L13)+IF(SUMPRODUCT((CLASS!$E13:$L13="GAR")*1)&gt;=2,INPUTS!$B$20,1)*SUMPRODUCT((CLASS!$E13:$L13="GAR")*1,LIVE!$E13:$L13)+SUMPRODUCT((CLASS!$E13:$L13="NR")*1,LIVE!$E13:$L13))</f>
        <v>679.0614</v>
      </c>
      <c r="M13" s="10" t="n">
        <f aca="false">INPUTS!$B$13*SUM(DEAD!$E13:$M13)+INPUTS!$B$14*(RED!M13*SUMPRODUCT((CLASS!$E13:$M13="RES")*1,LIVE!$E13:$M13)+IF(SUMPRODUCT((CLASS!$E13:$M13="GAR")*1)&gt;=2,INPUTS!$B$20,1)*SUMPRODUCT((CLASS!$E13:$M13="GAR")*1,LIVE!$E13:$M13)+SUMPRODUCT((CLASS!$E13:$M13="NR")*1,LIVE!$E13:$M13))</f>
        <v>766.0668</v>
      </c>
      <c r="N13" s="10" t="n">
        <f aca="false">INPUTS!$B$13*SUM(DEAD!$E13:$N13)+INPUTS!$B$14*(RED!N13*SUMPRODUCT((CLASS!$E13:$N13="RES")*1,LIVE!$E13:$N13)+IF(SUMPRODUCT((CLASS!$E13:$N13="GAR")*1)&gt;=2,INPUTS!$B$20,1)*SUMPRODUCT((CLASS!$E13:$N13="GAR")*1,LIVE!$E13:$N13)+SUMPRODUCT((CLASS!$E13:$N13="NR")*1,LIVE!$E13:$N13))</f>
        <v>853.0722</v>
      </c>
      <c r="O13" s="10" t="n">
        <f aca="false">INPUTS!$B$13*SUM(DEAD!$E13:$O13)+INPUTS!$B$14*(RED!O13*SUMPRODUCT((CLASS!$E13:$O13="RES")*1,LIVE!$E13:$O13)+IF(SUMPRODUCT((CLASS!$E13:$O13="GAR")*1)&gt;=2,INPUTS!$B$20,1)*SUMPRODUCT((CLASS!$E13:$O13="GAR")*1,LIVE!$E13:$O13)+SUMPRODUCT((CLASS!$E13:$O13="NR")*1,LIVE!$E13:$O13))</f>
        <v>940.0776</v>
      </c>
      <c r="P13" s="10" t="n">
        <f aca="false">INPUTS!$B$13*SUM(DEAD!$E13:$P13)+INPUTS!$B$14*(RED!P13*SUMPRODUCT((CLASS!$E13:$P13="RES")*1,LIVE!$E13:$P13)+IF(SUMPRODUCT((CLASS!$E13:$P13="GAR")*1)&gt;=2,INPUTS!$B$20,1)*SUMPRODUCT((CLASS!$E13:$P13="GAR")*1,LIVE!$E13:$P13)+SUMPRODUCT((CLASS!$E13:$P13="NR")*1,LIVE!$E13:$P13))</f>
        <v>1028.028</v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10" t="n">
        <f aca="false">INPUTS!$B$13*SUM(DEAD!$E14:$E14)+INPUTS!$B$14*(RED!E14*SUMPRODUCT((CLASS!$E14:$E14="RES")*1,LIVE!$E14:$E14)+IF(SUMPRODUCT((CLASS!$E14:$E14="GAR")*1)&gt;=2,INPUTS!$B$20,1)*SUMPRODUCT((CLASS!$E14:$E14="GAR")*1,LIVE!$E14:$E14)+SUMPRODUCT((CLASS!$E14:$E14="NR")*1,LIVE!$E14:$E14))</f>
        <v>0</v>
      </c>
      <c r="F14" s="10" t="n">
        <f aca="false">INPUTS!$B$13*SUM(DEAD!$E14:$F14)+INPUTS!$B$14*(RED!F14*SUMPRODUCT((CLASS!$E14:$F14="RES")*1,LIVE!$E14:$F14)+IF(SUMPRODUCT((CLASS!$E14:$F14="GAR")*1)&gt;=2,INPUTS!$B$20,1)*SUMPRODUCT((CLASS!$E14:$F14="GAR")*1,LIVE!$E14:$F14)+SUMPRODUCT((CLASS!$E14:$F14="NR")*1,LIVE!$E14:$F14))</f>
        <v>102.397</v>
      </c>
      <c r="G14" s="10" t="n">
        <f aca="false">INPUTS!$B$13*SUM(DEAD!$E14:$G14)+INPUTS!$B$14*(RED!G14*SUMPRODUCT((CLASS!$E14:$G14="RES")*1,LIVE!$E14:$G14)+IF(SUMPRODUCT((CLASS!$E14:$G14="GAR")*1)&gt;=2,INPUTS!$B$20,1)*SUMPRODUCT((CLASS!$E14:$G14="GAR")*1,LIVE!$E14:$G14)+SUMPRODUCT((CLASS!$E14:$G14="NR")*1,LIVE!$E14:$G14))</f>
        <v>168.083135095647</v>
      </c>
      <c r="H14" s="10" t="n">
        <f aca="false">INPUTS!$B$13*SUM(DEAD!$E14:$H14)+INPUTS!$B$14*(RED!H14*SUMPRODUCT((CLASS!$E14:$H14="RES")*1,LIVE!$E14:$H14)+IF(SUMPRODUCT((CLASS!$E14:$H14="GAR")*1)&gt;=2,INPUTS!$B$20,1)*SUMPRODUCT((CLASS!$E14:$H14="GAR")*1,LIVE!$E14:$H14)+SUMPRODUCT((CLASS!$E14:$H14="NR")*1,LIVE!$E14:$H14))</f>
        <v>228.221207703332</v>
      </c>
      <c r="I14" s="10" t="n">
        <f aca="false">INPUTS!$B$13*SUM(DEAD!$E14:$I14)+INPUTS!$B$14*(RED!I14*SUMPRODUCT((CLASS!$E14:$I14="RES")*1,LIVE!$E14:$I14)+IF(SUMPRODUCT((CLASS!$E14:$I14="GAR")*1)&gt;=2,INPUTS!$B$20,1)*SUMPRODUCT((CLASS!$E14:$I14="GAR")*1,LIVE!$E14:$I14)+SUMPRODUCT((CLASS!$E14:$I14="NR")*1,LIVE!$E14:$I14))</f>
        <v>287.44648719101</v>
      </c>
      <c r="J14" s="10" t="n">
        <f aca="false">INPUTS!$B$13*SUM(DEAD!$E14:$J14)+INPUTS!$B$14*(RED!J14*SUMPRODUCT((CLASS!$E14:$J14="RES")*1,LIVE!$E14:$J14)+IF(SUMPRODUCT((CLASS!$E14:$J14="GAR")*1)&gt;=2,INPUTS!$B$20,1)*SUMPRODUCT((CLASS!$E14:$J14="GAR")*1,LIVE!$E14:$J14)+SUMPRODUCT((CLASS!$E14:$J14="NR")*1,LIVE!$E14:$J14))</f>
        <v>346.199270191294</v>
      </c>
      <c r="K14" s="10" t="n">
        <f aca="false">INPUTS!$B$13*SUM(DEAD!$E14:$K14)+INPUTS!$B$14*(RED!K14*SUMPRODUCT((CLASS!$E14:$K14="RES")*1,LIVE!$E14:$K14)+IF(SUMPRODUCT((CLASS!$E14:$K14="GAR")*1)&gt;=2,INPUTS!$B$20,1)*SUMPRODUCT((CLASS!$E14:$K14="GAR")*1,LIVE!$E14:$K14)+SUMPRODUCT((CLASS!$E14:$K14="NR")*1,LIVE!$E14:$K14))</f>
        <v>403.337449533237</v>
      </c>
      <c r="L14" s="10" t="n">
        <f aca="false">INPUTS!$B$13*SUM(DEAD!$E14:$L14)+INPUTS!$B$14*(RED!L14*SUMPRODUCT((CLASS!$E14:$L14="RES")*1,LIVE!$E14:$L14)+IF(SUMPRODUCT((CLASS!$E14:$L14="GAR")*1)&gt;=2,INPUTS!$B$20,1)*SUMPRODUCT((CLASS!$E14:$L14="GAR")*1,LIVE!$E14:$L14)+SUMPRODUCT((CLASS!$E14:$L14="NR")*1,LIVE!$E14:$L14))</f>
        <v>460.273651252403</v>
      </c>
      <c r="M14" s="10" t="n">
        <f aca="false">INPUTS!$B$13*SUM(DEAD!$E14:$M14)+INPUTS!$B$14*(RED!M14*SUMPRODUCT((CLASS!$E14:$M14="RES")*1,LIVE!$E14:$M14)+IF(SUMPRODUCT((CLASS!$E14:$M14="GAR")*1)&gt;=2,INPUTS!$B$20,1)*SUMPRODUCT((CLASS!$E14:$M14="GAR")*1,LIVE!$E14:$M14)+SUMPRODUCT((CLASS!$E14:$M14="NR")*1,LIVE!$E14:$M14))</f>
        <v>517.055696950795</v>
      </c>
      <c r="N14" s="10" t="n">
        <f aca="false">INPUTS!$B$13*SUM(DEAD!$E14:$N14)+INPUTS!$B$14*(RED!N14*SUMPRODUCT((CLASS!$E14:$N14="RES")*1,LIVE!$E14:$N14)+IF(SUMPRODUCT((CLASS!$E14:$N14="GAR")*1)&gt;=2,INPUTS!$B$20,1)*SUMPRODUCT((CLASS!$E14:$N14="GAR")*1,LIVE!$E14:$N14)+SUMPRODUCT((CLASS!$E14:$N14="NR")*1,LIVE!$E14:$N14))</f>
        <v>573.715072219196</v>
      </c>
      <c r="O14" s="10" t="n">
        <f aca="false">INPUTS!$B$13*SUM(DEAD!$E14:$O14)+INPUTS!$B$14*(RED!O14*SUMPRODUCT((CLASS!$E14:$O14="RES")*1,LIVE!$E14:$O14)+IF(SUMPRODUCT((CLASS!$E14:$O14="GAR")*1)&gt;=2,INPUTS!$B$20,1)*SUMPRODUCT((CLASS!$E14:$O14="GAR")*1,LIVE!$E14:$O14)+SUMPRODUCT((CLASS!$E14:$O14="NR")*1,LIVE!$E14:$O14))</f>
        <v>630.273812308378</v>
      </c>
      <c r="P14" s="10" t="n">
        <f aca="false">INPUTS!$B$13*SUM(DEAD!$E14:$P14)+INPUTS!$B$14*(RED!P14*SUMPRODUCT((CLASS!$E14:$P14="RES")*1,LIVE!$E14:$P14)+IF(SUMPRODUCT((CLASS!$E14:$P14="GAR")*1)&gt;=2,INPUTS!$B$20,1)*SUMPRODUCT((CLASS!$E14:$P14="GAR")*1,LIVE!$E14:$P14)+SUMPRODUCT((CLASS!$E14:$P14="NR")*1,LIVE!$E14:$P14))</f>
        <v>687.693052612888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10" t="n">
        <f aca="false">INPUTS!$B$13*SUM(DEAD!$E15:$E15)+INPUTS!$B$14*(RED!E15*SUMPRODUCT((CLASS!$E15:$E15="RES")*1,LIVE!$E15:$E15)+IF(SUMPRODUCT((CLASS!$E15:$E15="GAR")*1)&gt;=2,INPUTS!$B$20,1)*SUMPRODUCT((CLASS!$E15:$E15="GAR")*1,LIVE!$E15:$E15)+SUMPRODUCT((CLASS!$E15:$E15="NR")*1,LIVE!$E15:$E15))</f>
        <v>0</v>
      </c>
      <c r="F15" s="10" t="n">
        <f aca="false">INPUTS!$B$13*SUM(DEAD!$E15:$F15)+INPUTS!$B$14*(RED!F15*SUMPRODUCT((CLASS!$E15:$F15="RES")*1,LIVE!$E15:$F15)+IF(SUMPRODUCT((CLASS!$E15:$F15="GAR")*1)&gt;=2,INPUTS!$B$20,1)*SUMPRODUCT((CLASS!$E15:$F15="GAR")*1,LIVE!$E15:$F15)+SUMPRODUCT((CLASS!$E15:$F15="NR")*1,LIVE!$E15:$F15))</f>
        <v>98.174</v>
      </c>
      <c r="G15" s="10" t="n">
        <f aca="false">INPUTS!$B$13*SUM(DEAD!$E15:$G15)+INPUTS!$B$14*(RED!G15*SUMPRODUCT((CLASS!$E15:$G15="RES")*1,LIVE!$E15:$G15)+IF(SUMPRODUCT((CLASS!$E15:$G15="GAR")*1)&gt;=2,INPUTS!$B$20,1)*SUMPRODUCT((CLASS!$E15:$G15="GAR")*1,LIVE!$E15:$G15)+SUMPRODUCT((CLASS!$E15:$G15="NR")*1,LIVE!$E15:$G15))</f>
        <v>157.25252601932</v>
      </c>
      <c r="H15" s="10" t="n">
        <f aca="false">INPUTS!$B$13*SUM(DEAD!$E15:$H15)+INPUTS!$B$14*(RED!H15*SUMPRODUCT((CLASS!$E15:$H15="RES")*1,LIVE!$E15:$H15)+IF(SUMPRODUCT((CLASS!$E15:$H15="GAR")*1)&gt;=2,INPUTS!$B$20,1)*SUMPRODUCT((CLASS!$E15:$H15="GAR")*1,LIVE!$E15:$H15)+SUMPRODUCT((CLASS!$E15:$H15="NR")*1,LIVE!$E15:$H15))</f>
        <v>211.065695402266</v>
      </c>
      <c r="I15" s="10" t="n">
        <f aca="false">INPUTS!$B$13*SUM(DEAD!$E15:$I15)+INPUTS!$B$14*(RED!I15*SUMPRODUCT((CLASS!$E15:$I15="RES")*1,LIVE!$E15:$I15)+IF(SUMPRODUCT((CLASS!$E15:$I15="GAR")*1)&gt;=2,INPUTS!$B$20,1)*SUMPRODUCT((CLASS!$E15:$I15="GAR")*1,LIVE!$E15:$I15)+SUMPRODUCT((CLASS!$E15:$I15="NR")*1,LIVE!$E15:$I15))</f>
        <v>264.012583750618</v>
      </c>
      <c r="J15" s="10" t="n">
        <f aca="false">INPUTS!$B$13*SUM(DEAD!$E15:$J15)+INPUTS!$B$14*(RED!J15*SUMPRODUCT((CLASS!$E15:$J15="RES")*1,LIVE!$E15:$J15)+IF(SUMPRODUCT((CLASS!$E15:$J15="GAR")*1)&gt;=2,INPUTS!$B$20,1)*SUMPRODUCT((CLASS!$E15:$J15="GAR")*1,LIVE!$E15:$J15)+SUMPRODUCT((CLASS!$E15:$J15="NR")*1,LIVE!$E15:$J15))</f>
        <v>316.511052038641</v>
      </c>
      <c r="K15" s="10" t="n">
        <f aca="false">INPUTS!$B$13*SUM(DEAD!$E15:$K15)+INPUTS!$B$14*(RED!K15*SUMPRODUCT((CLASS!$E15:$K15="RES")*1,LIVE!$E15:$K15)+IF(SUMPRODUCT((CLASS!$E15:$K15="GAR")*1)&gt;=2,INPUTS!$B$20,1)*SUMPRODUCT((CLASS!$E15:$K15="GAR")*1,LIVE!$E15:$K15)+SUMPRODUCT((CLASS!$E15:$K15="NR")*1,LIVE!$E15:$K15))</f>
        <v>368.722955196726</v>
      </c>
      <c r="L15" s="10" t="n">
        <f aca="false">INPUTS!$B$13*SUM(DEAD!$E15:$L15)+INPUTS!$B$14*(RED!L15*SUMPRODUCT((CLASS!$E15:$L15="RES")*1,LIVE!$E15:$L15)+IF(SUMPRODUCT((CLASS!$E15:$L15="GAR")*1)&gt;=2,INPUTS!$B$20,1)*SUMPRODUCT((CLASS!$E15:$L15="GAR")*1,LIVE!$E15:$L15)+SUMPRODUCT((CLASS!$E15:$L15="NR")*1,LIVE!$E15:$L15))</f>
        <v>420.731302287065</v>
      </c>
      <c r="M15" s="10" t="n">
        <f aca="false">INPUTS!$B$13*SUM(DEAD!$E15:$M15)+INPUTS!$B$14*(RED!M15*SUMPRODUCT((CLASS!$E15:$M15="RES")*1,LIVE!$E15:$M15)+IF(SUMPRODUCT((CLASS!$E15:$M15="GAR")*1)&gt;=2,INPUTS!$B$20,1)*SUMPRODUCT((CLASS!$E15:$M15="GAR")*1,LIVE!$E15:$M15)+SUMPRODUCT((CLASS!$E15:$M15="NR")*1,LIVE!$E15:$M15))</f>
        <v>472.585404500155</v>
      </c>
      <c r="N15" s="10" t="n">
        <f aca="false">INPUTS!$B$13*SUM(DEAD!$E15:$N15)+INPUTS!$B$14*(RED!N15*SUMPRODUCT((CLASS!$E15:$N15="RES")*1,LIVE!$E15:$N15)+IF(SUMPRODUCT((CLASS!$E15:$N15="GAR")*1)&gt;=2,INPUTS!$B$20,1)*SUMPRODUCT((CLASS!$E15:$N15="GAR")*1,LIVE!$E15:$N15)+SUMPRODUCT((CLASS!$E15:$N15="NR")*1,LIVE!$E15:$N15))</f>
        <v>524.317390804533</v>
      </c>
      <c r="O15" s="10" t="n">
        <f aca="false">INPUTS!$B$13*SUM(DEAD!$E15:$O15)+INPUTS!$B$14*(RED!O15*SUMPRODUCT((CLASS!$E15:$O15="RES")*1,LIVE!$E15:$O15)+IF(SUMPRODUCT((CLASS!$E15:$O15="GAR")*1)&gt;=2,INPUTS!$B$20,1)*SUMPRODUCT((CLASS!$E15:$O15="GAR")*1,LIVE!$E15:$O15)+SUMPRODUCT((CLASS!$E15:$O15="NR")*1,LIVE!$E15:$O15))</f>
        <v>575.949578057961</v>
      </c>
      <c r="P15" s="10" t="n">
        <f aca="false">INPUTS!$B$13*SUM(DEAD!$E15:$P15)+INPUTS!$B$14*(RED!P15*SUMPRODUCT((CLASS!$E15:$P15="RES")*1,LIVE!$E15:$P15)+IF(SUMPRODUCT((CLASS!$E15:$P15="GAR")*1)&gt;=2,INPUTS!$B$20,1)*SUMPRODUCT((CLASS!$E15:$P15="GAR")*1,LIVE!$E15:$P15)+SUMPRODUCT((CLASS!$E15:$P15="NR")*1,LIVE!$E15:$P15))</f>
        <v>628.128215028739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10" t="n">
        <f aca="false">INPUTS!$B$13*SUM(DEAD!$E16:$E16)+INPUTS!$B$14*(RED!E16*SUMPRODUCT((CLASS!$E16:$E16="RES")*1,LIVE!$E16:$E16)+IF(SUMPRODUCT((CLASS!$E16:$E16="GAR")*1)&gt;=2,INPUTS!$B$20,1)*SUMPRODUCT((CLASS!$E16:$E16="GAR")*1,LIVE!$E16:$E16)+SUMPRODUCT((CLASS!$E16:$E16="NR")*1,LIVE!$E16:$E16))</f>
        <v>0</v>
      </c>
      <c r="F16" s="10" t="n">
        <f aca="false">INPUTS!$B$13*SUM(DEAD!$E16:$F16)+INPUTS!$B$14*(RED!F16*SUMPRODUCT((CLASS!$E16:$F16="RES")*1,LIVE!$E16:$F16)+IF(SUMPRODUCT((CLASS!$E16:$F16="GAR")*1)&gt;=2,INPUTS!$B$20,1)*SUMPRODUCT((CLASS!$E16:$F16="GAR")*1,LIVE!$E16:$F16)+SUMPRODUCT((CLASS!$E16:$F16="NR")*1,LIVE!$E16:$F16))</f>
        <v>117.01</v>
      </c>
      <c r="G16" s="10" t="n">
        <f aca="false">INPUTS!$B$13*SUM(DEAD!$E16:$G16)+INPUTS!$B$14*(RED!G16*SUMPRODUCT((CLASS!$E16:$G16="RES")*1,LIVE!$E16:$G16)+IF(SUMPRODUCT((CLASS!$E16:$G16="GAR")*1)&gt;=2,INPUTS!$B$20,1)*SUMPRODUCT((CLASS!$E16:$G16="GAR")*1,LIVE!$E16:$G16)+SUMPRODUCT((CLASS!$E16:$G16="NR")*1,LIVE!$E16:$G16))</f>
        <v>188.662988078132</v>
      </c>
      <c r="H16" s="10" t="n">
        <f aca="false">INPUTS!$B$13*SUM(DEAD!$E16:$H16)+INPUTS!$B$14*(RED!H16*SUMPRODUCT((CLASS!$E16:$H16="RES")*1,LIVE!$E16:$H16)+IF(SUMPRODUCT((CLASS!$E16:$H16="GAR")*1)&gt;=2,INPUTS!$B$20,1)*SUMPRODUCT((CLASS!$E16:$H16="GAR")*1,LIVE!$E16:$H16)+SUMPRODUCT((CLASS!$E16:$H16="NR")*1,LIVE!$E16:$H16))</f>
        <v>254.198615371794</v>
      </c>
      <c r="I16" s="10" t="n">
        <f aca="false">INPUTS!$B$13*SUM(DEAD!$E16:$I16)+INPUTS!$B$14*(RED!I16*SUMPRODUCT((CLASS!$E16:$I16="RES")*1,LIVE!$E16:$I16)+IF(SUMPRODUCT((CLASS!$E16:$I16="GAR")*1)&gt;=2,INPUTS!$B$20,1)*SUMPRODUCT((CLASS!$E16:$I16="GAR")*1,LIVE!$E16:$I16)+SUMPRODUCT((CLASS!$E16:$I16="NR")*1,LIVE!$E16:$I16))</f>
        <v>318.72778593416</v>
      </c>
      <c r="J16" s="10" t="n">
        <f aca="false">INPUTS!$B$13*SUM(DEAD!$E16:$J16)+INPUTS!$B$14*(RED!J16*SUMPRODUCT((CLASS!$E16:$J16="RES")*1,LIVE!$E16:$J16)+IF(SUMPRODUCT((CLASS!$E16:$J16="GAR")*1)&gt;=2,INPUTS!$B$20,1)*SUMPRODUCT((CLASS!$E16:$J16="GAR")*1,LIVE!$E16:$J16)+SUMPRODUCT((CLASS!$E16:$J16="NR")*1,LIVE!$E16:$J16))</f>
        <v>382.735976156263</v>
      </c>
      <c r="K16" s="10" t="n">
        <f aca="false">INPUTS!$B$13*SUM(DEAD!$E16:$K16)+INPUTS!$B$14*(RED!K16*SUMPRODUCT((CLASS!$E16:$K16="RES")*1,LIVE!$E16:$K16)+IF(SUMPRODUCT((CLASS!$E16:$K16="GAR")*1)&gt;=2,INPUTS!$B$20,1)*SUMPRODUCT((CLASS!$E16:$K16="GAR")*1,LIVE!$E16:$K16)+SUMPRODUCT((CLASS!$E16:$K16="NR")*1,LIVE!$E16:$K16))</f>
        <v>443.282759455623</v>
      </c>
      <c r="L16" s="10" t="n">
        <f aca="false">INPUTS!$B$13*SUM(DEAD!$E16:$L16)+INPUTS!$B$14*(RED!L16*SUMPRODUCT((CLASS!$E16:$L16="RES")*1,LIVE!$E16:$L16)+IF(SUMPRODUCT((CLASS!$E16:$L16="GAR")*1)&gt;=2,INPUTS!$B$20,1)*SUMPRODUCT((CLASS!$E16:$L16="GAR")*1,LIVE!$E16:$L16)+SUMPRODUCT((CLASS!$E16:$L16="NR")*1,LIVE!$E16:$L16))</f>
        <v>506.422923057692</v>
      </c>
      <c r="M16" s="10" t="n">
        <f aca="false">INPUTS!$B$13*SUM(DEAD!$E16:$M16)+INPUTS!$B$14*(RED!M16*SUMPRODUCT((CLASS!$E16:$M16="RES")*1,LIVE!$E16:$M16)+IF(SUMPRODUCT((CLASS!$E16:$M16="GAR")*1)&gt;=2,INPUTS!$B$20,1)*SUMPRODUCT((CLASS!$E16:$M16="GAR")*1,LIVE!$E16:$M16)+SUMPRODUCT((CLASS!$E16:$M16="NR")*1,LIVE!$E16:$M16))</f>
        <v>569.40789167478</v>
      </c>
      <c r="N16" s="10" t="n">
        <f aca="false">INPUTS!$B$13*SUM(DEAD!$E16:$N16)+INPUTS!$B$14*(RED!N16*SUMPRODUCT((CLASS!$E16:$N16="RES")*1,LIVE!$E16:$N16)+IF(SUMPRODUCT((CLASS!$E16:$N16="GAR")*1)&gt;=2,INPUTS!$B$20,1)*SUMPRODUCT((CLASS!$E16:$N16="GAR")*1,LIVE!$E16:$N16)+SUMPRODUCT((CLASS!$E16:$N16="NR")*1,LIVE!$E16:$N16))</f>
        <v>633.954</v>
      </c>
      <c r="O16" s="10" t="n">
        <f aca="false">INPUTS!$B$13*SUM(DEAD!$E16:$O16)+INPUTS!$B$14*(RED!O16*SUMPRODUCT((CLASS!$E16:$O16="RES")*1,LIVE!$E16:$O16)+IF(SUMPRODUCT((CLASS!$E16:$O16="GAR")*1)&gt;=2,INPUTS!$B$20,1)*SUMPRODUCT((CLASS!$E16:$O16="GAR")*1,LIVE!$E16:$O16)+SUMPRODUCT((CLASS!$E16:$O16="NR")*1,LIVE!$E16:$O16))</f>
        <v>698.572</v>
      </c>
      <c r="P16" s="10" t="n">
        <f aca="false">INPUTS!$B$13*SUM(DEAD!$E16:$P16)+INPUTS!$B$14*(RED!P16*SUMPRODUCT((CLASS!$E16:$P16="RES")*1,LIVE!$E16:$P16)+IF(SUMPRODUCT((CLASS!$E16:$P16="GAR")*1)&gt;=2,INPUTS!$B$20,1)*SUMPRODUCT((CLASS!$E16:$P16="GAR")*1,LIVE!$E16:$P16)+SUMPRODUCT((CLASS!$E16:$P16="NR")*1,LIVE!$E16:$P16))</f>
        <v>763.82</v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10" t="n">
        <f aca="false">INPUTS!$B$13*SUM(DEAD!$E17:$E17)+INPUTS!$B$14*(RED!E17*SUMPRODUCT((CLASS!$E17:$E17="RES")*1,LIVE!$E17:$E17)+IF(SUMPRODUCT((CLASS!$E17:$E17="GAR")*1)&gt;=2,INPUTS!$B$20,1)*SUMPRODUCT((CLASS!$E17:$E17="GAR")*1,LIVE!$E17:$E17)+SUMPRODUCT((CLASS!$E17:$E17="NR")*1,LIVE!$E17:$E17))</f>
        <v>0</v>
      </c>
      <c r="F17" s="10" t="n">
        <f aca="false">INPUTS!$B$13*SUM(DEAD!$E17:$F17)+INPUTS!$B$14*(RED!F17*SUMPRODUCT((CLASS!$E17:$F17="RES")*1,LIVE!$E17:$F17)+IF(SUMPRODUCT((CLASS!$E17:$F17="GAR")*1)&gt;=2,INPUTS!$B$20,1)*SUMPRODUCT((CLASS!$E17:$F17="GAR")*1,LIVE!$E17:$F17)+SUMPRODUCT((CLASS!$E17:$F17="NR")*1,LIVE!$E17:$F17))</f>
        <v>91.693</v>
      </c>
      <c r="G17" s="10" t="n">
        <f aca="false">INPUTS!$B$13*SUM(DEAD!$E17:$G17)+INPUTS!$B$14*(RED!G17*SUMPRODUCT((CLASS!$E17:$G17="RES")*1,LIVE!$E17:$G17)+IF(SUMPRODUCT((CLASS!$E17:$G17="GAR")*1)&gt;=2,INPUTS!$B$20,1)*SUMPRODUCT((CLASS!$E17:$G17="GAR")*1,LIVE!$E17:$G17)+SUMPRODUCT((CLASS!$E17:$G17="NR")*1,LIVE!$E17:$G17))</f>
        <v>160.915157858285</v>
      </c>
      <c r="H17" s="10" t="n">
        <f aca="false">INPUTS!$B$13*SUM(DEAD!$E17:$H17)+INPUTS!$B$14*(RED!H17*SUMPRODUCT((CLASS!$E17:$H17="RES")*1,LIVE!$E17:$H17)+IF(SUMPRODUCT((CLASS!$E17:$H17="GAR")*1)&gt;=2,INPUTS!$B$20,1)*SUMPRODUCT((CLASS!$E17:$H17="GAR")*1,LIVE!$E17:$H17)+SUMPRODUCT((CLASS!$E17:$H17="NR")*1,LIVE!$E17:$H17))</f>
        <v>224.439278566531</v>
      </c>
      <c r="I17" s="10" t="n">
        <f aca="false">INPUTS!$B$13*SUM(DEAD!$E17:$I17)+INPUTS!$B$14*(RED!I17*SUMPRODUCT((CLASS!$E17:$I17="RES")*1,LIVE!$E17:$I17)+IF(SUMPRODUCT((CLASS!$E17:$I17="GAR")*1)&gt;=2,INPUTS!$B$20,1)*SUMPRODUCT((CLASS!$E17:$I17="GAR")*1,LIVE!$E17:$I17)+SUMPRODUCT((CLASS!$E17:$I17="NR")*1,LIVE!$E17:$I17))</f>
        <v>287.025931623793</v>
      </c>
      <c r="J17" s="10" t="n">
        <f aca="false">INPUTS!$B$13*SUM(DEAD!$E17:$J17)+INPUTS!$B$14*(RED!J17*SUMPRODUCT((CLASS!$E17:$J17="RES")*1,LIVE!$E17:$J17)+IF(SUMPRODUCT((CLASS!$E17:$J17="GAR")*1)&gt;=2,INPUTS!$B$20,1)*SUMPRODUCT((CLASS!$E17:$J17="GAR")*1,LIVE!$E17:$J17)+SUMPRODUCT((CLASS!$E17:$J17="NR")*1,LIVE!$E17:$J17))</f>
        <v>349.127315716571</v>
      </c>
      <c r="K17" s="10" t="n">
        <f aca="false">INPUTS!$B$13*SUM(DEAD!$E17:$K17)+INPUTS!$B$14*(RED!K17*SUMPRODUCT((CLASS!$E17:$K17="RES")*1,LIVE!$E17:$K17)+IF(SUMPRODUCT((CLASS!$E17:$K17="GAR")*1)&gt;=2,INPUTS!$B$20,1)*SUMPRODUCT((CLASS!$E17:$K17="GAR")*1,LIVE!$E17:$K17)+SUMPRODUCT((CLASS!$E17:$K17="NR")*1,LIVE!$E17:$K17))</f>
        <v>410.918586198997</v>
      </c>
      <c r="L17" s="10" t="n">
        <f aca="false">INPUTS!$B$13*SUM(DEAD!$E17:$L17)+INPUTS!$B$14*(RED!L17*SUMPRODUCT((CLASS!$E17:$L17="RES")*1,LIVE!$E17:$L17)+IF(SUMPRODUCT((CLASS!$E17:$L17="GAR")*1)&gt;=2,INPUTS!$B$20,1)*SUMPRODUCT((CLASS!$E17:$L17="GAR")*1,LIVE!$E17:$L17)+SUMPRODUCT((CLASS!$E17:$L17="NR")*1,LIVE!$E17:$L17))</f>
        <v>472.489573400303</v>
      </c>
      <c r="M17" s="10" t="n">
        <f aca="false">INPUTS!$B$13*SUM(DEAD!$E17:$M17)+INPUTS!$B$14*(RED!M17*SUMPRODUCT((CLASS!$E17:$M17="RES")*1,LIVE!$E17:$M17)+IF(SUMPRODUCT((CLASS!$E17:$M17="GAR")*1)&gt;=2,INPUTS!$B$20,1)*SUMPRODUCT((CLASS!$E17:$M17="GAR")*1,LIVE!$E17:$M17)+SUMPRODUCT((CLASS!$E17:$M17="NR")*1,LIVE!$E17:$M17))</f>
        <v>533.89364065649</v>
      </c>
      <c r="N17" s="10" t="n">
        <f aca="false">INPUTS!$B$13*SUM(DEAD!$E17:$N17)+INPUTS!$B$14*(RED!N17*SUMPRODUCT((CLASS!$E17:$N17="RES")*1,LIVE!$E17:$N17)+IF(SUMPRODUCT((CLASS!$E17:$N17="GAR")*1)&gt;=2,INPUTS!$B$20,1)*SUMPRODUCT((CLASS!$E17:$N17="GAR")*1,LIVE!$E17:$N17)+SUMPRODUCT((CLASS!$E17:$N17="NR")*1,LIVE!$E17:$N17))</f>
        <v>595.165557133062</v>
      </c>
      <c r="O17" s="10" t="n">
        <f aca="false">INPUTS!$B$13*SUM(DEAD!$E17:$O17)+INPUTS!$B$14*(RED!O17*SUMPRODUCT((CLASS!$E17:$O17="RES")*1,LIVE!$E17:$O17)+IF(SUMPRODUCT((CLASS!$E17:$O17="GAR")*1)&gt;=2,INPUTS!$B$20,1)*SUMPRODUCT((CLASS!$E17:$O17="GAR")*1,LIVE!$E17:$O17)+SUMPRODUCT((CLASS!$E17:$O17="NR")*1,LIVE!$E17:$O17))</f>
        <v>656.329473574856</v>
      </c>
      <c r="P17" s="10" t="n">
        <f aca="false">INPUTS!$B$13*SUM(DEAD!$E17:$P17)+INPUTS!$B$14*(RED!P17*SUMPRODUCT((CLASS!$E17:$P17="RES")*1,LIVE!$E17:$P17)+IF(SUMPRODUCT((CLASS!$E17:$P17="GAR")*1)&gt;=2,INPUTS!$B$20,1)*SUMPRODUCT((CLASS!$E17:$P17="GAR")*1,LIVE!$E17:$P17)+SUMPRODUCT((CLASS!$E17:$P17="NR")*1,LIVE!$E17:$P17))</f>
        <v>718.347973992187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10" t="n">
        <f aca="false">INPUTS!$B$13*SUM(DEAD!$E18:$E18)+INPUTS!$B$14*(RED!E18*SUMPRODUCT((CLASS!$E18:$E18="RES")*1,LIVE!$E18:$E18)+IF(SUMPRODUCT((CLASS!$E18:$E18="GAR")*1)&gt;=2,INPUTS!$B$20,1)*SUMPRODUCT((CLASS!$E18:$E18="GAR")*1,LIVE!$E18:$E18)+SUMPRODUCT((CLASS!$E18:$E18="NR")*1,LIVE!$E18:$E18))</f>
        <v>0</v>
      </c>
      <c r="F18" s="10" t="n">
        <f aca="false">INPUTS!$B$13*SUM(DEAD!$E18:$F18)+INPUTS!$B$14*(RED!F18*SUMPRODUCT((CLASS!$E18:$F18="RES")*1,LIVE!$E18:$F18)+IF(SUMPRODUCT((CLASS!$E18:$F18="GAR")*1)&gt;=2,INPUTS!$B$20,1)*SUMPRODUCT((CLASS!$E18:$F18="GAR")*1,LIVE!$E18:$F18)+SUMPRODUCT((CLASS!$E18:$F18="NR")*1,LIVE!$E18:$F18))</f>
        <v>123.533</v>
      </c>
      <c r="G18" s="10" t="n">
        <f aca="false">INPUTS!$B$13*SUM(DEAD!$E18:$G18)+INPUTS!$B$14*(RED!G18*SUMPRODUCT((CLASS!$E18:$G18="RES")*1,LIVE!$E18:$G18)+IF(SUMPRODUCT((CLASS!$E18:$G18="GAR")*1)&gt;=2,INPUTS!$B$20,1)*SUMPRODUCT((CLASS!$E18:$G18="GAR")*1,LIVE!$E18:$G18)+SUMPRODUCT((CLASS!$E18:$G18="NR")*1,LIVE!$E18:$G18))</f>
        <v>199.660478544535</v>
      </c>
      <c r="H18" s="10" t="n">
        <f aca="false">INPUTS!$B$13*SUM(DEAD!$E18:$H18)+INPUTS!$B$14*(RED!H18*SUMPRODUCT((CLASS!$E18:$H18="RES")*1,LIVE!$E18:$H18)+IF(SUMPRODUCT((CLASS!$E18:$H18="GAR")*1)&gt;=2,INPUTS!$B$20,1)*SUMPRODUCT((CLASS!$E18:$H18="GAR")*1,LIVE!$E18:$H18)+SUMPRODUCT((CLASS!$E18:$H18="NR")*1,LIVE!$E18:$H18))</f>
        <v>269.559595359323</v>
      </c>
      <c r="I18" s="10" t="n">
        <f aca="false">INPUTS!$B$13*SUM(DEAD!$E18:$I18)+INPUTS!$B$14*(RED!I18*SUMPRODUCT((CLASS!$E18:$I18="RES")*1,LIVE!$E18:$I18)+IF(SUMPRODUCT((CLASS!$E18:$I18="GAR")*1)&gt;=2,INPUTS!$B$20,1)*SUMPRODUCT((CLASS!$E18:$I18="GAR")*1,LIVE!$E18:$I18)+SUMPRODUCT((CLASS!$E18:$I18="NR")*1,LIVE!$E18:$I18))</f>
        <v>338.433993049521</v>
      </c>
      <c r="J18" s="10" t="n">
        <f aca="false">INPUTS!$B$13*SUM(DEAD!$E18:$J18)+INPUTS!$B$14*(RED!J18*SUMPRODUCT((CLASS!$E18:$J18="RES")*1,LIVE!$E18:$J18)+IF(SUMPRODUCT((CLASS!$E18:$J18="GAR")*1)&gt;=2,INPUTS!$B$20,1)*SUMPRODUCT((CLASS!$E18:$J18="GAR")*1,LIVE!$E18:$J18)+SUMPRODUCT((CLASS!$E18:$J18="NR")*1,LIVE!$E18:$J18))</f>
        <v>406.77795708907</v>
      </c>
      <c r="K18" s="10" t="n">
        <f aca="false">INPUTS!$B$13*SUM(DEAD!$E18:$K18)+INPUTS!$B$14*(RED!K18*SUMPRODUCT((CLASS!$E18:$K18="RES")*1,LIVE!$E18:$K18)+IF(SUMPRODUCT((CLASS!$E18:$K18="GAR")*1)&gt;=2,INPUTS!$B$20,1)*SUMPRODUCT((CLASS!$E18:$K18="GAR")*1,LIVE!$E18:$K18)+SUMPRODUCT((CLASS!$E18:$K18="NR")*1,LIVE!$E18:$K18))</f>
        <v>471.597706165946</v>
      </c>
      <c r="L18" s="10" t="n">
        <f aca="false">INPUTS!$B$13*SUM(DEAD!$E18:$L18)+INPUTS!$B$14*(RED!L18*SUMPRODUCT((CLASS!$E18:$L18="RES")*1,LIVE!$E18:$L18)+IF(SUMPRODUCT((CLASS!$E18:$L18="GAR")*1)&gt;=2,INPUTS!$B$20,1)*SUMPRODUCT((CLASS!$E18:$L18="GAR")*1,LIVE!$E18:$L18)+SUMPRODUCT((CLASS!$E18:$L18="NR")*1,LIVE!$E18:$L18))</f>
        <v>539.057893038984</v>
      </c>
      <c r="M18" s="10" t="n">
        <f aca="false">INPUTS!$B$13*SUM(DEAD!$E18:$M18)+INPUTS!$B$14*(RED!M18*SUMPRODUCT((CLASS!$E18:$M18="RES")*1,LIVE!$E18:$M18)+IF(SUMPRODUCT((CLASS!$E18:$M18="GAR")*1)&gt;=2,INPUTS!$B$20,1)*SUMPRODUCT((CLASS!$E18:$M18="GAR")*1,LIVE!$E18:$M18)+SUMPRODUCT((CLASS!$E18:$M18="NR")*1,LIVE!$E18:$M18))</f>
        <v>606.7276</v>
      </c>
      <c r="N18" s="10" t="n">
        <f aca="false">INPUTS!$B$13*SUM(DEAD!$E18:$N18)+INPUTS!$B$14*(RED!N18*SUMPRODUCT((CLASS!$E18:$N18="RES")*1,LIVE!$E18:$N18)+IF(SUMPRODUCT((CLASS!$E18:$N18="GAR")*1)&gt;=2,INPUTS!$B$20,1)*SUMPRODUCT((CLASS!$E18:$N18="GAR")*1,LIVE!$E18:$N18)+SUMPRODUCT((CLASS!$E18:$N18="NR")*1,LIVE!$E18:$N18))</f>
        <v>675.7554</v>
      </c>
      <c r="O18" s="10" t="n">
        <f aca="false">INPUTS!$B$13*SUM(DEAD!$E18:$O18)+INPUTS!$B$14*(RED!O18*SUMPRODUCT((CLASS!$E18:$O18="RES")*1,LIVE!$E18:$O18)+IF(SUMPRODUCT((CLASS!$E18:$O18="GAR")*1)&gt;=2,INPUTS!$B$20,1)*SUMPRODUCT((CLASS!$E18:$O18="GAR")*1,LIVE!$E18:$O18)+SUMPRODUCT((CLASS!$E18:$O18="NR")*1,LIVE!$E18:$O18))</f>
        <v>744.7832</v>
      </c>
      <c r="P18" s="10" t="n">
        <f aca="false">INPUTS!$B$13*SUM(DEAD!$E18:$P18)+INPUTS!$B$14*(RED!P18*SUMPRODUCT((CLASS!$E18:$P18="RES")*1,LIVE!$E18:$P18)+IF(SUMPRODUCT((CLASS!$E18:$P18="GAR")*1)&gt;=2,INPUTS!$B$20,1)*SUMPRODUCT((CLASS!$E18:$P18="GAR")*1,LIVE!$E18:$P18)+SUMPRODUCT((CLASS!$E18:$P18="NR")*1,LIVE!$E18:$P18))</f>
        <v>814.756</v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10" t="n">
        <f aca="false">INPUTS!$B$13*SUM(DEAD!$E19:$E19)+INPUTS!$B$14*(RED!E19*SUMPRODUCT((CLASS!$E19:$E19="RES")*1,LIVE!$E19:$E19)+IF(SUMPRODUCT((CLASS!$E19:$E19="GAR")*1)&gt;=2,INPUTS!$B$20,1)*SUMPRODUCT((CLASS!$E19:$E19="GAR")*1,LIVE!$E19:$E19)+SUMPRODUCT((CLASS!$E19:$E19="NR")*1,LIVE!$E19:$E19))</f>
        <v>0</v>
      </c>
      <c r="F19" s="10" t="n">
        <f aca="false">INPUTS!$B$13*SUM(DEAD!$E19:$F19)+INPUTS!$B$14*(RED!F19*SUMPRODUCT((CLASS!$E19:$F19="RES")*1,LIVE!$E19:$F19)+IF(SUMPRODUCT((CLASS!$E19:$F19="GAR")*1)&gt;=2,INPUTS!$B$20,1)*SUMPRODUCT((CLASS!$E19:$F19="GAR")*1,LIVE!$E19:$F19)+SUMPRODUCT((CLASS!$E19:$F19="NR")*1,LIVE!$E19:$F19))</f>
        <v>184.837</v>
      </c>
      <c r="G19" s="10" t="n">
        <f aca="false">INPUTS!$B$13*SUM(DEAD!$E19:$G19)+INPUTS!$B$14*(RED!G19*SUMPRODUCT((CLASS!$E19:$G19="RES")*1,LIVE!$E19:$G19)+IF(SUMPRODUCT((CLASS!$E19:$G19="GAR")*1)&gt;=2,INPUTS!$B$20,1)*SUMPRODUCT((CLASS!$E19:$G19="GAR")*1,LIVE!$E19:$G19)+SUMPRODUCT((CLASS!$E19:$G19="NR")*1,LIVE!$E19:$G19))</f>
        <v>294.511497707295</v>
      </c>
      <c r="H19" s="10" t="n">
        <f aca="false">INPUTS!$B$13*SUM(DEAD!$E19:$H19)+INPUTS!$B$14*(RED!H19*SUMPRODUCT((CLASS!$E19:$H19="RES")*1,LIVE!$E19:$H19)+IF(SUMPRODUCT((CLASS!$E19:$H19="GAR")*1)&gt;=2,INPUTS!$B$20,1)*SUMPRODUCT((CLASS!$E19:$H19="GAR")*1,LIVE!$E19:$H19)+SUMPRODUCT((CLASS!$E19:$H19="NR")*1,LIVE!$E19:$H19))</f>
        <v>396.489055860426</v>
      </c>
      <c r="I19" s="10" t="n">
        <f aca="false">INPUTS!$B$13*SUM(DEAD!$E19:$I19)+INPUTS!$B$14*(RED!I19*SUMPRODUCT((CLASS!$E19:$I19="RES")*1,LIVE!$E19:$I19)+IF(SUMPRODUCT((CLASS!$E19:$I19="GAR")*1)&gt;=2,INPUTS!$B$20,1)*SUMPRODUCT((CLASS!$E19:$I19="GAR")*1,LIVE!$E19:$I19)+SUMPRODUCT((CLASS!$E19:$I19="NR")*1,LIVE!$E19:$I19))</f>
        <v>497.200277614969</v>
      </c>
      <c r="J19" s="10" t="n">
        <f aca="false">INPUTS!$B$13*SUM(DEAD!$E19:$J19)+INPUTS!$B$14*(RED!J19*SUMPRODUCT((CLASS!$E19:$J19="RES")*1,LIVE!$E19:$J19)+IF(SUMPRODUCT((CLASS!$E19:$J19="GAR")*1)&gt;=2,INPUTS!$B$20,1)*SUMPRODUCT((CLASS!$E19:$J19="GAR")*1,LIVE!$E19:$J19)+SUMPRODUCT((CLASS!$E19:$J19="NR")*1,LIVE!$E19:$J19))</f>
        <v>597.255995414589</v>
      </c>
      <c r="K19" s="10" t="n">
        <f aca="false">INPUTS!$B$13*SUM(DEAD!$E19:$K19)+INPUTS!$B$14*(RED!K19*SUMPRODUCT((CLASS!$E19:$K19="RES")*1,LIVE!$E19:$K19)+IF(SUMPRODUCT((CLASS!$E19:$K19="GAR")*1)&gt;=2,INPUTS!$B$20,1)*SUMPRODUCT((CLASS!$E19:$K19="GAR")*1,LIVE!$E19:$K19)+SUMPRODUCT((CLASS!$E19:$K19="NR")*1,LIVE!$E19:$K19))</f>
        <v>694.488</v>
      </c>
      <c r="L19" s="10" t="n">
        <f aca="false">INPUTS!$B$13*SUM(DEAD!$E19:$L19)+INPUTS!$B$14*(RED!L19*SUMPRODUCT((CLASS!$E19:$L19="RES")*1,LIVE!$E19:$L19)+IF(SUMPRODUCT((CLASS!$E19:$L19="GAR")*1)&gt;=2,INPUTS!$B$20,1)*SUMPRODUCT((CLASS!$E19:$L19="GAR")*1,LIVE!$E19:$L19)+SUMPRODUCT((CLASS!$E19:$L19="NR")*1,LIVE!$E19:$L19))</f>
        <v>796.4182</v>
      </c>
      <c r="M19" s="10" t="n">
        <f aca="false">INPUTS!$B$13*SUM(DEAD!$E19:$M19)+INPUTS!$B$14*(RED!M19*SUMPRODUCT((CLASS!$E19:$M19="RES")*1,LIVE!$E19:$M19)+IF(SUMPRODUCT((CLASS!$E19:$M19="GAR")*1)&gt;=2,INPUTS!$B$20,1)*SUMPRODUCT((CLASS!$E19:$M19="GAR")*1,LIVE!$E19:$M19)+SUMPRODUCT((CLASS!$E19:$M19="NR")*1,LIVE!$E19:$M19))</f>
        <v>898.3484</v>
      </c>
      <c r="N19" s="10" t="n">
        <f aca="false">INPUTS!$B$13*SUM(DEAD!$E19:$N19)+INPUTS!$B$14*(RED!N19*SUMPRODUCT((CLASS!$E19:$N19="RES")*1,LIVE!$E19:$N19)+IF(SUMPRODUCT((CLASS!$E19:$N19="GAR")*1)&gt;=2,INPUTS!$B$20,1)*SUMPRODUCT((CLASS!$E19:$N19="GAR")*1,LIVE!$E19:$N19)+SUMPRODUCT((CLASS!$E19:$N19="NR")*1,LIVE!$E19:$N19))</f>
        <v>1000.2786</v>
      </c>
      <c r="O19" s="10" t="n">
        <f aca="false">INPUTS!$B$13*SUM(DEAD!$E19:$O19)+INPUTS!$B$14*(RED!O19*SUMPRODUCT((CLASS!$E19:$O19="RES")*1,LIVE!$E19:$O19)+IF(SUMPRODUCT((CLASS!$E19:$O19="GAR")*1)&gt;=2,INPUTS!$B$20,1)*SUMPRODUCT((CLASS!$E19:$O19="GAR")*1,LIVE!$E19:$O19)+SUMPRODUCT((CLASS!$E19:$O19="NR")*1,LIVE!$E19:$O19))</f>
        <v>1102.2088</v>
      </c>
      <c r="P19" s="10" t="n">
        <f aca="false">INPUTS!$B$13*SUM(DEAD!$E19:$P19)+INPUTS!$B$14*(RED!P19*SUMPRODUCT((CLASS!$E19:$P19="RES")*1,LIVE!$E19:$P19)+IF(SUMPRODUCT((CLASS!$E19:$P19="GAR")*1)&gt;=2,INPUTS!$B$20,1)*SUMPRODUCT((CLASS!$E19:$P19="GAR")*1,LIVE!$E19:$P19)+SUMPRODUCT((CLASS!$E19:$P19="NR")*1,LIVE!$E19:$P19))</f>
        <v>1205.084</v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10" t="n">
        <f aca="false">INPUTS!$B$13*SUM(DEAD!$E20:$E20)+INPUTS!$B$14*(RED!E20*SUMPRODUCT((CLASS!$E20:$E20="RES")*1,LIVE!$E20:$E20)+IF(SUMPRODUCT((CLASS!$E20:$E20="GAR")*1)&gt;=2,INPUTS!$B$20,1)*SUMPRODUCT((CLASS!$E20:$E20="GAR")*1,LIVE!$E20:$E20)+SUMPRODUCT((CLASS!$E20:$E20="NR")*1,LIVE!$E20:$E20))</f>
        <v>0</v>
      </c>
      <c r="F20" s="10" t="n">
        <f aca="false">INPUTS!$B$13*SUM(DEAD!$E20:$F20)+INPUTS!$B$14*(RED!F20*SUMPRODUCT((CLASS!$E20:$F20="RES")*1,LIVE!$E20:$F20)+IF(SUMPRODUCT((CLASS!$E20:$F20="GAR")*1)&gt;=2,INPUTS!$B$20,1)*SUMPRODUCT((CLASS!$E20:$F20="GAR")*1,LIVE!$E20:$F20)+SUMPRODUCT((CLASS!$E20:$F20="NR")*1,LIVE!$E20:$F20))</f>
        <v>48.013</v>
      </c>
      <c r="G20" s="10" t="n">
        <f aca="false">INPUTS!$B$13*SUM(DEAD!$E20:$G20)+INPUTS!$B$14*(RED!G20*SUMPRODUCT((CLASS!$E20:$G20="RES")*1,LIVE!$E20:$G20)+IF(SUMPRODUCT((CLASS!$E20:$G20="GAR")*1)&gt;=2,INPUTS!$B$20,1)*SUMPRODUCT((CLASS!$E20:$G20="GAR")*1,LIVE!$E20:$G20)+SUMPRODUCT((CLASS!$E20:$G20="NR")*1,LIVE!$E20:$G20))</f>
        <v>82.869428416385</v>
      </c>
      <c r="H20" s="10" t="n">
        <f aca="false">INPUTS!$B$13*SUM(DEAD!$E20:$H20)+INPUTS!$B$14*(RED!H20*SUMPRODUCT((CLASS!$E20:$H20="RES")*1,LIVE!$E20:$H20)+IF(SUMPRODUCT((CLASS!$E20:$H20="GAR")*1)&gt;=2,INPUTS!$B$20,1)*SUMPRODUCT((CLASS!$E20:$H20="GAR")*1,LIVE!$E20:$H20)+SUMPRODUCT((CLASS!$E20:$H20="NR")*1,LIVE!$E20:$H20))</f>
        <v>113.870545326239</v>
      </c>
      <c r="I20" s="10" t="n">
        <f aca="false">INPUTS!$B$13*SUM(DEAD!$E20:$I20)+INPUTS!$B$14*(RED!I20*SUMPRODUCT((CLASS!$E20:$I20="RES")*1,LIVE!$E20:$I20)+IF(SUMPRODUCT((CLASS!$E20:$I20="GAR")*1)&gt;=2,INPUTS!$B$20,1)*SUMPRODUCT((CLASS!$E20:$I20="GAR")*1,LIVE!$E20:$I20)+SUMPRODUCT((CLASS!$E20:$I20="NR")*1,LIVE!$E20:$I20))</f>
        <v>144.237368403556</v>
      </c>
      <c r="J20" s="10" t="n">
        <f aca="false">INPUTS!$B$13*SUM(DEAD!$E20:$J20)+INPUTS!$B$14*(RED!J20*SUMPRODUCT((CLASS!$E20:$J20="RES")*1,LIVE!$E20:$J20)+IF(SUMPRODUCT((CLASS!$E20:$J20="GAR")*1)&gt;=2,INPUTS!$B$20,1)*SUMPRODUCT((CLASS!$E20:$J20="GAR")*1,LIVE!$E20:$J20)+SUMPRODUCT((CLASS!$E20:$J20="NR")*1,LIVE!$E20:$J20))</f>
        <v>174.27585683277</v>
      </c>
      <c r="K20" s="10" t="n">
        <f aca="false">INPUTS!$B$13*SUM(DEAD!$E20:$K20)+INPUTS!$B$14*(RED!K20*SUMPRODUCT((CLASS!$E20:$K20="RES")*1,LIVE!$E20:$K20)+IF(SUMPRODUCT((CLASS!$E20:$K20="GAR")*1)&gt;=2,INPUTS!$B$20,1)*SUMPRODUCT((CLASS!$E20:$K20="GAR")*1,LIVE!$E20:$K20)+SUMPRODUCT((CLASS!$E20:$K20="NR")*1,LIVE!$E20:$K20))</f>
        <v>203.081764021575</v>
      </c>
      <c r="L20" s="10" t="n">
        <f aca="false">INPUTS!$B$13*SUM(DEAD!$E20:$L20)+INPUTS!$B$14*(RED!L20*SUMPRODUCT((CLASS!$E20:$L20="RES")*1,LIVE!$E20:$L20)+IF(SUMPRODUCT((CLASS!$E20:$L20="GAR")*1)&gt;=2,INPUTS!$B$20,1)*SUMPRODUCT((CLASS!$E20:$L20="GAR")*1,LIVE!$E20:$L20)+SUMPRODUCT((CLASS!$E20:$L20="NR")*1,LIVE!$E20:$L20))</f>
        <v>231.749398720512</v>
      </c>
      <c r="M20" s="10" t="n">
        <f aca="false">INPUTS!$B$13*SUM(DEAD!$E20:$M20)+INPUTS!$B$14*(RED!M20*SUMPRODUCT((CLASS!$E20:$M20="RES")*1,LIVE!$E20:$M20)+IF(SUMPRODUCT((CLASS!$E20:$M20="GAR")*1)&gt;=2,INPUTS!$B$20,1)*SUMPRODUCT((CLASS!$E20:$M20="GAR")*1,LIVE!$E20:$M20)+SUMPRODUCT((CLASS!$E20:$M20="NR")*1,LIVE!$E20:$M20))</f>
        <v>260.311312725387</v>
      </c>
      <c r="N20" s="10" t="n">
        <f aca="false">INPUTS!$B$13*SUM(DEAD!$E20:$N20)+INPUTS!$B$14*(RED!N20*SUMPRODUCT((CLASS!$E20:$N20="RES")*1,LIVE!$E20:$N20)+IF(SUMPRODUCT((CLASS!$E20:$N20="GAR")*1)&gt;=2,INPUTS!$B$20,1)*SUMPRODUCT((CLASS!$E20:$N20="GAR")*1,LIVE!$E20:$N20)+SUMPRODUCT((CLASS!$E20:$N20="NR")*1,LIVE!$E20:$N20))</f>
        <v>288.788993049521</v>
      </c>
      <c r="O20" s="10" t="n">
        <f aca="false">INPUTS!$B$13*SUM(DEAD!$E20:$O20)+INPUTS!$B$14*(RED!O20*SUMPRODUCT((CLASS!$E20:$O20="RES")*1,LIVE!$E20:$O20)+IF(SUMPRODUCT((CLASS!$E20:$O20="GAR")*1)&gt;=2,INPUTS!$B$20,1)*SUMPRODUCT((CLASS!$E20:$O20="GAR")*1,LIVE!$E20:$O20)+SUMPRODUCT((CLASS!$E20:$O20="NR")*1,LIVE!$E20:$O20))</f>
        <v>317.197505375586</v>
      </c>
      <c r="P20" s="10" t="n">
        <f aca="false">INPUTS!$B$13*SUM(DEAD!$E20:$P20)+INPUTS!$B$14*(RED!P20*SUMPRODUCT((CLASS!$E20:$P20="RES")*1,LIVE!$E20:$P20)+IF(SUMPRODUCT((CLASS!$E20:$P20="GAR")*1)&gt;=2,INPUTS!$B$20,1)*SUMPRODUCT((CLASS!$E20:$P20="GAR")*1,LIVE!$E20:$P20)+SUMPRODUCT((CLASS!$E20:$P20="NR")*1,LIVE!$E20:$P20))</f>
        <v>345.952897176671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10" t="n">
        <f aca="false">INPUTS!$B$13*SUM(DEAD!$E21:$E21)+INPUTS!$B$14*(RED!E21*SUMPRODUCT((CLASS!$E21:$E21="RES")*1,LIVE!$E21:$E21)+IF(SUMPRODUCT((CLASS!$E21:$E21="GAR")*1)&gt;=2,INPUTS!$B$20,1)*SUMPRODUCT((CLASS!$E21:$E21="GAR")*1,LIVE!$E21:$E21)+SUMPRODUCT((CLASS!$E21:$E21="NR")*1,LIVE!$E21:$E21))</f>
        <v>0</v>
      </c>
      <c r="F21" s="10" t="n">
        <f aca="false">INPUTS!$B$13*SUM(DEAD!$E21:$F21)+INPUTS!$B$14*(RED!F21*SUMPRODUCT((CLASS!$E21:$F21="RES")*1,LIVE!$E21:$F21)+IF(SUMPRODUCT((CLASS!$E21:$F21="GAR")*1)&gt;=2,INPUTS!$B$20,1)*SUMPRODUCT((CLASS!$E21:$F21="GAR")*1,LIVE!$E21:$F21)+SUMPRODUCT((CLASS!$E21:$F21="NR")*1,LIVE!$E21:$F21))</f>
        <v>142.077</v>
      </c>
      <c r="G21" s="10" t="n">
        <f aca="false">INPUTS!$B$13*SUM(DEAD!$E21:$G21)+INPUTS!$B$14*(RED!G21*SUMPRODUCT((CLASS!$E21:$G21="RES")*1,LIVE!$E21:$G21)+IF(SUMPRODUCT((CLASS!$E21:$G21="GAR")*1)&gt;=2,INPUTS!$B$20,1)*SUMPRODUCT((CLASS!$E21:$G21="GAR")*1,LIVE!$E21:$G21)+SUMPRODUCT((CLASS!$E21:$G21="NR")*1,LIVE!$E21:$G21))</f>
        <v>230.310873183551</v>
      </c>
      <c r="H21" s="10" t="n">
        <f aca="false">INPUTS!$B$13*SUM(DEAD!$E21:$H21)+INPUTS!$B$14*(RED!H21*SUMPRODUCT((CLASS!$E21:$H21="RES")*1,LIVE!$E21:$H21)+IF(SUMPRODUCT((CLASS!$E21:$H21="GAR")*1)&gt;=2,INPUTS!$B$20,1)*SUMPRODUCT((CLASS!$E21:$H21="GAR")*1,LIVE!$E21:$H21)+SUMPRODUCT((CLASS!$E21:$H21="NR")*1,LIVE!$E21:$H21))</f>
        <v>311.890872509454</v>
      </c>
      <c r="I21" s="10" t="n">
        <f aca="false">INPUTS!$B$13*SUM(DEAD!$E21:$I21)+INPUTS!$B$14*(RED!I21*SUMPRODUCT((CLASS!$E21:$I21="RES")*1,LIVE!$E21:$I21)+IF(SUMPRODUCT((CLASS!$E21:$I21="GAR")*1)&gt;=2,INPUTS!$B$20,1)*SUMPRODUCT((CLASS!$E21:$I21="GAR")*1,LIVE!$E21:$I21)+SUMPRODUCT((CLASS!$E21:$I21="NR")*1,LIVE!$E21:$I21))</f>
        <v>392.376145470642</v>
      </c>
      <c r="J21" s="10" t="n">
        <f aca="false">INPUTS!$B$13*SUM(DEAD!$E21:$J21)+INPUTS!$B$14*(RED!J21*SUMPRODUCT((CLASS!$E21:$J21="RES")*1,LIVE!$E21:$J21)+IF(SUMPRODUCT((CLASS!$E21:$J21="GAR")*1)&gt;=2,INPUTS!$B$20,1)*SUMPRODUCT((CLASS!$E21:$J21="GAR")*1,LIVE!$E21:$J21)+SUMPRODUCT((CLASS!$E21:$J21="NR")*1,LIVE!$E21:$J21))</f>
        <v>472.114746367103</v>
      </c>
      <c r="K21" s="10" t="n">
        <f aca="false">INPUTS!$B$13*SUM(DEAD!$E21:$K21)+INPUTS!$B$14*(RED!K21*SUMPRODUCT((CLASS!$E21:$K21="RES")*1,LIVE!$E21:$K21)+IF(SUMPRODUCT((CLASS!$E21:$K21="GAR")*1)&gt;=2,INPUTS!$B$20,1)*SUMPRODUCT((CLASS!$E21:$K21="GAR")*1,LIVE!$E21:$K21)+SUMPRODUCT((CLASS!$E21:$K21="NR")*1,LIVE!$E21:$K21))</f>
        <v>551.187011330047</v>
      </c>
      <c r="L21" s="10" t="n">
        <f aca="false">INPUTS!$B$13*SUM(DEAD!$E21:$L21)+INPUTS!$B$14*(RED!L21*SUMPRODUCT((CLASS!$E21:$L21="RES")*1,LIVE!$E21:$L21)+IF(SUMPRODUCT((CLASS!$E21:$L21="GAR")*1)&gt;=2,INPUTS!$B$20,1)*SUMPRODUCT((CLASS!$E21:$L21="GAR")*1,LIVE!$E21:$L21)+SUMPRODUCT((CLASS!$E21:$L21="NR")*1,LIVE!$E21:$L21))</f>
        <v>630.00624405019</v>
      </c>
      <c r="M21" s="10" t="n">
        <f aca="false">INPUTS!$B$13*SUM(DEAD!$E21:$M21)+INPUTS!$B$14*(RED!M21*SUMPRODUCT((CLASS!$E21:$M21="RES")*1,LIVE!$E21:$M21)+IF(SUMPRODUCT((CLASS!$E21:$M21="GAR")*1)&gt;=2,INPUTS!$B$20,1)*SUMPRODUCT((CLASS!$E21:$M21="GAR")*1,LIVE!$E21:$M21)+SUMPRODUCT((CLASS!$E21:$M21="NR")*1,LIVE!$E21:$M21))</f>
        <v>708.633358755482</v>
      </c>
      <c r="N21" s="10" t="n">
        <f aca="false">INPUTS!$B$13*SUM(DEAD!$E21:$N21)+INPUTS!$B$14*(RED!N21*SUMPRODUCT((CLASS!$E21:$N21="RES")*1,LIVE!$E21:$N21)+IF(SUMPRODUCT((CLASS!$E21:$N21="GAR")*1)&gt;=2,INPUTS!$B$20,1)*SUMPRODUCT((CLASS!$E21:$N21="GAR")*1,LIVE!$E21:$N21)+SUMPRODUCT((CLASS!$E21:$N21="NR")*1,LIVE!$E21:$N21))</f>
        <v>787.1594</v>
      </c>
      <c r="O21" s="10" t="n">
        <f aca="false">INPUTS!$B$13*SUM(DEAD!$E21:$O21)+INPUTS!$B$14*(RED!O21*SUMPRODUCT((CLASS!$E21:$O21="RES")*1,LIVE!$E21:$O21)+IF(SUMPRODUCT((CLASS!$E21:$O21="GAR")*1)&gt;=2,INPUTS!$B$20,1)*SUMPRODUCT((CLASS!$E21:$O21="GAR")*1,LIVE!$E21:$O21)+SUMPRODUCT((CLASS!$E21:$O21="NR")*1,LIVE!$E21:$O21))</f>
        <v>867.568</v>
      </c>
      <c r="P21" s="10" t="n">
        <f aca="false">INPUTS!$B$13*SUM(DEAD!$E21:$P21)+INPUTS!$B$14*(RED!P21*SUMPRODUCT((CLASS!$E21:$P21="RES")*1,LIVE!$E21:$P21)+IF(SUMPRODUCT((CLASS!$E21:$P21="GAR")*1)&gt;=2,INPUTS!$B$20,1)*SUMPRODUCT((CLASS!$E21:$P21="GAR")*1,LIVE!$E21:$P21)+SUMPRODUCT((CLASS!$E21:$P21="NR")*1,LIVE!$E21:$P21))</f>
        <v>948.9216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10" t="n">
        <f aca="false">INPUTS!$B$13*SUM(DEAD!$E22:$E22)+INPUTS!$B$14*(RED!E22*SUMPRODUCT((CLASS!$E22:$E22="RES")*1,LIVE!$E22:$E22)+IF(SUMPRODUCT((CLASS!$E22:$E22="GAR")*1)&gt;=2,INPUTS!$B$20,1)*SUMPRODUCT((CLASS!$E22:$E22="GAR")*1,LIVE!$E22:$E22)+SUMPRODUCT((CLASS!$E22:$E22="NR")*1,LIVE!$E22:$E22))</f>
        <v>0</v>
      </c>
      <c r="F22" s="10" t="n">
        <f aca="false">INPUTS!$B$13*SUM(DEAD!$E22:$F22)+INPUTS!$B$14*(RED!F22*SUMPRODUCT((CLASS!$E22:$F22="RES")*1,LIVE!$E22:$F22)+IF(SUMPRODUCT((CLASS!$E22:$F22="GAR")*1)&gt;=2,INPUTS!$B$20,1)*SUMPRODUCT((CLASS!$E22:$F22="GAR")*1,LIVE!$E22:$F22)+SUMPRODUCT((CLASS!$E22:$F22="NR")*1,LIVE!$E22:$F22))</f>
        <v>131.777</v>
      </c>
      <c r="G22" s="10" t="n">
        <f aca="false">INPUTS!$B$13*SUM(DEAD!$E22:$G22)+INPUTS!$B$14*(RED!G22*SUMPRODUCT((CLASS!$E22:$G22="RES")*1,LIVE!$E22:$G22)+IF(SUMPRODUCT((CLASS!$E22:$G22="GAR")*1)&gt;=2,INPUTS!$B$20,1)*SUMPRODUCT((CLASS!$E22:$G22="GAR")*1,LIVE!$E22:$G22)+SUMPRODUCT((CLASS!$E22:$G22="NR")*1,LIVE!$E22:$G22))</f>
        <v>221.990873183551</v>
      </c>
      <c r="H22" s="10" t="n">
        <f aca="false">INPUTS!$B$13*SUM(DEAD!$E22:$H22)+INPUTS!$B$14*(RED!H22*SUMPRODUCT((CLASS!$E22:$H22="RES")*1,LIVE!$E22:$H22)+IF(SUMPRODUCT((CLASS!$E22:$H22="GAR")*1)&gt;=2,INPUTS!$B$20,1)*SUMPRODUCT((CLASS!$E22:$H22="GAR")*1,LIVE!$E22:$H22)+SUMPRODUCT((CLASS!$E22:$H22="NR")*1,LIVE!$E22:$H22))</f>
        <v>305.550872509454</v>
      </c>
      <c r="I22" s="10" t="n">
        <f aca="false">INPUTS!$B$13*SUM(DEAD!$E22:$I22)+INPUTS!$B$14*(RED!I22*SUMPRODUCT((CLASS!$E22:$I22="RES")*1,LIVE!$E22:$I22)+IF(SUMPRODUCT((CLASS!$E22:$I22="GAR")*1)&gt;=2,INPUTS!$B$20,1)*SUMPRODUCT((CLASS!$E22:$I22="GAR")*1,LIVE!$E22:$I22)+SUMPRODUCT((CLASS!$E22:$I22="NR")*1,LIVE!$E22:$I22))</f>
        <v>388.016145470642</v>
      </c>
      <c r="J22" s="10" t="n">
        <f aca="false">INPUTS!$B$13*SUM(DEAD!$E22:$J22)+INPUTS!$B$14*(RED!J22*SUMPRODUCT((CLASS!$E22:$J22="RES")*1,LIVE!$E22:$J22)+IF(SUMPRODUCT((CLASS!$E22:$J22="GAR")*1)&gt;=2,INPUTS!$B$20,1)*SUMPRODUCT((CLASS!$E22:$J22="GAR")*1,LIVE!$E22:$J22)+SUMPRODUCT((CLASS!$E22:$J22="NR")*1,LIVE!$E22:$J22))</f>
        <v>469.914746367103</v>
      </c>
      <c r="K22" s="10" t="n">
        <f aca="false">INPUTS!$B$13*SUM(DEAD!$E22:$K22)+INPUTS!$B$14*(RED!K22*SUMPRODUCT((CLASS!$E22:$K22="RES")*1,LIVE!$E22:$K22)+IF(SUMPRODUCT((CLASS!$E22:$K22="GAR")*1)&gt;=2,INPUTS!$B$20,1)*SUMPRODUCT((CLASS!$E22:$K22="GAR")*1,LIVE!$E22:$K22)+SUMPRODUCT((CLASS!$E22:$K22="NR")*1,LIVE!$E22:$K22))</f>
        <v>551.45121258622</v>
      </c>
      <c r="L22" s="10" t="n">
        <f aca="false">INPUTS!$B$13*SUM(DEAD!$E22:$L22)+INPUTS!$B$14*(RED!L22*SUMPRODUCT((CLASS!$E22:$L22="RES")*1,LIVE!$E22:$L22)+IF(SUMPRODUCT((CLASS!$E22:$L22="GAR")*1)&gt;=2,INPUTS!$B$20,1)*SUMPRODUCT((CLASS!$E22:$L22="GAR")*1,LIVE!$E22:$L22)+SUMPRODUCT((CLASS!$E22:$L22="NR")*1,LIVE!$E22:$L22))</f>
        <v>632.730443352684</v>
      </c>
      <c r="M22" s="10" t="n">
        <f aca="false">INPUTS!$B$13*SUM(DEAD!$E22:$M22)+INPUTS!$B$14*(RED!M22*SUMPRODUCT((CLASS!$E22:$M22="RES")*1,LIVE!$E22:$M22)+IF(SUMPRODUCT((CLASS!$E22:$M22="GAR")*1)&gt;=2,INPUTS!$B$20,1)*SUMPRODUCT((CLASS!$E22:$M22="GAR")*1,LIVE!$E22:$M22)+SUMPRODUCT((CLASS!$E22:$M22="NR")*1,LIVE!$E22:$M22))</f>
        <v>713.814753617597</v>
      </c>
      <c r="N22" s="10" t="n">
        <f aca="false">INPUTS!$B$13*SUM(DEAD!$E22:$N22)+INPUTS!$B$14*(RED!N22*SUMPRODUCT((CLASS!$E22:$N22="RES")*1,LIVE!$E22:$N22)+IF(SUMPRODUCT((CLASS!$E22:$N22="GAR")*1)&gt;=2,INPUTS!$B$20,1)*SUMPRODUCT((CLASS!$E22:$N22="GAR")*1,LIVE!$E22:$N22)+SUMPRODUCT((CLASS!$E22:$N22="NR")*1,LIVE!$E22:$N22))</f>
        <v>794.873</v>
      </c>
      <c r="O22" s="10" t="n">
        <f aca="false">INPUTS!$B$13*SUM(DEAD!$E22:$O22)+INPUTS!$B$14*(RED!O22*SUMPRODUCT((CLASS!$E22:$O22="RES")*1,LIVE!$E22:$O22)+IF(SUMPRODUCT((CLASS!$E22:$O22="GAR")*1)&gt;=2,INPUTS!$B$20,1)*SUMPRODUCT((CLASS!$E22:$O22="GAR")*1,LIVE!$E22:$O22)+SUMPRODUCT((CLASS!$E22:$O22="NR")*1,LIVE!$E22:$O22))</f>
        <v>877.76</v>
      </c>
      <c r="P22" s="10" t="n">
        <f aca="false">INPUTS!$B$13*SUM(DEAD!$E22:$P22)+INPUTS!$B$14*(RED!P22*SUMPRODUCT((CLASS!$E22:$P22="RES")*1,LIVE!$E22:$P22)+IF(SUMPRODUCT((CLASS!$E22:$P22="GAR")*1)&gt;=2,INPUTS!$B$20,1)*SUMPRODUCT((CLASS!$E22:$P22="GAR")*1,LIVE!$E22:$P22)+SUMPRODUCT((CLASS!$E22:$P22="NR")*1,LIVE!$E22:$P22))</f>
        <v>961.592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10" t="n">
        <f aca="false">INPUTS!$B$13*SUM(DEAD!$E23:$E23)+INPUTS!$B$14*(RED!E23*SUMPRODUCT((CLASS!$E23:$E23="RES")*1,LIVE!$E23:$E23)+IF(SUMPRODUCT((CLASS!$E23:$E23="GAR")*1)&gt;=2,INPUTS!$B$20,1)*SUMPRODUCT((CLASS!$E23:$E23="GAR")*1,LIVE!$E23:$E23)+SUMPRODUCT((CLASS!$E23:$E23="NR")*1,LIVE!$E23:$E23))</f>
        <v>0</v>
      </c>
      <c r="F23" s="10" t="n">
        <f aca="false">INPUTS!$B$13*SUM(DEAD!$E23:$F23)+INPUTS!$B$14*(RED!F23*SUMPRODUCT((CLASS!$E23:$F23="RES")*1,LIVE!$E23:$F23)+IF(SUMPRODUCT((CLASS!$E23:$F23="GAR")*1)&gt;=2,INPUTS!$B$20,1)*SUMPRODUCT((CLASS!$E23:$F23="GAR")*1,LIVE!$E23:$F23)+SUMPRODUCT((CLASS!$E23:$F23="NR")*1,LIVE!$E23:$F23))</f>
        <v>149.129</v>
      </c>
      <c r="G23" s="10" t="n">
        <f aca="false">INPUTS!$B$13*SUM(DEAD!$E23:$G23)+INPUTS!$B$14*(RED!G23*SUMPRODUCT((CLASS!$E23:$G23="RES")*1,LIVE!$E23:$G23)+IF(SUMPRODUCT((CLASS!$E23:$G23="GAR")*1)&gt;=2,INPUTS!$B$20,1)*SUMPRODUCT((CLASS!$E23:$G23="GAR")*1,LIVE!$E23:$G23)+SUMPRODUCT((CLASS!$E23:$G23="NR")*1,LIVE!$E23:$G23))</f>
        <v>239.328479554242</v>
      </c>
      <c r="H23" s="10" t="n">
        <f aca="false">INPUTS!$B$13*SUM(DEAD!$E23:$H23)+INPUTS!$B$14*(RED!H23*SUMPRODUCT((CLASS!$E23:$H23="RES")*1,LIVE!$E23:$H23)+IF(SUMPRODUCT((CLASS!$E23:$H23="GAR")*1)&gt;=2,INPUTS!$B$20,1)*SUMPRODUCT((CLASS!$E23:$H23="GAR")*1,LIVE!$E23:$H23)+SUMPRODUCT((CLASS!$E23:$H23="NR")*1,LIVE!$E23:$H23))</f>
        <v>322.648202268622</v>
      </c>
      <c r="I23" s="10" t="n">
        <f aca="false">INPUTS!$B$13*SUM(DEAD!$E23:$I23)+INPUTS!$B$14*(RED!I23*SUMPRODUCT((CLASS!$E23:$I23="RES")*1,LIVE!$E23:$I23)+IF(SUMPRODUCT((CLASS!$E23:$I23="GAR")*1)&gt;=2,INPUTS!$B$20,1)*SUMPRODUCT((CLASS!$E23:$I23="GAR")*1,LIVE!$E23:$I23)+SUMPRODUCT((CLASS!$E23:$I23="NR")*1,LIVE!$E23:$I23))</f>
        <v>404.8360352964</v>
      </c>
      <c r="J23" s="10" t="n">
        <f aca="false">INPUTS!$B$13*SUM(DEAD!$E23:$J23)+INPUTS!$B$14*(RED!J23*SUMPRODUCT((CLASS!$E23:$J23="RES")*1,LIVE!$E23:$J23)+IF(SUMPRODUCT((CLASS!$E23:$J23="GAR")*1)&gt;=2,INPUTS!$B$20,1)*SUMPRODUCT((CLASS!$E23:$J23="GAR")*1,LIVE!$E23:$J23)+SUMPRODUCT((CLASS!$E23:$J23="NR")*1,LIVE!$E23:$J23))</f>
        <v>486.437959108483</v>
      </c>
      <c r="K23" s="10" t="n">
        <f aca="false">INPUTS!$B$13*SUM(DEAD!$E23:$K23)+INPUTS!$B$14*(RED!K23*SUMPRODUCT((CLASS!$E23:$K23="RES")*1,LIVE!$E23:$K23)+IF(SUMPRODUCT((CLASS!$E23:$K23="GAR")*1)&gt;=2,INPUTS!$B$20,1)*SUMPRODUCT((CLASS!$E23:$K23="GAR")*1,LIVE!$E23:$K23)+SUMPRODUCT((CLASS!$E23:$K23="NR")*1,LIVE!$E23:$K23))</f>
        <v>564.147086861726</v>
      </c>
      <c r="L23" s="10" t="n">
        <f aca="false">INPUTS!$B$13*SUM(DEAD!$E23:$L23)+INPUTS!$B$14*(RED!L23*SUMPRODUCT((CLASS!$E23:$L23="RES")*1,LIVE!$E23:$L23)+IF(SUMPRODUCT((CLASS!$E23:$L23="GAR")*1)&gt;=2,INPUTS!$B$20,1)*SUMPRODUCT((CLASS!$E23:$L23="GAR")*1,LIVE!$E23:$L23)+SUMPRODUCT((CLASS!$E23:$L23="NR")*1,LIVE!$E23:$L23))</f>
        <v>645.7214</v>
      </c>
      <c r="M23" s="10" t="n">
        <f aca="false">INPUTS!$B$13*SUM(DEAD!$E23:$M23)+INPUTS!$B$14*(RED!M23*SUMPRODUCT((CLASS!$E23:$M23="RES")*1,LIVE!$E23:$M23)+IF(SUMPRODUCT((CLASS!$E23:$M23="GAR")*1)&gt;=2,INPUTS!$B$20,1)*SUMPRODUCT((CLASS!$E23:$M23="GAR")*1,LIVE!$E23:$M23)+SUMPRODUCT((CLASS!$E23:$M23="NR")*1,LIVE!$E23:$M23))</f>
        <v>728.4868</v>
      </c>
      <c r="N23" s="10" t="n">
        <f aca="false">INPUTS!$B$13*SUM(DEAD!$E23:$N23)+INPUTS!$B$14*(RED!N23*SUMPRODUCT((CLASS!$E23:$N23="RES")*1,LIVE!$E23:$N23)+IF(SUMPRODUCT((CLASS!$E23:$N23="GAR")*1)&gt;=2,INPUTS!$B$20,1)*SUMPRODUCT((CLASS!$E23:$N23="GAR")*1,LIVE!$E23:$N23)+SUMPRODUCT((CLASS!$E23:$N23="NR")*1,LIVE!$E23:$N23))</f>
        <v>811.2522</v>
      </c>
      <c r="O23" s="10" t="n">
        <f aca="false">INPUTS!$B$13*SUM(DEAD!$E23:$O23)+INPUTS!$B$14*(RED!O23*SUMPRODUCT((CLASS!$E23:$O23="RES")*1,LIVE!$E23:$O23)+IF(SUMPRODUCT((CLASS!$E23:$O23="GAR")*1)&gt;=2,INPUTS!$B$20,1)*SUMPRODUCT((CLASS!$E23:$O23="GAR")*1,LIVE!$E23:$O23)+SUMPRODUCT((CLASS!$E23:$O23="NR")*1,LIVE!$E23:$O23))</f>
        <v>894.0176</v>
      </c>
      <c r="P23" s="10" t="n">
        <f aca="false">INPUTS!$B$13*SUM(DEAD!$E23:$P23)+INPUTS!$B$14*(RED!P23*SUMPRODUCT((CLASS!$E23:$P23="RES")*1,LIVE!$E23:$P23)+IF(SUMPRODUCT((CLASS!$E23:$P23="GAR")*1)&gt;=2,INPUTS!$B$20,1)*SUMPRODUCT((CLASS!$E23:$P23="GAR")*1,LIVE!$E23:$P23)+SUMPRODUCT((CLASS!$E23:$P23="NR")*1,LIVE!$E23:$P23))</f>
        <v>977.728</v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10" t="n">
        <f aca="false">INPUTS!$B$13*SUM(DEAD!$E24:$E24)+INPUTS!$B$14*(RED!E24*SUMPRODUCT((CLASS!$E24:$E24="RES")*1,LIVE!$E24:$E24)+IF(SUMPRODUCT((CLASS!$E24:$E24="GAR")*1)&gt;=2,INPUTS!$B$20,1)*SUMPRODUCT((CLASS!$E24:$E24="GAR")*1,LIVE!$E24:$E24)+SUMPRODUCT((CLASS!$E24:$E24="NR")*1,LIVE!$E24:$E24))</f>
        <v>0</v>
      </c>
      <c r="F24" s="10" t="n">
        <f aca="false">INPUTS!$B$13*SUM(DEAD!$E24:$F24)+INPUTS!$B$14*(RED!F24*SUMPRODUCT((CLASS!$E24:$F24="RES")*1,LIVE!$E24:$F24)+IF(SUMPRODUCT((CLASS!$E24:$F24="GAR")*1)&gt;=2,INPUTS!$B$20,1)*SUMPRODUCT((CLASS!$E24:$F24="GAR")*1,LIVE!$E24:$F24)+SUMPRODUCT((CLASS!$E24:$F24="NR")*1,LIVE!$E24:$F24))</f>
        <v>110.058</v>
      </c>
      <c r="G24" s="10" t="n">
        <f aca="false">INPUTS!$B$13*SUM(DEAD!$E24:$G24)+INPUTS!$B$14*(RED!G24*SUMPRODUCT((CLASS!$E24:$G24="RES")*1,LIVE!$E24:$G24)+IF(SUMPRODUCT((CLASS!$E24:$G24="GAR")*1)&gt;=2,INPUTS!$B$20,1)*SUMPRODUCT((CLASS!$E24:$G24="GAR")*1,LIVE!$E24:$G24)+SUMPRODUCT((CLASS!$E24:$G24="NR")*1,LIVE!$E24:$G24))</f>
        <v>177.862227602739</v>
      </c>
      <c r="H24" s="10" t="n">
        <f aca="false">INPUTS!$B$13*SUM(DEAD!$E24:$H24)+INPUTS!$B$14*(RED!H24*SUMPRODUCT((CLASS!$E24:$H24="RES")*1,LIVE!$E24:$H24)+IF(SUMPRODUCT((CLASS!$E24:$H24="GAR")*1)&gt;=2,INPUTS!$B$20,1)*SUMPRODUCT((CLASS!$E24:$H24="GAR")*1,LIVE!$E24:$H24)+SUMPRODUCT((CLASS!$E24:$H24="NR")*1,LIVE!$E24:$H24))</f>
        <v>239.741677848721</v>
      </c>
      <c r="I24" s="10" t="n">
        <f aca="false">INPUTS!$B$13*SUM(DEAD!$E24:$I24)+INPUTS!$B$14*(RED!I24*SUMPRODUCT((CLASS!$E24:$I24="RES")*1,LIVE!$E24:$I24)+IF(SUMPRODUCT((CLASS!$E24:$I24="GAR")*1)&gt;=2,INPUTS!$B$20,1)*SUMPRODUCT((CLASS!$E24:$I24="GAR")*1,LIVE!$E24:$I24)+SUMPRODUCT((CLASS!$E24:$I24="NR")*1,LIVE!$E24:$I24))</f>
        <v>300.646356087259</v>
      </c>
      <c r="J24" s="10" t="n">
        <f aca="false">INPUTS!$B$13*SUM(DEAD!$E24:$J24)+INPUTS!$B$14*(RED!J24*SUMPRODUCT((CLASS!$E24:$J24="RES")*1,LIVE!$E24:$J24)+IF(SUMPRODUCT((CLASS!$E24:$J24="GAR")*1)&gt;=2,INPUTS!$B$20,1)*SUMPRODUCT((CLASS!$E24:$J24="GAR")*1,LIVE!$E24:$J24)+SUMPRODUCT((CLASS!$E24:$J24="NR")*1,LIVE!$E24:$J24))</f>
        <v>361.046455205477</v>
      </c>
      <c r="K24" s="10" t="n">
        <f aca="false">INPUTS!$B$13*SUM(DEAD!$E24:$K24)+INPUTS!$B$14*(RED!K24*SUMPRODUCT((CLASS!$E24:$K24="RES")*1,LIVE!$E24:$K24)+IF(SUMPRODUCT((CLASS!$E24:$K24="GAR")*1)&gt;=2,INPUTS!$B$20,1)*SUMPRODUCT((CLASS!$E24:$K24="GAR")*1,LIVE!$E24:$K24)+SUMPRODUCT((CLASS!$E24:$K24="NR")*1,LIVE!$E24:$K24))</f>
        <v>418.094117532579</v>
      </c>
      <c r="L24" s="10" t="n">
        <f aca="false">INPUTS!$B$13*SUM(DEAD!$E24:$L24)+INPUTS!$B$14*(RED!L24*SUMPRODUCT((CLASS!$E24:$L24="RES")*1,LIVE!$E24:$L24)+IF(SUMPRODUCT((CLASS!$E24:$L24="GAR")*1)&gt;=2,INPUTS!$B$20,1)*SUMPRODUCT((CLASS!$E24:$L24="GAR")*1,LIVE!$E24:$L24)+SUMPRODUCT((CLASS!$E24:$L24="NR")*1,LIVE!$E24:$L24))</f>
        <v>477.653516773082</v>
      </c>
      <c r="M24" s="10" t="n">
        <f aca="false">INPUTS!$B$13*SUM(DEAD!$E24:$M24)+INPUTS!$B$14*(RED!M24*SUMPRODUCT((CLASS!$E24:$M24="RES")*1,LIVE!$E24:$M24)+IF(SUMPRODUCT((CLASS!$E24:$M24="GAR")*1)&gt;=2,INPUTS!$B$20,1)*SUMPRODUCT((CLASS!$E24:$M24="GAR")*1,LIVE!$E24:$M24)+SUMPRODUCT((CLASS!$E24:$M24="NR")*1,LIVE!$E24:$M24))</f>
        <v>537.062606792781</v>
      </c>
      <c r="N24" s="10" t="n">
        <f aca="false">INPUTS!$B$13*SUM(DEAD!$E24:$N24)+INPUTS!$B$14*(RED!N24*SUMPRODUCT((CLASS!$E24:$N24="RES")*1,LIVE!$E24:$N24)+IF(SUMPRODUCT((CLASS!$E24:$N24="GAR")*1)&gt;=2,INPUTS!$B$20,1)*SUMPRODUCT((CLASS!$E24:$N24="GAR")*1,LIVE!$E24:$N24)+SUMPRODUCT((CLASS!$E24:$N24="NR")*1,LIVE!$E24:$N24))</f>
        <v>597.1524</v>
      </c>
      <c r="O24" s="10" t="n">
        <f aca="false">INPUTS!$B$13*SUM(DEAD!$E24:$O24)+INPUTS!$B$14*(RED!O24*SUMPRODUCT((CLASS!$E24:$O24="RES")*1,LIVE!$E24:$O24)+IF(SUMPRODUCT((CLASS!$E24:$O24="GAR")*1)&gt;=2,INPUTS!$B$20,1)*SUMPRODUCT((CLASS!$E24:$O24="GAR")*1,LIVE!$E24:$O24)+SUMPRODUCT((CLASS!$E24:$O24="NR")*1,LIVE!$E24:$O24))</f>
        <v>658.0392</v>
      </c>
      <c r="P24" s="10" t="n">
        <f aca="false">INPUTS!$B$13*SUM(DEAD!$E24:$P24)+INPUTS!$B$14*(RED!P24*SUMPRODUCT((CLASS!$E24:$P24="RES")*1,LIVE!$E24:$P24)+IF(SUMPRODUCT((CLASS!$E24:$P24="GAR")*1)&gt;=2,INPUTS!$B$20,1)*SUMPRODUCT((CLASS!$E24:$P24="GAR")*1,LIVE!$E24:$P24)+SUMPRODUCT((CLASS!$E24:$P24="NR")*1,LIVE!$E24:$P24))</f>
        <v>719.556</v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10" t="n">
        <f aca="false">INPUTS!$B$13*SUM(DEAD!$E25:$E25)+INPUTS!$B$14*(RED!E25*SUMPRODUCT((CLASS!$E25:$E25="RES")*1,LIVE!$E25:$E25)+IF(SUMPRODUCT((CLASS!$E25:$E25="GAR")*1)&gt;=2,INPUTS!$B$20,1)*SUMPRODUCT((CLASS!$E25:$E25="GAR")*1,LIVE!$E25:$E25)+SUMPRODUCT((CLASS!$E25:$E25="NR")*1,LIVE!$E25:$E25))</f>
        <v>0</v>
      </c>
      <c r="F25" s="10" t="n">
        <f aca="false">INPUTS!$B$13*SUM(DEAD!$E25:$F25)+INPUTS!$B$14*(RED!F25*SUMPRODUCT((CLASS!$E25:$F25="RES")*1,LIVE!$E25:$F25)+IF(SUMPRODUCT((CLASS!$E25:$F25="GAR")*1)&gt;=2,INPUTS!$B$20,1)*SUMPRODUCT((CLASS!$E25:$F25="GAR")*1,LIVE!$E25:$F25)+SUMPRODUCT((CLASS!$E25:$F25="NR")*1,LIVE!$E25:$F25))</f>
        <v>102.474</v>
      </c>
      <c r="G25" s="10" t="n">
        <f aca="false">INPUTS!$B$13*SUM(DEAD!$E25:$G25)+INPUTS!$B$14*(RED!G25*SUMPRODUCT((CLASS!$E25:$G25="RES")*1,LIVE!$E25:$G25)+IF(SUMPRODUCT((CLASS!$E25:$G25="GAR")*1)&gt;=2,INPUTS!$B$20,1)*SUMPRODUCT((CLASS!$E25:$G25="GAR")*1,LIVE!$E25:$G25)+SUMPRODUCT((CLASS!$E25:$G25="NR")*1,LIVE!$E25:$G25))</f>
        <v>166.066935902489</v>
      </c>
      <c r="H25" s="10" t="n">
        <f aca="false">INPUTS!$B$13*SUM(DEAD!$E25:$H25)+INPUTS!$B$14*(RED!H25*SUMPRODUCT((CLASS!$E25:$H25="RES")*1,LIVE!$E25:$H25)+IF(SUMPRODUCT((CLASS!$E25:$H25="GAR")*1)&gt;=2,INPUTS!$B$20,1)*SUMPRODUCT((CLASS!$E25:$H25="GAR")*1,LIVE!$E25:$H25)+SUMPRODUCT((CLASS!$E25:$H25="NR")*1,LIVE!$E25:$H25))</f>
        <v>223.952592090631</v>
      </c>
      <c r="I25" s="10" t="n">
        <f aca="false">INPUTS!$B$13*SUM(DEAD!$E25:$I25)+INPUTS!$B$14*(RED!I25*SUMPRODUCT((CLASS!$E25:$I25="RES")*1,LIVE!$E25:$I25)+IF(SUMPRODUCT((CLASS!$E25:$I25="GAR")*1)&gt;=2,INPUTS!$B$20,1)*SUMPRODUCT((CLASS!$E25:$I25="GAR")*1,LIVE!$E25:$I25)+SUMPRODUCT((CLASS!$E25:$I25="NR")*1,LIVE!$E25:$I25))</f>
        <v>280.899259997997</v>
      </c>
      <c r="J25" s="10" t="n">
        <f aca="false">INPUTS!$B$13*SUM(DEAD!$E25:$J25)+INPUTS!$B$14*(RED!J25*SUMPRODUCT((CLASS!$E25:$J25="RES")*1,LIVE!$E25:$J25)+IF(SUMPRODUCT((CLASS!$E25:$J25="GAR")*1)&gt;=2,INPUTS!$B$20,1)*SUMPRODUCT((CLASS!$E25:$J25="GAR")*1,LIVE!$E25:$J25)+SUMPRODUCT((CLASS!$E25:$J25="NR")*1,LIVE!$E25:$J25))</f>
        <v>337.359871804977</v>
      </c>
      <c r="K25" s="10" t="n">
        <f aca="false">INPUTS!$B$13*SUM(DEAD!$E25:$K25)+INPUTS!$B$14*(RED!K25*SUMPRODUCT((CLASS!$E25:$K25="RES")*1,LIVE!$E25:$K25)+IF(SUMPRODUCT((CLASS!$E25:$K25="GAR")*1)&gt;=2,INPUTS!$B$20,1)*SUMPRODUCT((CLASS!$E25:$K25="GAR")*1,LIVE!$E25:$K25)+SUMPRODUCT((CLASS!$E25:$K25="NR")*1,LIVE!$E25:$K25))</f>
        <v>393.509866978388</v>
      </c>
      <c r="L25" s="10" t="n">
        <f aca="false">INPUTS!$B$13*SUM(DEAD!$E25:$L25)+INPUTS!$B$14*(RED!L25*SUMPRODUCT((CLASS!$E25:$L25="RES")*1,LIVE!$E25:$L25)+IF(SUMPRODUCT((CLASS!$E25:$L25="GAR")*1)&gt;=2,INPUTS!$B$20,1)*SUMPRODUCT((CLASS!$E25:$L25="GAR")*1,LIVE!$E25:$L25)+SUMPRODUCT((CLASS!$E25:$L25="NR")*1,LIVE!$E25:$L25))</f>
        <v>449.43922155774</v>
      </c>
      <c r="M25" s="10" t="n">
        <f aca="false">INPUTS!$B$13*SUM(DEAD!$E25:$M25)+INPUTS!$B$14*(RED!M25*SUMPRODUCT((CLASS!$E25:$M25="RES")*1,LIVE!$E25:$M25)+IF(SUMPRODUCT((CLASS!$E25:$M25="GAR")*1)&gt;=2,INPUTS!$B$20,1)*SUMPRODUCT((CLASS!$E25:$M25="GAR")*1,LIVE!$E25:$M25)+SUMPRODUCT((CLASS!$E25:$M25="NR")*1,LIVE!$E25:$M25))</f>
        <v>505.201385437627</v>
      </c>
      <c r="N25" s="10" t="n">
        <f aca="false">INPUTS!$B$13*SUM(DEAD!$E25:$N25)+INPUTS!$B$14*(RED!N25*SUMPRODUCT((CLASS!$E25:$N25="RES")*1,LIVE!$E25:$N25)+IF(SUMPRODUCT((CLASS!$E25:$N25="GAR")*1)&gt;=2,INPUTS!$B$20,1)*SUMPRODUCT((CLASS!$E25:$N25="GAR")*1,LIVE!$E25:$N25)+SUMPRODUCT((CLASS!$E25:$N25="NR")*1,LIVE!$E25:$N25))</f>
        <v>560.831184181262</v>
      </c>
      <c r="O25" s="10" t="n">
        <f aca="false">INPUTS!$B$13*SUM(DEAD!$E25:$O25)+INPUTS!$B$14*(RED!O25*SUMPRODUCT((CLASS!$E25:$O25="RES")*1,LIVE!$E25:$O25)+IF(SUMPRODUCT((CLASS!$E25:$O25="GAR")*1)&gt;=2,INPUTS!$B$20,1)*SUMPRODUCT((CLASS!$E25:$O25="GAR")*1,LIVE!$E25:$O25)+SUMPRODUCT((CLASS!$E25:$O25="NR")*1,LIVE!$E25:$O25))</f>
        <v>616.352807707465</v>
      </c>
      <c r="P25" s="10" t="n">
        <f aca="false">INPUTS!$B$13*SUM(DEAD!$E25:$P25)+INPUTS!$B$14*(RED!P25*SUMPRODUCT((CLASS!$E25:$P25="RES")*1,LIVE!$E25:$P25)+IF(SUMPRODUCT((CLASS!$E25:$P25="GAR")*1)&gt;=2,INPUTS!$B$20,1)*SUMPRODUCT((CLASS!$E25:$P25="GAR")*1,LIVE!$E25:$P25)+SUMPRODUCT((CLASS!$E25:$P25="NR")*1,LIVE!$E25:$P25))</f>
        <v>672.413868548892</v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10" t="n">
        <f aca="false">INPUTS!$B$13*SUM(DEAD!$E26:$E26)+INPUTS!$B$14*(RED!E26*SUMPRODUCT((CLASS!$E26:$E26="RES")*1,LIVE!$E26:$E26)+IF(SUMPRODUCT((CLASS!$E26:$E26="GAR")*1)&gt;=2,INPUTS!$B$20,1)*SUMPRODUCT((CLASS!$E26:$E26="GAR")*1,LIVE!$E26:$E26)+SUMPRODUCT((CLASS!$E26:$E26="NR")*1,LIVE!$E26:$E26))</f>
        <v>0</v>
      </c>
      <c r="F26" s="10" t="n">
        <f aca="false">INPUTS!$B$13*SUM(DEAD!$E26:$F26)+INPUTS!$B$14*(RED!F26*SUMPRODUCT((CLASS!$E26:$F26="RES")*1,LIVE!$E26:$F26)+IF(SUMPRODUCT((CLASS!$E26:$F26="GAR")*1)&gt;=2,INPUTS!$B$20,1)*SUMPRODUCT((CLASS!$E26:$F26="GAR")*1,LIVE!$E26:$F26)+SUMPRODUCT((CLASS!$E26:$F26="NR")*1,LIVE!$E26:$F26))</f>
        <v>126.493</v>
      </c>
      <c r="G26" s="10" t="n">
        <f aca="false">INPUTS!$B$13*SUM(DEAD!$E26:$G26)+INPUTS!$B$14*(RED!G26*SUMPRODUCT((CLASS!$E26:$G26="RES")*1,LIVE!$E26:$G26)+IF(SUMPRODUCT((CLASS!$E26:$G26="GAR")*1)&gt;=2,INPUTS!$B$20,1)*SUMPRODUCT((CLASS!$E26:$G26="GAR")*1,LIVE!$E26:$G26)+SUMPRODUCT((CLASS!$E26:$G26="NR")*1,LIVE!$E26:$G26))</f>
        <v>216.526873183551</v>
      </c>
      <c r="H26" s="10" t="n">
        <f aca="false">INPUTS!$B$13*SUM(DEAD!$E26:$H26)+INPUTS!$B$14*(RED!H26*SUMPRODUCT((CLASS!$E26:$H26="RES")*1,LIVE!$E26:$H26)+IF(SUMPRODUCT((CLASS!$E26:$H26="GAR")*1)&gt;=2,INPUTS!$B$20,1)*SUMPRODUCT((CLASS!$E26:$H26="GAR")*1,LIVE!$E26:$H26)+SUMPRODUCT((CLASS!$E26:$H26="NR")*1,LIVE!$E26:$H26))</f>
        <v>299.906872509454</v>
      </c>
      <c r="I26" s="10" t="n">
        <f aca="false">INPUTS!$B$13*SUM(DEAD!$E26:$I26)+INPUTS!$B$14*(RED!I26*SUMPRODUCT((CLASS!$E26:$I26="RES")*1,LIVE!$E26:$I26)+IF(SUMPRODUCT((CLASS!$E26:$I26="GAR")*1)&gt;=2,INPUTS!$B$20,1)*SUMPRODUCT((CLASS!$E26:$I26="GAR")*1,LIVE!$E26:$I26)+SUMPRODUCT((CLASS!$E26:$I26="NR")*1,LIVE!$E26:$I26))</f>
        <v>382.192145470642</v>
      </c>
      <c r="J26" s="10" t="n">
        <f aca="false">INPUTS!$B$13*SUM(DEAD!$E26:$J26)+INPUTS!$B$14*(RED!J26*SUMPRODUCT((CLASS!$E26:$J26="RES")*1,LIVE!$E26:$J26)+IF(SUMPRODUCT((CLASS!$E26:$J26="GAR")*1)&gt;=2,INPUTS!$B$20,1)*SUMPRODUCT((CLASS!$E26:$J26="GAR")*1,LIVE!$E26:$J26)+SUMPRODUCT((CLASS!$E26:$J26="NR")*1,LIVE!$E26:$J26))</f>
        <v>463.910746367103</v>
      </c>
      <c r="K26" s="10" t="n">
        <f aca="false">INPUTS!$B$13*SUM(DEAD!$E26:$K26)+INPUTS!$B$14*(RED!K26*SUMPRODUCT((CLASS!$E26:$K26="RES")*1,LIVE!$E26:$K26)+IF(SUMPRODUCT((CLASS!$E26:$K26="GAR")*1)&gt;=2,INPUTS!$B$20,1)*SUMPRODUCT((CLASS!$E26:$K26="GAR")*1,LIVE!$E26:$K26)+SUMPRODUCT((CLASS!$E26:$K26="NR")*1,LIVE!$E26:$K26))</f>
        <v>545.26721258622</v>
      </c>
      <c r="L26" s="10" t="n">
        <f aca="false">INPUTS!$B$13*SUM(DEAD!$E26:$L26)+INPUTS!$B$14*(RED!L26*SUMPRODUCT((CLASS!$E26:$L26="RES")*1,LIVE!$E26:$L26)+IF(SUMPRODUCT((CLASS!$E26:$L26="GAR")*1)&gt;=2,INPUTS!$B$20,1)*SUMPRODUCT((CLASS!$E26:$L26="GAR")*1,LIVE!$E26:$L26)+SUMPRODUCT((CLASS!$E26:$L26="NR")*1,LIVE!$E26:$L26))</f>
        <v>626.366443352684</v>
      </c>
      <c r="M26" s="10" t="n">
        <f aca="false">INPUTS!$B$13*SUM(DEAD!$E26:$M26)+INPUTS!$B$14*(RED!M26*SUMPRODUCT((CLASS!$E26:$M26="RES")*1,LIVE!$E26:$M26)+IF(SUMPRODUCT((CLASS!$E26:$M26="GAR")*1)&gt;=2,INPUTS!$B$20,1)*SUMPRODUCT((CLASS!$E26:$M26="GAR")*1,LIVE!$E26:$M26)+SUMPRODUCT((CLASS!$E26:$M26="NR")*1,LIVE!$E26:$M26))</f>
        <v>707.270753617597</v>
      </c>
      <c r="N26" s="10" t="n">
        <f aca="false">INPUTS!$B$13*SUM(DEAD!$E26:$N26)+INPUTS!$B$14*(RED!N26*SUMPRODUCT((CLASS!$E26:$N26="RES")*1,LIVE!$E26:$N26)+IF(SUMPRODUCT((CLASS!$E26:$N26="GAR")*1)&gt;=2,INPUTS!$B$20,1)*SUMPRODUCT((CLASS!$E26:$N26="GAR")*1,LIVE!$E26:$N26)+SUMPRODUCT((CLASS!$E26:$N26="NR")*1,LIVE!$E26:$N26))</f>
        <v>788.149</v>
      </c>
      <c r="O26" s="10" t="n">
        <f aca="false">INPUTS!$B$13*SUM(DEAD!$E26:$O26)+INPUTS!$B$14*(RED!O26*SUMPRODUCT((CLASS!$E26:$O26="RES")*1,LIVE!$E26:$O26)+IF(SUMPRODUCT((CLASS!$E26:$O26="GAR")*1)&gt;=2,INPUTS!$B$20,1)*SUMPRODUCT((CLASS!$E26:$O26="GAR")*1,LIVE!$E26:$O26)+SUMPRODUCT((CLASS!$E26:$O26="NR")*1,LIVE!$E26:$O26))</f>
        <v>870.856</v>
      </c>
      <c r="P26" s="10" t="n">
        <f aca="false">INPUTS!$B$13*SUM(DEAD!$E26:$P26)+INPUTS!$B$14*(RED!P26*SUMPRODUCT((CLASS!$E26:$P26="RES")*1,LIVE!$E26:$P26)+IF(SUMPRODUCT((CLASS!$E26:$P26="GAR")*1)&gt;=2,INPUTS!$B$20,1)*SUMPRODUCT((CLASS!$E26:$P26="GAR")*1,LIVE!$E26:$P26)+SUMPRODUCT((CLASS!$E26:$P26="NR")*1,LIVE!$E26:$P26))</f>
        <v>954.508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10" t="n">
        <f aca="false">INPUTS!$B$13*SUM(DEAD!$E27:$E27)+INPUTS!$B$14*(RED!E27*SUMPRODUCT((CLASS!$E27:$E27="RES")*1,LIVE!$E27:$E27)+IF(SUMPRODUCT((CLASS!$E27:$E27="GAR")*1)&gt;=2,INPUTS!$B$20,1)*SUMPRODUCT((CLASS!$E27:$E27="GAR")*1,LIVE!$E27:$E27)+SUMPRODUCT((CLASS!$E27:$E27="NR")*1,LIVE!$E27:$E27))</f>
        <v>0</v>
      </c>
      <c r="F27" s="10" t="n">
        <f aca="false">INPUTS!$B$13*SUM(DEAD!$E27:$F27)+INPUTS!$B$14*(RED!F27*SUMPRODUCT((CLASS!$E27:$F27="RES")*1,LIVE!$E27:$F27)+IF(SUMPRODUCT((CLASS!$E27:$F27="GAR")*1)&gt;=2,INPUTS!$B$20,1)*SUMPRODUCT((CLASS!$E27:$F27="GAR")*1,LIVE!$E27:$F27)+SUMPRODUCT((CLASS!$E27:$F27="NR")*1,LIVE!$E27:$F27))</f>
        <v>67.838</v>
      </c>
      <c r="G27" s="10" t="n">
        <f aca="false">INPUTS!$B$13*SUM(DEAD!$E27:$G27)+INPUTS!$B$14*(RED!G27*SUMPRODUCT((CLASS!$E27:$G27="RES")*1,LIVE!$E27:$G27)+IF(SUMPRODUCT((CLASS!$E27:$G27="GAR")*1)&gt;=2,INPUTS!$B$20,1)*SUMPRODUCT((CLASS!$E27:$G27="GAR")*1,LIVE!$E27:$G27)+SUMPRODUCT((CLASS!$E27:$G27="NR")*1,LIVE!$E27:$G27))</f>
        <v>113.527578935704</v>
      </c>
      <c r="H27" s="10" t="n">
        <f aca="false">INPUTS!$B$13*SUM(DEAD!$E27:$H27)+INPUTS!$B$14*(RED!H27*SUMPRODUCT((CLASS!$E27:$H27="RES")*1,LIVE!$E27:$H27)+IF(SUMPRODUCT((CLASS!$E27:$H27="GAR")*1)&gt;=2,INPUTS!$B$20,1)*SUMPRODUCT((CLASS!$E27:$H27="GAR")*1,LIVE!$E27:$H27)+SUMPRODUCT((CLASS!$E27:$H27="NR")*1,LIVE!$E27:$H27))</f>
        <v>154.765427599198</v>
      </c>
      <c r="I27" s="10" t="n">
        <f aca="false">INPUTS!$B$13*SUM(DEAD!$E27:$I27)+INPUTS!$B$14*(RED!I27*SUMPRODUCT((CLASS!$E27:$I27="RES")*1,LIVE!$E27:$I27)+IF(SUMPRODUCT((CLASS!$E27:$I27="GAR")*1)&gt;=2,INPUTS!$B$20,1)*SUMPRODUCT((CLASS!$E27:$I27="GAR")*1,LIVE!$E27:$I27)+SUMPRODUCT((CLASS!$E27:$I27="NR")*1,LIVE!$E27:$I27))</f>
        <v>195.27085683277</v>
      </c>
      <c r="J27" s="10" t="n">
        <f aca="false">INPUTS!$B$13*SUM(DEAD!$E27:$J27)+INPUTS!$B$14*(RED!J27*SUMPRODUCT((CLASS!$E27:$J27="RES")*1,LIVE!$E27:$J27)+IF(SUMPRODUCT((CLASS!$E27:$J27="GAR")*1)&gt;=2,INPUTS!$B$20,1)*SUMPRODUCT((CLASS!$E27:$J27="GAR")*1,LIVE!$E27:$J27)+SUMPRODUCT((CLASS!$E27:$J27="NR")*1,LIVE!$E27:$J27))</f>
        <v>235.397157871409</v>
      </c>
      <c r="K27" s="10" t="n">
        <f aca="false">INPUTS!$B$13*SUM(DEAD!$E27:$K27)+INPUTS!$B$14*(RED!K27*SUMPRODUCT((CLASS!$E27:$K27="RES")*1,LIVE!$E27:$K27)+IF(SUMPRODUCT((CLASS!$E27:$K27="GAR")*1)&gt;=2,INPUTS!$B$20,1)*SUMPRODUCT((CLASS!$E27:$K27="GAR")*1,LIVE!$E27:$K27)+SUMPRODUCT((CLASS!$E27:$K27="NR")*1,LIVE!$E27:$K27))</f>
        <v>272.745046004564</v>
      </c>
      <c r="L27" s="10" t="n">
        <f aca="false">INPUTS!$B$13*SUM(DEAD!$E27:$L27)+INPUTS!$B$14*(RED!L27*SUMPRODUCT((CLASS!$E27:$L27="RES")*1,LIVE!$E27:$L27)+IF(SUMPRODUCT((CLASS!$E27:$L27="GAR")*1)&gt;=2,INPUTS!$B$20,1)*SUMPRODUCT((CLASS!$E27:$L27="GAR")*1,LIVE!$E27:$L27)+SUMPRODUCT((CLASS!$E27:$L27="NR")*1,LIVE!$E27:$L27))</f>
        <v>309.943881410921</v>
      </c>
      <c r="M27" s="10" t="n">
        <f aca="false">INPUTS!$B$13*SUM(DEAD!$E27:$M27)+INPUTS!$B$14*(RED!M27*SUMPRODUCT((CLASS!$E27:$M27="RES")*1,LIVE!$E27:$M27)+IF(SUMPRODUCT((CLASS!$E27:$M27="GAR")*1)&gt;=2,INPUTS!$B$20,1)*SUMPRODUCT((CLASS!$E27:$M27="GAR")*1,LIVE!$E27:$M27)+SUMPRODUCT((CLASS!$E27:$M27="NR")*1,LIVE!$E27:$M27))</f>
        <v>347.027838056017</v>
      </c>
      <c r="N27" s="10" t="n">
        <f aca="false">INPUTS!$B$13*SUM(DEAD!$E27:$N27)+INPUTS!$B$14*(RED!N27*SUMPRODUCT((CLASS!$E27:$N27="RES")*1,LIVE!$E27:$N27)+IF(SUMPRODUCT((CLASS!$E27:$N27="GAR")*1)&gt;=2,INPUTS!$B$20,1)*SUMPRODUCT((CLASS!$E27:$N27="GAR")*1,LIVE!$E27:$N27)+SUMPRODUCT((CLASS!$E27:$N27="NR")*1,LIVE!$E27:$N27))</f>
        <v>384.019737820038</v>
      </c>
      <c r="O27" s="10" t="n">
        <f aca="false">INPUTS!$B$13*SUM(DEAD!$E27:$O27)+INPUTS!$B$14*(RED!O27*SUMPRODUCT((CLASS!$E27:$O27="RES")*1,LIVE!$E27:$O27)+IF(SUMPRODUCT((CLASS!$E27:$O27="GAR")*1)&gt;=2,INPUTS!$B$20,1)*SUMPRODUCT((CLASS!$E27:$O27="GAR")*1,LIVE!$E27:$O27)+SUMPRODUCT((CLASS!$E27:$O27="NR")*1,LIVE!$E27:$O27))</f>
        <v>420.935718591188</v>
      </c>
      <c r="P27" s="10" t="n">
        <f aca="false">INPUTS!$B$13*SUM(DEAD!$E27:$P27)+INPUTS!$B$14*(RED!P27*SUMPRODUCT((CLASS!$E27:$P27="RES")*1,LIVE!$E27:$P27)+IF(SUMPRODUCT((CLASS!$E27:$P27="GAR")*1)&gt;=2,INPUTS!$B$20,1)*SUMPRODUCT((CLASS!$E27:$P27="GAR")*1,LIVE!$E27:$P27)+SUMPRODUCT((CLASS!$E27:$P27="NR")*1,LIVE!$E27:$P27))</f>
        <v>458.417690829518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10" t="n">
        <f aca="false">INPUTS!$B$13*SUM(DEAD!$E28:$E28)+INPUTS!$B$14*(RED!E28*SUMPRODUCT((CLASS!$E28:$E28="RES")*1,LIVE!$E28:$E28)+IF(SUMPRODUCT((CLASS!$E28:$E28="GAR")*1)&gt;=2,INPUTS!$B$20,1)*SUMPRODUCT((CLASS!$E28:$E28="GAR")*1,LIVE!$E28:$E28)+SUMPRODUCT((CLASS!$E28:$E28="NR")*1,LIVE!$E28:$E28))</f>
        <v>0</v>
      </c>
      <c r="F28" s="10" t="n">
        <f aca="false">INPUTS!$B$13*SUM(DEAD!$E28:$F28)+INPUTS!$B$14*(RED!F28*SUMPRODUCT((CLASS!$E28:$F28="RES")*1,LIVE!$E28:$F28)+IF(SUMPRODUCT((CLASS!$E28:$F28="GAR")*1)&gt;=2,INPUTS!$B$20,1)*SUMPRODUCT((CLASS!$E28:$F28="GAR")*1,LIVE!$E28:$F28)+SUMPRODUCT((CLASS!$E28:$F28="NR")*1,LIVE!$E28:$F28))</f>
        <v>108.997</v>
      </c>
      <c r="G28" s="10" t="n">
        <f aca="false">INPUTS!$B$13*SUM(DEAD!$E28:$G28)+INPUTS!$B$14*(RED!G28*SUMPRODUCT((CLASS!$E28:$G28="RES")*1,LIVE!$E28:$G28)+IF(SUMPRODUCT((CLASS!$E28:$G28="GAR")*1)&gt;=2,INPUTS!$B$20,1)*SUMPRODUCT((CLASS!$E28:$G28="GAR")*1,LIVE!$E28:$G28)+SUMPRODUCT((CLASS!$E28:$G28="NR")*1,LIVE!$E28:$G28))</f>
        <v>177.077772971469</v>
      </c>
      <c r="H28" s="10" t="n">
        <f aca="false">INPUTS!$B$13*SUM(DEAD!$E28:$H28)+INPUTS!$B$14*(RED!H28*SUMPRODUCT((CLASS!$E28:$H28="RES")*1,LIVE!$E28:$H28)+IF(SUMPRODUCT((CLASS!$E28:$H28="GAR")*1)&gt;=2,INPUTS!$B$20,1)*SUMPRODUCT((CLASS!$E28:$H28="GAR")*1,LIVE!$E28:$H28)+SUMPRODUCT((CLASS!$E28:$H28="NR")*1,LIVE!$E28:$H28))</f>
        <v>239.332447024535</v>
      </c>
      <c r="I28" s="10" t="n">
        <f aca="false">INPUTS!$B$13*SUM(DEAD!$E28:$I28)+INPUTS!$B$14*(RED!I28*SUMPRODUCT((CLASS!$E28:$I28="RES")*1,LIVE!$E28:$I28)+IF(SUMPRODUCT((CLASS!$E28:$I28="GAR")*1)&gt;=2,INPUTS!$B$20,1)*SUMPRODUCT((CLASS!$E28:$I28="GAR")*1,LIVE!$E28:$I28)+SUMPRODUCT((CLASS!$E28:$I28="NR")*1,LIVE!$E28:$I28))</f>
        <v>300.628584107129</v>
      </c>
      <c r="J28" s="10" t="n">
        <f aca="false">INPUTS!$B$13*SUM(DEAD!$E28:$J28)+INPUTS!$B$14*(RED!J28*SUMPRODUCT((CLASS!$E28:$J28="RES")*1,LIVE!$E28:$J28)+IF(SUMPRODUCT((CLASS!$E28:$J28="GAR")*1)&gt;=2,INPUTS!$B$20,1)*SUMPRODUCT((CLASS!$E28:$J28="GAR")*1,LIVE!$E28:$J28)+SUMPRODUCT((CLASS!$E28:$J28="NR")*1,LIVE!$E28:$J28))</f>
        <v>361.428545942938</v>
      </c>
      <c r="K28" s="10" t="n">
        <f aca="false">INPUTS!$B$13*SUM(DEAD!$E28:$K28)+INPUTS!$B$14*(RED!K28*SUMPRODUCT((CLASS!$E28:$K28="RES")*1,LIVE!$E28:$K28)+IF(SUMPRODUCT((CLASS!$E28:$K28="GAR")*1)&gt;=2,INPUTS!$B$20,1)*SUMPRODUCT((CLASS!$E28:$K28="GAR")*1,LIVE!$E28:$K28)+SUMPRODUCT((CLASS!$E28:$K28="NR")*1,LIVE!$E28:$K28))</f>
        <v>418.931906541829</v>
      </c>
      <c r="L28" s="10" t="n">
        <f aca="false">INPUTS!$B$13*SUM(DEAD!$E28:$L28)+INPUTS!$B$14*(RED!L28*SUMPRODUCT((CLASS!$E28:$L28="RES")*1,LIVE!$E28:$L28)+IF(SUMPRODUCT((CLASS!$E28:$L28="GAR")*1)&gt;=2,INPUTS!$B$20,1)*SUMPRODUCT((CLASS!$E28:$L28="GAR")*1,LIVE!$E28:$L28)+SUMPRODUCT((CLASS!$E28:$L28="NR")*1,LIVE!$E28:$L28))</f>
        <v>478.905170536803</v>
      </c>
      <c r="M28" s="10" t="n">
        <f aca="false">INPUTS!$B$13*SUM(DEAD!$E28:$M28)+INPUTS!$B$14*(RED!M28*SUMPRODUCT((CLASS!$E28:$M28="RES")*1,LIVE!$E28:$M28)+IF(SUMPRODUCT((CLASS!$E28:$M28="GAR")*1)&gt;=2,INPUTS!$B$20,1)*SUMPRODUCT((CLASS!$E28:$M28="GAR")*1,LIVE!$E28:$M28)+SUMPRODUCT((CLASS!$E28:$M28="NR")*1,LIVE!$E28:$M28))</f>
        <v>538.730628743301</v>
      </c>
      <c r="N28" s="10" t="n">
        <f aca="false">INPUTS!$B$13*SUM(DEAD!$E28:$N28)+INPUTS!$B$14*(RED!N28*SUMPRODUCT((CLASS!$E28:$N28="RES")*1,LIVE!$E28:$N28)+IF(SUMPRODUCT((CLASS!$E28:$N28="GAR")*1)&gt;=2,INPUTS!$B$20,1)*SUMPRODUCT((CLASS!$E28:$N28="GAR")*1,LIVE!$E28:$N28)+SUMPRODUCT((CLASS!$E28:$N28="NR")*1,LIVE!$E28:$N28))</f>
        <v>598.8066</v>
      </c>
      <c r="O28" s="10" t="n">
        <f aca="false">INPUTS!$B$13*SUM(DEAD!$E28:$O28)+INPUTS!$B$14*(RED!O28*SUMPRODUCT((CLASS!$E28:$O28="RES")*1,LIVE!$E28:$O28)+IF(SUMPRODUCT((CLASS!$E28:$O28="GAR")*1)&gt;=2,INPUTS!$B$20,1)*SUMPRODUCT((CLASS!$E28:$O28="GAR")*1,LIVE!$E28:$O28)+SUMPRODUCT((CLASS!$E28:$O28="NR")*1,LIVE!$E28:$O28))</f>
        <v>660.0328</v>
      </c>
      <c r="P28" s="10" t="n">
        <f aca="false">INPUTS!$B$13*SUM(DEAD!$E28:$P28)+INPUTS!$B$14*(RED!P28*SUMPRODUCT((CLASS!$E28:$P28="RES")*1,LIVE!$E28:$P28)+IF(SUMPRODUCT((CLASS!$E28:$P28="GAR")*1)&gt;=2,INPUTS!$B$20,1)*SUMPRODUCT((CLASS!$E28:$P28="GAR")*1,LIVE!$E28:$P28)+SUMPRODUCT((CLASS!$E28:$P28="NR")*1,LIVE!$E28:$P28))</f>
        <v>722.204</v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10" t="n">
        <f aca="false">INPUTS!$B$13*SUM(DEAD!$E29:$E29)+INPUTS!$B$14*(RED!E29*SUMPRODUCT((CLASS!$E29:$E29="RES")*1,LIVE!$E29:$E29)+IF(SUMPRODUCT((CLASS!$E29:$E29="GAR")*1)&gt;=2,INPUTS!$B$20,1)*SUMPRODUCT((CLASS!$E29:$E29="GAR")*1,LIVE!$E29:$E29)+SUMPRODUCT((CLASS!$E29:$E29="NR")*1,LIVE!$E29:$E29))</f>
        <v>0</v>
      </c>
      <c r="F29" s="10" t="n">
        <f aca="false">INPUTS!$B$13*SUM(DEAD!$E29:$F29)+INPUTS!$B$14*(RED!F29*SUMPRODUCT((CLASS!$E29:$F29="RES")*1,LIVE!$E29:$F29)+IF(SUMPRODUCT((CLASS!$E29:$F29="GAR")*1)&gt;=2,INPUTS!$B$20,1)*SUMPRODUCT((CLASS!$E29:$F29="GAR")*1,LIVE!$E29:$F29)+SUMPRODUCT((CLASS!$E29:$F29="NR")*1,LIVE!$E29:$F29))</f>
        <v>154.501</v>
      </c>
      <c r="G29" s="10" t="n">
        <f aca="false">INPUTS!$B$13*SUM(DEAD!$E29:$G29)+INPUTS!$B$14*(RED!G29*SUMPRODUCT((CLASS!$E29:$G29="RES")*1,LIVE!$E29:$G29)+IF(SUMPRODUCT((CLASS!$E29:$G29="GAR")*1)&gt;=2,INPUTS!$B$20,1)*SUMPRODUCT((CLASS!$E29:$G29="GAR")*1,LIVE!$E29:$G29)+SUMPRODUCT((CLASS!$E29:$G29="NR")*1,LIVE!$E29:$G29))</f>
        <v>248.331989347532</v>
      </c>
      <c r="H29" s="10" t="n">
        <f aca="false">INPUTS!$B$13*SUM(DEAD!$E29:$H29)+INPUTS!$B$14*(RED!H29*SUMPRODUCT((CLASS!$E29:$H29="RES")*1,LIVE!$E29:$H29)+IF(SUMPRODUCT((CLASS!$E29:$H29="GAR")*1)&gt;=2,INPUTS!$B$20,1)*SUMPRODUCT((CLASS!$E29:$H29="GAR")*1,LIVE!$E29:$H29)+SUMPRODUCT((CLASS!$E29:$H29="NR")*1,LIVE!$E29:$H29))</f>
        <v>335.12417510061</v>
      </c>
      <c r="I29" s="10" t="n">
        <f aca="false">INPUTS!$B$13*SUM(DEAD!$E29:$I29)+INPUTS!$B$14*(RED!I29*SUMPRODUCT((CLASS!$E29:$I29="RES")*1,LIVE!$E29:$I29)+IF(SUMPRODUCT((CLASS!$E29:$I29="GAR")*1)&gt;=2,INPUTS!$B$20,1)*SUMPRODUCT((CLASS!$E29:$I29="GAR")*1,LIVE!$E29:$I29)+SUMPRODUCT((CLASS!$E29:$I29="NR")*1,LIVE!$E29:$I29))</f>
        <v>420.758304053132</v>
      </c>
      <c r="J29" s="10" t="n">
        <f aca="false">INPUTS!$B$13*SUM(DEAD!$E29:$J29)+INPUTS!$B$14*(RED!J29*SUMPRODUCT((CLASS!$E29:$J29="RES")*1,LIVE!$E29:$J29)+IF(SUMPRODUCT((CLASS!$E29:$J29="GAR")*1)&gt;=2,INPUTS!$B$20,1)*SUMPRODUCT((CLASS!$E29:$J29="GAR")*1,LIVE!$E29:$J29)+SUMPRODUCT((CLASS!$E29:$J29="NR")*1,LIVE!$E29:$J29))</f>
        <v>505.792978695064</v>
      </c>
      <c r="K29" s="10" t="n">
        <f aca="false">INPUTS!$B$13*SUM(DEAD!$E29:$K29)+INPUTS!$B$14*(RED!K29*SUMPRODUCT((CLASS!$E29:$K29="RES")*1,LIVE!$E29:$K29)+IF(SUMPRODUCT((CLASS!$E29:$K29="GAR")*1)&gt;=2,INPUTS!$B$20,1)*SUMPRODUCT((CLASS!$E29:$K29="GAR")*1,LIVE!$E29:$K29)+SUMPRODUCT((CLASS!$E29:$K29="NR")*1,LIVE!$E29:$K29))</f>
        <v>586.844863315598</v>
      </c>
      <c r="L29" s="10" t="n">
        <f aca="false">INPUTS!$B$13*SUM(DEAD!$E29:$L29)+INPUTS!$B$14*(RED!L29*SUMPRODUCT((CLASS!$E29:$L29="RES")*1,LIVE!$E29:$L29)+IF(SUMPRODUCT((CLASS!$E29:$L29="GAR")*1)&gt;=2,INPUTS!$B$20,1)*SUMPRODUCT((CLASS!$E29:$L29="GAR")*1,LIVE!$E29:$L29)+SUMPRODUCT((CLASS!$E29:$L29="NR")*1,LIVE!$E29:$L29))</f>
        <v>672.463</v>
      </c>
      <c r="M29" s="10" t="n">
        <f aca="false">INPUTS!$B$13*SUM(DEAD!$E29:$M29)+INPUTS!$B$14*(RED!M29*SUMPRODUCT((CLASS!$E29:$M29="RES")*1,LIVE!$E29:$M29)+IF(SUMPRODUCT((CLASS!$E29:$M29="GAR")*1)&gt;=2,INPUTS!$B$20,1)*SUMPRODUCT((CLASS!$E29:$M29="GAR")*1,LIVE!$E29:$M29)+SUMPRODUCT((CLASS!$E29:$M29="NR")*1,LIVE!$E29:$M29))</f>
        <v>758.79</v>
      </c>
      <c r="N29" s="10" t="n">
        <f aca="false">INPUTS!$B$13*SUM(DEAD!$E29:$N29)+INPUTS!$B$14*(RED!N29*SUMPRODUCT((CLASS!$E29:$N29="RES")*1,LIVE!$E29:$N29)+IF(SUMPRODUCT((CLASS!$E29:$N29="GAR")*1)&gt;=2,INPUTS!$B$20,1)*SUMPRODUCT((CLASS!$E29:$N29="GAR")*1,LIVE!$E29:$N29)+SUMPRODUCT((CLASS!$E29:$N29="NR")*1,LIVE!$E29:$N29))</f>
        <v>845.117</v>
      </c>
      <c r="O29" s="10" t="n">
        <f aca="false">INPUTS!$B$13*SUM(DEAD!$E29:$O29)+INPUTS!$B$14*(RED!O29*SUMPRODUCT((CLASS!$E29:$O29="RES")*1,LIVE!$E29:$O29)+IF(SUMPRODUCT((CLASS!$E29:$O29="GAR")*1)&gt;=2,INPUTS!$B$20,1)*SUMPRODUCT((CLASS!$E29:$O29="GAR")*1,LIVE!$E29:$O29)+SUMPRODUCT((CLASS!$E29:$O29="NR")*1,LIVE!$E29:$O29))</f>
        <v>931.444</v>
      </c>
      <c r="P29" s="10" t="n">
        <f aca="false">INPUTS!$B$13*SUM(DEAD!$E29:$P29)+INPUTS!$B$14*(RED!P29*SUMPRODUCT((CLASS!$E29:$P29="RES")*1,LIVE!$E29:$P29)+IF(SUMPRODUCT((CLASS!$E29:$P29="GAR")*1)&gt;=2,INPUTS!$B$20,1)*SUMPRODUCT((CLASS!$E29:$P29="GAR")*1,LIVE!$E29:$P29)+SUMPRODUCT((CLASS!$E29:$P29="NR")*1,LIVE!$E29:$P29))</f>
        <v>1018.716</v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10" t="n">
        <f aca="false">INPUTS!$B$13*SUM(DEAD!$E30:$E30)+INPUTS!$B$14*(RED!E30*SUMPRODUCT((CLASS!$E30:$E30="RES")*1,LIVE!$E30:$E30)+IF(SUMPRODUCT((CLASS!$E30:$E30="GAR")*1)&gt;=2,INPUTS!$B$20,1)*SUMPRODUCT((CLASS!$E30:$E30="GAR")*1,LIVE!$E30:$E30)+SUMPRODUCT((CLASS!$E30:$E30="NR")*1,LIVE!$E30:$E30))</f>
        <v>0</v>
      </c>
      <c r="F30" s="10" t="n">
        <f aca="false">INPUTS!$B$13*SUM(DEAD!$E30:$F30)+INPUTS!$B$14*(RED!F30*SUMPRODUCT((CLASS!$E30:$F30="RES")*1,LIVE!$E30:$F30)+IF(SUMPRODUCT((CLASS!$E30:$F30="GAR")*1)&gt;=2,INPUTS!$B$20,1)*SUMPRODUCT((CLASS!$E30:$F30="GAR")*1,LIVE!$E30:$F30)+SUMPRODUCT((CLASS!$E30:$F30="NR")*1,LIVE!$E30:$F30))</f>
        <v>91.414</v>
      </c>
      <c r="G30" s="10" t="n">
        <f aca="false">INPUTS!$B$13*SUM(DEAD!$E30:$G30)+INPUTS!$B$14*(RED!G30*SUMPRODUCT((CLASS!$E30:$G30="RES")*1,LIVE!$E30:$G30)+IF(SUMPRODUCT((CLASS!$E30:$G30="GAR")*1)&gt;=2,INPUTS!$B$20,1)*SUMPRODUCT((CLASS!$E30:$G30="GAR")*1,LIVE!$E30:$G30)+SUMPRODUCT((CLASS!$E30:$G30="NR")*1,LIVE!$E30:$G30))</f>
        <v>148.838573559572</v>
      </c>
      <c r="H30" s="10" t="n">
        <f aca="false">INPUTS!$B$13*SUM(DEAD!$E30:$H30)+INPUTS!$B$14*(RED!H30*SUMPRODUCT((CLASS!$E30:$H30="RES")*1,LIVE!$E30:$H30)+IF(SUMPRODUCT((CLASS!$E30:$H30="GAR")*1)&gt;=2,INPUTS!$B$20,1)*SUMPRODUCT((CLASS!$E30:$H30="GAR")*1,LIVE!$E30:$H30)+SUMPRODUCT((CLASS!$E30:$H30="NR")*1,LIVE!$E30:$H30))</f>
        <v>200.888806356937</v>
      </c>
      <c r="I30" s="10" t="n">
        <f aca="false">INPUTS!$B$13*SUM(DEAD!$E30:$I30)+INPUTS!$B$14*(RED!I30*SUMPRODUCT((CLASS!$E30:$I30="RES")*1,LIVE!$E30:$I30)+IF(SUMPRODUCT((CLASS!$E30:$I30="GAR")*1)&gt;=2,INPUTS!$B$20,1)*SUMPRODUCT((CLASS!$E30:$I30="GAR")*1,LIVE!$E30:$I30)+SUMPRODUCT((CLASS!$E30:$I30="NR")*1,LIVE!$E30:$I30))</f>
        <v>252.054827542957</v>
      </c>
      <c r="J30" s="10" t="n">
        <f aca="false">INPUTS!$B$13*SUM(DEAD!$E30:$J30)+INPUTS!$B$14*(RED!J30*SUMPRODUCT((CLASS!$E30:$J30="RES")*1,LIVE!$E30:$J30)+IF(SUMPRODUCT((CLASS!$E30:$J30="GAR")*1)&gt;=2,INPUTS!$B$20,1)*SUMPRODUCT((CLASS!$E30:$J30="GAR")*1,LIVE!$E30:$J30)+SUMPRODUCT((CLASS!$E30:$J30="NR")*1,LIVE!$E30:$J30))</f>
        <v>302.763147119144</v>
      </c>
      <c r="K30" s="10" t="n">
        <f aca="false">INPUTS!$B$13*SUM(DEAD!$E30:$K30)+INPUTS!$B$14*(RED!K30*SUMPRODUCT((CLASS!$E30:$K30="RES")*1,LIVE!$E30:$K30)+IF(SUMPRODUCT((CLASS!$E30:$K30="GAR")*1)&gt;=2,INPUTS!$B$20,1)*SUMPRODUCT((CLASS!$E30:$K30="GAR")*1,LIVE!$E30:$K30)+SUMPRODUCT((CLASS!$E30:$K30="NR")*1,LIVE!$E30:$K30))</f>
        <v>353.178970143776</v>
      </c>
      <c r="L30" s="10" t="n">
        <f aca="false">INPUTS!$B$13*SUM(DEAD!$E30:$L30)+INPUTS!$B$14*(RED!L30*SUMPRODUCT((CLASS!$E30:$L30="RES")*1,LIVE!$E30:$L30)+IF(SUMPRODUCT((CLASS!$E30:$L30="GAR")*1)&gt;=2,INPUTS!$B$20,1)*SUMPRODUCT((CLASS!$E30:$L30="GAR")*1,LIVE!$E30:$L30)+SUMPRODUCT((CLASS!$E30:$L30="NR")*1,LIVE!$E30:$L30))</f>
        <v>403.387023828582</v>
      </c>
      <c r="M30" s="10" t="n">
        <f aca="false">INPUTS!$B$13*SUM(DEAD!$E30:$M30)+INPUTS!$B$14*(RED!M30*SUMPRODUCT((CLASS!$E30:$M30="RES")*1,LIVE!$E30:$M30)+IF(SUMPRODUCT((CLASS!$E30:$M30="GAR")*1)&gt;=2,INPUTS!$B$20,1)*SUMPRODUCT((CLASS!$E30:$M30="GAR")*1,LIVE!$E30:$M30)+SUMPRODUCT((CLASS!$E30:$M30="NR")*1,LIVE!$E30:$M30))</f>
        <v>453.437640023697</v>
      </c>
      <c r="N30" s="10" t="n">
        <f aca="false">INPUTS!$B$13*SUM(DEAD!$E30:$N30)+INPUTS!$B$14*(RED!N30*SUMPRODUCT((CLASS!$E30:$N30="RES")*1,LIVE!$E30:$N30)+IF(SUMPRODUCT((CLASS!$E30:$N30="GAR")*1)&gt;=2,INPUTS!$B$20,1)*SUMPRODUCT((CLASS!$E30:$N30="GAR")*1,LIVE!$E30:$N30)+SUMPRODUCT((CLASS!$E30:$N30="NR")*1,LIVE!$E30:$N30))</f>
        <v>503.363612713873</v>
      </c>
      <c r="O30" s="10" t="n">
        <f aca="false">INPUTS!$B$13*SUM(DEAD!$E30:$O30)+INPUTS!$B$14*(RED!O30*SUMPRODUCT((CLASS!$E30:$O30="RES")*1,LIVE!$E30:$O30)+IF(SUMPRODUCT((CLASS!$E30:$O30="GAR")*1)&gt;=2,INPUTS!$B$20,1)*SUMPRODUCT((CLASS!$E30:$O30="GAR")*1,LIVE!$E30:$O30)+SUMPRODUCT((CLASS!$E30:$O30="NR")*1,LIVE!$E30:$O30))</f>
        <v>553.187720678716</v>
      </c>
      <c r="P30" s="10" t="n">
        <f aca="false">INPUTS!$B$13*SUM(DEAD!$E30:$P30)+INPUTS!$B$14*(RED!P30*SUMPRODUCT((CLASS!$E30:$P30="RES")*1,LIVE!$E30:$P30)+IF(SUMPRODUCT((CLASS!$E30:$P30="GAR")*1)&gt;=2,INPUTS!$B$20,1)*SUMPRODUCT((CLASS!$E30:$P30="GAR")*1,LIVE!$E30:$P30)+SUMPRODUCT((CLASS!$E30:$P30="NR")*1,LIVE!$E30:$P30))</f>
        <v>603.556549009006</v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10" t="n">
        <f aca="false">INPUTS!$B$13*SUM(DEAD!$E31:$E31)+INPUTS!$B$14*(RED!E31*SUMPRODUCT((CLASS!$E31:$E31="RES")*1,LIVE!$E31:$E31)+IF(SUMPRODUCT((CLASS!$E31:$E31="GAR")*1)&gt;=2,INPUTS!$B$20,1)*SUMPRODUCT((CLASS!$E31:$E31="GAR")*1,LIVE!$E31:$E31)+SUMPRODUCT((CLASS!$E31:$E31="NR")*1,LIVE!$E31:$E31))</f>
        <v>0</v>
      </c>
      <c r="F31" s="10" t="n">
        <f aca="false">INPUTS!$B$13*SUM(DEAD!$E31:$F31)+INPUTS!$B$14*(RED!F31*SUMPRODUCT((CLASS!$E31:$F31="RES")*1,LIVE!$E31:$F31)+IF(SUMPRODUCT((CLASS!$E31:$F31="GAR")*1)&gt;=2,INPUTS!$B$20,1)*SUMPRODUCT((CLASS!$E31:$F31="GAR")*1,LIVE!$E31:$F31)+SUMPRODUCT((CLASS!$E31:$F31="NR")*1,LIVE!$E31:$F31))</f>
        <v>65.333</v>
      </c>
      <c r="G31" s="10" t="n">
        <f aca="false">INPUTS!$B$13*SUM(DEAD!$E31:$G31)+INPUTS!$B$14*(RED!G31*SUMPRODUCT((CLASS!$E31:$G31="RES")*1,LIVE!$E31:$G31)+IF(SUMPRODUCT((CLASS!$E31:$G31="GAR")*1)&gt;=2,INPUTS!$B$20,1)*SUMPRODUCT((CLASS!$E31:$G31="GAR")*1,LIVE!$E31:$G31)+SUMPRODUCT((CLASS!$E31:$G31="NR")*1,LIVE!$E31:$G31))</f>
        <v>110.338102879932</v>
      </c>
      <c r="H31" s="10" t="n">
        <f aca="false">INPUTS!$B$13*SUM(DEAD!$E31:$H31)+INPUTS!$B$14*(RED!H31*SUMPRODUCT((CLASS!$E31:$H31="RES")*1,LIVE!$E31:$H31)+IF(SUMPRODUCT((CLASS!$E31:$H31="GAR")*1)&gt;=2,INPUTS!$B$20,1)*SUMPRODUCT((CLASS!$E31:$H31="GAR")*1,LIVE!$E31:$H31)+SUMPRODUCT((CLASS!$E31:$H31="NR")*1,LIVE!$E31:$H31))</f>
        <v>151.072762363896</v>
      </c>
      <c r="I31" s="10" t="n">
        <f aca="false">INPUTS!$B$13*SUM(DEAD!$E31:$I31)+INPUTS!$B$14*(RED!I31*SUMPRODUCT((CLASS!$E31:$I31="RES")*1,LIVE!$E31:$I31)+IF(SUMPRODUCT((CLASS!$E31:$I31="GAR")*1)&gt;=2,INPUTS!$B$20,1)*SUMPRODUCT((CLASS!$E31:$I31="GAR")*1,LIVE!$E31:$I31)+SUMPRODUCT((CLASS!$E31:$I31="NR")*1,LIVE!$E31:$I31))</f>
        <v>191.104828580447</v>
      </c>
      <c r="J31" s="10" t="n">
        <f aca="false">INPUTS!$B$13*SUM(DEAD!$E31:$J31)+INPUTS!$B$14*(RED!J31*SUMPRODUCT((CLASS!$E31:$J31="RES")*1,LIVE!$E31:$J31)+IF(SUMPRODUCT((CLASS!$E31:$J31="GAR")*1)&gt;=2,INPUTS!$B$20,1)*SUMPRODUCT((CLASS!$E31:$J31="GAR")*1,LIVE!$E31:$J31)+SUMPRODUCT((CLASS!$E31:$J31="NR")*1,LIVE!$E31:$J31))</f>
        <v>230.773205759865</v>
      </c>
      <c r="K31" s="10" t="n">
        <f aca="false">INPUTS!$B$13*SUM(DEAD!$E31:$K31)+INPUTS!$B$14*(RED!K31*SUMPRODUCT((CLASS!$E31:$K31="RES")*1,LIVE!$E31:$K31)+IF(SUMPRODUCT((CLASS!$E31:$K31="GAR")*1)&gt;=2,INPUTS!$B$20,1)*SUMPRODUCT((CLASS!$E31:$K31="GAR")*1,LIVE!$E31:$K31)+SUMPRODUCT((CLASS!$E31:$K31="NR")*1,LIVE!$E31:$K31))</f>
        <v>267.836710523725</v>
      </c>
      <c r="L31" s="10" t="n">
        <f aca="false">INPUTS!$B$13*SUM(DEAD!$E31:$L31)+INPUTS!$B$14*(RED!L31*SUMPRODUCT((CLASS!$E31:$L31="RES")*1,LIVE!$E31:$L31)+IF(SUMPRODUCT((CLASS!$E31:$L31="GAR")*1)&gt;=2,INPUTS!$B$20,1)*SUMPRODUCT((CLASS!$E31:$L31="GAR")*1,LIVE!$E31:$L31)+SUMPRODUCT((CLASS!$E31:$L31="NR")*1,LIVE!$E31:$L31))</f>
        <v>304.757539448989</v>
      </c>
      <c r="M31" s="10" t="n">
        <f aca="false">INPUTS!$B$13*SUM(DEAD!$E31:$M31)+INPUTS!$B$14*(RED!M31*SUMPRODUCT((CLASS!$E31:$M31="RES")*1,LIVE!$E31:$M31)+IF(SUMPRODUCT((CLASS!$E31:$M31="GAR")*1)&gt;=2,INPUTS!$B$20,1)*SUMPRODUCT((CLASS!$E31:$M31="GAR")*1,LIVE!$E31:$M31)+SUMPRODUCT((CLASS!$E31:$M31="NR")*1,LIVE!$E31:$M31))</f>
        <v>341.568377304951</v>
      </c>
      <c r="N31" s="10" t="n">
        <f aca="false">INPUTS!$B$13*SUM(DEAD!$E31:$N31)+INPUTS!$B$14*(RED!N31*SUMPRODUCT((CLASS!$E31:$N31="RES")*1,LIVE!$E31:$N31)+IF(SUMPRODUCT((CLASS!$E31:$N31="GAR")*1)&gt;=2,INPUTS!$B$20,1)*SUMPRODUCT((CLASS!$E31:$N31="GAR")*1,LIVE!$E31:$N31)+SUMPRODUCT((CLASS!$E31:$N31="NR")*1,LIVE!$E31:$N31))</f>
        <v>378.291059312716</v>
      </c>
      <c r="O31" s="10" t="n">
        <f aca="false">INPUTS!$B$13*SUM(DEAD!$E31:$O31)+INPUTS!$B$14*(RED!O31*SUMPRODUCT((CLASS!$E31:$O31="RES")*1,LIVE!$E31:$O31)+IF(SUMPRODUCT((CLASS!$E31:$O31="GAR")*1)&gt;=2,INPUTS!$B$20,1)*SUMPRODUCT((CLASS!$E31:$O31="GAR")*1,LIVE!$E31:$O31)+SUMPRODUCT((CLASS!$E31:$O31="NR")*1,LIVE!$E31:$O31))</f>
        <v>414.941029733756</v>
      </c>
      <c r="P31" s="10" t="n">
        <f aca="false">INPUTS!$B$13*SUM(DEAD!$E31:$P31)+INPUTS!$B$14*(RED!P31*SUMPRODUCT((CLASS!$E31:$P31="RES")*1,LIVE!$E31:$P31)+IF(SUMPRODUCT((CLASS!$E31:$P31="GAR")*1)&gt;=2,INPUTS!$B$20,1)*SUMPRODUCT((CLASS!$E31:$P31="GAR")*1,LIVE!$E31:$P31)+SUMPRODUCT((CLASS!$E31:$P31="NR")*1,LIVE!$E31:$P31))</f>
        <v>452.474689396174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10" t="n">
        <f aca="false">INPUTS!$B$13*SUM(DEAD!$E32:$E32)+INPUTS!$B$14*(RED!E32*SUMPRODUCT((CLASS!$E32:$E32="RES")*1,LIVE!$E32:$E32)+IF(SUMPRODUCT((CLASS!$E32:$E32="GAR")*1)&gt;=2,INPUTS!$B$20,1)*SUMPRODUCT((CLASS!$E32:$E32="GAR")*1,LIVE!$E32:$E32)+SUMPRODUCT((CLASS!$E32:$E32="NR")*1,LIVE!$E32:$E32))</f>
        <v>0</v>
      </c>
      <c r="F32" s="10" t="n">
        <f aca="false">INPUTS!$B$13*SUM(DEAD!$E32:$F32)+INPUTS!$B$14*(RED!F32*SUMPRODUCT((CLASS!$E32:$F32="RES")*1,LIVE!$E32:$F32)+IF(SUMPRODUCT((CLASS!$E32:$F32="GAR")*1)&gt;=2,INPUTS!$B$20,1)*SUMPRODUCT((CLASS!$E32:$F32="GAR")*1,LIVE!$E32:$F32)+SUMPRODUCT((CLASS!$E32:$F32="NR")*1,LIVE!$E32:$F32))</f>
        <v>90.697</v>
      </c>
      <c r="G32" s="10" t="n">
        <f aca="false">INPUTS!$B$13*SUM(DEAD!$E32:$G32)+INPUTS!$B$14*(RED!G32*SUMPRODUCT((CLASS!$E32:$G32="RES")*1,LIVE!$E32:$G32)+IF(SUMPRODUCT((CLASS!$E32:$G32="GAR")*1)&gt;=2,INPUTS!$B$20,1)*SUMPRODUCT((CLASS!$E32:$G32="GAR")*1,LIVE!$E32:$G32)+SUMPRODUCT((CLASS!$E32:$G32="NR")*1,LIVE!$E32:$G32))</f>
        <v>183.511930795641</v>
      </c>
      <c r="H32" s="10" t="n">
        <f aca="false">INPUTS!$B$13*SUM(DEAD!$E32:$H32)+INPUTS!$B$14*(RED!H32*SUMPRODUCT((CLASS!$E32:$H32="RES")*1,LIVE!$E32:$H32)+IF(SUMPRODUCT((CLASS!$E32:$H32="GAR")*1)&gt;=2,INPUTS!$B$20,1)*SUMPRODUCT((CLASS!$E32:$H32="GAR")*1,LIVE!$E32:$H32)+SUMPRODUCT((CLASS!$E32:$H32="NR")*1,LIVE!$E32:$H32))</f>
        <v>269.555210911289</v>
      </c>
      <c r="I32" s="10" t="n">
        <f aca="false">INPUTS!$B$13*SUM(DEAD!$E32:$I32)+INPUTS!$B$14*(RED!I32*SUMPRODUCT((CLASS!$E32:$I32="RES")*1,LIVE!$E32:$I32)+IF(SUMPRODUCT((CLASS!$E32:$I32="GAR")*1)&gt;=2,INPUTS!$B$20,1)*SUMPRODUCT((CLASS!$E32:$I32="GAR")*1,LIVE!$E32:$I32)+SUMPRODUCT((CLASS!$E32:$I32="NR")*1,LIVE!$E32:$I32))</f>
        <v>354.48438747003</v>
      </c>
      <c r="J32" s="10" t="n">
        <f aca="false">INPUTS!$B$13*SUM(DEAD!$E32:$J32)+INPUTS!$B$14*(RED!J32*SUMPRODUCT((CLASS!$E32:$J32="RES")*1,LIVE!$E32:$J32)+IF(SUMPRODUCT((CLASS!$E32:$J32="GAR")*1)&gt;=2,INPUTS!$B$20,1)*SUMPRODUCT((CLASS!$E32:$J32="GAR")*1,LIVE!$E32:$J32)+SUMPRODUCT((CLASS!$E32:$J32="NR")*1,LIVE!$E32:$J32))</f>
        <v>438.836861591281</v>
      </c>
      <c r="K32" s="10" t="n">
        <f aca="false">INPUTS!$B$13*SUM(DEAD!$E32:$K32)+INPUTS!$B$14*(RED!K32*SUMPRODUCT((CLASS!$E32:$K32="RES")*1,LIVE!$E32:$K32)+IF(SUMPRODUCT((CLASS!$E32:$K32="GAR")*1)&gt;=2,INPUTS!$B$20,1)*SUMPRODUCT((CLASS!$E32:$K32="GAR")*1,LIVE!$E32:$K32)+SUMPRODUCT((CLASS!$E32:$K32="NR")*1,LIVE!$E32:$K32))</f>
        <v>522.820791074246</v>
      </c>
      <c r="L32" s="10" t="n">
        <f aca="false">INPUTS!$B$13*SUM(DEAD!$E32:$L32)+INPUTS!$B$14*(RED!L32*SUMPRODUCT((CLASS!$E32:$L32="RES")*1,LIVE!$E32:$L32)+IF(SUMPRODUCT((CLASS!$E32:$L32="GAR")*1)&gt;=2,INPUTS!$B$20,1)*SUMPRODUCT((CLASS!$E32:$L32="GAR")*1,LIVE!$E32:$L32)+SUMPRODUCT((CLASS!$E32:$L32="NR")*1,LIVE!$E32:$L32))</f>
        <v>606.542931911205</v>
      </c>
      <c r="M32" s="10" t="n">
        <f aca="false">INPUTS!$B$13*SUM(DEAD!$E32:$M32)+INPUTS!$B$14*(RED!M32*SUMPRODUCT((CLASS!$E32:$M32="RES")*1,LIVE!$E32:$M32)+IF(SUMPRODUCT((CLASS!$E32:$M32="GAR")*1)&gt;=2,INPUTS!$B$20,1)*SUMPRODUCT((CLASS!$E32:$M32="GAR")*1,LIVE!$E32:$M32)+SUMPRODUCT((CLASS!$E32:$M32="NR")*1,LIVE!$E32:$M32))</f>
        <v>690.066702058382</v>
      </c>
      <c r="N32" s="10" t="n">
        <f aca="false">INPUTS!$B$13*SUM(DEAD!$E32:$N32)+INPUTS!$B$14*(RED!N32*SUMPRODUCT((CLASS!$E32:$N32="RES")*1,LIVE!$E32:$N32)+IF(SUMPRODUCT((CLASS!$E32:$N32="GAR")*1)&gt;=2,INPUTS!$B$20,1)*SUMPRODUCT((CLASS!$E32:$N32="GAR")*1,LIVE!$E32:$N32)+SUMPRODUCT((CLASS!$E32:$N32="NR")*1,LIVE!$E32:$N32))</f>
        <v>774.145</v>
      </c>
      <c r="O32" s="10" t="n">
        <f aca="false">INPUTS!$B$13*SUM(DEAD!$E32:$O32)+INPUTS!$B$14*(RED!O32*SUMPRODUCT((CLASS!$E32:$O32="RES")*1,LIVE!$E32:$O32)+IF(SUMPRODUCT((CLASS!$E32:$O32="GAR")*1)&gt;=2,INPUTS!$B$20,1)*SUMPRODUCT((CLASS!$E32:$O32="GAR")*1,LIVE!$E32:$O32)+SUMPRODUCT((CLASS!$E32:$O32="NR")*1,LIVE!$E32:$O32))</f>
        <v>859.576</v>
      </c>
      <c r="P32" s="10" t="n">
        <f aca="false">INPUTS!$B$13*SUM(DEAD!$E32:$P32)+INPUTS!$B$14*(RED!P32*SUMPRODUCT((CLASS!$E32:$P32="RES")*1,LIVE!$E32:$P32)+IF(SUMPRODUCT((CLASS!$E32:$P32="GAR")*1)&gt;=2,INPUTS!$B$20,1)*SUMPRODUCT((CLASS!$E32:$P32="GAR")*1,LIVE!$E32:$P32)+SUMPRODUCT((CLASS!$E32:$P32="NR")*1,LIVE!$E32:$P32))</f>
        <v>945.952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10" t="n">
        <f aca="false">INPUTS!$B$13*SUM(DEAD!$E33:$E33)+INPUTS!$B$14*(RED!E33*SUMPRODUCT((CLASS!$E33:$E33="RES")*1,LIVE!$E33:$E33)+IF(SUMPRODUCT((CLASS!$E33:$E33="GAR")*1)&gt;=2,INPUTS!$B$20,1)*SUMPRODUCT((CLASS!$E33:$E33="GAR")*1,LIVE!$E33:$E33)+SUMPRODUCT((CLASS!$E33:$E33="NR")*1,LIVE!$E33:$E33))</f>
        <v>0</v>
      </c>
      <c r="F33" s="10" t="n">
        <f aca="false">INPUTS!$B$13*SUM(DEAD!$E33:$F33)+INPUTS!$B$14*(RED!F33*SUMPRODUCT((CLASS!$E33:$F33="RES")*1,LIVE!$E33:$F33)+IF(SUMPRODUCT((CLASS!$E33:$F33="GAR")*1)&gt;=2,INPUTS!$B$20,1)*SUMPRODUCT((CLASS!$E33:$F33="GAR")*1,LIVE!$E33:$F33)+SUMPRODUCT((CLASS!$E33:$F33="NR")*1,LIVE!$E33:$F33))</f>
        <v>77.826</v>
      </c>
      <c r="G33" s="10" t="n">
        <f aca="false">INPUTS!$B$13*SUM(DEAD!$E33:$G33)+INPUTS!$B$14*(RED!G33*SUMPRODUCT((CLASS!$E33:$G33="RES")*1,LIVE!$E33:$G33)+IF(SUMPRODUCT((CLASS!$E33:$G33="GAR")*1)&gt;=2,INPUTS!$B$20,1)*SUMPRODUCT((CLASS!$E33:$G33="GAR")*1,LIVE!$E33:$G33)+SUMPRODUCT((CLASS!$E33:$G33="NR")*1,LIVE!$E33:$G33))</f>
        <v>167.159904058173</v>
      </c>
      <c r="H33" s="10" t="n">
        <f aca="false">INPUTS!$B$13*SUM(DEAD!$E33:$H33)+INPUTS!$B$14*(RED!H33*SUMPRODUCT((CLASS!$E33:$H33="RES")*1,LIVE!$E33:$H33)+IF(SUMPRODUCT((CLASS!$E33:$H33="GAR")*1)&gt;=2,INPUTS!$B$20,1)*SUMPRODUCT((CLASS!$E33:$H33="GAR")*1,LIVE!$E33:$H33)+SUMPRODUCT((CLASS!$E33:$H33="NR")*1,LIVE!$E33:$H33))</f>
        <v>249.652464512722</v>
      </c>
      <c r="I33" s="10" t="n">
        <f aca="false">INPUTS!$B$13*SUM(DEAD!$E33:$I33)+INPUTS!$B$14*(RED!I33*SUMPRODUCT((CLASS!$E33:$I33="RES")*1,LIVE!$E33:$I33)+IF(SUMPRODUCT((CLASS!$E33:$I33="GAR")*1)&gt;=2,INPUTS!$B$20,1)*SUMPRODUCT((CLASS!$E33:$I33="GAR")*1,LIVE!$E33:$I33)+SUMPRODUCT((CLASS!$E33:$I33="NR")*1,LIVE!$E33:$I33))</f>
        <v>331.019455205477</v>
      </c>
      <c r="J33" s="10" t="n">
        <f aca="false">INPUTS!$B$13*SUM(DEAD!$E33:$J33)+INPUTS!$B$14*(RED!J33*SUMPRODUCT((CLASS!$E33:$J33="RES")*1,LIVE!$E33:$J33)+IF(SUMPRODUCT((CLASS!$E33:$J33="GAR")*1)&gt;=2,INPUTS!$B$20,1)*SUMPRODUCT((CLASS!$E33:$J33="GAR")*1,LIVE!$E33:$J33)+SUMPRODUCT((CLASS!$E33:$J33="NR")*1,LIVE!$E33:$J33))</f>
        <v>411.803808116345</v>
      </c>
      <c r="K33" s="10" t="n">
        <f aca="false">INPUTS!$B$13*SUM(DEAD!$E33:$K33)+INPUTS!$B$14*(RED!K33*SUMPRODUCT((CLASS!$E33:$K33="RES")*1,LIVE!$E33:$K33)+IF(SUMPRODUCT((CLASS!$E33:$K33="GAR")*1)&gt;=2,INPUTS!$B$20,1)*SUMPRODUCT((CLASS!$E33:$K33="GAR")*1,LIVE!$E33:$K33)+SUMPRODUCT((CLASS!$E33:$K33="NR")*1,LIVE!$E33:$K33))</f>
        <v>488.717100459628</v>
      </c>
      <c r="L33" s="10" t="n">
        <f aca="false">INPUTS!$B$13*SUM(DEAD!$E33:$L33)+INPUTS!$B$14*(RED!L33*SUMPRODUCT((CLASS!$E33:$L33="RES")*1,LIVE!$E33:$L33)+IF(SUMPRODUCT((CLASS!$E33:$L33="GAR")*1)&gt;=2,INPUTS!$B$20,1)*SUMPRODUCT((CLASS!$E33:$L33="GAR")*1,LIVE!$E33:$L33)+SUMPRODUCT((CLASS!$E33:$L33="NR")*1,LIVE!$E33:$L33))</f>
        <v>569.3304</v>
      </c>
      <c r="M33" s="10" t="n">
        <f aca="false">INPUTS!$B$13*SUM(DEAD!$E33:$M33)+INPUTS!$B$14*(RED!M33*SUMPRODUCT((CLASS!$E33:$M33="RES")*1,LIVE!$E33:$M33)+IF(SUMPRODUCT((CLASS!$E33:$M33="GAR")*1)&gt;=2,INPUTS!$B$20,1)*SUMPRODUCT((CLASS!$E33:$M33="GAR")*1,LIVE!$E33:$M33)+SUMPRODUCT((CLASS!$E33:$M33="NR")*1,LIVE!$E33:$M33))</f>
        <v>651.2478</v>
      </c>
      <c r="N33" s="10" t="n">
        <f aca="false">INPUTS!$B$13*SUM(DEAD!$E33:$N33)+INPUTS!$B$14*(RED!N33*SUMPRODUCT((CLASS!$E33:$N33="RES")*1,LIVE!$E33:$N33)+IF(SUMPRODUCT((CLASS!$E33:$N33="GAR")*1)&gt;=2,INPUTS!$B$20,1)*SUMPRODUCT((CLASS!$E33:$N33="GAR")*1,LIVE!$E33:$N33)+SUMPRODUCT((CLASS!$E33:$N33="NR")*1,LIVE!$E33:$N33))</f>
        <v>733.1652</v>
      </c>
      <c r="O33" s="10" t="n">
        <f aca="false">INPUTS!$B$13*SUM(DEAD!$E33:$O33)+INPUTS!$B$14*(RED!O33*SUMPRODUCT((CLASS!$E33:$O33="RES")*1,LIVE!$E33:$O33)+IF(SUMPRODUCT((CLASS!$E33:$O33="GAR")*1)&gt;=2,INPUTS!$B$20,1)*SUMPRODUCT((CLASS!$E33:$O33="GAR")*1,LIVE!$E33:$O33)+SUMPRODUCT((CLASS!$E33:$O33="NR")*1,LIVE!$E33:$O33))</f>
        <v>815.0826</v>
      </c>
      <c r="P33" s="10" t="n">
        <f aca="false">INPUTS!$B$13*SUM(DEAD!$E33:$P33)+INPUTS!$B$14*(RED!P33*SUMPRODUCT((CLASS!$E33:$P33="RES")*1,LIVE!$E33:$P33)+IF(SUMPRODUCT((CLASS!$E33:$P33="GAR")*1)&gt;=2,INPUTS!$B$20,1)*SUMPRODUCT((CLASS!$E33:$P33="GAR")*1,LIVE!$E33:$P33)+SUMPRODUCT((CLASS!$E33:$P33="NR")*1,LIVE!$E33:$P33))</f>
        <v>897.945</v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10" t="n">
        <f aca="false">INPUTS!$B$13*SUM(DEAD!$E34:$E34)+INPUTS!$B$14*(RED!E34*SUMPRODUCT((CLASS!$E34:$E34="RES")*1,LIVE!$E34:$E34)+IF(SUMPRODUCT((CLASS!$E34:$E34="GAR")*1)&gt;=2,INPUTS!$B$20,1)*SUMPRODUCT((CLASS!$E34:$E34="GAR")*1,LIVE!$E34:$E34)+SUMPRODUCT((CLASS!$E34:$E34="NR")*1,LIVE!$E34:$E34))</f>
        <v>0</v>
      </c>
      <c r="F34" s="10" t="n">
        <f aca="false">INPUTS!$B$13*SUM(DEAD!$E34:$F34)+INPUTS!$B$14*(RED!F34*SUMPRODUCT((CLASS!$E34:$F34="RES")*1,LIVE!$E34:$F34)+IF(SUMPRODUCT((CLASS!$E34:$F34="GAR")*1)&gt;=2,INPUTS!$B$20,1)*SUMPRODUCT((CLASS!$E34:$F34="GAR")*1,LIVE!$E34:$F34)+SUMPRODUCT((CLASS!$E34:$F34="NR")*1,LIVE!$E34:$F34))</f>
        <v>73.549</v>
      </c>
      <c r="G34" s="10" t="n">
        <f aca="false">INPUTS!$B$13*SUM(DEAD!$E34:$G34)+INPUTS!$B$14*(RED!G34*SUMPRODUCT((CLASS!$E34:$G34="RES")*1,LIVE!$E34:$G34)+IF(SUMPRODUCT((CLASS!$E34:$G34="GAR")*1)&gt;=2,INPUTS!$B$20,1)*SUMPRODUCT((CLASS!$E34:$G34="GAR")*1,LIVE!$E34:$G34)+SUMPRODUCT((CLASS!$E34:$G34="NR")*1,LIVE!$E34:$G34))</f>
        <v>142.771157858285</v>
      </c>
      <c r="H34" s="10" t="n">
        <f aca="false">INPUTS!$B$13*SUM(DEAD!$E34:$H34)+INPUTS!$B$14*(RED!H34*SUMPRODUCT((CLASS!$E34:$H34="RES")*1,LIVE!$E34:$H34)+IF(SUMPRODUCT((CLASS!$E34:$H34="GAR")*1)&gt;=2,INPUTS!$B$20,1)*SUMPRODUCT((CLASS!$E34:$H34="GAR")*1,LIVE!$E34:$H34)+SUMPRODUCT((CLASS!$E34:$H34="NR")*1,LIVE!$E34:$H34))</f>
        <v>200.855746229872</v>
      </c>
      <c r="I34" s="10" t="n">
        <f aca="false">INPUTS!$B$13*SUM(DEAD!$E34:$I34)+INPUTS!$B$14*(RED!I34*SUMPRODUCT((CLASS!$E34:$I34="RES")*1,LIVE!$E34:$I34)+IF(SUMPRODUCT((CLASS!$E34:$I34="GAR")*1)&gt;=2,INPUTS!$B$20,1)*SUMPRODUCT((CLASS!$E34:$I34="GAR")*1,LIVE!$E34:$I34)+SUMPRODUCT((CLASS!$E34:$I34="NR")*1,LIVE!$E34:$I34))</f>
        <v>258.153207901379</v>
      </c>
      <c r="J34" s="10" t="n">
        <f aca="false">INPUTS!$B$13*SUM(DEAD!$E34:$J34)+INPUTS!$B$14*(RED!J34*SUMPRODUCT((CLASS!$E34:$J34="RES")*1,LIVE!$E34:$J34)+IF(SUMPRODUCT((CLASS!$E34:$J34="GAR")*1)&gt;=2,INPUTS!$B$20,1)*SUMPRODUCT((CLASS!$E34:$J34="GAR")*1,LIVE!$E34:$J34)+SUMPRODUCT((CLASS!$E34:$J34="NR")*1,LIVE!$E34:$J34))</f>
        <v>315.026241174269</v>
      </c>
      <c r="K34" s="10" t="n">
        <f aca="false">INPUTS!$B$13*SUM(DEAD!$E34:$K34)+INPUTS!$B$14*(RED!K34*SUMPRODUCT((CLASS!$E34:$K34="RES")*1,LIVE!$E34:$K34)+IF(SUMPRODUCT((CLASS!$E34:$K34="GAR")*1)&gt;=2,INPUTS!$B$20,1)*SUMPRODUCT((CLASS!$E34:$K34="GAR")*1,LIVE!$E34:$K34)+SUMPRODUCT((CLASS!$E34:$K34="NR")*1,LIVE!$E34:$K34))</f>
        <v>371.623032859397</v>
      </c>
      <c r="L34" s="10" t="n">
        <f aca="false">INPUTS!$B$13*SUM(DEAD!$E34:$L34)+INPUTS!$B$14*(RED!L34*SUMPRODUCT((CLASS!$E34:$L34="RES")*1,LIVE!$E34:$L34)+IF(SUMPRODUCT((CLASS!$E34:$L34="GAR")*1)&gt;=2,INPUTS!$B$20,1)*SUMPRODUCT((CLASS!$E34:$L34="GAR")*1,LIVE!$E34:$L34)+SUMPRODUCT((CLASS!$E34:$L34="NR")*1,LIVE!$E34:$L34))</f>
        <v>428.021513134605</v>
      </c>
      <c r="M34" s="10" t="n">
        <f aca="false">INPUTS!$B$13*SUM(DEAD!$E34:$M34)+INPUTS!$B$14*(RED!M34*SUMPRODUCT((CLASS!$E34:$M34="RES")*1,LIVE!$E34:$M34)+IF(SUMPRODUCT((CLASS!$E34:$M34="GAR")*1)&gt;=2,INPUTS!$B$20,1)*SUMPRODUCT((CLASS!$E34:$M34="GAR")*1,LIVE!$E34:$M34)+SUMPRODUCT((CLASS!$E34:$M34="NR")*1,LIVE!$E34:$M34))</f>
        <v>484.268675382454</v>
      </c>
      <c r="N34" s="10" t="n">
        <f aca="false">INPUTS!$B$13*SUM(DEAD!$E34:$N34)+INPUTS!$B$14*(RED!N34*SUMPRODUCT((CLASS!$E34:$N34="RES")*1,LIVE!$E34:$N34)+IF(SUMPRODUCT((CLASS!$E34:$N34="GAR")*1)&gt;=2,INPUTS!$B$20,1)*SUMPRODUCT((CLASS!$E34:$N34="GAR")*1,LIVE!$E34:$N34)+SUMPRODUCT((CLASS!$E34:$N34="NR")*1,LIVE!$E34:$N34))</f>
        <v>540.395448086514</v>
      </c>
      <c r="O34" s="10" t="n">
        <f aca="false">INPUTS!$B$13*SUM(DEAD!$E34:$O34)+INPUTS!$B$14*(RED!O34*SUMPRODUCT((CLASS!$E34:$O34="RES")*1,LIVE!$E34:$O34)+IF(SUMPRODUCT((CLASS!$E34:$O34="GAR")*1)&gt;=2,INPUTS!$B$20,1)*SUMPRODUCT((CLASS!$E34:$O34="GAR")*1,LIVE!$E34:$O34)+SUMPRODUCT((CLASS!$E34:$O34="NR")*1,LIVE!$E34:$O34))</f>
        <v>596.423470625812</v>
      </c>
      <c r="P34" s="10" t="n">
        <f aca="false">INPUTS!$B$13*SUM(DEAD!$E34:$P34)+INPUTS!$B$14*(RED!P34*SUMPRODUCT((CLASS!$E34:$P34="RES")*1,LIVE!$E34:$P34)+IF(SUMPRODUCT((CLASS!$E34:$P34="GAR")*1)&gt;=2,INPUTS!$B$20,1)*SUMPRODUCT((CLASS!$E34:$P34="GAR")*1,LIVE!$E34:$P34)+SUMPRODUCT((CLASS!$E34:$P34="NR")*1,LIVE!$E34:$P34))</f>
        <v>653.313585194973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10" t="n">
        <f aca="false">INPUTS!$B$13*SUM(DEAD!$E35:$E35)+INPUTS!$B$14*(RED!E35*SUMPRODUCT((CLASS!$E35:$E35="RES")*1,LIVE!$E35:$E35)+IF(SUMPRODUCT((CLASS!$E35:$E35="GAR")*1)&gt;=2,INPUTS!$B$20,1)*SUMPRODUCT((CLASS!$E35:$E35="GAR")*1,LIVE!$E35:$E35)+SUMPRODUCT((CLASS!$E35:$E35="NR")*1,LIVE!$E35:$E35))</f>
        <v>0</v>
      </c>
      <c r="F35" s="10" t="n">
        <f aca="false">INPUTS!$B$13*SUM(DEAD!$E35:$F35)+INPUTS!$B$14*(RED!F35*SUMPRODUCT((CLASS!$E35:$F35="RES")*1,LIVE!$E35:$F35)+IF(SUMPRODUCT((CLASS!$E35:$F35="GAR")*1)&gt;=2,INPUTS!$B$20,1)*SUMPRODUCT((CLASS!$E35:$F35="GAR")*1,LIVE!$E35:$F35)+SUMPRODUCT((CLASS!$E35:$F35="NR")*1,LIVE!$E35:$F35))</f>
        <v>0</v>
      </c>
      <c r="G35" s="10" t="n">
        <f aca="false">INPUTS!$B$13*SUM(DEAD!$E35:$G35)+INPUTS!$B$14*(RED!G35*SUMPRODUCT((CLASS!$E35:$G35="RES")*1,LIVE!$E35:$G35)+IF(SUMPRODUCT((CLASS!$E35:$G35="GAR")*1)&gt;=2,INPUTS!$B$20,1)*SUMPRODUCT((CLASS!$E35:$G35="GAR")*1,LIVE!$E35:$G35)+SUMPRODUCT((CLASS!$E35:$G35="NR")*1,LIVE!$E35:$G35))</f>
        <v>84.3060584092015</v>
      </c>
      <c r="H35" s="10" t="n">
        <f aca="false">INPUTS!$B$13*SUM(DEAD!$E35:$H35)+INPUTS!$B$14*(RED!H35*SUMPRODUCT((CLASS!$E35:$H35="RES")*1,LIVE!$E35:$H35)+IF(SUMPRODUCT((CLASS!$E35:$H35="GAR")*1)&gt;=2,INPUTS!$B$20,1)*SUMPRODUCT((CLASS!$E35:$H35="GAR")*1,LIVE!$E35:$H35)+SUMPRODUCT((CLASS!$E35:$H35="NR")*1,LIVE!$E35:$H35))</f>
        <v>161.99796793584</v>
      </c>
      <c r="I35" s="10" t="n">
        <f aca="false">INPUTS!$B$13*SUM(DEAD!$E35:$I35)+INPUTS!$B$14*(RED!I35*SUMPRODUCT((CLASS!$E35:$I35="RES")*1,LIVE!$E35:$I35)+IF(SUMPRODUCT((CLASS!$E35:$I35="GAR")*1)&gt;=2,INPUTS!$B$20,1)*SUMPRODUCT((CLASS!$E35:$I35="GAR")*1,LIVE!$E35:$I35)+SUMPRODUCT((CLASS!$E35:$I35="NR")*1,LIVE!$E35:$I35))</f>
        <v>238.601686835965</v>
      </c>
      <c r="J35" s="10" t="n">
        <f aca="false">INPUTS!$B$13*SUM(DEAD!$E35:$J35)+INPUTS!$B$14*(RED!J35*SUMPRODUCT((CLASS!$E35:$J35="RES")*1,LIVE!$E35:$J35)+IF(SUMPRODUCT((CLASS!$E35:$J35="GAR")*1)&gt;=2,INPUTS!$B$20,1)*SUMPRODUCT((CLASS!$E35:$J35="GAR")*1,LIVE!$E35:$J35)+SUMPRODUCT((CLASS!$E35:$J35="NR")*1,LIVE!$E35:$J35))</f>
        <v>314.642116818403</v>
      </c>
      <c r="K35" s="10" t="n">
        <f aca="false">INPUTS!$B$13*SUM(DEAD!$E35:$K35)+INPUTS!$B$14*(RED!K35*SUMPRODUCT((CLASS!$E35:$K35="RES")*1,LIVE!$E35:$K35)+IF(SUMPRODUCT((CLASS!$E35:$K35="GAR")*1)&gt;=2,INPUTS!$B$20,1)*SUMPRODUCT((CLASS!$E35:$K35="GAR")*1,LIVE!$E35:$K35)+SUMPRODUCT((CLASS!$E35:$K35="NR")*1,LIVE!$E35:$K35))</f>
        <v>386.940040589946</v>
      </c>
      <c r="L35" s="10" t="n">
        <f aca="false">INPUTS!$B$13*SUM(DEAD!$E35:$L35)+INPUTS!$B$14*(RED!L35*SUMPRODUCT((CLASS!$E35:$L35="RES")*1,LIVE!$E35:$L35)+IF(SUMPRODUCT((CLASS!$E35:$L35="GAR")*1)&gt;=2,INPUTS!$B$20,1)*SUMPRODUCT((CLASS!$E35:$L35="GAR")*1,LIVE!$E35:$L35)+SUMPRODUCT((CLASS!$E35:$L35="NR")*1,LIVE!$E35:$L35))</f>
        <v>462.041951903759</v>
      </c>
      <c r="M35" s="10" t="n">
        <f aca="false">INPUTS!$B$13*SUM(DEAD!$E35:$M35)+INPUTS!$B$14*(RED!M35*SUMPRODUCT((CLASS!$E35:$M35="RES")*1,LIVE!$E35:$M35)+IF(SUMPRODUCT((CLASS!$E35:$M35="GAR")*1)&gt;=2,INPUTS!$B$20,1)*SUMPRODUCT((CLASS!$E35:$M35="GAR")*1,LIVE!$E35:$M35)+SUMPRODUCT((CLASS!$E35:$M35="NR")*1,LIVE!$E35:$M35))</f>
        <v>538.993</v>
      </c>
      <c r="N35" s="10" t="n">
        <f aca="false">INPUTS!$B$13*SUM(DEAD!$E35:$N35)+INPUTS!$B$14*(RED!N35*SUMPRODUCT((CLASS!$E35:$N35="RES")*1,LIVE!$E35:$N35)+IF(SUMPRODUCT((CLASS!$E35:$N35="GAR")*1)&gt;=2,INPUTS!$B$20,1)*SUMPRODUCT((CLASS!$E35:$N35="GAR")*1,LIVE!$E35:$N35)+SUMPRODUCT((CLASS!$E35:$N35="NR")*1,LIVE!$E35:$N35))</f>
        <v>615.992</v>
      </c>
      <c r="O35" s="10" t="n">
        <f aca="false">INPUTS!$B$13*SUM(DEAD!$E35:$O35)+INPUTS!$B$14*(RED!O35*SUMPRODUCT((CLASS!$E35:$O35="RES")*1,LIVE!$E35:$O35)+IF(SUMPRODUCT((CLASS!$E35:$O35="GAR")*1)&gt;=2,INPUTS!$B$20,1)*SUMPRODUCT((CLASS!$E35:$O35="GAR")*1,LIVE!$E35:$O35)+SUMPRODUCT((CLASS!$E35:$O35="NR")*1,LIVE!$E35:$O35))</f>
        <v>692.991</v>
      </c>
      <c r="P35" s="10" t="n">
        <f aca="false">INPUTS!$B$13*SUM(DEAD!$E35:$P35)+INPUTS!$B$14*(RED!P35*SUMPRODUCT((CLASS!$E35:$P35="RES")*1,LIVE!$E35:$P35)+IF(SUMPRODUCT((CLASS!$E35:$P35="GAR")*1)&gt;=2,INPUTS!$B$20,1)*SUMPRODUCT((CLASS!$E35:$P35="GAR")*1,LIVE!$E35:$P35)+SUMPRODUCT((CLASS!$E35:$P35="NR")*1,LIVE!$E35:$P35))</f>
        <v>770.935</v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10" t="n">
        <f aca="false">INPUTS!$B$13*SUM(DEAD!$E36:$E36)+INPUTS!$B$14*(RED!E36*SUMPRODUCT((CLASS!$E36:$E36="RES")*1,LIVE!$E36:$E36)+IF(SUMPRODUCT((CLASS!$E36:$E36="GAR")*1)&gt;=2,INPUTS!$B$20,1)*SUMPRODUCT((CLASS!$E36:$E36="GAR")*1,LIVE!$E36:$E36)+SUMPRODUCT((CLASS!$E36:$E36="NR")*1,LIVE!$E36:$E36))</f>
        <v>0</v>
      </c>
      <c r="F36" s="10" t="n">
        <f aca="false">INPUTS!$B$13*SUM(DEAD!$E36:$F36)+INPUTS!$B$14*(RED!F36*SUMPRODUCT((CLASS!$E36:$F36="RES")*1,LIVE!$E36:$F36)+IF(SUMPRODUCT((CLASS!$E36:$F36="GAR")*1)&gt;=2,INPUTS!$B$20,1)*SUMPRODUCT((CLASS!$E36:$F36="GAR")*1,LIVE!$E36:$F36)+SUMPRODUCT((CLASS!$E36:$F36="NR")*1,LIVE!$E36:$F36))</f>
        <v>200.637</v>
      </c>
      <c r="G36" s="10" t="n">
        <f aca="false">INPUTS!$B$13*SUM(DEAD!$E36:$G36)+INPUTS!$B$14*(RED!G36*SUMPRODUCT((CLASS!$E36:$G36="RES")*1,LIVE!$E36:$G36)+IF(SUMPRODUCT((CLASS!$E36:$G36="GAR")*1)&gt;=2,INPUTS!$B$20,1)*SUMPRODUCT((CLASS!$E36:$G36="GAR")*1,LIVE!$E36:$G36)+SUMPRODUCT((CLASS!$E36:$G36="NR")*1,LIVE!$E36:$G36))</f>
        <v>318.541119767173</v>
      </c>
      <c r="H36" s="10" t="n">
        <f aca="false">INPUTS!$B$13*SUM(DEAD!$E36:$H36)+INPUTS!$B$14*(RED!H36*SUMPRODUCT((CLASS!$E36:$H36="RES")*1,LIVE!$E36:$H36)+IF(SUMPRODUCT((CLASS!$E36:$H36="GAR")*1)&gt;=2,INPUTS!$B$20,1)*SUMPRODUCT((CLASS!$E36:$H36="GAR")*1,LIVE!$E36:$H36)+SUMPRODUCT((CLASS!$E36:$H36="NR")*1,LIVE!$E36:$H36))</f>
        <v>428.426338831685</v>
      </c>
      <c r="I36" s="10" t="n">
        <f aca="false">INPUTS!$B$13*SUM(DEAD!$E36:$I36)+INPUTS!$B$14*(RED!I36*SUMPRODUCT((CLASS!$E36:$I36="RES")*1,LIVE!$E36:$I36)+IF(SUMPRODUCT((CLASS!$E36:$I36="GAR")*1)&gt;=2,INPUTS!$B$20,1)*SUMPRODUCT((CLASS!$E36:$I36="GAR")*1,LIVE!$E36:$I36)+SUMPRODUCT((CLASS!$E36:$I36="NR")*1,LIVE!$E36:$I36))</f>
        <v>536.992250947639</v>
      </c>
      <c r="J36" s="10" t="n">
        <f aca="false">INPUTS!$B$13*SUM(DEAD!$E36:$J36)+INPUTS!$B$14*(RED!J36*SUMPRODUCT((CLASS!$E36:$J36="RES")*1,LIVE!$E36:$J36)+IF(SUMPRODUCT((CLASS!$E36:$J36="GAR")*1)&gt;=2,INPUTS!$B$20,1)*SUMPRODUCT((CLASS!$E36:$J36="GAR")*1,LIVE!$E36:$J36)+SUMPRODUCT((CLASS!$E36:$J36="NR")*1,LIVE!$E36:$J36))</f>
        <v>644.875239534346</v>
      </c>
      <c r="K36" s="10" t="n">
        <f aca="false">INPUTS!$B$13*SUM(DEAD!$E36:$K36)+INPUTS!$B$14*(RED!K36*SUMPRODUCT((CLASS!$E36:$K36="RES")*1,LIVE!$E36:$K36)+IF(SUMPRODUCT((CLASS!$E36:$K36="GAR")*1)&gt;=2,INPUTS!$B$20,1)*SUMPRODUCT((CLASS!$E36:$K36="GAR")*1,LIVE!$E36:$K36)+SUMPRODUCT((CLASS!$E36:$K36="NR")*1,LIVE!$E36:$K36))</f>
        <v>750.992</v>
      </c>
      <c r="L36" s="10" t="n">
        <f aca="false">INPUTS!$B$13*SUM(DEAD!$E36:$L36)+INPUTS!$B$14*(RED!L36*SUMPRODUCT((CLASS!$E36:$L36="RES")*1,LIVE!$E36:$L36)+IF(SUMPRODUCT((CLASS!$E36:$L36="GAR")*1)&gt;=2,INPUTS!$B$20,1)*SUMPRODUCT((CLASS!$E36:$L36="GAR")*1,LIVE!$E36:$L36)+SUMPRODUCT((CLASS!$E36:$L36="NR")*1,LIVE!$E36:$L36))</f>
        <v>861.063</v>
      </c>
      <c r="M36" s="10" t="n">
        <f aca="false">INPUTS!$B$13*SUM(DEAD!$E36:$M36)+INPUTS!$B$14*(RED!M36*SUMPRODUCT((CLASS!$E36:$M36="RES")*1,LIVE!$E36:$M36)+IF(SUMPRODUCT((CLASS!$E36:$M36="GAR")*1)&gt;=2,INPUTS!$B$20,1)*SUMPRODUCT((CLASS!$E36:$M36="GAR")*1,LIVE!$E36:$M36)+SUMPRODUCT((CLASS!$E36:$M36="NR")*1,LIVE!$E36:$M36))</f>
        <v>971.134</v>
      </c>
      <c r="N36" s="10" t="n">
        <f aca="false">INPUTS!$B$13*SUM(DEAD!$E36:$N36)+INPUTS!$B$14*(RED!N36*SUMPRODUCT((CLASS!$E36:$N36="RES")*1,LIVE!$E36:$N36)+IF(SUMPRODUCT((CLASS!$E36:$N36="GAR")*1)&gt;=2,INPUTS!$B$20,1)*SUMPRODUCT((CLASS!$E36:$N36="GAR")*1,LIVE!$E36:$N36)+SUMPRODUCT((CLASS!$E36:$N36="NR")*1,LIVE!$E36:$N36))</f>
        <v>1081.205</v>
      </c>
      <c r="O36" s="10" t="n">
        <f aca="false">INPUTS!$B$13*SUM(DEAD!$E36:$O36)+INPUTS!$B$14*(RED!O36*SUMPRODUCT((CLASS!$E36:$O36="RES")*1,LIVE!$E36:$O36)+IF(SUMPRODUCT((CLASS!$E36:$O36="GAR")*1)&gt;=2,INPUTS!$B$20,1)*SUMPRODUCT((CLASS!$E36:$O36="GAR")*1,LIVE!$E36:$O36)+SUMPRODUCT((CLASS!$E36:$O36="NR")*1,LIVE!$E36:$O36))</f>
        <v>1191.276</v>
      </c>
      <c r="P36" s="10" t="n">
        <f aca="false">INPUTS!$B$13*SUM(DEAD!$E36:$P36)+INPUTS!$B$14*(RED!P36*SUMPRODUCT((CLASS!$E36:$P36="RES")*1,LIVE!$E36:$P36)+IF(SUMPRODUCT((CLASS!$E36:$P36="GAR")*1)&gt;=2,INPUTS!$B$20,1)*SUMPRODUCT((CLASS!$E36:$P36="GAR")*1,LIVE!$E36:$P36)+SUMPRODUCT((CLASS!$E36:$P36="NR")*1,LIVE!$E36:$P36))</f>
        <v>1302.292</v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10" t="n">
        <f aca="false">INPUTS!$B$13*SUM(DEAD!$E37:$E37)+INPUTS!$B$14*(RED!E37*SUMPRODUCT((CLASS!$E37:$E37="RES")*1,LIVE!$E37:$E37)+IF(SUMPRODUCT((CLASS!$E37:$E37="GAR")*1)&gt;=2,INPUTS!$B$20,1)*SUMPRODUCT((CLASS!$E37:$E37="GAR")*1,LIVE!$E37:$E37)+SUMPRODUCT((CLASS!$E37:$E37="NR")*1,LIVE!$E37:$E37))</f>
        <v>0</v>
      </c>
      <c r="F37" s="10" t="n">
        <f aca="false">INPUTS!$B$13*SUM(DEAD!$E37:$F37)+INPUTS!$B$14*(RED!F37*SUMPRODUCT((CLASS!$E37:$F37="RES")*1,LIVE!$E37:$F37)+IF(SUMPRODUCT((CLASS!$E37:$F37="GAR")*1)&gt;=2,INPUTS!$B$20,1)*SUMPRODUCT((CLASS!$E37:$F37="GAR")*1,LIVE!$E37:$F37)+SUMPRODUCT((CLASS!$E37:$F37="NR")*1,LIVE!$E37:$F37))</f>
        <v>98.421</v>
      </c>
      <c r="G37" s="10" t="n">
        <f aca="false">INPUTS!$B$13*SUM(DEAD!$E37:$G37)+INPUTS!$B$14*(RED!G37*SUMPRODUCT((CLASS!$E37:$G37="RES")*1,LIVE!$E37:$G37)+IF(SUMPRODUCT((CLASS!$E37:$G37="GAR")*1)&gt;=2,INPUTS!$B$20,1)*SUMPRODUCT((CLASS!$E37:$G37="GAR")*1,LIVE!$E37:$G37)+SUMPRODUCT((CLASS!$E37:$G37="NR")*1,LIVE!$E37:$G37))</f>
        <v>163.952922571017</v>
      </c>
      <c r="H37" s="10" t="n">
        <f aca="false">INPUTS!$B$13*SUM(DEAD!$E37:$H37)+INPUTS!$B$14*(RED!H37*SUMPRODUCT((CLASS!$E37:$H37="RES")*1,LIVE!$E37:$H37)+IF(SUMPRODUCT((CLASS!$E37:$H37="GAR")*1)&gt;=2,INPUTS!$B$20,1)*SUMPRODUCT((CLASS!$E37:$H37="GAR")*1,LIVE!$E37:$H37)+SUMPRODUCT((CLASS!$E37:$H37="NR")*1,LIVE!$E37:$H37))</f>
        <v>224.003686802007</v>
      </c>
      <c r="I37" s="10" t="n">
        <f aca="false">INPUTS!$B$13*SUM(DEAD!$E37:$I37)+INPUTS!$B$14*(RED!I37*SUMPRODUCT((CLASS!$E37:$I37="RES")*1,LIVE!$E37:$I37)+IF(SUMPRODUCT((CLASS!$E37:$I37="GAR")*1)&gt;=2,INPUTS!$B$20,1)*SUMPRODUCT((CLASS!$E37:$I37="GAR")*1,LIVE!$E37:$I37)+SUMPRODUCT((CLASS!$E37:$I37="NR")*1,LIVE!$E37:$I37))</f>
        <v>283.152665295489</v>
      </c>
      <c r="J37" s="10" t="n">
        <f aca="false">INPUTS!$B$13*SUM(DEAD!$E37:$J37)+INPUTS!$B$14*(RED!J37*SUMPRODUCT((CLASS!$E37:$J37="RES")*1,LIVE!$E37:$J37)+IF(SUMPRODUCT((CLASS!$E37:$J37="GAR")*1)&gt;=2,INPUTS!$B$20,1)*SUMPRODUCT((CLASS!$E37:$J37="GAR")*1,LIVE!$E37:$J37)+SUMPRODUCT((CLASS!$E37:$J37="NR")*1,LIVE!$E37:$J37))</f>
        <v>341.834845142033</v>
      </c>
      <c r="K37" s="10" t="n">
        <f aca="false">INPUTS!$B$13*SUM(DEAD!$E37:$K37)+INPUTS!$B$14*(RED!K37*SUMPRODUCT((CLASS!$E37:$K37="RES")*1,LIVE!$E37:$K37)+IF(SUMPRODUCT((CLASS!$E37:$K37="GAR")*1)&gt;=2,INPUTS!$B$20,1)*SUMPRODUCT((CLASS!$E37:$K37="GAR")*1,LIVE!$E37:$K37)+SUMPRODUCT((CLASS!$E37:$K37="NR")*1,LIVE!$E37:$K37))</f>
        <v>398.712538543104</v>
      </c>
      <c r="L37" s="10" t="n">
        <f aca="false">INPUTS!$B$13*SUM(DEAD!$E37:$L37)+INPUTS!$B$14*(RED!L37*SUMPRODUCT((CLASS!$E37:$L37="RES")*1,LIVE!$E37:$L37)+IF(SUMPRODUCT((CLASS!$E37:$L37="GAR")*1)&gt;=2,INPUTS!$B$20,1)*SUMPRODUCT((CLASS!$E37:$L37="GAR")*1,LIVE!$E37:$L37)+SUMPRODUCT((CLASS!$E37:$L37="NR")*1,LIVE!$E37:$L37))</f>
        <v>455.389736807113</v>
      </c>
      <c r="M37" s="10" t="n">
        <f aca="false">INPUTS!$B$13*SUM(DEAD!$E37:$M37)+INPUTS!$B$14*(RED!M37*SUMPRODUCT((CLASS!$E37:$M37="RES")*1,LIVE!$E37:$M37)+IF(SUMPRODUCT((CLASS!$E37:$M37="GAR")*1)&gt;=2,INPUTS!$B$20,1)*SUMPRODUCT((CLASS!$E37:$M37="GAR")*1,LIVE!$E37:$M37)+SUMPRODUCT((CLASS!$E37:$M37="NR")*1,LIVE!$E37:$M37))</f>
        <v>511.913997071742</v>
      </c>
      <c r="N37" s="10" t="n">
        <f aca="false">INPUTS!$B$13*SUM(DEAD!$E37:$N37)+INPUTS!$B$14*(RED!N37*SUMPRODUCT((CLASS!$E37:$N37="RES")*1,LIVE!$E37:$N37)+IF(SUMPRODUCT((CLASS!$E37:$N37="GAR")*1)&gt;=2,INPUTS!$B$20,1)*SUMPRODUCT((CLASS!$E37:$N37="GAR")*1,LIVE!$E37:$N37)+SUMPRODUCT((CLASS!$E37:$N37="NR")*1,LIVE!$E37:$N37))</f>
        <v>568.316605115861</v>
      </c>
      <c r="O37" s="10" t="n">
        <f aca="false">INPUTS!$B$13*SUM(DEAD!$E37:$O37)+INPUTS!$B$14*(RED!O37*SUMPRODUCT((CLASS!$E37:$O37="RES")*1,LIVE!$E37:$O37)+IF(SUMPRODUCT((CLASS!$E37:$O37="GAR")*1)&gt;=2,INPUTS!$B$20,1)*SUMPRODUCT((CLASS!$E37:$O37="GAR")*1,LIVE!$E37:$O37)+SUMPRODUCT((CLASS!$E37:$O37="NR")*1,LIVE!$E37:$O37))</f>
        <v>624.619443352684</v>
      </c>
      <c r="P37" s="10" t="n">
        <f aca="false">INPUTS!$B$13*SUM(DEAD!$E37:$P37)+INPUTS!$B$14*(RED!P37*SUMPRODUCT((CLASS!$E37:$P37="RES")*1,LIVE!$E37:$P37)+IF(SUMPRODUCT((CLASS!$E37:$P37="GAR")*1)&gt;=2,INPUTS!$B$20,1)*SUMPRODUCT((CLASS!$E37:$P37="GAR")*1,LIVE!$E37:$P37)+SUMPRODUCT((CLASS!$E37:$P37="NR")*1,LIVE!$E37:$P37))</f>
        <v>681.78352804315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10" t="n">
        <f aca="false">INPUTS!$B$13*SUM(DEAD!$E38:$E38)+INPUTS!$B$14*(RED!E38*SUMPRODUCT((CLASS!$E38:$E38="RES")*1,LIVE!$E38:$E38)+IF(SUMPRODUCT((CLASS!$E38:$E38="GAR")*1)&gt;=2,INPUTS!$B$20,1)*SUMPRODUCT((CLASS!$E38:$E38="GAR")*1,LIVE!$E38:$E38)+SUMPRODUCT((CLASS!$E38:$E38="NR")*1,LIVE!$E38:$E38))</f>
        <v>0</v>
      </c>
      <c r="F38" s="10" t="n">
        <f aca="false">INPUTS!$B$13*SUM(DEAD!$E38:$F38)+INPUTS!$B$14*(RED!F38*SUMPRODUCT((CLASS!$E38:$F38="RES")*1,LIVE!$E38:$F38)+IF(SUMPRODUCT((CLASS!$E38:$F38="GAR")*1)&gt;=2,INPUTS!$B$20,1)*SUMPRODUCT((CLASS!$E38:$F38="GAR")*1,LIVE!$E38:$F38)+SUMPRODUCT((CLASS!$E38:$F38="NR")*1,LIVE!$E38:$F38))</f>
        <v>58.178</v>
      </c>
      <c r="G38" s="10" t="n">
        <f aca="false">INPUTS!$B$13*SUM(DEAD!$E38:$G38)+INPUTS!$B$14*(RED!G38*SUMPRODUCT((CLASS!$E38:$G38="RES")*1,LIVE!$E38:$G38)+IF(SUMPRODUCT((CLASS!$E38:$G38="GAR")*1)&gt;=2,INPUTS!$B$20,1)*SUMPRODUCT((CLASS!$E38:$G38="GAR")*1,LIVE!$E38:$G38)+SUMPRODUCT((CLASS!$E38:$G38="NR")*1,LIVE!$E38:$G38))</f>
        <v>117.253598258861</v>
      </c>
      <c r="H38" s="10" t="n">
        <f aca="false">INPUTS!$B$13*SUM(DEAD!$E38:$H38)+INPUTS!$B$14*(RED!H38*SUMPRODUCT((CLASS!$E38:$H38="RES")*1,LIVE!$E38:$H38)+IF(SUMPRODUCT((CLASS!$E38:$H38="GAR")*1)&gt;=2,INPUTS!$B$20,1)*SUMPRODUCT((CLASS!$E38:$H38="GAR")*1,LIVE!$E38:$H38)+SUMPRODUCT((CLASS!$E38:$H38="NR")*1,LIVE!$E38:$H38))</f>
        <v>167.131546707864</v>
      </c>
      <c r="I38" s="10" t="n">
        <f aca="false">INPUTS!$B$13*SUM(DEAD!$E38:$I38)+INPUTS!$B$14*(RED!I38*SUMPRODUCT((CLASS!$E38:$I38="RES")*1,LIVE!$E38:$I38)+IF(SUMPRODUCT((CLASS!$E38:$I38="GAR")*1)&gt;=2,INPUTS!$B$20,1)*SUMPRODUCT((CLASS!$E38:$I38="GAR")*1,LIVE!$E38:$I38)+SUMPRODUCT((CLASS!$E38:$I38="NR")*1,LIVE!$E38:$I38))</f>
        <v>216.264595359323</v>
      </c>
      <c r="J38" s="10" t="n">
        <f aca="false">INPUTS!$B$13*SUM(DEAD!$E38:$J38)+INPUTS!$B$14*(RED!J38*SUMPRODUCT((CLASS!$E38:$J38="RES")*1,LIVE!$E38:$J38)+IF(SUMPRODUCT((CLASS!$E38:$J38="GAR")*1)&gt;=2,INPUTS!$B$20,1)*SUMPRODUCT((CLASS!$E38:$J38="GAR")*1,LIVE!$E38:$J38)+SUMPRODUCT((CLASS!$E38:$J38="NR")*1,LIVE!$E38:$J38))</f>
        <v>264.998</v>
      </c>
      <c r="K38" s="10" t="n">
        <f aca="false">INPUTS!$B$13*SUM(DEAD!$E38:$K38)+INPUTS!$B$14*(RED!K38*SUMPRODUCT((CLASS!$E38:$K38="RES")*1,LIVE!$E38:$K38)+IF(SUMPRODUCT((CLASS!$E38:$K38="GAR")*1)&gt;=2,INPUTS!$B$20,1)*SUMPRODUCT((CLASS!$E38:$K38="GAR")*1,LIVE!$E38:$K38)+SUMPRODUCT((CLASS!$E38:$K38="NR")*1,LIVE!$E38:$K38))</f>
        <v>313.471893687414</v>
      </c>
      <c r="L38" s="10" t="n">
        <f aca="false">INPUTS!$B$13*SUM(DEAD!$E38:$L38)+INPUTS!$B$14*(RED!L38*SUMPRODUCT((CLASS!$E38:$L38="RES")*1,LIVE!$E38:$L38)+IF(SUMPRODUCT((CLASS!$E38:$L38="GAR")*1)&gt;=2,INPUTS!$B$20,1)*SUMPRODUCT((CLASS!$E38:$L38="GAR")*1,LIVE!$E38:$L38)+SUMPRODUCT((CLASS!$E38:$L38="NR")*1,LIVE!$E38:$L38))</f>
        <v>361.759737820038</v>
      </c>
      <c r="M38" s="10" t="n">
        <f aca="false">INPUTS!$B$13*SUM(DEAD!$E38:$M38)+INPUTS!$B$14*(RED!M38*SUMPRODUCT((CLASS!$E38:$M38="RES")*1,LIVE!$E38:$M38)+IF(SUMPRODUCT((CLASS!$E38:$M38="GAR")*1)&gt;=2,INPUTS!$B$20,1)*SUMPRODUCT((CLASS!$E38:$M38="GAR")*1,LIVE!$E38:$M38)+SUMPRODUCT((CLASS!$E38:$M38="NR")*1,LIVE!$E38:$M38))</f>
        <v>409.905746367103</v>
      </c>
      <c r="N38" s="10" t="n">
        <f aca="false">INPUTS!$B$13*SUM(DEAD!$E38:$N38)+INPUTS!$B$14*(RED!N38*SUMPRODUCT((CLASS!$E38:$N38="RES")*1,LIVE!$E38:$N38)+IF(SUMPRODUCT((CLASS!$E38:$N38="GAR")*1)&gt;=2,INPUTS!$B$20,1)*SUMPRODUCT((CLASS!$E38:$N38="GAR")*1,LIVE!$E38:$N38)+SUMPRODUCT((CLASS!$E38:$N38="NR")*1,LIVE!$E38:$N38))</f>
        <v>457.938981018912</v>
      </c>
      <c r="O38" s="10" t="n">
        <f aca="false">INPUTS!$B$13*SUM(DEAD!$E38:$O38)+INPUTS!$B$14*(RED!O38*SUMPRODUCT((CLASS!$E38:$O38="RES")*1,LIVE!$E38:$O38)+IF(SUMPRODUCT((CLASS!$E38:$O38="GAR")*1)&gt;=2,INPUTS!$B$20,1)*SUMPRODUCT((CLASS!$E38:$O38="GAR")*1,LIVE!$E38:$O38)+SUMPRODUCT((CLASS!$E38:$O38="NR")*1,LIVE!$E38:$O38))</f>
        <v>505.879756066049</v>
      </c>
      <c r="P38" s="10" t="n">
        <f aca="false">INPUTS!$B$13*SUM(DEAD!$E38:$P38)+INPUTS!$B$14*(RED!P38*SUMPRODUCT((CLASS!$E38:$P38="RES")*1,LIVE!$E38:$P38)+IF(SUMPRODUCT((CLASS!$E38:$P38="GAR")*1)&gt;=2,INPUTS!$B$20,1)*SUMPRODUCT((CLASS!$E38:$P38="GAR")*1,LIVE!$E38:$P38)+SUMPRODUCT((CLASS!$E38:$P38="NR")*1,LIVE!$E38:$P38))</f>
        <v>554.372933080958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10" t="n">
        <f aca="false">INPUTS!$B$13*SUM(DEAD!$E39:$E39)+INPUTS!$B$14*(RED!E39*SUMPRODUCT((CLASS!$E39:$E39="RES")*1,LIVE!$E39:$E39)+IF(SUMPRODUCT((CLASS!$E39:$E39="GAR")*1)&gt;=2,INPUTS!$B$20,1)*SUMPRODUCT((CLASS!$E39:$E39="GAR")*1,LIVE!$E39:$E39)+SUMPRODUCT((CLASS!$E39:$E39="NR")*1,LIVE!$E39:$E39))</f>
        <v>0</v>
      </c>
      <c r="F39" s="10" t="n">
        <f aca="false">INPUTS!$B$13*SUM(DEAD!$E39:$F39)+INPUTS!$B$14*(RED!F39*SUMPRODUCT((CLASS!$E39:$F39="RES")*1,LIVE!$E39:$F39)+IF(SUMPRODUCT((CLASS!$E39:$F39="GAR")*1)&gt;=2,INPUTS!$B$20,1)*SUMPRODUCT((CLASS!$E39:$F39="GAR")*1,LIVE!$E39:$F39)+SUMPRODUCT((CLASS!$E39:$F39="NR")*1,LIVE!$E39:$F39))</f>
        <v>117.642</v>
      </c>
      <c r="G39" s="10" t="n">
        <f aca="false">INPUTS!$B$13*SUM(DEAD!$E39:$G39)+INPUTS!$B$14*(RED!G39*SUMPRODUCT((CLASS!$E39:$G39="RES")*1,LIVE!$E39:$G39)+IF(SUMPRODUCT((CLASS!$E39:$G39="GAR")*1)&gt;=2,INPUTS!$B$20,1)*SUMPRODUCT((CLASS!$E39:$G39="GAR")*1,LIVE!$E39:$G39)+SUMPRODUCT((CLASS!$E39:$G39="NR")*1,LIVE!$E39:$G39))</f>
        <v>190.168273104099</v>
      </c>
      <c r="H39" s="10" t="n">
        <f aca="false">INPUTS!$B$13*SUM(DEAD!$E39:$H39)+INPUTS!$B$14*(RED!H39*SUMPRODUCT((CLASS!$E39:$H39="RES")*1,LIVE!$E39:$H39)+IF(SUMPRODUCT((CLASS!$E39:$H39="GAR")*1)&gt;=2,INPUTS!$B$20,1)*SUMPRODUCT((CLASS!$E39:$H39="GAR")*1,LIVE!$E39:$H39)+SUMPRODUCT((CLASS!$E39:$H39="NR")*1,LIVE!$E39:$H39))</f>
        <v>256.534256049436</v>
      </c>
      <c r="I39" s="10" t="n">
        <f aca="false">INPUTS!$B$13*SUM(DEAD!$E39:$I39)+INPUTS!$B$14*(RED!I39*SUMPRODUCT((CLASS!$E39:$I39="RES")*1,LIVE!$E39:$I39)+IF(SUMPRODUCT((CLASS!$E39:$I39="GAR")*1)&gt;=2,INPUTS!$B$20,1)*SUMPRODUCT((CLASS!$E39:$I39="GAR")*1,LIVE!$E39:$I39)+SUMPRODUCT((CLASS!$E39:$I39="NR")*1,LIVE!$E39:$I39))</f>
        <v>321.88671932257</v>
      </c>
      <c r="J39" s="10" t="n">
        <f aca="false">INPUTS!$B$13*SUM(DEAD!$E39:$J39)+INPUTS!$B$14*(RED!J39*SUMPRODUCT((CLASS!$E39:$J39="RES")*1,LIVE!$E39:$J39)+IF(SUMPRODUCT((CLASS!$E39:$J39="GAR")*1)&gt;=2,INPUTS!$B$20,1)*SUMPRODUCT((CLASS!$E39:$J39="GAR")*1,LIVE!$E39:$J39)+SUMPRODUCT((CLASS!$E39:$J39="NR")*1,LIVE!$E39:$J39))</f>
        <v>386.714546208198</v>
      </c>
      <c r="K39" s="10" t="n">
        <f aca="false">INPUTS!$B$13*SUM(DEAD!$E39:$K39)+INPUTS!$B$14*(RED!K39*SUMPRODUCT((CLASS!$E39:$K39="RES")*1,LIVE!$E39:$K39)+IF(SUMPRODUCT((CLASS!$E39:$K39="GAR")*1)&gt;=2,INPUTS!$B$20,1)*SUMPRODUCT((CLASS!$E39:$K39="GAR")*1,LIVE!$E39:$K39)+SUMPRODUCT((CLASS!$E39:$K39="NR")*1,LIVE!$E39:$K39))</f>
        <v>451.207101530719</v>
      </c>
      <c r="L39" s="10" t="n">
        <f aca="false">INPUTS!$B$13*SUM(DEAD!$E39:$L39)+INPUTS!$B$14*(RED!L39*SUMPRODUCT((CLASS!$E39:$L39="RES")*1,LIVE!$E39:$L39)+IF(SUMPRODUCT((CLASS!$E39:$L39="GAR")*1)&gt;=2,INPUTS!$B$20,1)*SUMPRODUCT((CLASS!$E39:$L39="GAR")*1,LIVE!$E39:$L39)+SUMPRODUCT((CLASS!$E39:$L39="NR")*1,LIVE!$E39:$L39))</f>
        <v>515.461503100798</v>
      </c>
      <c r="M39" s="10" t="n">
        <f aca="false">INPUTS!$B$13*SUM(DEAD!$E39:$M39)+INPUTS!$B$14*(RED!M39*SUMPRODUCT((CLASS!$E39:$M39="RES")*1,LIVE!$E39:$M39)+IF(SUMPRODUCT((CLASS!$E39:$M39="GAR")*1)&gt;=2,INPUTS!$B$20,1)*SUMPRODUCT((CLASS!$E39:$M39="GAR")*1,LIVE!$E39:$M39)+SUMPRODUCT((CLASS!$E39:$M39="NR")*1,LIVE!$E39:$M39))</f>
        <v>579.535443352684</v>
      </c>
      <c r="N39" s="10" t="n">
        <f aca="false">INPUTS!$B$13*SUM(DEAD!$E39:$N39)+INPUTS!$B$14*(RED!N39*SUMPRODUCT((CLASS!$E39:$N39="RES")*1,LIVE!$E39:$N39)+IF(SUMPRODUCT((CLASS!$E39:$N39="GAR")*1)&gt;=2,INPUTS!$B$20,1)*SUMPRODUCT((CLASS!$E39:$N39="GAR")*1,LIVE!$E39:$N39)+SUMPRODUCT((CLASS!$E39:$N39="NR")*1,LIVE!$E39:$N39))</f>
        <v>643.466512098873</v>
      </c>
      <c r="O39" s="10" t="n">
        <f aca="false">INPUTS!$B$13*SUM(DEAD!$E39:$O39)+INPUTS!$B$14*(RED!O39*SUMPRODUCT((CLASS!$E39:$O39="RES")*1,LIVE!$E39:$O39)+IF(SUMPRODUCT((CLASS!$E39:$O39="GAR")*1)&gt;=2,INPUTS!$B$20,1)*SUMPRODUCT((CLASS!$E39:$O39="GAR")*1,LIVE!$E39:$O39)+SUMPRODUCT((CLASS!$E39:$O39="NR")*1,LIVE!$E39:$O39))</f>
        <v>707.280819312298</v>
      </c>
      <c r="P39" s="10" t="n">
        <f aca="false">INPUTS!$B$13*SUM(DEAD!$E39:$P39)+INPUTS!$B$14*(RED!P39*SUMPRODUCT((CLASS!$E39:$P39="RES")*1,LIVE!$E39:$P39)+IF(SUMPRODUCT((CLASS!$E39:$P39="GAR")*1)&gt;=2,INPUTS!$B$20,1)*SUMPRODUCT((CLASS!$E39:$P39="GAR")*1,LIVE!$E39:$P39)+SUMPRODUCT((CLASS!$E39:$P39="NR")*1,LIVE!$E39:$P39))</f>
        <v>772.932</v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10" t="n">
        <f aca="false">INPUTS!$B$13*SUM(DEAD!$E40:$E40)+INPUTS!$B$14*(RED!E40*SUMPRODUCT((CLASS!$E40:$E40="RES")*1,LIVE!$E40:$E40)+IF(SUMPRODUCT((CLASS!$E40:$E40="GAR")*1)&gt;=2,INPUTS!$B$20,1)*SUMPRODUCT((CLASS!$E40:$E40="GAR")*1,LIVE!$E40:$E40)+SUMPRODUCT((CLASS!$E40:$E40="NR")*1,LIVE!$E40:$E40))</f>
        <v>0</v>
      </c>
      <c r="F40" s="10" t="n">
        <f aca="false">INPUTS!$B$13*SUM(DEAD!$E40:$F40)+INPUTS!$B$14*(RED!F40*SUMPRODUCT((CLASS!$E40:$F40="RES")*1,LIVE!$E40:$F40)+IF(SUMPRODUCT((CLASS!$E40:$F40="GAR")*1)&gt;=2,INPUTS!$B$20,1)*SUMPRODUCT((CLASS!$E40:$F40="GAR")*1,LIVE!$E40:$F40)+SUMPRODUCT((CLASS!$E40:$F40="NR")*1,LIVE!$E40:$F40))</f>
        <v>46.597</v>
      </c>
      <c r="G40" s="10" t="n">
        <f aca="false">INPUTS!$B$13*SUM(DEAD!$E40:$G40)+INPUTS!$B$14*(RED!G40*SUMPRODUCT((CLASS!$E40:$G40="RES")*1,LIVE!$E40:$G40)+IF(SUMPRODUCT((CLASS!$E40:$G40="GAR")*1)&gt;=2,INPUTS!$B$20,1)*SUMPRODUCT((CLASS!$E40:$G40="GAR")*1,LIVE!$E40:$G40)+SUMPRODUCT((CLASS!$E40:$G40="NR")*1,LIVE!$E40:$G40))</f>
        <v>83.56</v>
      </c>
      <c r="H40" s="10" t="n">
        <f aca="false">INPUTS!$B$13*SUM(DEAD!$E40:$H40)+INPUTS!$B$14*(RED!H40*SUMPRODUCT((CLASS!$E40:$H40="RES")*1,LIVE!$E40:$H40)+IF(SUMPRODUCT((CLASS!$E40:$H40="GAR")*1)&gt;=2,INPUTS!$B$20,1)*SUMPRODUCT((CLASS!$E40:$H40="GAR")*1,LIVE!$E40:$H40)+SUMPRODUCT((CLASS!$E40:$H40="NR")*1,LIVE!$E40:$H40))</f>
        <v>117.225545334315</v>
      </c>
      <c r="I40" s="10" t="n">
        <f aca="false">INPUTS!$B$13*SUM(DEAD!$E40:$I40)+INPUTS!$B$14*(RED!I40*SUMPRODUCT((CLASS!$E40:$I40="RES")*1,LIVE!$E40:$I40)+IF(SUMPRODUCT((CLASS!$E40:$I40="GAR")*1)&gt;=2,INPUTS!$B$20,1)*SUMPRODUCT((CLASS!$E40:$I40="GAR")*1,LIVE!$E40:$I40)+SUMPRODUCT((CLASS!$E40:$I40="NR")*1,LIVE!$E40:$I40))</f>
        <v>150.117973273909</v>
      </c>
      <c r="J40" s="10" t="n">
        <f aca="false">INPUTS!$B$13*SUM(DEAD!$E40:$J40)+INPUTS!$B$14*(RED!J40*SUMPRODUCT((CLASS!$E40:$J40="RES")*1,LIVE!$E40:$J40)+IF(SUMPRODUCT((CLASS!$E40:$J40="GAR")*1)&gt;=2,INPUTS!$B$20,1)*SUMPRODUCT((CLASS!$E40:$J40="GAR")*1,LIVE!$E40:$J40)+SUMPRODUCT((CLASS!$E40:$J40="NR")*1,LIVE!$E40:$J40))</f>
        <v>182.700022140943</v>
      </c>
      <c r="K40" s="10" t="n">
        <f aca="false">INPUTS!$B$13*SUM(DEAD!$E40:$K40)+INPUTS!$B$14*(RED!K40*SUMPRODUCT((CLASS!$E40:$K40="RES")*1,LIVE!$E40:$K40)+IF(SUMPRODUCT((CLASS!$E40:$K40="GAR")*1)&gt;=2,INPUTS!$B$20,1)*SUMPRODUCT((CLASS!$E40:$K40="GAR")*1,LIVE!$E40:$K40)+SUMPRODUCT((CLASS!$E40:$K40="NR")*1,LIVE!$E40:$K40))</f>
        <v>212.508278566531</v>
      </c>
      <c r="L40" s="10" t="n">
        <f aca="false">INPUTS!$B$13*SUM(DEAD!$E40:$L40)+INPUTS!$B$14*(RED!L40*SUMPRODUCT((CLASS!$E40:$L40="RES")*1,LIVE!$E40:$L40)+IF(SUMPRODUCT((CLASS!$E40:$L40="GAR")*1)&gt;=2,INPUTS!$B$20,1)*SUMPRODUCT((CLASS!$E40:$L40="GAR")*1,LIVE!$E40:$L40)+SUMPRODUCT((CLASS!$E40:$L40="NR")*1,LIVE!$E40:$L40))</f>
        <v>242.03137686891</v>
      </c>
      <c r="M40" s="10" t="n">
        <f aca="false">INPUTS!$B$13*SUM(DEAD!$E40:$M40)+INPUTS!$B$14*(RED!M40*SUMPRODUCT((CLASS!$E40:$M40="RES")*1,LIVE!$E40:$M40)+IF(SUMPRODUCT((CLASS!$E40:$M40="GAR")*1)&gt;=2,INPUTS!$B$20,1)*SUMPRODUCT((CLASS!$E40:$M40="GAR")*1,LIVE!$E40:$M40)+SUMPRODUCT((CLASS!$E40:$M40="NR")*1,LIVE!$E40:$M40))</f>
        <v>271.466737455004</v>
      </c>
      <c r="N40" s="10" t="n">
        <f aca="false">INPUTS!$B$13*SUM(DEAD!$E40:$N40)+INPUTS!$B$14*(RED!N40*SUMPRODUCT((CLASS!$E40:$N40="RES")*1,LIVE!$E40:$N40)+IF(SUMPRODUCT((CLASS!$E40:$N40="GAR")*1)&gt;=2,INPUTS!$B$20,1)*SUMPRODUCT((CLASS!$E40:$N40="GAR")*1,LIVE!$E40:$N40)+SUMPRODUCT((CLASS!$E40:$N40="NR")*1,LIVE!$E40:$N40))</f>
        <v>300.831331612101</v>
      </c>
      <c r="O40" s="10" t="n">
        <f aca="false">INPUTS!$B$13*SUM(DEAD!$E40:$O40)+INPUTS!$B$14*(RED!O40*SUMPRODUCT((CLASS!$E40:$O40="RES")*1,LIVE!$E40:$O40)+IF(SUMPRODUCT((CLASS!$E40:$O40="GAR")*1)&gt;=2,INPUTS!$B$20,1)*SUMPRODUCT((CLASS!$E40:$O40="GAR")*1,LIVE!$E40:$O40)+SUMPRODUCT((CLASS!$E40:$O40="NR")*1,LIVE!$E40:$O40))</f>
        <v>330.137276390236</v>
      </c>
      <c r="P40" s="10" t="n">
        <f aca="false">INPUTS!$B$13*SUM(DEAD!$E40:$P40)+INPUTS!$B$14*(RED!P40*SUMPRODUCT((CLASS!$E40:$P40="RES")*1,LIVE!$E40:$P40)+IF(SUMPRODUCT((CLASS!$E40:$P40="GAR")*1)&gt;=2,INPUTS!$B$20,1)*SUMPRODUCT((CLASS!$E40:$P40="GAR")*1,LIVE!$E40:$P40)+SUMPRODUCT((CLASS!$E40:$P40="NR")*1,LIVE!$E40:$P40))</f>
        <v>360.338581136304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10" t="n">
        <f aca="false">INPUTS!$B$13*SUM(DEAD!$E41:$E41)+INPUTS!$B$14*(RED!E41*SUMPRODUCT((CLASS!$E41:$E41="RES")*1,LIVE!$E41:$E41)+IF(SUMPRODUCT((CLASS!$E41:$E41="GAR")*1)&gt;=2,INPUTS!$B$20,1)*SUMPRODUCT((CLASS!$E41:$E41="GAR")*1,LIVE!$E41:$E41)+SUMPRODUCT((CLASS!$E41:$E41="NR")*1,LIVE!$E41:$E41))</f>
        <v>0</v>
      </c>
      <c r="F41" s="10" t="n">
        <f aca="false">INPUTS!$B$13*SUM(DEAD!$E41:$F41)+INPUTS!$B$14*(RED!F41*SUMPRODUCT((CLASS!$E41:$F41="RES")*1,LIVE!$E41:$F41)+IF(SUMPRODUCT((CLASS!$E41:$F41="GAR")*1)&gt;=2,INPUTS!$B$20,1)*SUMPRODUCT((CLASS!$E41:$F41="GAR")*1,LIVE!$E41:$F41)+SUMPRODUCT((CLASS!$E41:$F41="NR")*1,LIVE!$E41:$F41))</f>
        <v>47.861</v>
      </c>
      <c r="G41" s="10" t="n">
        <f aca="false">INPUTS!$B$13*SUM(DEAD!$E41:$G41)+INPUTS!$B$14*(RED!G41*SUMPRODUCT((CLASS!$E41:$G41="RES")*1,LIVE!$E41:$G41)+IF(SUMPRODUCT((CLASS!$E41:$G41="GAR")*1)&gt;=2,INPUTS!$B$20,1)*SUMPRODUCT((CLASS!$E41:$G41="GAR")*1,LIVE!$E41:$G41)+SUMPRODUCT((CLASS!$E41:$G41="NR")*1,LIVE!$E41:$G41))</f>
        <v>85.628</v>
      </c>
      <c r="H41" s="10" t="n">
        <f aca="false">INPUTS!$B$13*SUM(DEAD!$E41:$H41)+INPUTS!$B$14*(RED!H41*SUMPRODUCT((CLASS!$E41:$H41="RES")*1,LIVE!$E41:$H41)+IF(SUMPRODUCT((CLASS!$E41:$H41="GAR")*1)&gt;=2,INPUTS!$B$20,1)*SUMPRODUCT((CLASS!$E41:$H41="GAR")*1,LIVE!$E41:$H41)+SUMPRODUCT((CLASS!$E41:$H41="NR")*1,LIVE!$E41:$H41))</f>
        <v>174.334773025325</v>
      </c>
      <c r="I41" s="10" t="n">
        <f aca="false">INPUTS!$B$13*SUM(DEAD!$E41:$I41)+INPUTS!$B$14*(RED!I41*SUMPRODUCT((CLASS!$E41:$I41="RES")*1,LIVE!$E41:$I41)+IF(SUMPRODUCT((CLASS!$E41:$I41="GAR")*1)&gt;=2,INPUTS!$B$20,1)*SUMPRODUCT((CLASS!$E41:$I41="GAR")*1,LIVE!$E41:$I41)+SUMPRODUCT((CLASS!$E41:$I41="NR")*1,LIVE!$E41:$I41))</f>
        <v>207.723510330575</v>
      </c>
      <c r="J41" s="10" t="n">
        <f aca="false">INPUTS!$B$13*SUM(DEAD!$E41:$J41)+INPUTS!$B$14*(RED!J41*SUMPRODUCT((CLASS!$E41:$J41="RES")*1,LIVE!$E41:$J41)+IF(SUMPRODUCT((CLASS!$E41:$J41="GAR")*1)&gt;=2,INPUTS!$B$20,1)*SUMPRODUCT((CLASS!$E41:$J41="GAR")*1,LIVE!$E41:$J41)+SUMPRODUCT((CLASS!$E41:$J41="NR")*1,LIVE!$E41:$J41))</f>
        <v>240.619714599863</v>
      </c>
      <c r="K41" s="10" t="n">
        <f aca="false">INPUTS!$B$13*SUM(DEAD!$E41:$K41)+INPUTS!$B$14*(RED!K41*SUMPRODUCT((CLASS!$E41:$K41="RES")*1,LIVE!$E41:$K41)+IF(SUMPRODUCT((CLASS!$E41:$K41="GAR")*1)&gt;=2,INPUTS!$B$20,1)*SUMPRODUCT((CLASS!$E41:$K41="GAR")*1,LIVE!$E41:$K41)+SUMPRODUCT((CLASS!$E41:$K41="NR")*1,LIVE!$E41:$K41))</f>
        <v>270.522152708659</v>
      </c>
      <c r="L41" s="10" t="n">
        <f aca="false">INPUTS!$B$13*SUM(DEAD!$E41:$L41)+INPUTS!$B$14*(RED!L41*SUMPRODUCT((CLASS!$E41:$L41="RES")*1,LIVE!$E41:$L41)+IF(SUMPRODUCT((CLASS!$E41:$L41="GAR")*1)&gt;=2,INPUTS!$B$20,1)*SUMPRODUCT((CLASS!$E41:$L41="GAR")*1,LIVE!$E41:$L41)+SUMPRODUCT((CLASS!$E41:$L41="NR")*1,LIVE!$E41:$L41))</f>
        <v>300.706474533941</v>
      </c>
      <c r="M41" s="10" t="n">
        <f aca="false">INPUTS!$B$13*SUM(DEAD!$E41:$M41)+INPUTS!$B$14*(RED!M41*SUMPRODUCT((CLASS!$E41:$M41="RES")*1,LIVE!$E41:$M41)+IF(SUMPRODUCT((CLASS!$E41:$M41="GAR")*1)&gt;=2,INPUTS!$B$20,1)*SUMPRODUCT((CLASS!$E41:$M41="GAR")*1,LIVE!$E41:$M41)+SUMPRODUCT((CLASS!$E41:$M41="NR")*1,LIVE!$E41:$M41))</f>
        <v>330.834066923947</v>
      </c>
      <c r="N41" s="10" t="n">
        <f aca="false">INPUTS!$B$13*SUM(DEAD!$E41:$N41)+INPUTS!$B$14*(RED!N41*SUMPRODUCT((CLASS!$E41:$N41="RES")*1,LIVE!$E41:$N41)+IF(SUMPRODUCT((CLASS!$E41:$N41="GAR")*1)&gt;=2,INPUTS!$B$20,1)*SUMPRODUCT((CLASS!$E41:$N41="GAR")*1,LIVE!$E41:$N41)+SUMPRODUCT((CLASS!$E41:$N41="NR")*1,LIVE!$E41:$N41))</f>
        <v>360.913388714717</v>
      </c>
      <c r="O41" s="10" t="n">
        <f aca="false">INPUTS!$B$13*SUM(DEAD!$E41:$O41)+INPUTS!$B$14*(RED!O41*SUMPRODUCT((CLASS!$E41:$O41="RES")*1,LIVE!$E41:$O41)+IF(SUMPRODUCT((CLASS!$E41:$O41="GAR")*1)&gt;=2,INPUTS!$B$20,1)*SUMPRODUCT((CLASS!$E41:$O41="GAR")*1,LIVE!$E41:$O41)+SUMPRODUCT((CLASS!$E41:$O41="NR")*1,LIVE!$E41:$O41))</f>
        <v>390.950984722556</v>
      </c>
      <c r="P41" s="10" t="n">
        <f aca="false">INPUTS!$B$13*SUM(DEAD!$E41:$P41)+INPUTS!$B$14*(RED!P41*SUMPRODUCT((CLASS!$E41:$P41="RES")*1,LIVE!$E41:$P41)+IF(SUMPRODUCT((CLASS!$E41:$P41="GAR")*1)&gt;=2,INPUTS!$B$20,1)*SUMPRODUCT((CLASS!$E41:$P41="GAR")*1,LIVE!$E41:$P41)+SUMPRODUCT((CLASS!$E41:$P41="NR")*1,LIVE!$E41:$P41))</f>
        <v>421.897042228023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10" t="n">
        <f aca="false">INPUTS!$B$13*SUM(DEAD!$E42:$E42)+INPUTS!$B$14*(RED!E42*SUMPRODUCT((CLASS!$E42:$E42="RES")*1,LIVE!$E42:$E42)+IF(SUMPRODUCT((CLASS!$E42:$E42="GAR")*1)&gt;=2,INPUTS!$B$20,1)*SUMPRODUCT((CLASS!$E42:$E42="GAR")*1,LIVE!$E42:$E42)+SUMPRODUCT((CLASS!$E42:$E42="NR")*1,LIVE!$E42:$E42))</f>
        <v>0</v>
      </c>
      <c r="F42" s="10" t="n">
        <f aca="false">INPUTS!$B$13*SUM(DEAD!$E42:$F42)+INPUTS!$B$14*(RED!F42*SUMPRODUCT((CLASS!$E42:$F42="RES")*1,LIVE!$E42:$F42)+IF(SUMPRODUCT((CLASS!$E42:$F42="GAR")*1)&gt;=2,INPUTS!$B$20,1)*SUMPRODUCT((CLASS!$E42:$F42="GAR")*1,LIVE!$E42:$F42)+SUMPRODUCT((CLASS!$E42:$F42="NR")*1,LIVE!$E42:$F42))</f>
        <v>68.202</v>
      </c>
      <c r="G42" s="10" t="n">
        <f aca="false">INPUTS!$B$13*SUM(DEAD!$E42:$G42)+INPUTS!$B$14*(RED!G42*SUMPRODUCT((CLASS!$E42:$G42="RES")*1,LIVE!$E42:$G42)+IF(SUMPRODUCT((CLASS!$E42:$G42="GAR")*1)&gt;=2,INPUTS!$B$20,1)*SUMPRODUCT((CLASS!$E42:$G42="GAR")*1,LIVE!$E42:$G42)+SUMPRODUCT((CLASS!$E42:$G42="NR")*1,LIVE!$E42:$G42))</f>
        <v>113.712</v>
      </c>
      <c r="H42" s="10" t="n">
        <f aca="false">INPUTS!$B$13*SUM(DEAD!$E42:$H42)+INPUTS!$B$14*(RED!H42*SUMPRODUCT((CLASS!$E42:$H42="RES")*1,LIVE!$E42:$H42)+IF(SUMPRODUCT((CLASS!$E42:$H42="GAR")*1)&gt;=2,INPUTS!$B$20,1)*SUMPRODUCT((CLASS!$E42:$H42="GAR")*1,LIVE!$E42:$H42)+SUMPRODUCT((CLASS!$E42:$H42="NR")*1,LIVE!$E42:$H42))</f>
        <v>154.723160159025</v>
      </c>
      <c r="I42" s="10" t="n">
        <f aca="false">INPUTS!$B$13*SUM(DEAD!$E42:$I42)+INPUTS!$B$14*(RED!I42*SUMPRODUCT((CLASS!$E42:$I42="RES")*1,LIVE!$E42:$I42)+IF(SUMPRODUCT((CLASS!$E42:$I42="GAR")*1)&gt;=2,INPUTS!$B$20,1)*SUMPRODUCT((CLASS!$E42:$I42="GAR")*1,LIVE!$E42:$I42)+SUMPRODUCT((CLASS!$E42:$I42="NR")*1,LIVE!$E42:$I42))</f>
        <v>194.994150202129</v>
      </c>
      <c r="J42" s="10" t="n">
        <f aca="false">INPUTS!$B$13*SUM(DEAD!$E42:$J42)+INPUTS!$B$14*(RED!J42*SUMPRODUCT((CLASS!$E42:$J42="RES")*1,LIVE!$E42:$J42)+IF(SUMPRODUCT((CLASS!$E42:$J42="GAR")*1)&gt;=2,INPUTS!$B$20,1)*SUMPRODUCT((CLASS!$E42:$J42="GAR")*1,LIVE!$E42:$J42)+SUMPRODUCT((CLASS!$E42:$J42="NR")*1,LIVE!$E42:$J42))</f>
        <v>234.882</v>
      </c>
      <c r="K42" s="10" t="n">
        <f aca="false">INPUTS!$B$13*SUM(DEAD!$E42:$K42)+INPUTS!$B$14*(RED!K42*SUMPRODUCT((CLASS!$E42:$K42="RES")*1,LIVE!$E42:$K42)+IF(SUMPRODUCT((CLASS!$E42:$K42="GAR")*1)&gt;=2,INPUTS!$B$20,1)*SUMPRODUCT((CLASS!$E42:$K42="GAR")*1,LIVE!$E42:$K42)+SUMPRODUCT((CLASS!$E42:$K42="NR")*1,LIVE!$E42:$K42))</f>
        <v>274.693944011083</v>
      </c>
      <c r="L42" s="10" t="n">
        <f aca="false">INPUTS!$B$13*SUM(DEAD!$E42:$L42)+INPUTS!$B$14*(RED!L42*SUMPRODUCT((CLASS!$E42:$L42="RES")*1,LIVE!$E42:$L42)+IF(SUMPRODUCT((CLASS!$E42:$L42="GAR")*1)&gt;=2,INPUTS!$B$20,1)*SUMPRODUCT((CLASS!$E42:$L42="GAR")*1,LIVE!$E42:$L42)+SUMPRODUCT((CLASS!$E42:$L42="NR")*1,LIVE!$E42:$L42))</f>
        <v>314.330404074695</v>
      </c>
      <c r="M42" s="10" t="n">
        <f aca="false">INPUTS!$B$13*SUM(DEAD!$E42:$M42)+INPUTS!$B$14*(RED!M42*SUMPRODUCT((CLASS!$E42:$M42="RES")*1,LIVE!$E42:$M42)+IF(SUMPRODUCT((CLASS!$E42:$M42="GAR")*1)&gt;=2,INPUTS!$B$20,1)*SUMPRODUCT((CLASS!$E42:$M42="GAR")*1,LIVE!$E42:$M42)+SUMPRODUCT((CLASS!$E42:$M42="NR")*1,LIVE!$E42:$M42))</f>
        <v>353.8340352964</v>
      </c>
      <c r="N42" s="10" t="n">
        <f aca="false">INPUTS!$B$13*SUM(DEAD!$E42:$N42)+INPUTS!$B$14*(RED!N42*SUMPRODUCT((CLASS!$E42:$N42="RES")*1,LIVE!$E42:$N42)+IF(SUMPRODUCT((CLASS!$E42:$N42="GAR")*1)&gt;=2,INPUTS!$B$20,1)*SUMPRODUCT((CLASS!$E42:$N42="GAR")*1,LIVE!$E42:$N42)+SUMPRODUCT((CLASS!$E42:$N42="NR")*1,LIVE!$E42:$N42))</f>
        <v>393.232586198997</v>
      </c>
      <c r="O42" s="10" t="n">
        <f aca="false">INPUTS!$B$13*SUM(DEAD!$E42:$O42)+INPUTS!$B$14*(RED!O42*SUMPRODUCT((CLASS!$E42:$O42="RES")*1,LIVE!$E42:$O42)+IF(SUMPRODUCT((CLASS!$E42:$O42="GAR")*1)&gt;=2,INPUTS!$B$20,1)*SUMPRODUCT((CLASS!$E42:$O42="GAR")*1,LIVE!$E42:$O42)+SUMPRODUCT((CLASS!$E42:$O42="NR")*1,LIVE!$E42:$O42))</f>
        <v>432.545309255501</v>
      </c>
      <c r="P42" s="10" t="n">
        <f aca="false">INPUTS!$B$13*SUM(DEAD!$E42:$P42)+INPUTS!$B$14*(RED!P42*SUMPRODUCT((CLASS!$E42:$P42="RES")*1,LIVE!$E42:$P42)+IF(SUMPRODUCT((CLASS!$E42:$P42="GAR")*1)&gt;=2,INPUTS!$B$20,1)*SUMPRODUCT((CLASS!$E42:$P42="GAR")*1,LIVE!$E42:$P42)+SUMPRODUCT((CLASS!$E42:$P42="NR")*1,LIVE!$E42:$P42))</f>
        <v>472.416210161894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10" t="n">
        <f aca="false">INPUTS!$B$13*SUM(DEAD!$E43:$E43)+INPUTS!$B$14*(RED!E43*SUMPRODUCT((CLASS!$E43:$E43="RES")*1,LIVE!$E43:$E43)+IF(SUMPRODUCT((CLASS!$E43:$E43="GAR")*1)&gt;=2,INPUTS!$B$20,1)*SUMPRODUCT((CLASS!$E43:$E43="GAR")*1,LIVE!$E43:$E43)+SUMPRODUCT((CLASS!$E43:$E43="NR")*1,LIVE!$E43:$E43))</f>
        <v>0</v>
      </c>
      <c r="F43" s="10" t="n">
        <f aca="false">INPUTS!$B$13*SUM(DEAD!$E43:$F43)+INPUTS!$B$14*(RED!F43*SUMPRODUCT((CLASS!$E43:$F43="RES")*1,LIVE!$E43:$F43)+IF(SUMPRODUCT((CLASS!$E43:$F43="GAR")*1)&gt;=2,INPUTS!$B$20,1)*SUMPRODUCT((CLASS!$E43:$F43="GAR")*1,LIVE!$E43:$F43)+SUMPRODUCT((CLASS!$E43:$F43="NR")*1,LIVE!$E43:$F43))</f>
        <v>63.709</v>
      </c>
      <c r="G43" s="10" t="n">
        <f aca="false">INPUTS!$B$13*SUM(DEAD!$E43:$G43)+INPUTS!$B$14*(RED!G43*SUMPRODUCT((CLASS!$E43:$G43="RES")*1,LIVE!$E43:$G43)+IF(SUMPRODUCT((CLASS!$E43:$G43="GAR")*1)&gt;=2,INPUTS!$B$20,1)*SUMPRODUCT((CLASS!$E43:$G43="GAR")*1,LIVE!$E43:$G43)+SUMPRODUCT((CLASS!$E43:$G43="NR")*1,LIVE!$E43:$G43))</f>
        <v>108.536121111929</v>
      </c>
      <c r="H43" s="10" t="n">
        <f aca="false">INPUTS!$B$13*SUM(DEAD!$E43:$H43)+INPUTS!$B$14*(RED!H43*SUMPRODUCT((CLASS!$E43:$H43="RES")*1,LIVE!$E43:$H43)+IF(SUMPRODUCT((CLASS!$E43:$H43="GAR")*1)&gt;=2,INPUTS!$B$20,1)*SUMPRODUCT((CLASS!$E43:$H43="GAR")*1,LIVE!$E43:$H43)+SUMPRODUCT((CLASS!$E43:$H43="NR")*1,LIVE!$E43:$H43))</f>
        <v>149.068185117453</v>
      </c>
      <c r="I43" s="10" t="n">
        <f aca="false">INPUTS!$B$13*SUM(DEAD!$E43:$I43)+INPUTS!$B$14*(RED!I43*SUMPRODUCT((CLASS!$E43:$I43="RES")*1,LIVE!$E43:$I43)+IF(SUMPRODUCT((CLASS!$E43:$I43="GAR")*1)&gt;=2,INPUTS!$B$20,1)*SUMPRODUCT((CLASS!$E43:$I43="GAR")*1,LIVE!$E43:$I43)+SUMPRODUCT((CLASS!$E43:$I43="NR")*1,LIVE!$E43:$I43))</f>
        <v>188.89360629311</v>
      </c>
      <c r="J43" s="10" t="n">
        <f aca="false">INPUTS!$B$13*SUM(DEAD!$E43:$J43)+INPUTS!$B$14*(RED!J43*SUMPRODUCT((CLASS!$E43:$J43="RES")*1,LIVE!$E43:$J43)+IF(SUMPRODUCT((CLASS!$E43:$J43="GAR")*1)&gt;=2,INPUTS!$B$20,1)*SUMPRODUCT((CLASS!$E43:$J43="GAR")*1,LIVE!$E43:$J43)+SUMPRODUCT((CLASS!$E43:$J43="NR")*1,LIVE!$E43:$J43))</f>
        <v>228.353242223859</v>
      </c>
      <c r="K43" s="10" t="n">
        <f aca="false">INPUTS!$B$13*SUM(DEAD!$E43:$K43)+INPUTS!$B$14*(RED!K43*SUMPRODUCT((CLASS!$E43:$K43="RES")*1,LIVE!$E43:$K43)+IF(SUMPRODUCT((CLASS!$E43:$K43="GAR")*1)&gt;=2,INPUTS!$B$20,1)*SUMPRODUCT((CLASS!$E43:$K43="GAR")*1,LIVE!$E43:$K43)+SUMPRODUCT((CLASS!$E43:$K43="NR")*1,LIVE!$E43:$K43))</f>
        <v>266.573409052382</v>
      </c>
      <c r="L43" s="10" t="n">
        <f aca="false">INPUTS!$B$13*SUM(DEAD!$E43:$L43)+INPUTS!$B$14*(RED!L43*SUMPRODUCT((CLASS!$E43:$L43="RES")*1,LIVE!$E43:$L43)+IF(SUMPRODUCT((CLASS!$E43:$L43="GAR")*1)&gt;=2,INPUTS!$B$20,1)*SUMPRODUCT((CLASS!$E43:$L43="GAR")*1,LIVE!$E43:$L43)+SUMPRODUCT((CLASS!$E43:$L43="NR")*1,LIVE!$E43:$L43))</f>
        <v>304.458820626901</v>
      </c>
      <c r="M43" s="10" t="n">
        <f aca="false">INPUTS!$B$13*SUM(DEAD!$E43:$M43)+INPUTS!$B$14*(RED!M43*SUMPRODUCT((CLASS!$E43:$M43="RES")*1,LIVE!$E43:$M43)+IF(SUMPRODUCT((CLASS!$E43:$M43="GAR")*1)&gt;=2,INPUTS!$B$20,1)*SUMPRODUCT((CLASS!$E43:$M43="GAR")*1,LIVE!$E43:$M43)+SUMPRODUCT((CLASS!$E43:$M43="NR")*1,LIVE!$E43:$M43))</f>
        <v>342.225973377685</v>
      </c>
      <c r="N43" s="10" t="n">
        <f aca="false">INPUTS!$B$13*SUM(DEAD!$E43:$N43)+INPUTS!$B$14*(RED!N43*SUMPRODUCT((CLASS!$E43:$N43="RES")*1,LIVE!$E43:$N43)+IF(SUMPRODUCT((CLASS!$E43:$N43="GAR")*1)&gt;=2,INPUTS!$B$20,1)*SUMPRODUCT((CLASS!$E43:$N43="GAR")*1,LIVE!$E43:$N43)+SUMPRODUCT((CLASS!$E43:$N43="NR")*1,LIVE!$E43:$N43))</f>
        <v>379.898939113402</v>
      </c>
      <c r="O43" s="10" t="n">
        <f aca="false">INPUTS!$B$13*SUM(DEAD!$E43:$O43)+INPUTS!$B$14*(RED!O43*SUMPRODUCT((CLASS!$E43:$O43="RES")*1,LIVE!$E43:$O43)+IF(SUMPRODUCT((CLASS!$E43:$O43="GAR")*1)&gt;=2,INPUTS!$B$20,1)*SUMPRODUCT((CLASS!$E43:$O43="GAR")*1,LIVE!$E43:$O43)+SUMPRODUCT((CLASS!$E43:$O43="NR")*1,LIVE!$E43:$O43))</f>
        <v>417.494586198997</v>
      </c>
      <c r="P43" s="10" t="n">
        <f aca="false">INPUTS!$B$13*SUM(DEAD!$E43:$P43)+INPUTS!$B$14*(RED!P43*SUMPRODUCT((CLASS!$E43:$P43="RES")*1,LIVE!$E43:$P43)+IF(SUMPRODUCT((CLASS!$E43:$P43="GAR")*1)&gt;=2,INPUTS!$B$20,1)*SUMPRODUCT((CLASS!$E43:$P43="GAR")*1,LIVE!$E43:$P43)+SUMPRODUCT((CLASS!$E43:$P43="NR")*1,LIVE!$E43:$P43))</f>
        <v>455.970278615262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10" t="n">
        <f aca="false">INPUTS!$B$13*SUM(DEAD!$E44:$E44)+INPUTS!$B$14*(RED!E44*SUMPRODUCT((CLASS!$E44:$E44="RES")*1,LIVE!$E44:$E44)+IF(SUMPRODUCT((CLASS!$E44:$E44="GAR")*1)&gt;=2,INPUTS!$B$20,1)*SUMPRODUCT((CLASS!$E44:$E44="GAR")*1,LIVE!$E44:$E44)+SUMPRODUCT((CLASS!$E44:$E44="NR")*1,LIVE!$E44:$E44))</f>
        <v>0</v>
      </c>
      <c r="F44" s="10" t="n">
        <f aca="false">INPUTS!$B$13*SUM(DEAD!$E44:$F44)+INPUTS!$B$14*(RED!F44*SUMPRODUCT((CLASS!$E44:$F44="RES")*1,LIVE!$E44:$F44)+IF(SUMPRODUCT((CLASS!$E44:$F44="GAR")*1)&gt;=2,INPUTS!$B$20,1)*SUMPRODUCT((CLASS!$E44:$F44="GAR")*1,LIVE!$E44:$F44)+SUMPRODUCT((CLASS!$E44:$F44="NR")*1,LIVE!$E44:$F44))</f>
        <v>158.09</v>
      </c>
      <c r="G44" s="10" t="n">
        <f aca="false">INPUTS!$B$13*SUM(DEAD!$E44:$G44)+INPUTS!$B$14*(RED!G44*SUMPRODUCT((CLASS!$E44:$G44="RES")*1,LIVE!$E44:$G44)+IF(SUMPRODUCT((CLASS!$E44:$G44="GAR")*1)&gt;=2,INPUTS!$B$20,1)*SUMPRODUCT((CLASS!$E44:$G44="GAR")*1,LIVE!$E44:$G44)+SUMPRODUCT((CLASS!$E44:$G44="NR")*1,LIVE!$E44:$G44))</f>
        <v>252.306227918567</v>
      </c>
      <c r="H44" s="10" t="n">
        <f aca="false">INPUTS!$B$13*SUM(DEAD!$E44:$H44)+INPUTS!$B$14*(RED!H44*SUMPRODUCT((CLASS!$E44:$H44="RES")*1,LIVE!$E44:$H44)+IF(SUMPRODUCT((CLASS!$E44:$H44="GAR")*1)&gt;=2,INPUTS!$B$20,1)*SUMPRODUCT((CLASS!$E44:$H44="GAR")*1,LIVE!$E44:$H44)+SUMPRODUCT((CLASS!$E44:$H44="NR")*1,LIVE!$E44:$H44))</f>
        <v>339.372213067854</v>
      </c>
      <c r="I44" s="10" t="n">
        <f aca="false">INPUTS!$B$13*SUM(DEAD!$E44:$I44)+INPUTS!$B$14*(RED!I44*SUMPRODUCT((CLASS!$E44:$I44="RES")*1,LIVE!$E44:$I44)+IF(SUMPRODUCT((CLASS!$E44:$I44="GAR")*1)&gt;=2,INPUTS!$B$20,1)*SUMPRODUCT((CLASS!$E44:$I44="GAR")*1,LIVE!$E44:$I44)+SUMPRODUCT((CLASS!$E44:$I44="NR")*1,LIVE!$E44:$I44))</f>
        <v>425.261806923723</v>
      </c>
      <c r="J44" s="10" t="n">
        <f aca="false">INPUTS!$B$13*SUM(DEAD!$E44:$J44)+INPUTS!$B$14*(RED!J44*SUMPRODUCT((CLASS!$E44:$J44="RES")*1,LIVE!$E44:$J44)+IF(SUMPRODUCT((CLASS!$E44:$J44="GAR")*1)&gt;=2,INPUTS!$B$20,1)*SUMPRODUCT((CLASS!$E44:$J44="GAR")*1,LIVE!$E44:$J44)+SUMPRODUCT((CLASS!$E44:$J44="NR")*1,LIVE!$E44:$J44))</f>
        <v>510.708746896596</v>
      </c>
      <c r="K44" s="10" t="n">
        <f aca="false">INPUTS!$B$13*SUM(DEAD!$E44:$K44)+INPUTS!$B$14*(RED!K44*SUMPRODUCT((CLASS!$E44:$K44="RES")*1,LIVE!$E44:$K44)+IF(SUMPRODUCT((CLASS!$E44:$K44="GAR")*1)&gt;=2,INPUTS!$B$20,1)*SUMPRODUCT((CLASS!$E44:$K44="GAR")*1,LIVE!$E44:$K44)+SUMPRODUCT((CLASS!$E44:$K44="NR")*1,LIVE!$E44:$K44))</f>
        <v>592.107004038567</v>
      </c>
      <c r="L44" s="10" t="n">
        <f aca="false">INPUTS!$B$13*SUM(DEAD!$E44:$L44)+INPUTS!$B$14*(RED!L44*SUMPRODUCT((CLASS!$E44:$L44="RES")*1,LIVE!$E44:$L44)+IF(SUMPRODUCT((CLASS!$E44:$L44="GAR")*1)&gt;=2,INPUTS!$B$20,1)*SUMPRODUCT((CLASS!$E44:$L44="GAR")*1,LIVE!$E44:$L44)+SUMPRODUCT((CLASS!$E44:$L44="NR")*1,LIVE!$E44:$L44))</f>
        <v>678.5948</v>
      </c>
      <c r="M44" s="10" t="n">
        <f aca="false">INPUTS!$B$13*SUM(DEAD!$E44:$M44)+INPUTS!$B$14*(RED!M44*SUMPRODUCT((CLASS!$E44:$M44="RES")*1,LIVE!$E44:$M44)+IF(SUMPRODUCT((CLASS!$E44:$M44="GAR")*1)&gt;=2,INPUTS!$B$20,1)*SUMPRODUCT((CLASS!$E44:$M44="GAR")*1,LIVE!$E44:$M44)+SUMPRODUCT((CLASS!$E44:$M44="NR")*1,LIVE!$E44:$M44))</f>
        <v>765.4304</v>
      </c>
      <c r="N44" s="10" t="n">
        <f aca="false">INPUTS!$B$13*SUM(DEAD!$E44:$N44)+INPUTS!$B$14*(RED!N44*SUMPRODUCT((CLASS!$E44:$N44="RES")*1,LIVE!$E44:$N44)+IF(SUMPRODUCT((CLASS!$E44:$N44="GAR")*1)&gt;=2,INPUTS!$B$20,1)*SUMPRODUCT((CLASS!$E44:$N44="GAR")*1,LIVE!$E44:$N44)+SUMPRODUCT((CLASS!$E44:$N44="NR")*1,LIVE!$E44:$N44))</f>
        <v>852.266</v>
      </c>
      <c r="O44" s="10" t="n">
        <f aca="false">INPUTS!$B$13*SUM(DEAD!$E44:$O44)+INPUTS!$B$14*(RED!O44*SUMPRODUCT((CLASS!$E44:$O44="RES")*1,LIVE!$E44:$O44)+IF(SUMPRODUCT((CLASS!$E44:$O44="GAR")*1)&gt;=2,INPUTS!$B$20,1)*SUMPRODUCT((CLASS!$E44:$O44="GAR")*1,LIVE!$E44:$O44)+SUMPRODUCT((CLASS!$E44:$O44="NR")*1,LIVE!$E44:$O44))</f>
        <v>939.1016</v>
      </c>
      <c r="P44" s="10" t="n">
        <f aca="false">INPUTS!$B$13*SUM(DEAD!$E44:$P44)+INPUTS!$B$14*(RED!P44*SUMPRODUCT((CLASS!$E44:$P44="RES")*1,LIVE!$E44:$P44)+IF(SUMPRODUCT((CLASS!$E44:$P44="GAR")*1)&gt;=2,INPUTS!$B$20,1)*SUMPRODUCT((CLASS!$E44:$P44="GAR")*1,LIVE!$E44:$P44)+SUMPRODUCT((CLASS!$E44:$P44="NR")*1,LIVE!$E44:$P44))</f>
        <v>1026.5672</v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10" t="n">
        <f aca="false">INPUTS!$B$13*SUM(DEAD!$E45:$E45)+INPUTS!$B$14*(RED!E45*SUMPRODUCT((CLASS!$E45:$E45="RES")*1,LIVE!$E45:$E45)+IF(SUMPRODUCT((CLASS!$E45:$E45="GAR")*1)&gt;=2,INPUTS!$B$20,1)*SUMPRODUCT((CLASS!$E45:$E45="GAR")*1,LIVE!$E45:$E45)+SUMPRODUCT((CLASS!$E45:$E45="NR")*1,LIVE!$E45:$E45))</f>
        <v>0</v>
      </c>
      <c r="F45" s="10" t="n">
        <f aca="false">INPUTS!$B$13*SUM(DEAD!$E45:$F45)+INPUTS!$B$14*(RED!F45*SUMPRODUCT((CLASS!$E45:$F45="RES")*1,LIVE!$E45:$F45)+IF(SUMPRODUCT((CLASS!$E45:$F45="GAR")*1)&gt;=2,INPUTS!$B$20,1)*SUMPRODUCT((CLASS!$E45:$F45="GAR")*1,LIVE!$E45:$F45)+SUMPRODUCT((CLASS!$E45:$F45="NR")*1,LIVE!$E45:$F45))</f>
        <v>75.614</v>
      </c>
      <c r="G45" s="10" t="n">
        <f aca="false">INPUTS!$B$13*SUM(DEAD!$E45:$G45)+INPUTS!$B$14*(RED!G45*SUMPRODUCT((CLASS!$E45:$G45="RES")*1,LIVE!$E45:$G45)+IF(SUMPRODUCT((CLASS!$E45:$G45="GAR")*1)&gt;=2,INPUTS!$B$20,1)*SUMPRODUCT((CLASS!$E45:$G45="GAR")*1,LIVE!$E45:$G45)+SUMPRODUCT((CLASS!$E45:$G45="NR")*1,LIVE!$E45:$G45))</f>
        <v>124.159348093962</v>
      </c>
      <c r="H45" s="10" t="n">
        <f aca="false">INPUTS!$B$13*SUM(DEAD!$E45:$H45)+INPUTS!$B$14*(RED!H45*SUMPRODUCT((CLASS!$E45:$H45="RES")*1,LIVE!$E45:$H45)+IF(SUMPRODUCT((CLASS!$E45:$H45="GAR")*1)&gt;=2,INPUTS!$B$20,1)*SUMPRODUCT((CLASS!$E45:$H45="GAR")*1,LIVE!$E45:$H45)+SUMPRODUCT((CLASS!$E45:$H45="NR")*1,LIVE!$E45:$H45))</f>
        <v>167.845393779087</v>
      </c>
      <c r="I45" s="10" t="n">
        <f aca="false">INPUTS!$B$13*SUM(DEAD!$E45:$I45)+INPUTS!$B$14*(RED!I45*SUMPRODUCT((CLASS!$E45:$I45="RES")*1,LIVE!$E45:$I45)+IF(SUMPRODUCT((CLASS!$E45:$I45="GAR")*1)&gt;=2,INPUTS!$B$20,1)*SUMPRODUCT((CLASS!$E45:$I45="GAR")*1,LIVE!$E45:$I45)+SUMPRODUCT((CLASS!$E45:$I45="NR")*1,LIVE!$E45:$I45))</f>
        <v>210.731964365212</v>
      </c>
      <c r="J45" s="10" t="n">
        <f aca="false">INPUTS!$B$13*SUM(DEAD!$E45:$J45)+INPUTS!$B$14*(RED!J45*SUMPRODUCT((CLASS!$E45:$J45="RES")*1,LIVE!$E45:$J45)+IF(SUMPRODUCT((CLASS!$E45:$J45="GAR")*1)&gt;=2,INPUTS!$B$20,1)*SUMPRODUCT((CLASS!$E45:$J45="GAR")*1,LIVE!$E45:$J45)+SUMPRODUCT((CLASS!$E45:$J45="NR")*1,LIVE!$E45:$J45))</f>
        <v>253.204696187924</v>
      </c>
      <c r="K45" s="10" t="n">
        <f aca="false">INPUTS!$B$13*SUM(DEAD!$E45:$K45)+INPUTS!$B$14*(RED!K45*SUMPRODUCT((CLASS!$E45:$K45="RES")*1,LIVE!$E45:$K45)+IF(SUMPRODUCT((CLASS!$E45:$K45="GAR")*1)&gt;=2,INPUTS!$B$20,1)*SUMPRODUCT((CLASS!$E45:$K45="GAR")*1,LIVE!$E45:$K45)+SUMPRODUCT((CLASS!$E45:$K45="NR")*1,LIVE!$E45:$K45))</f>
        <v>295.412962235123</v>
      </c>
      <c r="L45" s="10" t="n">
        <f aca="false">INPUTS!$B$13*SUM(DEAD!$E45:$L45)+INPUTS!$B$14*(RED!L45*SUMPRODUCT((CLASS!$E45:$L45="RES")*1,LIVE!$E45:$L45)+IF(SUMPRODUCT((CLASS!$E45:$L45="GAR")*1)&gt;=2,INPUTS!$B$20,1)*SUMPRODUCT((CLASS!$E45:$L45="GAR")*1,LIVE!$E45:$L45)+SUMPRODUCT((CLASS!$E45:$L45="NR")*1,LIVE!$E45:$L45))</f>
        <v>337.433370068976</v>
      </c>
      <c r="M45" s="10" t="n">
        <f aca="false">INPUTS!$B$13*SUM(DEAD!$E45:$M45)+INPUTS!$B$14*(RED!M45*SUMPRODUCT((CLASS!$E45:$M45="RES")*1,LIVE!$E45:$M45)+IF(SUMPRODUCT((CLASS!$E45:$M45="GAR")*1)&gt;=2,INPUTS!$B$20,1)*SUMPRODUCT((CLASS!$E45:$M45="GAR")*1,LIVE!$E45:$M45)+SUMPRODUCT((CLASS!$E45:$M45="NR")*1,LIVE!$E45:$M45))</f>
        <v>379.311428095337</v>
      </c>
      <c r="N45" s="10" t="n">
        <f aca="false">INPUTS!$B$13*SUM(DEAD!$E45:$N45)+INPUTS!$B$14*(RED!N45*SUMPRODUCT((CLASS!$E45:$N45="RES")*1,LIVE!$E45:$N45)+IF(SUMPRODUCT((CLASS!$E45:$N45="GAR")*1)&gt;=2,INPUTS!$B$20,1)*SUMPRODUCT((CLASS!$E45:$N45="GAR")*1,LIVE!$E45:$N45)+SUMPRODUCT((CLASS!$E45:$N45="NR")*1,LIVE!$E45:$N45))</f>
        <v>421.076787558174</v>
      </c>
      <c r="O45" s="10" t="n">
        <f aca="false">INPUTS!$B$13*SUM(DEAD!$E45:$O45)+INPUTS!$B$14*(RED!O45*SUMPRODUCT((CLASS!$E45:$O45="RES")*1,LIVE!$E45:$O45)+IF(SUMPRODUCT((CLASS!$E45:$O45="GAR")*1)&gt;=2,INPUTS!$B$20,1)*SUMPRODUCT((CLASS!$E45:$O45="GAR")*1,LIVE!$E45:$O45)+SUMPRODUCT((CLASS!$E45:$O45="NR")*1,LIVE!$E45:$O45))</f>
        <v>462.750044281886</v>
      </c>
      <c r="P45" s="10" t="n">
        <f aca="false">INPUTS!$B$13*SUM(DEAD!$E45:$P45)+INPUTS!$B$14*(RED!P45*SUMPRODUCT((CLASS!$E45:$P45="RES")*1,LIVE!$E45:$P45)+IF(SUMPRODUCT((CLASS!$E45:$P45="GAR")*1)&gt;=2,INPUTS!$B$20,1)*SUMPRODUCT((CLASS!$E45:$P45="GAR")*1,LIVE!$E45:$P45)+SUMPRODUCT((CLASS!$E45:$P45="NR")*1,LIVE!$E45:$P45))</f>
        <v>504.976193960857</v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10" t="n">
        <f aca="false">INPUTS!$B$13*SUM(DEAD!$E46:$E46)+INPUTS!$B$14*(RED!E46*SUMPRODUCT((CLASS!$E46:$E46="RES")*1,LIVE!$E46:$E46)+IF(SUMPRODUCT((CLASS!$E46:$E46="GAR")*1)&gt;=2,INPUTS!$B$20,1)*SUMPRODUCT((CLASS!$E46:$E46="GAR")*1,LIVE!$E46:$E46)+SUMPRODUCT((CLASS!$E46:$E46="NR")*1,LIVE!$E46:$E46))</f>
        <v>0</v>
      </c>
      <c r="F46" s="10" t="n">
        <f aca="false">INPUTS!$B$13*SUM(DEAD!$E46:$F46)+INPUTS!$B$14*(RED!F46*SUMPRODUCT((CLASS!$E46:$F46="RES")*1,LIVE!$E46:$F46)+IF(SUMPRODUCT((CLASS!$E46:$F46="GAR")*1)&gt;=2,INPUTS!$B$20,1)*SUMPRODUCT((CLASS!$E46:$F46="GAR")*1,LIVE!$E46:$F46)+SUMPRODUCT((CLASS!$E46:$F46="NR")*1,LIVE!$E46:$F46))</f>
        <v>54.949</v>
      </c>
      <c r="G46" s="10" t="n">
        <f aca="false">INPUTS!$B$13*SUM(DEAD!$E46:$G46)+INPUTS!$B$14*(RED!G46*SUMPRODUCT((CLASS!$E46:$G46="RES")*1,LIVE!$E46:$G46)+IF(SUMPRODUCT((CLASS!$E46:$G46="GAR")*1)&gt;=2,INPUTS!$B$20,1)*SUMPRODUCT((CLASS!$E46:$G46="GAR")*1,LIVE!$E46:$G46)+SUMPRODUCT((CLASS!$E46:$G46="NR")*1,LIVE!$E46:$G46))</f>
        <v>113.399482695505</v>
      </c>
      <c r="H46" s="10" t="n">
        <f aca="false">INPUTS!$B$13*SUM(DEAD!$E46:$H46)+INPUTS!$B$14*(RED!H46*SUMPRODUCT((CLASS!$E46:$H46="RES")*1,LIVE!$E46:$H46)+IF(SUMPRODUCT((CLASS!$E46:$H46="GAR")*1)&gt;=2,INPUTS!$B$20,1)*SUMPRODUCT((CLASS!$E46:$H46="GAR")*1,LIVE!$E46:$H46)+SUMPRODUCT((CLASS!$E46:$H46="NR")*1,LIVE!$E46:$H46))</f>
        <v>166.595459521412</v>
      </c>
      <c r="I46" s="10" t="n">
        <f aca="false">INPUTS!$B$13*SUM(DEAD!$E46:$I46)+INPUTS!$B$14*(RED!I46*SUMPRODUCT((CLASS!$E46:$I46="RES")*1,LIVE!$E46:$I46)+IF(SUMPRODUCT((CLASS!$E46:$I46="GAR")*1)&gt;=2,INPUTS!$B$20,1)*SUMPRODUCT((CLASS!$E46:$I46="GAR")*1,LIVE!$E46:$I46)+SUMPRODUCT((CLASS!$E46:$I46="NR")*1,LIVE!$E46:$I46))</f>
        <v>218.959918832247</v>
      </c>
      <c r="J46" s="10" t="n">
        <f aca="false">INPUTS!$B$13*SUM(DEAD!$E46:$J46)+INPUTS!$B$14*(RED!J46*SUMPRODUCT((CLASS!$E46:$J46="RES")*1,LIVE!$E46:$J46)+IF(SUMPRODUCT((CLASS!$E46:$J46="GAR")*1)&gt;=2,INPUTS!$B$20,1)*SUMPRODUCT((CLASS!$E46:$J46="GAR")*1,LIVE!$E46:$J46)+SUMPRODUCT((CLASS!$E46:$J46="NR")*1,LIVE!$E46:$J46))</f>
        <v>270.893387435058</v>
      </c>
      <c r="K46" s="10" t="n">
        <f aca="false">INPUTS!$B$13*SUM(DEAD!$E46:$K46)+INPUTS!$B$14*(RED!K46*SUMPRODUCT((CLASS!$E46:$K46="RES")*1,LIVE!$E46:$K46)+IF(SUMPRODUCT((CLASS!$E46:$K46="GAR")*1)&gt;=2,INPUTS!$B$20,1)*SUMPRODUCT((CLASS!$E46:$K46="GAR")*1,LIVE!$E46:$K46)+SUMPRODUCT((CLASS!$E46:$K46="NR")*1,LIVE!$E46:$K46))</f>
        <v>322.551271361759</v>
      </c>
      <c r="L46" s="10" t="n">
        <f aca="false">INPUTS!$B$13*SUM(DEAD!$E46:$L46)+INPUTS!$B$14*(RED!L46*SUMPRODUCT((CLASS!$E46:$L46="RES")*1,LIVE!$E46:$L46)+IF(SUMPRODUCT((CLASS!$E46:$L46="GAR")*1)&gt;=2,INPUTS!$B$20,1)*SUMPRODUCT((CLASS!$E46:$L46="GAR")*1,LIVE!$E46:$L46)+SUMPRODUCT((CLASS!$E46:$L46="NR")*1,LIVE!$E46:$L46))</f>
        <v>374.013334776278</v>
      </c>
      <c r="M46" s="10" t="n">
        <f aca="false">INPUTS!$B$13*SUM(DEAD!$E46:$M46)+INPUTS!$B$14*(RED!M46*SUMPRODUCT((CLASS!$E46:$M46="RES")*1,LIVE!$E46:$M46)+IF(SUMPRODUCT((CLASS!$E46:$M46="GAR")*1)&gt;=2,INPUTS!$B$20,1)*SUMPRODUCT((CLASS!$E46:$M46="GAR")*1,LIVE!$E46:$M46)+SUMPRODUCT((CLASS!$E46:$M46="NR")*1,LIVE!$E46:$M46))</f>
        <v>425.326983219127</v>
      </c>
      <c r="N46" s="10" t="n">
        <f aca="false">INPUTS!$B$13*SUM(DEAD!$E46:$N46)+INPUTS!$B$14*(RED!N46*SUMPRODUCT((CLASS!$E46:$N46="RES")*1,LIVE!$E46:$N46)+IF(SUMPRODUCT((CLASS!$E46:$N46="GAR")*1)&gt;=2,INPUTS!$B$20,1)*SUMPRODUCT((CLASS!$E46:$N46="GAR")*1,LIVE!$E46:$N46)+SUMPRODUCT((CLASS!$E46:$N46="NR")*1,LIVE!$E46:$N46))</f>
        <v>476.523113578572</v>
      </c>
      <c r="O46" s="10" t="n">
        <f aca="false">INPUTS!$B$13*SUM(DEAD!$E46:$O46)+INPUTS!$B$14*(RED!O46*SUMPRODUCT((CLASS!$E46:$O46="RES")*1,LIVE!$E46:$O46)+IF(SUMPRODUCT((CLASS!$E46:$O46="GAR")*1)&gt;=2,INPUTS!$B$20,1)*SUMPRODUCT((CLASS!$E46:$O46="GAR")*1,LIVE!$E46:$O46)+SUMPRODUCT((CLASS!$E46:$O46="NR")*1,LIVE!$E46:$O46))</f>
        <v>527.623191673337</v>
      </c>
      <c r="P46" s="10" t="n">
        <f aca="false">INPUTS!$B$13*SUM(DEAD!$E46:$P46)+INPUTS!$B$14*(RED!P46*SUMPRODUCT((CLASS!$E46:$P46="RES")*1,LIVE!$E46:$P46)+IF(SUMPRODUCT((CLASS!$E46:$P46="GAR")*1)&gt;=2,INPUTS!$B$20,1)*SUMPRODUCT((CLASS!$E46:$P46="GAR")*1,LIVE!$E46:$P46)+SUMPRODUCT((CLASS!$E46:$P46="NR")*1,LIVE!$E46:$P46))</f>
        <v>579.587849254625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10" t="n">
        <f aca="false">INPUTS!$B$13*SUM(DEAD!$E47:$E47)+INPUTS!$B$14*(RED!E47*SUMPRODUCT((CLASS!$E47:$E47="RES")*1,LIVE!$E47:$E47)+IF(SUMPRODUCT((CLASS!$E47:$E47="GAR")*1)&gt;=2,INPUTS!$B$20,1)*SUMPRODUCT((CLASS!$E47:$E47="GAR")*1,LIVE!$E47:$E47)+SUMPRODUCT((CLASS!$E47:$E47="NR")*1,LIVE!$E47:$E47))</f>
        <v>0</v>
      </c>
      <c r="F47" s="10" t="n">
        <f aca="false">INPUTS!$B$13*SUM(DEAD!$E47:$F47)+INPUTS!$B$14*(RED!F47*SUMPRODUCT((CLASS!$E47:$F47="RES")*1,LIVE!$E47:$F47)+IF(SUMPRODUCT((CLASS!$E47:$F47="GAR")*1)&gt;=2,INPUTS!$B$20,1)*SUMPRODUCT((CLASS!$E47:$F47="GAR")*1,LIVE!$E47:$F47)+SUMPRODUCT((CLASS!$E47:$F47="NR")*1,LIVE!$E47:$F47))</f>
        <v>157.029</v>
      </c>
      <c r="G47" s="10" t="n">
        <f aca="false">INPUTS!$B$13*SUM(DEAD!$E47:$G47)+INPUTS!$B$14*(RED!G47*SUMPRODUCT((CLASS!$E47:$G47="RES")*1,LIVE!$E47:$G47)+IF(SUMPRODUCT((CLASS!$E47:$G47="GAR")*1)&gt;=2,INPUTS!$B$20,1)*SUMPRODUCT((CLASS!$E47:$G47="GAR")*1,LIVE!$E47:$G47)+SUMPRODUCT((CLASS!$E47:$G47="NR")*1,LIVE!$E47:$G47))</f>
        <v>251.551012886377</v>
      </c>
      <c r="H47" s="10" t="n">
        <f aca="false">INPUTS!$B$13*SUM(DEAD!$E47:$H47)+INPUTS!$B$14*(RED!H47*SUMPRODUCT((CLASS!$E47:$H47="RES")*1,LIVE!$E47:$H47)+IF(SUMPRODUCT((CLASS!$E47:$H47="GAR")*1)&gt;=2,INPUTS!$B$20,1)*SUMPRODUCT((CLASS!$E47:$H47="GAR")*1,LIVE!$E47:$H47)+SUMPRODUCT((CLASS!$E47:$H47="NR")*1,LIVE!$E47:$H47))</f>
        <v>339.004333281246</v>
      </c>
      <c r="I47" s="10" t="n">
        <f aca="false">INPUTS!$B$13*SUM(DEAD!$E47:$I47)+INPUTS!$B$14*(RED!I47*SUMPRODUCT((CLASS!$E47:$I47="RES")*1,LIVE!$E47:$I47)+IF(SUMPRODUCT((CLASS!$E47:$I47="GAR")*1)&gt;=2,INPUTS!$B$20,1)*SUMPRODUCT((CLASS!$E47:$I47="GAR")*1,LIVE!$E47:$I47)+SUMPRODUCT((CLASS!$E47:$I47="NR")*1,LIVE!$E47:$I47))</f>
        <v>425.294679414794</v>
      </c>
      <c r="J47" s="10" t="n">
        <f aca="false">INPUTS!$B$13*SUM(DEAD!$E47:$J47)+INPUTS!$B$14*(RED!J47*SUMPRODUCT((CLASS!$E47:$J47="RES")*1,LIVE!$E47:$J47)+IF(SUMPRODUCT((CLASS!$E47:$J47="GAR")*1)&gt;=2,INPUTS!$B$20,1)*SUMPRODUCT((CLASS!$E47:$J47="GAR")*1,LIVE!$E47:$J47)+SUMPRODUCT((CLASS!$E47:$J47="NR")*1,LIVE!$E47:$J47))</f>
        <v>511.149389392054</v>
      </c>
      <c r="K47" s="10" t="n">
        <f aca="false">INPUTS!$B$13*SUM(DEAD!$E47:$K47)+INPUTS!$B$14*(RED!K47*SUMPRODUCT((CLASS!$E47:$K47="RES")*1,LIVE!$E47:$K47)+IF(SUMPRODUCT((CLASS!$E47:$K47="GAR")*1)&gt;=2,INPUTS!$B$20,1)*SUMPRODUCT((CLASS!$E47:$K47="GAR")*1,LIVE!$E47:$K47)+SUMPRODUCT((CLASS!$E47:$K47="NR")*1,LIVE!$E47:$K47))</f>
        <v>593.001527670821</v>
      </c>
      <c r="L47" s="10" t="n">
        <f aca="false">INPUTS!$B$13*SUM(DEAD!$E47:$L47)+INPUTS!$B$14*(RED!L47*SUMPRODUCT((CLASS!$E47:$L47="RES")*1,LIVE!$E47:$L47)+IF(SUMPRODUCT((CLASS!$E47:$L47="GAR")*1)&gt;=2,INPUTS!$B$20,1)*SUMPRODUCT((CLASS!$E47:$L47="GAR")*1,LIVE!$E47:$L47)+SUMPRODUCT((CLASS!$E47:$L47="NR")*1,LIVE!$E47:$L47))</f>
        <v>679.5702</v>
      </c>
      <c r="M47" s="10" t="n">
        <f aca="false">INPUTS!$B$13*SUM(DEAD!$E47:$M47)+INPUTS!$B$14*(RED!M47*SUMPRODUCT((CLASS!$E47:$M47="RES")*1,LIVE!$E47:$M47)+IF(SUMPRODUCT((CLASS!$E47:$M47="GAR")*1)&gt;=2,INPUTS!$B$20,1)*SUMPRODUCT((CLASS!$E47:$M47="GAR")*1,LIVE!$E47:$M47)+SUMPRODUCT((CLASS!$E47:$M47="NR")*1,LIVE!$E47:$M47))</f>
        <v>766.7452</v>
      </c>
      <c r="N47" s="10" t="n">
        <f aca="false">INPUTS!$B$13*SUM(DEAD!$E47:$N47)+INPUTS!$B$14*(RED!N47*SUMPRODUCT((CLASS!$E47:$N47="RES")*1,LIVE!$E47:$N47)+IF(SUMPRODUCT((CLASS!$E47:$N47="GAR")*1)&gt;=2,INPUTS!$B$20,1)*SUMPRODUCT((CLASS!$E47:$N47="GAR")*1,LIVE!$E47:$N47)+SUMPRODUCT((CLASS!$E47:$N47="NR")*1,LIVE!$E47:$N47))</f>
        <v>853.9202</v>
      </c>
      <c r="O47" s="10" t="n">
        <f aca="false">INPUTS!$B$13*SUM(DEAD!$E47:$O47)+INPUTS!$B$14*(RED!O47*SUMPRODUCT((CLASS!$E47:$O47="RES")*1,LIVE!$E47:$O47)+IF(SUMPRODUCT((CLASS!$E47:$O47="GAR")*1)&gt;=2,INPUTS!$B$20,1)*SUMPRODUCT((CLASS!$E47:$O47="GAR")*1,LIVE!$E47:$O47)+SUMPRODUCT((CLASS!$E47:$O47="NR")*1,LIVE!$E47:$O47))</f>
        <v>941.0952</v>
      </c>
      <c r="P47" s="10" t="n">
        <f aca="false">INPUTS!$B$13*SUM(DEAD!$E47:$P47)+INPUTS!$B$14*(RED!P47*SUMPRODUCT((CLASS!$E47:$P47="RES")*1,LIVE!$E47:$P47)+IF(SUMPRODUCT((CLASS!$E47:$P47="GAR")*1)&gt;=2,INPUTS!$B$20,1)*SUMPRODUCT((CLASS!$E47:$P47="GAR")*1,LIVE!$E47:$P47)+SUMPRODUCT((CLASS!$E47:$P47="NR")*1,LIVE!$E47:$P47))</f>
        <v>1029.2152</v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10" t="n">
        <f aca="false">INPUTS!$B$13*SUM(DEAD!$E48:$E48)+INPUTS!$B$14*(RED!E48*SUMPRODUCT((CLASS!$E48:$E48="RES")*1,LIVE!$E48:$E48)+IF(SUMPRODUCT((CLASS!$E48:$E48="GAR")*1)&gt;=2,INPUTS!$B$20,1)*SUMPRODUCT((CLASS!$E48:$E48="GAR")*1,LIVE!$E48:$E48)+SUMPRODUCT((CLASS!$E48:$E48="NR")*1,LIVE!$E48:$E48))</f>
        <v>0</v>
      </c>
      <c r="F48" s="10" t="n">
        <f aca="false">INPUTS!$B$13*SUM(DEAD!$E48:$F48)+INPUTS!$B$14*(RED!F48*SUMPRODUCT((CLASS!$E48:$F48="RES")*1,LIVE!$E48:$F48)+IF(SUMPRODUCT((CLASS!$E48:$F48="GAR")*1)&gt;=2,INPUTS!$B$20,1)*SUMPRODUCT((CLASS!$E48:$F48="GAR")*1,LIVE!$E48:$F48)+SUMPRODUCT((CLASS!$E48:$F48="NR")*1,LIVE!$E48:$F48))</f>
        <v>70.558</v>
      </c>
      <c r="G48" s="10" t="n">
        <f aca="false">INPUTS!$B$13*SUM(DEAD!$E48:$G48)+INPUTS!$B$14*(RED!G48*SUMPRODUCT((CLASS!$E48:$G48="RES")*1,LIVE!$E48:$G48)+IF(SUMPRODUCT((CLASS!$E48:$G48="GAR")*1)&gt;=2,INPUTS!$B$20,1)*SUMPRODUCT((CLASS!$E48:$G48="GAR")*1,LIVE!$E48:$G48)+SUMPRODUCT((CLASS!$E48:$G48="NR")*1,LIVE!$E48:$G48))</f>
        <v>116.24159743795</v>
      </c>
      <c r="H48" s="10" t="n">
        <f aca="false">INPUTS!$B$13*SUM(DEAD!$E48:$H48)+INPUTS!$B$14*(RED!H48*SUMPRODUCT((CLASS!$E48:$H48="RES")*1,LIVE!$E48:$H48)+IF(SUMPRODUCT((CLASS!$E48:$H48="GAR")*1)&gt;=2,INPUTS!$B$20,1)*SUMPRODUCT((CLASS!$E48:$H48="GAR")*1,LIVE!$E48:$H48)+SUMPRODUCT((CLASS!$E48:$H48="NR")*1,LIVE!$E48:$H48))</f>
        <v>157.2426539089</v>
      </c>
      <c r="I48" s="10" t="n">
        <f aca="false">INPUTS!$B$13*SUM(DEAD!$E48:$I48)+INPUTS!$B$14*(RED!I48*SUMPRODUCT((CLASS!$E48:$I48="RES")*1,LIVE!$E48:$I48)+IF(SUMPRODUCT((CLASS!$E48:$I48="GAR")*1)&gt;=2,INPUTS!$B$20,1)*SUMPRODUCT((CLASS!$E48:$I48="GAR")*1,LIVE!$E48:$I48)+SUMPRODUCT((CLASS!$E48:$I48="NR")*1,LIVE!$E48:$I48))</f>
        <v>197.473316897782</v>
      </c>
      <c r="J48" s="10" t="n">
        <f aca="false">INPUTS!$B$13*SUM(DEAD!$E48:$J48)+INPUTS!$B$14*(RED!J48*SUMPRODUCT((CLASS!$E48:$J48="RES")*1,LIVE!$E48:$J48)+IF(SUMPRODUCT((CLASS!$E48:$J48="GAR")*1)&gt;=2,INPUTS!$B$20,1)*SUMPRODUCT((CLASS!$E48:$J48="GAR")*1,LIVE!$E48:$J48)+SUMPRODUCT((CLASS!$E48:$J48="NR")*1,LIVE!$E48:$J48))</f>
        <v>237.3051948759</v>
      </c>
      <c r="K48" s="10" t="n">
        <f aca="false">INPUTS!$B$13*SUM(DEAD!$E48:$K48)+INPUTS!$B$14*(RED!K48*SUMPRODUCT((CLASS!$E48:$K48="RES")*1,LIVE!$E48:$K48)+IF(SUMPRODUCT((CLASS!$E48:$K48="GAR")*1)&gt;=2,INPUTS!$B$20,1)*SUMPRODUCT((CLASS!$E48:$K48="GAR")*1,LIVE!$E48:$K48)+SUMPRODUCT((CLASS!$E48:$K48="NR")*1,LIVE!$E48:$K48))</f>
        <v>276.882227256024</v>
      </c>
      <c r="L48" s="10" t="n">
        <f aca="false">INPUTS!$B$13*SUM(DEAD!$E48:$L48)+INPUTS!$B$14*(RED!L48*SUMPRODUCT((CLASS!$E48:$L48="RES")*1,LIVE!$E48:$L48)+IF(SUMPRODUCT((CLASS!$E48:$L48="GAR")*1)&gt;=2,INPUTS!$B$20,1)*SUMPRODUCT((CLASS!$E48:$L48="GAR")*1,LIVE!$E48:$L48)+SUMPRODUCT((CLASS!$E48:$L48="NR")*1,LIVE!$E48:$L48))</f>
        <v>316.278234932196</v>
      </c>
      <c r="M48" s="10" t="n">
        <f aca="false">INPUTS!$B$13*SUM(DEAD!$E48:$M48)+INPUTS!$B$14*(RED!M48*SUMPRODUCT((CLASS!$E48:$M48="RES")*1,LIVE!$E48:$M48)+IF(SUMPRODUCT((CLASS!$E48:$M48="GAR")*1)&gt;=2,INPUTS!$B$20,1)*SUMPRODUCT((CLASS!$E48:$M48="GAR")*1,LIVE!$E48:$M48)+SUMPRODUCT((CLASS!$E48:$M48="NR")*1,LIVE!$E48:$M48))</f>
        <v>355.537070901579</v>
      </c>
      <c r="N48" s="10" t="n">
        <f aca="false">INPUTS!$B$13*SUM(DEAD!$E48:$N48)+INPUTS!$B$14*(RED!N48*SUMPRODUCT((CLASS!$E48:$N48="RES")*1,LIVE!$E48:$N48)+IF(SUMPRODUCT((CLASS!$E48:$N48="GAR")*1)&gt;=2,INPUTS!$B$20,1)*SUMPRODUCT((CLASS!$E48:$N48="GAR")*1,LIVE!$E48:$N48)+SUMPRODUCT((CLASS!$E48:$N48="NR")*1,LIVE!$E48:$N48))</f>
        <v>394.687307817799</v>
      </c>
      <c r="O48" s="10" t="n">
        <f aca="false">INPUTS!$B$13*SUM(DEAD!$E48:$O48)+INPUTS!$B$14*(RED!O48*SUMPRODUCT((CLASS!$E48:$O48="RES")*1,LIVE!$E48:$O48)+IF(SUMPRODUCT((CLASS!$E48:$O48="GAR")*1)&gt;=2,INPUTS!$B$20,1)*SUMPRODUCT((CLASS!$E48:$O48="GAR")*1,LIVE!$E48:$O48)+SUMPRODUCT((CLASS!$E48:$O48="NR")*1,LIVE!$E48:$O48))</f>
        <v>433.74879231385</v>
      </c>
      <c r="P48" s="10" t="n">
        <f aca="false">INPUTS!$B$13*SUM(DEAD!$E48:$P48)+INPUTS!$B$14*(RED!P48*SUMPRODUCT((CLASS!$E48:$P48="RES")*1,LIVE!$E48:$P48)+IF(SUMPRODUCT((CLASS!$E48:$P48="GAR")*1)&gt;=2,INPUTS!$B$20,1)*SUMPRODUCT((CLASS!$E48:$P48="GAR")*1,LIVE!$E48:$P48)+SUMPRODUCT((CLASS!$E48:$P48="NR")*1,LIVE!$E48:$P48))</f>
        <v>473.365974602408</v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10" t="n">
        <f aca="false">INPUTS!$B$13*SUM(DEAD!$E49:$E49)+INPUTS!$B$14*(RED!E49*SUMPRODUCT((CLASS!$E49:$E49="RES")*1,LIVE!$E49:$E49)+IF(SUMPRODUCT((CLASS!$E49:$E49="GAR")*1)&gt;=2,INPUTS!$B$20,1)*SUMPRODUCT((CLASS!$E49:$E49="GAR")*1,LIVE!$E49:$E49)+SUMPRODUCT((CLASS!$E49:$E49="NR")*1,LIVE!$E49:$E49))</f>
        <v>0</v>
      </c>
      <c r="F49" s="10" t="n">
        <f aca="false">INPUTS!$B$13*SUM(DEAD!$E49:$F49)+INPUTS!$B$14*(RED!F49*SUMPRODUCT((CLASS!$E49:$F49="RES")*1,LIVE!$E49:$F49)+IF(SUMPRODUCT((CLASS!$E49:$F49="GAR")*1)&gt;=2,INPUTS!$B$20,1)*SUMPRODUCT((CLASS!$E49:$F49="GAR")*1,LIVE!$E49:$F49)+SUMPRODUCT((CLASS!$E49:$F49="NR")*1,LIVE!$E49:$F49))</f>
        <v>91.098</v>
      </c>
      <c r="G49" s="10" t="n">
        <f aca="false">INPUTS!$B$13*SUM(DEAD!$E49:$G49)+INPUTS!$B$14*(RED!G49*SUMPRODUCT((CLASS!$E49:$G49="RES")*1,LIVE!$E49:$G49)+IF(SUMPRODUCT((CLASS!$E49:$G49="GAR")*1)&gt;=2,INPUTS!$B$20,1)*SUMPRODUCT((CLASS!$E49:$G49="GAR")*1,LIVE!$E49:$G49)+SUMPRODUCT((CLASS!$E49:$G49="NR")*1,LIVE!$E49:$G49))</f>
        <v>148.345816333603</v>
      </c>
      <c r="H49" s="10" t="n">
        <f aca="false">INPUTS!$B$13*SUM(DEAD!$E49:$H49)+INPUTS!$B$14*(RED!H49*SUMPRODUCT((CLASS!$E49:$H49="RES")*1,LIVE!$E49:$H49)+IF(SUMPRODUCT((CLASS!$E49:$H49="GAR")*1)&gt;=2,INPUTS!$B$20,1)*SUMPRODUCT((CLASS!$E49:$H49="GAR")*1,LIVE!$E49:$H49)+SUMPRODUCT((CLASS!$E49:$H49="NR")*1,LIVE!$E49:$H49))</f>
        <v>200.229108060703</v>
      </c>
      <c r="I49" s="10" t="n">
        <f aca="false">INPUTS!$B$13*SUM(DEAD!$E49:$I49)+INPUTS!$B$14*(RED!I49*SUMPRODUCT((CLASS!$E49:$I49="RES")*1,LIVE!$E49:$I49)+IF(SUMPRODUCT((CLASS!$E49:$I49="GAR")*1)&gt;=2,INPUTS!$B$20,1)*SUMPRODUCT((CLASS!$E49:$I49="GAR")*1,LIVE!$E49:$I49)+SUMPRODUCT((CLASS!$E49:$I49="NR")*1,LIVE!$E49:$I49))</f>
        <v>251.229803176184</v>
      </c>
      <c r="J49" s="10" t="n">
        <f aca="false">INPUTS!$B$13*SUM(DEAD!$E49:$J49)+INPUTS!$B$14*(RED!J49*SUMPRODUCT((CLASS!$E49:$J49="RES")*1,LIVE!$E49:$J49)+IF(SUMPRODUCT((CLASS!$E49:$J49="GAR")*1)&gt;=2,INPUTS!$B$20,1)*SUMPRODUCT((CLASS!$E49:$J49="GAR")*1,LIVE!$E49:$J49)+SUMPRODUCT((CLASS!$E49:$J49="NR")*1,LIVE!$E49:$J49))</f>
        <v>301.942017026842</v>
      </c>
      <c r="K49" s="10" t="n">
        <f aca="false">INPUTS!$B$13*SUM(DEAD!$E49:$K49)+INPUTS!$B$14*(RED!K49*SUMPRODUCT((CLASS!$E49:$K49="RES")*1,LIVE!$E49:$K49)+IF(SUMPRODUCT((CLASS!$E49:$K49="GAR")*1)&gt;=2,INPUTS!$B$20,1)*SUMPRODUCT((CLASS!$E49:$K49="GAR")*1,LIVE!$E49:$K49)+SUMPRODUCT((CLASS!$E49:$K49="NR")*1,LIVE!$E49:$K49))</f>
        <v>352.360496187629</v>
      </c>
      <c r="L49" s="10" t="n">
        <f aca="false">INPUTS!$B$13*SUM(DEAD!$E49:$L49)+INPUTS!$B$14*(RED!L49*SUMPRODUCT((CLASS!$E49:$L49="RES")*1,LIVE!$E49:$L49)+IF(SUMPRODUCT((CLASS!$E49:$L49="GAR")*1)&gt;=2,INPUTS!$B$20,1)*SUMPRODUCT((CLASS!$E49:$L49="GAR")*1,LIVE!$E49:$L49)+SUMPRODUCT((CLASS!$E49:$L49="NR")*1,LIVE!$E49:$L49))</f>
        <v>402.570509881971</v>
      </c>
      <c r="M49" s="10" t="n">
        <f aca="false">INPUTS!$B$13*SUM(DEAD!$E49:$M49)+INPUTS!$B$14*(RED!M49*SUMPRODUCT((CLASS!$E49:$M49="RES")*1,LIVE!$E49:$M49)+IF(SUMPRODUCT((CLASS!$E49:$M49="GAR")*1)&gt;=2,INPUTS!$B$20,1)*SUMPRODUCT((CLASS!$E49:$M49="GAR")*1,LIVE!$E49:$M49)+SUMPRODUCT((CLASS!$E49:$M49="NR")*1,LIVE!$E49:$M49))</f>
        <v>452.622649038896</v>
      </c>
      <c r="N49" s="10" t="n">
        <f aca="false">INPUTS!$B$13*SUM(DEAD!$E49:$N49)+INPUTS!$B$14*(RED!N49*SUMPRODUCT((CLASS!$E49:$N49="RES")*1,LIVE!$E49:$N49)+IF(SUMPRODUCT((CLASS!$E49:$N49="GAR")*1)&gt;=2,INPUTS!$B$20,1)*SUMPRODUCT((CLASS!$E49:$N49="GAR")*1,LIVE!$E49:$N49)+SUMPRODUCT((CLASS!$E49:$N49="NR")*1,LIVE!$E49:$N49))</f>
        <v>502.549849143476</v>
      </c>
      <c r="O49" s="10" t="n">
        <f aca="false">INPUTS!$B$13*SUM(DEAD!$E49:$O49)+INPUTS!$B$14*(RED!O49*SUMPRODUCT((CLASS!$E49:$O49="RES")*1,LIVE!$E49:$O49)+IF(SUMPRODUCT((CLASS!$E49:$O49="GAR")*1)&gt;=2,INPUTS!$B$20,1)*SUMPRODUCT((CLASS!$E49:$O49="GAR")*1,LIVE!$E49:$O49)+SUMPRODUCT((CLASS!$E49:$O49="NR")*1,LIVE!$E49:$O49))</f>
        <v>552.374973661237</v>
      </c>
      <c r="P49" s="10" t="n">
        <f aca="false">INPUTS!$B$13*SUM(DEAD!$E49:$P49)+INPUTS!$B$14*(RED!P49*SUMPRODUCT((CLASS!$E49:$P49="RES")*1,LIVE!$E49:$P49)+IF(SUMPRODUCT((CLASS!$E49:$P49="GAR")*1)&gt;=2,INPUTS!$B$20,1)*SUMPRODUCT((CLASS!$E49:$P49="GAR")*1,LIVE!$E49:$P49)+SUMPRODUCT((CLASS!$E49:$P49="NR")*1,LIVE!$E49:$P49))</f>
        <v>602.744661876844</v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10" t="n">
        <f aca="false">INPUTS!$B$13*SUM(DEAD!$E50:$E50)+INPUTS!$B$14*(RED!E50*SUMPRODUCT((CLASS!$E50:$E50="RES")*1,LIVE!$E50:$E50)+IF(SUMPRODUCT((CLASS!$E50:$E50="GAR")*1)&gt;=2,INPUTS!$B$20,1)*SUMPRODUCT((CLASS!$E50:$E50="GAR")*1,LIVE!$E50:$E50)+SUMPRODUCT((CLASS!$E50:$E50="NR")*1,LIVE!$E50:$E50))</f>
        <v>0</v>
      </c>
      <c r="F50" s="10" t="n">
        <f aca="false">INPUTS!$B$13*SUM(DEAD!$E50:$F50)+INPUTS!$B$14*(RED!F50*SUMPRODUCT((CLASS!$E50:$F50="RES")*1,LIVE!$E50:$F50)+IF(SUMPRODUCT((CLASS!$E50:$F50="GAR")*1)&gt;=2,INPUTS!$B$20,1)*SUMPRODUCT((CLASS!$E50:$F50="GAR")*1,LIVE!$E50:$F50)+SUMPRODUCT((CLASS!$E50:$F50="NR")*1,LIVE!$E50:$F50))</f>
        <v>66.754</v>
      </c>
      <c r="G50" s="10" t="n">
        <f aca="false">INPUTS!$B$13*SUM(DEAD!$E50:$G50)+INPUTS!$B$14*(RED!G50*SUMPRODUCT((CLASS!$E50:$G50="RES")*1,LIVE!$E50:$G50)+IF(SUMPRODUCT((CLASS!$E50:$G50="GAR")*1)&gt;=2,INPUTS!$B$20,1)*SUMPRODUCT((CLASS!$E50:$G50="GAR")*1,LIVE!$E50:$G50)+SUMPRODUCT((CLASS!$E50:$G50="NR")*1,LIVE!$E50:$G50))</f>
        <v>111.541325725151</v>
      </c>
      <c r="H50" s="10" t="n">
        <f aca="false">INPUTS!$B$13*SUM(DEAD!$E50:$H50)+INPUTS!$B$14*(RED!H50*SUMPRODUCT((CLASS!$E50:$H50="RES")*1,LIVE!$E50:$H50)+IF(SUMPRODUCT((CLASS!$E50:$H50="GAR")*1)&gt;=2,INPUTS!$B$20,1)*SUMPRODUCT((CLASS!$E50:$H50="GAR")*1,LIVE!$E50:$H50)+SUMPRODUCT((CLASS!$E50:$H50="NR")*1,LIVE!$E50:$H50))</f>
        <v>257.04988321129</v>
      </c>
      <c r="I50" s="10" t="n">
        <f aca="false">INPUTS!$B$13*SUM(DEAD!$E50:$I50)+INPUTS!$B$14*(RED!I50*SUMPRODUCT((CLASS!$E50:$I50="RES")*1,LIVE!$E50:$I50)+IF(SUMPRODUCT((CLASS!$E50:$I50="GAR")*1)&gt;=2,INPUTS!$B$20,1)*SUMPRODUCT((CLASS!$E50:$I50="GAR")*1,LIVE!$E50:$I50)+SUMPRODUCT((CLASS!$E50:$I50="NR")*1,LIVE!$E50:$I50))</f>
        <v>295.719455911628</v>
      </c>
      <c r="J50" s="10" t="n">
        <f aca="false">INPUTS!$B$13*SUM(DEAD!$E50:$J50)+INPUTS!$B$14*(RED!J50*SUMPRODUCT((CLASS!$E50:$J50="RES")*1,LIVE!$E50:$J50)+IF(SUMPRODUCT((CLASS!$E50:$J50="GAR")*1)&gt;=2,INPUTS!$B$20,1)*SUMPRODUCT((CLASS!$E50:$J50="GAR")*1,LIVE!$E50:$J50)+SUMPRODUCT((CLASS!$E50:$J50="NR")*1,LIVE!$E50:$J50))</f>
        <v>334.108984722556</v>
      </c>
      <c r="K50" s="10" t="n">
        <f aca="false">INPUTS!$B$13*SUM(DEAD!$E50:$K50)+INPUTS!$B$14*(RED!K50*SUMPRODUCT((CLASS!$E50:$K50="RES")*1,LIVE!$E50:$K50)+IF(SUMPRODUCT((CLASS!$E50:$K50="GAR")*1)&gt;=2,INPUTS!$B$20,1)*SUMPRODUCT((CLASS!$E50:$K50="GAR")*1,LIVE!$E50:$K50)+SUMPRODUCT((CLASS!$E50:$K50="NR")*1,LIVE!$E50:$K50))</f>
        <v>371.90752317358</v>
      </c>
      <c r="L50" s="10" t="n">
        <f aca="false">INPUTS!$B$13*SUM(DEAD!$E50:$L50)+INPUTS!$B$14*(RED!L50*SUMPRODUCT((CLASS!$E50:$L50="RES")*1,LIVE!$E50:$L50)+IF(SUMPRODUCT((CLASS!$E50:$L50="GAR")*1)&gt;=2,INPUTS!$B$20,1)*SUMPRODUCT((CLASS!$E50:$L50="GAR")*1,LIVE!$E50:$L50)+SUMPRODUCT((CLASS!$E50:$L50="NR")*1,LIVE!$E50:$L50))</f>
        <v>409.967236602621</v>
      </c>
      <c r="M50" s="10" t="n">
        <f aca="false">INPUTS!$B$13*SUM(DEAD!$E50:$M50)+INPUTS!$B$14*(RED!M50*SUMPRODUCT((CLASS!$E50:$M50="RES")*1,LIVE!$E50:$M50)+IF(SUMPRODUCT((CLASS!$E50:$M50="GAR")*1)&gt;=2,INPUTS!$B$20,1)*SUMPRODUCT((CLASS!$E50:$M50="GAR")*1,LIVE!$E50:$M50)+SUMPRODUCT((CLASS!$E50:$M50="NR")*1,LIVE!$E50:$M50))</f>
        <v>447.964389392054</v>
      </c>
      <c r="N50" s="10" t="n">
        <f aca="false">INPUTS!$B$13*SUM(DEAD!$E50:$N50)+INPUTS!$B$14*(RED!N50*SUMPRODUCT((CLASS!$E50:$N50="RES")*1,LIVE!$E50:$N50)+IF(SUMPRODUCT((CLASS!$E50:$N50="GAR")*1)&gt;=2,INPUTS!$B$20,1)*SUMPRODUCT((CLASS!$E50:$N50="GAR")*1,LIVE!$E50:$N50)+SUMPRODUCT((CLASS!$E50:$N50="NR")*1,LIVE!$E50:$N50))</f>
        <v>485.907657160895</v>
      </c>
      <c r="O50" s="10" t="n">
        <f aca="false">INPUTS!$B$13*SUM(DEAD!$E50:$O50)+INPUTS!$B$14*(RED!O50*SUMPRODUCT((CLASS!$E50:$O50="RES")*1,LIVE!$E50:$O50)+IF(SUMPRODUCT((CLASS!$E50:$O50="GAR")*1)&gt;=2,INPUTS!$B$20,1)*SUMPRODUCT((CLASS!$E50:$O50="GAR")*1,LIVE!$E50:$O50)+SUMPRODUCT((CLASS!$E50:$O50="NR")*1,LIVE!$E50:$O50))</f>
        <v>523.803878419172</v>
      </c>
      <c r="P50" s="10" t="n">
        <f aca="false">INPUTS!$B$13*SUM(DEAD!$E50:$P50)+INPUTS!$B$14*(RED!P50*SUMPRODUCT((CLASS!$E50:$P50="RES")*1,LIVE!$E50:$P50)+IF(SUMPRODUCT((CLASS!$E50:$P50="GAR")*1)&gt;=2,INPUTS!$B$20,1)*SUMPRODUCT((CLASS!$E50:$P50="GAR")*1,LIVE!$E50:$P50)+SUMPRODUCT((CLASS!$E50:$P50="NR")*1,LIVE!$E50:$P50))</f>
        <v>562.288557045233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10" t="n">
        <f aca="false">INPUTS!$B$13*SUM(DEAD!$E51:$E51)+INPUTS!$B$14*(RED!E51*SUMPRODUCT((CLASS!$E51:$E51="RES")*1,LIVE!$E51:$E51)+IF(SUMPRODUCT((CLASS!$E51:$E51="GAR")*1)&gt;=2,INPUTS!$B$20,1)*SUMPRODUCT((CLASS!$E51:$E51="GAR")*1,LIVE!$E51:$E51)+SUMPRODUCT((CLASS!$E51:$E51="NR")*1,LIVE!$E51:$E51))</f>
        <v>0</v>
      </c>
      <c r="F51" s="10" t="n">
        <f aca="false">INPUTS!$B$13*SUM(DEAD!$E51:$F51)+INPUTS!$B$14*(RED!F51*SUMPRODUCT((CLASS!$E51:$F51="RES")*1,LIVE!$E51:$F51)+IF(SUMPRODUCT((CLASS!$E51:$F51="GAR")*1)&gt;=2,INPUTS!$B$20,1)*SUMPRODUCT((CLASS!$E51:$F51="GAR")*1,LIVE!$E51:$F51)+SUMPRODUCT((CLASS!$E51:$F51="NR")*1,LIVE!$E51:$F51))</f>
        <v>32.638</v>
      </c>
      <c r="G51" s="10" t="n">
        <f aca="false">INPUTS!$B$13*SUM(DEAD!$E51:$G51)+INPUTS!$B$14*(RED!G51*SUMPRODUCT((CLASS!$E51:$G51="RES")*1,LIVE!$E51:$G51)+IF(SUMPRODUCT((CLASS!$E51:$G51="GAR")*1)&gt;=2,INPUTS!$B$20,1)*SUMPRODUCT((CLASS!$E51:$G51="GAR")*1,LIVE!$E51:$G51)+SUMPRODUCT((CLASS!$E51:$G51="NR")*1,LIVE!$E51:$G51))</f>
        <v>55.352</v>
      </c>
      <c r="H51" s="10" t="n">
        <f aca="false">INPUTS!$B$13*SUM(DEAD!$E51:$H51)+INPUTS!$B$14*(RED!H51*SUMPRODUCT((CLASS!$E51:$H51="RES")*1,LIVE!$E51:$H51)+IF(SUMPRODUCT((CLASS!$E51:$H51="GAR")*1)&gt;=2,INPUTS!$B$20,1)*SUMPRODUCT((CLASS!$E51:$H51="GAR")*1,LIVE!$E51:$H51)+SUMPRODUCT((CLASS!$E51:$H51="NR")*1,LIVE!$E51:$H51))</f>
        <v>76.9710401875687</v>
      </c>
      <c r="I51" s="10" t="n">
        <f aca="false">INPUTS!$B$13*SUM(DEAD!$E51:$I51)+INPUTS!$B$14*(RED!I51*SUMPRODUCT((CLASS!$E51:$I51="RES")*1,LIVE!$E51:$I51)+IF(SUMPRODUCT((CLASS!$E51:$I51="GAR")*1)&gt;=2,INPUTS!$B$20,1)*SUMPRODUCT((CLASS!$E51:$I51="GAR")*1,LIVE!$E51:$I51)+SUMPRODUCT((CLASS!$E51:$I51="NR")*1,LIVE!$E51:$I51))</f>
        <v>97.113598258861</v>
      </c>
      <c r="J51" s="10" t="n">
        <f aca="false">INPUTS!$B$13*SUM(DEAD!$E51:$J51)+INPUTS!$B$14*(RED!J51*SUMPRODUCT((CLASS!$E51:$J51="RES")*1,LIVE!$E51:$J51)+IF(SUMPRODUCT((CLASS!$E51:$J51="GAR")*1)&gt;=2,INPUTS!$B$20,1)*SUMPRODUCT((CLASS!$E51:$J51="GAR")*1,LIVE!$E51:$J51)+SUMPRODUCT((CLASS!$E51:$J51="NR")*1,LIVE!$E51:$J51))</f>
        <v>116.472361399913</v>
      </c>
      <c r="K51" s="10" t="n">
        <f aca="false">INPUTS!$B$13*SUM(DEAD!$E51:$K51)+INPUTS!$B$14*(RED!K51*SUMPRODUCT((CLASS!$E51:$K51="RES")*1,LIVE!$E51:$K51)+IF(SUMPRODUCT((CLASS!$E51:$K51="GAR")*1)&gt;=2,INPUTS!$B$20,1)*SUMPRODUCT((CLASS!$E51:$K51="GAR")*1,LIVE!$E51:$K51)+SUMPRODUCT((CLASS!$E51:$K51="NR")*1,LIVE!$E51:$K51))</f>
        <v>134.12767999488</v>
      </c>
      <c r="L51" s="10" t="n">
        <f aca="false">INPUTS!$B$13*SUM(DEAD!$E51:$L51)+INPUTS!$B$14*(RED!L51*SUMPRODUCT((CLASS!$E51:$L51="RES")*1,LIVE!$E51:$L51)+IF(SUMPRODUCT((CLASS!$E51:$L51="GAR")*1)&gt;=2,INPUTS!$B$20,1)*SUMPRODUCT((CLASS!$E51:$L51="GAR")*1,LIVE!$E51:$L51)+SUMPRODUCT((CLASS!$E51:$L51="NR")*1,LIVE!$E51:$L51))</f>
        <v>153.073154319899</v>
      </c>
      <c r="M51" s="10" t="n">
        <f aca="false">INPUTS!$B$13*SUM(DEAD!$E51:$M51)+INPUTS!$B$14*(RED!M51*SUMPRODUCT((CLASS!$E51:$M51="RES")*1,LIVE!$E51:$M51)+IF(SUMPRODUCT((CLASS!$E51:$M51="GAR")*1)&gt;=2,INPUTS!$B$20,1)*SUMPRODUCT((CLASS!$E51:$M51="GAR")*1,LIVE!$E51:$M51)+SUMPRODUCT((CLASS!$E51:$M51="NR")*1,LIVE!$E51:$M51))</f>
        <v>171.944677498347</v>
      </c>
      <c r="N51" s="10" t="n">
        <f aca="false">INPUTS!$B$13*SUM(DEAD!$E51:$N51)+INPUTS!$B$14*(RED!N51*SUMPRODUCT((CLASS!$E51:$N51="RES")*1,LIVE!$E51:$N51)+IF(SUMPRODUCT((CLASS!$E51:$N51="GAR")*1)&gt;=2,INPUTS!$B$20,1)*SUMPRODUCT((CLASS!$E51:$N51="GAR")*1,LIVE!$E51:$N51)+SUMPRODUCT((CLASS!$E51:$N51="NR")*1,LIVE!$E51:$N51))</f>
        <v>190.75742855847</v>
      </c>
      <c r="O51" s="10" t="n">
        <f aca="false">INPUTS!$B$13*SUM(DEAD!$E51:$O51)+INPUTS!$B$14*(RED!O51*SUMPRODUCT((CLASS!$E51:$O51="RES")*1,LIVE!$E51:$O51)+IF(SUMPRODUCT((CLASS!$E51:$O51="GAR")*1)&gt;=2,INPUTS!$B$20,1)*SUMPRODUCT((CLASS!$E51:$O51="GAR")*1,LIVE!$E51:$O51)+SUMPRODUCT((CLASS!$E51:$O51="NR")*1,LIVE!$E51:$O51))</f>
        <v>209.522010633514</v>
      </c>
      <c r="P51" s="10" t="n">
        <f aca="false">INPUTS!$B$13*SUM(DEAD!$E51:$P51)+INPUTS!$B$14*(RED!P51*SUMPRODUCT((CLASS!$E51:$P51="RES")*1,LIVE!$E51:$P51)+IF(SUMPRODUCT((CLASS!$E51:$P51="GAR")*1)&gt;=2,INPUTS!$B$20,1)*SUMPRODUCT((CLASS!$E51:$P51="GAR")*1,LIVE!$E51:$P51)+SUMPRODUCT((CLASS!$E51:$P51="NR")*1,LIVE!$E51:$P51))</f>
        <v>228.876176854163</v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10" t="n">
        <f aca="false">INPUTS!$B$13*SUM(DEAD!$E52:$E52)+INPUTS!$B$14*(RED!E52*SUMPRODUCT((CLASS!$E52:$E52="RES")*1,LIVE!$E52:$E52)+IF(SUMPRODUCT((CLASS!$E52:$E52="GAR")*1)&gt;=2,INPUTS!$B$20,1)*SUMPRODUCT((CLASS!$E52:$E52="GAR")*1,LIVE!$E52:$E52)+SUMPRODUCT((CLASS!$E52:$E52="NR")*1,LIVE!$E52:$E52))</f>
        <v>0</v>
      </c>
      <c r="F52" s="10" t="n">
        <f aca="false">INPUTS!$B$13*SUM(DEAD!$E52:$F52)+INPUTS!$B$14*(RED!F52*SUMPRODUCT((CLASS!$E52:$F52="RES")*1,LIVE!$E52:$F52)+IF(SUMPRODUCT((CLASS!$E52:$F52="GAR")*1)&gt;=2,INPUTS!$B$20,1)*SUMPRODUCT((CLASS!$E52:$F52="GAR")*1,LIVE!$E52:$F52)+SUMPRODUCT((CLASS!$E52:$F52="NR")*1,LIVE!$E52:$F52))</f>
        <v>56.646</v>
      </c>
      <c r="G52" s="10" t="n">
        <f aca="false">INPUTS!$B$13*SUM(DEAD!$E52:$G52)+INPUTS!$B$14*(RED!G52*SUMPRODUCT((CLASS!$E52:$G52="RES")*1,LIVE!$E52:$G52)+IF(SUMPRODUCT((CLASS!$E52:$G52="GAR")*1)&gt;=2,INPUTS!$B$20,1)*SUMPRODUCT((CLASS!$E52:$G52="GAR")*1,LIVE!$E52:$G52)+SUMPRODUCT((CLASS!$E52:$G52="NR")*1,LIVE!$E52:$G52))</f>
        <v>109.852587550305</v>
      </c>
      <c r="H52" s="10" t="n">
        <f aca="false">INPUTS!$B$13*SUM(DEAD!$E52:$H52)+INPUTS!$B$14*(RED!H52*SUMPRODUCT((CLASS!$E52:$H52="RES")*1,LIVE!$E52:$H52)+IF(SUMPRODUCT((CLASS!$E52:$H52="GAR")*1)&gt;=2,INPUTS!$B$20,1)*SUMPRODUCT((CLASS!$E52:$H52="GAR")*1,LIVE!$E52:$H52)+SUMPRODUCT((CLASS!$E52:$H52="NR")*1,LIVE!$E52:$H52))</f>
        <v>157.901989347532</v>
      </c>
      <c r="I52" s="10" t="n">
        <f aca="false">INPUTS!$B$13*SUM(DEAD!$E52:$I52)+INPUTS!$B$14*(RED!I52*SUMPRODUCT((CLASS!$E52:$I52="RES")*1,LIVE!$E52:$I52)+IF(SUMPRODUCT((CLASS!$E52:$I52="GAR")*1)&gt;=2,INPUTS!$B$20,1)*SUMPRODUCT((CLASS!$E52:$I52="GAR")*1,LIVE!$E52:$I52)+SUMPRODUCT((CLASS!$E52:$I52="NR")*1,LIVE!$E52:$I52))</f>
        <v>205.312521328086</v>
      </c>
      <c r="J52" s="10" t="n">
        <f aca="false">INPUTS!$B$13*SUM(DEAD!$E52:$J52)+INPUTS!$B$14*(RED!J52*SUMPRODUCT((CLASS!$E52:$J52="RES")*1,LIVE!$E52:$J52)+IF(SUMPRODUCT((CLASS!$E52:$J52="GAR")*1)&gt;=2,INPUTS!$B$20,1)*SUMPRODUCT((CLASS!$E52:$J52="GAR")*1,LIVE!$E52:$J52)+SUMPRODUCT((CLASS!$E52:$J52="NR")*1,LIVE!$E52:$J52))</f>
        <v>252.11917510061</v>
      </c>
      <c r="K52" s="10" t="n">
        <f aca="false">INPUTS!$B$13*SUM(DEAD!$E52:$K52)+INPUTS!$B$14*(RED!K52*SUMPRODUCT((CLASS!$E52:$K52="RES")*1,LIVE!$E52:$K52)+IF(SUMPRODUCT((CLASS!$E52:$K52="GAR")*1)&gt;=2,INPUTS!$B$20,1)*SUMPRODUCT((CLASS!$E52:$K52="GAR")*1,LIVE!$E52:$K52)+SUMPRODUCT((CLASS!$E52:$K52="NR")*1,LIVE!$E52:$K52))</f>
        <v>298.654947339261</v>
      </c>
      <c r="L52" s="10" t="n">
        <f aca="false">INPUTS!$B$13*SUM(DEAD!$E52:$L52)+INPUTS!$B$14*(RED!L52*SUMPRODUCT((CLASS!$E52:$L52="RES")*1,LIVE!$E52:$L52)+IF(SUMPRODUCT((CLASS!$E52:$L52="GAR")*1)&gt;=2,INPUTS!$B$20,1)*SUMPRODUCT((CLASS!$E52:$L52="GAR")*1,LIVE!$E52:$L52)+SUMPRODUCT((CLASS!$E52:$L52="NR")*1,LIVE!$E52:$L52))</f>
        <v>345.178304053132</v>
      </c>
      <c r="M52" s="10" t="n">
        <f aca="false">INPUTS!$B$13*SUM(DEAD!$E52:$M52)+INPUTS!$B$14*(RED!M52*SUMPRODUCT((CLASS!$E52:$M52="RES")*1,LIVE!$E52:$M52)+IF(SUMPRODUCT((CLASS!$E52:$M52="GAR")*1)&gt;=2,INPUTS!$B$20,1)*SUMPRODUCT((CLASS!$E52:$M52="GAR")*1,LIVE!$E52:$M52)+SUMPRODUCT((CLASS!$E52:$M52="NR")*1,LIVE!$E52:$M52))</f>
        <v>391.555857650795</v>
      </c>
      <c r="N52" s="10" t="n">
        <f aca="false">INPUTS!$B$13*SUM(DEAD!$E52:$N52)+INPUTS!$B$14*(RED!N52*SUMPRODUCT((CLASS!$E52:$N52="RES")*1,LIVE!$E52:$N52)+IF(SUMPRODUCT((CLASS!$E52:$N52="GAR")*1)&gt;=2,INPUTS!$B$20,1)*SUMPRODUCT((CLASS!$E52:$N52="GAR")*1,LIVE!$E52:$N52)+SUMPRODUCT((CLASS!$E52:$N52="NR")*1,LIVE!$E52:$N52))</f>
        <v>437.817978695064</v>
      </c>
      <c r="O52" s="10" t="n">
        <f aca="false">INPUTS!$B$13*SUM(DEAD!$E52:$O52)+INPUTS!$B$14*(RED!O52*SUMPRODUCT((CLASS!$E52:$O52="RES")*1,LIVE!$E52:$O52)+IF(SUMPRODUCT((CLASS!$E52:$O52="GAR")*1)&gt;=2,INPUTS!$B$20,1)*SUMPRODUCT((CLASS!$E52:$O52="GAR")*1,LIVE!$E52:$O52)+SUMPRODUCT((CLASS!$E52:$O52="NR")*1,LIVE!$E52:$O52))</f>
        <v>483.985762650915</v>
      </c>
      <c r="P52" s="10" t="n">
        <f aca="false">INPUTS!$B$13*SUM(DEAD!$E52:$P52)+INPUTS!$B$14*(RED!P52*SUMPRODUCT((CLASS!$E52:$P52="RES")*1,LIVE!$E52:$P52)+IF(SUMPRODUCT((CLASS!$E52:$P52="GAR")*1)&gt;=2,INPUTS!$B$20,1)*SUMPRODUCT((CLASS!$E52:$P52="GAR")*1,LIVE!$E52:$P52)+SUMPRODUCT((CLASS!$E52:$P52="NR")*1,LIVE!$E52:$P52))</f>
        <v>530.704568997995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10" t="n">
        <f aca="false">INPUTS!$B$13*SUM(DEAD!$E53:$E53)+INPUTS!$B$14*(RED!E53*SUMPRODUCT((CLASS!$E53:$E53="RES")*1,LIVE!$E53:$E53)+IF(SUMPRODUCT((CLASS!$E53:$E53="GAR")*1)&gt;=2,INPUTS!$B$20,1)*SUMPRODUCT((CLASS!$E53:$E53="GAR")*1,LIVE!$E53:$E53)+SUMPRODUCT((CLASS!$E53:$E53="NR")*1,LIVE!$E53:$E53))</f>
        <v>109.71</v>
      </c>
      <c r="F53" s="10" t="n">
        <f aca="false">INPUTS!$B$13*SUM(DEAD!$E53:$F53)+INPUTS!$B$14*(RED!F53*SUMPRODUCT((CLASS!$E53:$F53="RES")*1,LIVE!$E53:$F53)+IF(SUMPRODUCT((CLASS!$E53:$F53="GAR")*1)&gt;=2,INPUTS!$B$20,1)*SUMPRODUCT((CLASS!$E53:$F53="GAR")*1,LIVE!$E53:$F53)+SUMPRODUCT((CLASS!$E53:$F53="NR")*1,LIVE!$E53:$F53))</f>
        <v>270.24</v>
      </c>
      <c r="G53" s="10" t="n">
        <f aca="false">INPUTS!$B$13*SUM(DEAD!$E53:$G53)+INPUTS!$B$14*(RED!G53*SUMPRODUCT((CLASS!$E53:$G53="RES")*1,LIVE!$E53:$G53)+IF(SUMPRODUCT((CLASS!$E53:$G53="GAR")*1)&gt;=2,INPUTS!$B$20,1)*SUMPRODUCT((CLASS!$E53:$G53="GAR")*1,LIVE!$E53:$G53)+SUMPRODUCT((CLASS!$E53:$G53="NR")*1,LIVE!$E53:$G53))</f>
        <v>395.224</v>
      </c>
      <c r="H53" s="10" t="n">
        <f aca="false">INPUTS!$B$13*SUM(DEAD!$E53:$H53)+INPUTS!$B$14*(RED!H53*SUMPRODUCT((CLASS!$E53:$H53="RES")*1,LIVE!$E53:$H53)+IF(SUMPRODUCT((CLASS!$E53:$H53="GAR")*1)&gt;=2,INPUTS!$B$20,1)*SUMPRODUCT((CLASS!$E53:$H53="GAR")*1,LIVE!$E53:$H53)+SUMPRODUCT((CLASS!$E53:$H53="NR")*1,LIVE!$E53:$H53))</f>
        <v>479.054</v>
      </c>
      <c r="I53" s="10" t="n">
        <f aca="false">INPUTS!$B$13*SUM(DEAD!$E53:$I53)+INPUTS!$B$14*(RED!I53*SUMPRODUCT((CLASS!$E53:$I53="RES")*1,LIVE!$E53:$I53)+IF(SUMPRODUCT((CLASS!$E53:$I53="GAR")*1)&gt;=2,INPUTS!$B$20,1)*SUMPRODUCT((CLASS!$E53:$I53="GAR")*1,LIVE!$E53:$I53)+SUMPRODUCT((CLASS!$E53:$I53="NR")*1,LIVE!$E53:$I53))</f>
        <v>553.6424</v>
      </c>
      <c r="J53" s="10" t="n">
        <f aca="false">INPUTS!$B$13*SUM(DEAD!$E53:$J53)+INPUTS!$B$14*(RED!J53*SUMPRODUCT((CLASS!$E53:$J53="RES")*1,LIVE!$E53:$J53)+IF(SUMPRODUCT((CLASS!$E53:$J53="GAR")*1)&gt;=2,INPUTS!$B$20,1)*SUMPRODUCT((CLASS!$E53:$J53="GAR")*1,LIVE!$E53:$J53)+SUMPRODUCT((CLASS!$E53:$J53="NR")*1,LIVE!$E53:$J53))</f>
        <v>631.6084</v>
      </c>
      <c r="K53" s="10" t="n">
        <f aca="false">INPUTS!$B$13*SUM(DEAD!$E53:$K53)+INPUTS!$B$14*(RED!K53*SUMPRODUCT((CLASS!$E53:$K53="RES")*1,LIVE!$E53:$K53)+IF(SUMPRODUCT((CLASS!$E53:$K53="GAR")*1)&gt;=2,INPUTS!$B$20,1)*SUMPRODUCT((CLASS!$E53:$K53="GAR")*1,LIVE!$E53:$K53)+SUMPRODUCT((CLASS!$E53:$K53="NR")*1,LIVE!$E53:$K53))</f>
        <v>701.86229296708</v>
      </c>
      <c r="L53" s="10" t="n">
        <f aca="false">INPUTS!$B$13*SUM(DEAD!$E53:$L53)+INPUTS!$B$14*(RED!L53*SUMPRODUCT((CLASS!$E53:$L53="RES")*1,LIVE!$E53:$L53)+IF(SUMPRODUCT((CLASS!$E53:$L53="GAR")*1)&gt;=2,INPUTS!$B$20,1)*SUMPRODUCT((CLASS!$E53:$L53="GAR")*1,LIVE!$E53:$L53)+SUMPRODUCT((CLASS!$E53:$L53="NR")*1,LIVE!$E53:$L53))</f>
        <v>766.818396090695</v>
      </c>
      <c r="M53" s="10" t="n">
        <f aca="false">INPUTS!$B$13*SUM(DEAD!$E53:$M53)+INPUTS!$B$14*(RED!M53*SUMPRODUCT((CLASS!$E53:$M53="RES")*1,LIVE!$E53:$M53)+IF(SUMPRODUCT((CLASS!$E53:$M53="GAR")*1)&gt;=2,INPUTS!$B$20,1)*SUMPRODUCT((CLASS!$E53:$M53="GAR")*1,LIVE!$E53:$M53)+SUMPRODUCT((CLASS!$E53:$M53="NR")*1,LIVE!$E53:$M53))</f>
        <v>830.902882117197</v>
      </c>
      <c r="N53" s="10" t="n">
        <f aca="false">INPUTS!$B$13*SUM(DEAD!$E53:$N53)+INPUTS!$B$14*(RED!N53*SUMPRODUCT((CLASS!$E53:$N53="RES")*1,LIVE!$E53:$N53)+IF(SUMPRODUCT((CLASS!$E53:$N53="GAR")*1)&gt;=2,INPUTS!$B$20,1)*SUMPRODUCT((CLASS!$E53:$N53="GAR")*1,LIVE!$E53:$N53)+SUMPRODUCT((CLASS!$E53:$N53="NR")*1,LIVE!$E53:$N53))</f>
        <v>894.53618593416</v>
      </c>
      <c r="O53" s="10" t="n">
        <f aca="false">INPUTS!$B$13*SUM(DEAD!$E53:$O53)+INPUTS!$B$14*(RED!O53*SUMPRODUCT((CLASS!$E53:$O53="RES")*1,LIVE!$E53:$O53)+IF(SUMPRODUCT((CLASS!$E53:$O53="GAR")*1)&gt;=2,INPUTS!$B$20,1)*SUMPRODUCT((CLASS!$E53:$O53="GAR")*1,LIVE!$E53:$O53)+SUMPRODUCT((CLASS!$E53:$O53="NR")*1,LIVE!$E53:$O53))</f>
        <v>957.881159455623</v>
      </c>
      <c r="P53" s="10" t="n">
        <f aca="false">INPUTS!$B$13*SUM(DEAD!$E53:$P53)+INPUTS!$B$14*(RED!P53*SUMPRODUCT((CLASS!$E53:$P53="RES")*1,LIVE!$E53:$P53)+IF(SUMPRODUCT((CLASS!$E53:$P53="GAR")*1)&gt;=2,INPUTS!$B$20,1)*SUMPRODUCT((CLASS!$E53:$P53="GAR")*1,LIVE!$E53:$P53)+SUMPRODUCT((CLASS!$E53:$P53="NR")*1,LIVE!$E53:$P53))</f>
        <v>1021.65132305769</v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10" t="n">
        <f aca="false">INPUTS!$B$13*SUM(DEAD!$E54:$E54)+INPUTS!$B$14*(RED!E54*SUMPRODUCT((CLASS!$E54:$E54="RES")*1,LIVE!$E54:$E54)+IF(SUMPRODUCT((CLASS!$E54:$E54="GAR")*1)&gt;=2,INPUTS!$B$20,1)*SUMPRODUCT((CLASS!$E54:$E54="GAR")*1,LIVE!$E54:$E54)+SUMPRODUCT((CLASS!$E54:$E54="NR")*1,LIVE!$E54:$E54))</f>
        <v>32.724</v>
      </c>
      <c r="F54" s="10" t="n">
        <f aca="false">INPUTS!$B$13*SUM(DEAD!$E54:$F54)+INPUTS!$B$14*(RED!F54*SUMPRODUCT((CLASS!$E54:$F54="RES")*1,LIVE!$E54:$F54)+IF(SUMPRODUCT((CLASS!$E54:$F54="GAR")*1)&gt;=2,INPUTS!$B$20,1)*SUMPRODUCT((CLASS!$E54:$F54="GAR")*1,LIVE!$E54:$F54)+SUMPRODUCT((CLASS!$E54:$F54="NR")*1,LIVE!$E54:$F54))</f>
        <v>81.94</v>
      </c>
      <c r="G54" s="10" t="n">
        <f aca="false">INPUTS!$B$13*SUM(DEAD!$E54:$G54)+INPUTS!$B$14*(RED!G54*SUMPRODUCT((CLASS!$E54:$G54="RES")*1,LIVE!$E54:$G54)+IF(SUMPRODUCT((CLASS!$E54:$G54="GAR")*1)&gt;=2,INPUTS!$B$20,1)*SUMPRODUCT((CLASS!$E54:$G54="GAR")*1,LIVE!$E54:$G54)+SUMPRODUCT((CLASS!$E54:$G54="NR")*1,LIVE!$E54:$G54))</f>
        <v>155.336</v>
      </c>
      <c r="H54" s="10" t="n">
        <f aca="false">INPUTS!$B$13*SUM(DEAD!$E54:$H54)+INPUTS!$B$14*(RED!H54*SUMPRODUCT((CLASS!$E54:$H54="RES")*1,LIVE!$E54:$H54)+IF(SUMPRODUCT((CLASS!$E54:$H54="GAR")*1)&gt;=2,INPUTS!$B$20,1)*SUMPRODUCT((CLASS!$E54:$H54="GAR")*1,LIVE!$E54:$H54)+SUMPRODUCT((CLASS!$E54:$H54="NR")*1,LIVE!$E54:$H54))</f>
        <v>206.226</v>
      </c>
      <c r="I54" s="10" t="n">
        <f aca="false">INPUTS!$B$13*SUM(DEAD!$E54:$I54)+INPUTS!$B$14*(RED!I54*SUMPRODUCT((CLASS!$E54:$I54="RES")*1,LIVE!$E54:$I54)+IF(SUMPRODUCT((CLASS!$E54:$I54="GAR")*1)&gt;=2,INPUTS!$B$20,1)*SUMPRODUCT((CLASS!$E54:$I54="GAR")*1,LIVE!$E54:$I54)+SUMPRODUCT((CLASS!$E54:$I54="NR")*1,LIVE!$E54:$I54))</f>
        <v>251.8416</v>
      </c>
      <c r="J54" s="10" t="n">
        <f aca="false">INPUTS!$B$13*SUM(DEAD!$E54:$J54)+INPUTS!$B$14*(RED!J54*SUMPRODUCT((CLASS!$E54:$J54="RES")*1,LIVE!$E54:$J54)+IF(SUMPRODUCT((CLASS!$E54:$J54="GAR")*1)&gt;=2,INPUTS!$B$20,1)*SUMPRODUCT((CLASS!$E54:$J54="GAR")*1,LIVE!$E54:$J54)+SUMPRODUCT((CLASS!$E54:$J54="NR")*1,LIVE!$E54:$J54))</f>
        <v>300.0044</v>
      </c>
      <c r="K54" s="10" t="n">
        <f aca="false">INPUTS!$B$13*SUM(DEAD!$E54:$K54)+INPUTS!$B$14*(RED!K54*SUMPRODUCT((CLASS!$E54:$K54="RES")*1,LIVE!$E54:$K54)+IF(SUMPRODUCT((CLASS!$E54:$K54="GAR")*1)&gt;=2,INPUTS!$B$20,1)*SUMPRODUCT((CLASS!$E54:$K54="GAR")*1,LIVE!$E54:$K54)+SUMPRODUCT((CLASS!$E54:$K54="NR")*1,LIVE!$E54:$K54))</f>
        <v>346.773146702637</v>
      </c>
      <c r="L54" s="10" t="n">
        <f aca="false">INPUTS!$B$13*SUM(DEAD!$E54:$L54)+INPUTS!$B$14*(RED!L54*SUMPRODUCT((CLASS!$E54:$L54="RES")*1,LIVE!$E54:$L54)+IF(SUMPRODUCT((CLASS!$E54:$L54="GAR")*1)&gt;=2,INPUTS!$B$20,1)*SUMPRODUCT((CLASS!$E54:$L54="GAR")*1,LIVE!$E54:$L54)+SUMPRODUCT((CLASS!$E54:$L54="NR")*1,LIVE!$E54:$L54))</f>
        <v>388.781777627629</v>
      </c>
      <c r="M54" s="10" t="n">
        <f aca="false">INPUTS!$B$13*SUM(DEAD!$E54:$M54)+INPUTS!$B$14*(RED!M54*SUMPRODUCT((CLASS!$E54:$M54="RES")*1,LIVE!$E54:$M54)+IF(SUMPRODUCT((CLASS!$E54:$M54="GAR")*1)&gt;=2,INPUTS!$B$20,1)*SUMPRODUCT((CLASS!$E54:$M54="GAR")*1,LIVE!$E54:$M54)+SUMPRODUCT((CLASS!$E54:$M54="NR")*1,LIVE!$E54:$M54))</f>
        <v>430.036866540479</v>
      </c>
      <c r="N54" s="10" t="n">
        <f aca="false">INPUTS!$B$13*SUM(DEAD!$E54:$N54)+INPUTS!$B$14*(RED!N54*SUMPRODUCT((CLASS!$E54:$N54="RES")*1,LIVE!$E54:$N54)+IF(SUMPRODUCT((CLASS!$E54:$N54="GAR")*1)&gt;=2,INPUTS!$B$20,1)*SUMPRODUCT((CLASS!$E54:$N54="GAR")*1,LIVE!$E54:$N54)+SUMPRODUCT((CLASS!$E54:$N54="NR")*1,LIVE!$E54:$N54))</f>
        <v>470.901893405274</v>
      </c>
      <c r="O54" s="10" t="n">
        <f aca="false">INPUTS!$B$13*SUM(DEAD!$E54:$O54)+INPUTS!$B$14*(RED!O54*SUMPRODUCT((CLASS!$E54:$O54="RES")*1,LIVE!$E54:$O54)+IF(SUMPRODUCT((CLASS!$E54:$O54="GAR")*1)&gt;=2,INPUTS!$B$20,1)*SUMPRODUCT((CLASS!$E54:$O54="GAR")*1,LIVE!$E54:$O54)+SUMPRODUCT((CLASS!$E54:$O54="NR")*1,LIVE!$E54:$O54))</f>
        <v>511.517649125949</v>
      </c>
      <c r="P54" s="10" t="n">
        <f aca="false">INPUTS!$B$13*SUM(DEAD!$E54:$P54)+INPUTS!$B$14*(RED!P54*SUMPRODUCT((CLASS!$E54:$P54="RES")*1,LIVE!$E54:$P54)+IF(SUMPRODUCT((CLASS!$E54:$P54="GAR")*1)&gt;=2,INPUTS!$B$20,1)*SUMPRODUCT((CLASS!$E54:$P54="GAR")*1,LIVE!$E54:$P54)+SUMPRODUCT((CLASS!$E54:$P54="NR")*1,LIVE!$E54:$P54))</f>
        <v>552.58633984953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10" t="n">
        <f aca="false">INPUTS!$B$13*SUM(DEAD!$E55:$E55)+INPUTS!$B$14*(RED!E55*SUMPRODUCT((CLASS!$E55:$E55="RES")*1,LIVE!$E55:$E55)+IF(SUMPRODUCT((CLASS!$E55:$E55="GAR")*1)&gt;=2,INPUTS!$B$20,1)*SUMPRODUCT((CLASS!$E55:$E55="GAR")*1,LIVE!$E55:$E55)+SUMPRODUCT((CLASS!$E55:$E55="NR")*1,LIVE!$E55:$E55))</f>
        <v>101.754</v>
      </c>
      <c r="F55" s="10" t="n">
        <f aca="false">INPUTS!$B$13*SUM(DEAD!$E55:$F55)+INPUTS!$B$14*(RED!F55*SUMPRODUCT((CLASS!$E55:$F55="RES")*1,LIVE!$E55:$F55)+IF(SUMPRODUCT((CLASS!$E55:$F55="GAR")*1)&gt;=2,INPUTS!$B$20,1)*SUMPRODUCT((CLASS!$E55:$F55="GAR")*1,LIVE!$E55:$F55)+SUMPRODUCT((CLASS!$E55:$F55="NR")*1,LIVE!$E55:$F55))</f>
        <v>250.52</v>
      </c>
      <c r="G55" s="10" t="n">
        <f aca="false">INPUTS!$B$13*SUM(DEAD!$E55:$G55)+INPUTS!$B$14*(RED!G55*SUMPRODUCT((CLASS!$E55:$G55="RES")*1,LIVE!$E55:$G55)+IF(SUMPRODUCT((CLASS!$E55:$G55="GAR")*1)&gt;=2,INPUTS!$B$20,1)*SUMPRODUCT((CLASS!$E55:$G55="GAR")*1,LIVE!$E55:$G55)+SUMPRODUCT((CLASS!$E55:$G55="NR")*1,LIVE!$E55:$G55))</f>
        <v>393.206</v>
      </c>
      <c r="H55" s="10" t="n">
        <f aca="false">INPUTS!$B$13*SUM(DEAD!$E55:$H55)+INPUTS!$B$14*(RED!H55*SUMPRODUCT((CLASS!$E55:$H55="RES")*1,LIVE!$E55:$H55)+IF(SUMPRODUCT((CLASS!$E55:$H55="GAR")*1)&gt;=2,INPUTS!$B$20,1)*SUMPRODUCT((CLASS!$E55:$H55="GAR")*1,LIVE!$E55:$H55)+SUMPRODUCT((CLASS!$E55:$H55="NR")*1,LIVE!$E55:$H55))</f>
        <v>488.696</v>
      </c>
      <c r="I55" s="10" t="n">
        <f aca="false">INPUTS!$B$13*SUM(DEAD!$E55:$I55)+INPUTS!$B$14*(RED!I55*SUMPRODUCT((CLASS!$E55:$I55="RES")*1,LIVE!$E55:$I55)+IF(SUMPRODUCT((CLASS!$E55:$I55="GAR")*1)&gt;=2,INPUTS!$B$20,1)*SUMPRODUCT((CLASS!$E55:$I55="GAR")*1,LIVE!$E55:$I55)+SUMPRODUCT((CLASS!$E55:$I55="NR")*1,LIVE!$E55:$I55))</f>
        <v>573.5876</v>
      </c>
      <c r="J55" s="10" t="n">
        <f aca="false">INPUTS!$B$13*SUM(DEAD!$E55:$J55)+INPUTS!$B$14*(RED!J55*SUMPRODUCT((CLASS!$E55:$J55="RES")*1,LIVE!$E55:$J55)+IF(SUMPRODUCT((CLASS!$E55:$J55="GAR")*1)&gt;=2,INPUTS!$B$20,1)*SUMPRODUCT((CLASS!$E55:$J55="GAR")*1,LIVE!$E55:$J55)+SUMPRODUCT((CLASS!$E55:$J55="NR")*1,LIVE!$E55:$J55))</f>
        <v>663.7784</v>
      </c>
      <c r="K55" s="10" t="n">
        <f aca="false">INPUTS!$B$13*SUM(DEAD!$E55:$K55)+INPUTS!$B$14*(RED!K55*SUMPRODUCT((CLASS!$E55:$K55="RES")*1,LIVE!$E55:$K55)+IF(SUMPRODUCT((CLASS!$E55:$K55="GAR")*1)&gt;=2,INPUTS!$B$20,1)*SUMPRODUCT((CLASS!$E55:$K55="GAR")*1,LIVE!$E55:$K55)+SUMPRODUCT((CLASS!$E55:$K55="NR")*1,LIVE!$E55:$K55))</f>
        <v>744.1949551757</v>
      </c>
      <c r="L55" s="10" t="n">
        <f aca="false">INPUTS!$B$13*SUM(DEAD!$E55:$L55)+INPUTS!$B$14*(RED!L55*SUMPRODUCT((CLASS!$E55:$L55="RES")*1,LIVE!$E55:$L55)+IF(SUMPRODUCT((CLASS!$E55:$L55="GAR")*1)&gt;=2,INPUTS!$B$20,1)*SUMPRODUCT((CLASS!$E55:$L55="GAR")*1,LIVE!$E55:$L55)+SUMPRODUCT((CLASS!$E55:$L55="NR")*1,LIVE!$E55:$L55))</f>
        <v>818.890394787141</v>
      </c>
      <c r="M55" s="10" t="n">
        <f aca="false">INPUTS!$B$13*SUM(DEAD!$E55:$M55)+INPUTS!$B$14*(RED!M55*SUMPRODUCT((CLASS!$E55:$M55="RES")*1,LIVE!$E55:$M55)+IF(SUMPRODUCT((CLASS!$E55:$M55="GAR")*1)&gt;=2,INPUTS!$B$20,1)*SUMPRODUCT((CLASS!$E55:$M55="GAR")*1,LIVE!$E55:$M55)+SUMPRODUCT((CLASS!$E55:$M55="NR")*1,LIVE!$E55:$M55))</f>
        <v>892.644569779238</v>
      </c>
      <c r="N55" s="10" t="n">
        <f aca="false">INPUTS!$B$13*SUM(DEAD!$E55:$N55)+INPUTS!$B$14*(RED!N55*SUMPRODUCT((CLASS!$E55:$N55="RES")*1,LIVE!$E55:$N55)+IF(SUMPRODUCT((CLASS!$E55:$N55="GAR")*1)&gt;=2,INPUTS!$B$20,1)*SUMPRODUCT((CLASS!$E55:$N55="GAR")*1,LIVE!$E55:$N55)+SUMPRODUCT((CLASS!$E55:$N55="NR")*1,LIVE!$E55:$N55))</f>
        <v>965.911510351401</v>
      </c>
      <c r="O55" s="10" t="n">
        <f aca="false">INPUTS!$B$13*SUM(DEAD!$E55:$O55)+INPUTS!$B$14*(RED!O55*SUMPRODUCT((CLASS!$E55:$O55="RES")*1,LIVE!$E55:$O55)+IF(SUMPRODUCT((CLASS!$E55:$O55="GAR")*1)&gt;=2,INPUTS!$B$20,1)*SUMPRODUCT((CLASS!$E55:$O55="GAR")*1,LIVE!$E55:$O55)+SUMPRODUCT((CLASS!$E55:$O55="NR")*1,LIVE!$E55:$O55))</f>
        <v>1038.86708127887</v>
      </c>
      <c r="P55" s="10" t="n">
        <f aca="false">INPUTS!$B$13*SUM(DEAD!$E55:$P55)+INPUTS!$B$14*(RED!P55*SUMPRODUCT((CLASS!$E55:$P55="RES")*1,LIVE!$E55:$P55)+IF(SUMPRODUCT((CLASS!$E55:$P55="GAR")*1)&gt;=2,INPUTS!$B$20,1)*SUMPRODUCT((CLASS!$E55:$P55="GAR")*1,LIVE!$E55:$P55)+SUMPRODUCT((CLASS!$E55:$P55="NR")*1,LIVE!$E55:$P55))</f>
        <v>1112.2314767252</v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10" t="n">
        <f aca="false">INPUTS!$B$13*SUM(DEAD!$E56:$E56)+INPUTS!$B$14*(RED!E56*SUMPRODUCT((CLASS!$E56:$E56="RES")*1,LIVE!$E56:$E56)+IF(SUMPRODUCT((CLASS!$E56:$E56="GAR")*1)&gt;=2,INPUTS!$B$20,1)*SUMPRODUCT((CLASS!$E56:$E56="GAR")*1,LIVE!$E56:$E56)+SUMPRODUCT((CLASS!$E56:$E56="NR")*1,LIVE!$E56:$E56))</f>
        <v>59.499</v>
      </c>
      <c r="F56" s="10" t="n">
        <f aca="false">INPUTS!$B$13*SUM(DEAD!$E56:$F56)+INPUTS!$B$14*(RED!F56*SUMPRODUCT((CLASS!$E56:$F56="RES")*1,LIVE!$E56:$F56)+IF(SUMPRODUCT((CLASS!$E56:$F56="GAR")*1)&gt;=2,INPUTS!$B$20,1)*SUMPRODUCT((CLASS!$E56:$F56="GAR")*1,LIVE!$E56:$F56)+SUMPRODUCT((CLASS!$E56:$F56="NR")*1,LIVE!$E56:$F56))</f>
        <v>147.64</v>
      </c>
      <c r="G56" s="10" t="n">
        <f aca="false">INPUTS!$B$13*SUM(DEAD!$E56:$G56)+INPUTS!$B$14*(RED!G56*SUMPRODUCT((CLASS!$E56:$G56="RES")*1,LIVE!$E56:$G56)+IF(SUMPRODUCT((CLASS!$E56:$G56="GAR")*1)&gt;=2,INPUTS!$B$20,1)*SUMPRODUCT((CLASS!$E56:$G56="GAR")*1,LIVE!$E56:$G56)+SUMPRODUCT((CLASS!$E56:$G56="NR")*1,LIVE!$E56:$G56))</f>
        <v>215.739</v>
      </c>
      <c r="H56" s="10" t="n">
        <f aca="false">INPUTS!$B$13*SUM(DEAD!$E56:$H56)+INPUTS!$B$14*(RED!H56*SUMPRODUCT((CLASS!$E56:$H56="RES")*1,LIVE!$E56:$H56)+IF(SUMPRODUCT((CLASS!$E56:$H56="GAR")*1)&gt;=2,INPUTS!$B$20,1)*SUMPRODUCT((CLASS!$E56:$H56="GAR")*1,LIVE!$E56:$H56)+SUMPRODUCT((CLASS!$E56:$H56="NR")*1,LIVE!$E56:$H56))</f>
        <v>271.634</v>
      </c>
      <c r="I56" s="10" t="n">
        <f aca="false">INPUTS!$B$13*SUM(DEAD!$E56:$I56)+INPUTS!$B$14*(RED!I56*SUMPRODUCT((CLASS!$E56:$I56="RES")*1,LIVE!$E56:$I56)+IF(SUMPRODUCT((CLASS!$E56:$I56="GAR")*1)&gt;=2,INPUTS!$B$20,1)*SUMPRODUCT((CLASS!$E56:$I56="GAR")*1,LIVE!$E56:$I56)+SUMPRODUCT((CLASS!$E56:$I56="NR")*1,LIVE!$E56:$I56))</f>
        <v>294.2434</v>
      </c>
      <c r="J56" s="10" t="n">
        <f aca="false">INPUTS!$B$13*SUM(DEAD!$E56:$J56)+INPUTS!$B$14*(RED!J56*SUMPRODUCT((CLASS!$E56:$J56="RES")*1,LIVE!$E56:$J56)+IF(SUMPRODUCT((CLASS!$E56:$J56="GAR")*1)&gt;=2,INPUTS!$B$20,1)*SUMPRODUCT((CLASS!$E56:$J56="GAR")*1,LIVE!$E56:$J56)+SUMPRODUCT((CLASS!$E56:$J56="NR")*1,LIVE!$E56:$J56))</f>
        <v>319.5128</v>
      </c>
      <c r="K56" s="10" t="n">
        <f aca="false">INPUTS!$B$13*SUM(DEAD!$E56:$K56)+INPUTS!$B$14*(RED!K56*SUMPRODUCT((CLASS!$E56:$K56="RES")*1,LIVE!$E56:$K56)+IF(SUMPRODUCT((CLASS!$E56:$K56="GAR")*1)&gt;=2,INPUTS!$B$20,1)*SUMPRODUCT((CLASS!$E56:$K56="GAR")*1,LIVE!$E56:$K56)+SUMPRODUCT((CLASS!$E56:$K56="NR")*1,LIVE!$E56:$K56))</f>
        <v>343.5958</v>
      </c>
      <c r="L56" s="10" t="n">
        <f aca="false">INPUTS!$B$13*SUM(DEAD!$E56:$L56)+INPUTS!$B$14*(RED!L56*SUMPRODUCT((CLASS!$E56:$L56="RES")*1,LIVE!$E56:$L56)+IF(SUMPRODUCT((CLASS!$E56:$L56="GAR")*1)&gt;=2,INPUTS!$B$20,1)*SUMPRODUCT((CLASS!$E56:$L56="GAR")*1,LIVE!$E56:$L56)+SUMPRODUCT((CLASS!$E56:$L56="NR")*1,LIVE!$E56:$L56))</f>
        <v>368.0948</v>
      </c>
      <c r="M56" s="10" t="n">
        <f aca="false">INPUTS!$B$13*SUM(DEAD!$E56:$M56)+INPUTS!$B$14*(RED!M56*SUMPRODUCT((CLASS!$E56:$M56="RES")*1,LIVE!$E56:$M56)+IF(SUMPRODUCT((CLASS!$E56:$M56="GAR")*1)&gt;=2,INPUTS!$B$20,1)*SUMPRODUCT((CLASS!$E56:$M56="GAR")*1,LIVE!$E56:$M56)+SUMPRODUCT((CLASS!$E56:$M56="NR")*1,LIVE!$E56:$M56))</f>
        <v>392.17747999488</v>
      </c>
      <c r="N56" s="10" t="n">
        <f aca="false">INPUTS!$B$13*SUM(DEAD!$E56:$N56)+INPUTS!$B$14*(RED!N56*SUMPRODUCT((CLASS!$E56:$N56="RES")*1,LIVE!$E56:$N56)+IF(SUMPRODUCT((CLASS!$E56:$N56="GAR")*1)&gt;=2,INPUTS!$B$20,1)*SUMPRODUCT((CLASS!$E56:$N56="GAR")*1,LIVE!$E56:$N56)+SUMPRODUCT((CLASS!$E56:$N56="NR")*1,LIVE!$E56:$N56))</f>
        <v>414.732730795641</v>
      </c>
      <c r="O56" s="10" t="n">
        <f aca="false">INPUTS!$B$13*SUM(DEAD!$E56:$O56)+INPUTS!$B$14*(RED!O56*SUMPRODUCT((CLASS!$E56:$O56="RES")*1,LIVE!$E56:$O56)+IF(SUMPRODUCT((CLASS!$E56:$O56="GAR")*1)&gt;=2,INPUTS!$B$20,1)*SUMPRODUCT((CLASS!$E56:$O56="GAR")*1,LIVE!$E56:$O56)+SUMPRODUCT((CLASS!$E56:$O56="NR")*1,LIVE!$E56:$O56))</f>
        <v>437.101105841895</v>
      </c>
      <c r="P56" s="10" t="n">
        <f aca="false">INPUTS!$B$13*SUM(DEAD!$E56:$P56)+INPUTS!$B$14*(RED!P56*SUMPRODUCT((CLASS!$E56:$P56="RES")*1,LIVE!$E56:$P56)+IF(SUMPRODUCT((CLASS!$E56:$P56="GAR")*1)&gt;=2,INPUTS!$B$20,1)*SUMPRODUCT((CLASS!$E56:$P56="GAR")*1,LIVE!$E56:$P56)+SUMPRODUCT((CLASS!$E56:$P56="NR")*1,LIVE!$E56:$P56))</f>
        <v>460.282030137824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10" t="n">
        <f aca="false">INPUTS!$B$13*SUM(DEAD!$E57:$E57)+INPUTS!$B$14*(RED!E57*SUMPRODUCT((CLASS!$E57:$E57="RES")*1,LIVE!$E57:$E57)+IF(SUMPRODUCT((CLASS!$E57:$E57="GAR")*1)&gt;=2,INPUTS!$B$20,1)*SUMPRODUCT((CLASS!$E57:$E57="GAR")*1,LIVE!$E57:$E57)+SUMPRODUCT((CLASS!$E57:$E57="NR")*1,LIVE!$E57:$E57))</f>
        <v>79.758</v>
      </c>
      <c r="F57" s="10" t="n">
        <f aca="false">INPUTS!$B$13*SUM(DEAD!$E57:$F57)+INPUTS!$B$14*(RED!F57*SUMPRODUCT((CLASS!$E57:$F57="RES")*1,LIVE!$E57:$F57)+IF(SUMPRODUCT((CLASS!$E57:$F57="GAR")*1)&gt;=2,INPUTS!$B$20,1)*SUMPRODUCT((CLASS!$E57:$F57="GAR")*1,LIVE!$E57:$F57)+SUMPRODUCT((CLASS!$E57:$F57="NR")*1,LIVE!$E57:$F57))</f>
        <v>196</v>
      </c>
      <c r="G57" s="10" t="n">
        <f aca="false">INPUTS!$B$13*SUM(DEAD!$E57:$G57)+INPUTS!$B$14*(RED!G57*SUMPRODUCT((CLASS!$E57:$G57="RES")*1,LIVE!$E57:$G57)+IF(SUMPRODUCT((CLASS!$E57:$G57="GAR")*1)&gt;=2,INPUTS!$B$20,1)*SUMPRODUCT((CLASS!$E57:$G57="GAR")*1,LIVE!$E57:$G57)+SUMPRODUCT((CLASS!$E57:$G57="NR")*1,LIVE!$E57:$G57))</f>
        <v>208.76</v>
      </c>
      <c r="H57" s="10" t="n">
        <f aca="false">INPUTS!$B$13*SUM(DEAD!$E57:$H57)+INPUTS!$B$14*(RED!H57*SUMPRODUCT((CLASS!$E57:$H57="RES")*1,LIVE!$E57:$H57)+IF(SUMPRODUCT((CLASS!$E57:$H57="GAR")*1)&gt;=2,INPUTS!$B$20,1)*SUMPRODUCT((CLASS!$E57:$H57="GAR")*1,LIVE!$E57:$H57)+SUMPRODUCT((CLASS!$E57:$H57="NR")*1,LIVE!$E57:$H57))</f>
        <v>218.45</v>
      </c>
      <c r="I57" s="10" t="n">
        <f aca="false">INPUTS!$B$13*SUM(DEAD!$E57:$I57)+INPUTS!$B$14*(RED!I57*SUMPRODUCT((CLASS!$E57:$I57="RES")*1,LIVE!$E57:$I57)+IF(SUMPRODUCT((CLASS!$E57:$I57="GAR")*1)&gt;=2,INPUTS!$B$20,1)*SUMPRODUCT((CLASS!$E57:$I57="GAR")*1,LIVE!$E57:$I57)+SUMPRODUCT((CLASS!$E57:$I57="NR")*1,LIVE!$E57:$I57))</f>
        <v>227.5256</v>
      </c>
      <c r="J57" s="10" t="n">
        <f aca="false">INPUTS!$B$13*SUM(DEAD!$E57:$J57)+INPUTS!$B$14*(RED!J57*SUMPRODUCT((CLASS!$E57:$J57="RES")*1,LIVE!$E57:$J57)+IF(SUMPRODUCT((CLASS!$E57:$J57="GAR")*1)&gt;=2,INPUTS!$B$20,1)*SUMPRODUCT((CLASS!$E57:$J57="GAR")*1,LIVE!$E57:$J57)+SUMPRODUCT((CLASS!$E57:$J57="NR")*1,LIVE!$E57:$J57))</f>
        <v>261.2284</v>
      </c>
      <c r="K57" s="10" t="n">
        <f aca="false">INPUTS!$B$13*SUM(DEAD!$E57:$K57)+INPUTS!$B$14*(RED!K57*SUMPRODUCT((CLASS!$E57:$K57="RES")*1,LIVE!$E57:$K57)+IF(SUMPRODUCT((CLASS!$E57:$K57="GAR")*1)&gt;=2,INPUTS!$B$20,1)*SUMPRODUCT((CLASS!$E57:$K57="GAR")*1,LIVE!$E57:$K57)+SUMPRODUCT((CLASS!$E57:$K57="NR")*1,LIVE!$E57:$K57))</f>
        <v>272.2504</v>
      </c>
      <c r="L57" s="10" t="n">
        <f aca="false">INPUTS!$B$13*SUM(DEAD!$E57:$L57)+INPUTS!$B$14*(RED!L57*SUMPRODUCT((CLASS!$E57:$L57="RES")*1,LIVE!$E57:$L57)+IF(SUMPRODUCT((CLASS!$E57:$L57="GAR")*1)&gt;=2,INPUTS!$B$20,1)*SUMPRODUCT((CLASS!$E57:$L57="GAR")*1,LIVE!$E57:$L57)+SUMPRODUCT((CLASS!$E57:$L57="NR")*1,LIVE!$E57:$L57))</f>
        <v>283.2724</v>
      </c>
      <c r="M57" s="10" t="n">
        <f aca="false">INPUTS!$B$13*SUM(DEAD!$E57:$M57)+INPUTS!$B$14*(RED!M57*SUMPRODUCT((CLASS!$E57:$M57="RES")*1,LIVE!$E57:$M57)+IF(SUMPRODUCT((CLASS!$E57:$M57="GAR")*1)&gt;=2,INPUTS!$B$20,1)*SUMPRODUCT((CLASS!$E57:$M57="GAR")*1,LIVE!$E57:$M57)+SUMPRODUCT((CLASS!$E57:$M57="NR")*1,LIVE!$E57:$M57))</f>
        <v>294.2944</v>
      </c>
      <c r="N57" s="10" t="n">
        <f aca="false">INPUTS!$B$13*SUM(DEAD!$E57:$N57)+INPUTS!$B$14*(RED!N57*SUMPRODUCT((CLASS!$E57:$N57="RES")*1,LIVE!$E57:$N57)+IF(SUMPRODUCT((CLASS!$E57:$N57="GAR")*1)&gt;=2,INPUTS!$B$20,1)*SUMPRODUCT((CLASS!$E57:$N57="GAR")*1,LIVE!$E57:$N57)+SUMPRODUCT((CLASS!$E57:$N57="NR")*1,LIVE!$E57:$N57))</f>
        <v>305.3164</v>
      </c>
      <c r="O57" s="10" t="n">
        <f aca="false">INPUTS!$B$13*SUM(DEAD!$E57:$O57)+INPUTS!$B$14*(RED!O57*SUMPRODUCT((CLASS!$E57:$O57="RES")*1,LIVE!$E57:$O57)+IF(SUMPRODUCT((CLASS!$E57:$O57="GAR")*1)&gt;=2,INPUTS!$B$20,1)*SUMPRODUCT((CLASS!$E57:$O57="GAR")*1,LIVE!$E57:$O57)+SUMPRODUCT((CLASS!$E57:$O57="NR")*1,LIVE!$E57:$O57))</f>
        <v>316.3384</v>
      </c>
      <c r="P57" s="10" t="n">
        <f aca="false">INPUTS!$B$13*SUM(DEAD!$E57:$P57)+INPUTS!$B$14*(RED!P57*SUMPRODUCT((CLASS!$E57:$P57="RES")*1,LIVE!$E57:$P57)+IF(SUMPRODUCT((CLASS!$E57:$P57="GAR")*1)&gt;=2,INPUTS!$B$20,1)*SUMPRODUCT((CLASS!$E57:$P57="GAR")*1,LIVE!$E57:$P57)+SUMPRODUCT((CLASS!$E57:$P57="NR")*1,LIVE!$E57:$P57))</f>
        <v>327.9904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10" t="n">
        <f aca="false">INPUTS!$B$13*SUM(DEAD!$E58:$E58)+INPUTS!$B$14*(RED!E58*SUMPRODUCT((CLASS!$E58:$E58="RES")*1,LIVE!$E58:$E58)+IF(SUMPRODUCT((CLASS!$E58:$E58="GAR")*1)&gt;=2,INPUTS!$B$20,1)*SUMPRODUCT((CLASS!$E58:$E58="GAR")*1,LIVE!$E58:$E58)+SUMPRODUCT((CLASS!$E58:$E58="NR")*1,LIVE!$E58:$E58))</f>
        <v>61.839</v>
      </c>
      <c r="F58" s="10" t="n">
        <f aca="false">INPUTS!$B$13*SUM(DEAD!$E58:$F58)+INPUTS!$B$14*(RED!F58*SUMPRODUCT((CLASS!$E58:$F58="RES")*1,LIVE!$E58:$F58)+IF(SUMPRODUCT((CLASS!$E58:$F58="GAR")*1)&gt;=2,INPUTS!$B$20,1)*SUMPRODUCT((CLASS!$E58:$F58="GAR")*1,LIVE!$E58:$F58)+SUMPRODUCT((CLASS!$E58:$F58="NR")*1,LIVE!$E58:$F58))</f>
        <v>153.62</v>
      </c>
      <c r="G58" s="10" t="n">
        <f aca="false">INPUTS!$B$13*SUM(DEAD!$E58:$G58)+INPUTS!$B$14*(RED!G58*SUMPRODUCT((CLASS!$E58:$G58="RES")*1,LIVE!$E58:$G58)+IF(SUMPRODUCT((CLASS!$E58:$G58="GAR")*1)&gt;=2,INPUTS!$B$20,1)*SUMPRODUCT((CLASS!$E58:$G58="GAR")*1,LIVE!$E58:$G58)+SUMPRODUCT((CLASS!$E58:$G58="NR")*1,LIVE!$E58:$G58))</f>
        <v>248.851</v>
      </c>
      <c r="H58" s="10" t="n">
        <f aca="false">INPUTS!$B$13*SUM(DEAD!$E58:$H58)+INPUTS!$B$14*(RED!H58*SUMPRODUCT((CLASS!$E58:$H58="RES")*1,LIVE!$E58:$H58)+IF(SUMPRODUCT((CLASS!$E58:$H58="GAR")*1)&gt;=2,INPUTS!$B$20,1)*SUMPRODUCT((CLASS!$E58:$H58="GAR")*1,LIVE!$E58:$H58)+SUMPRODUCT((CLASS!$E58:$H58="NR")*1,LIVE!$E58:$H58))</f>
        <v>326.986</v>
      </c>
      <c r="I58" s="10" t="n">
        <f aca="false">INPUTS!$B$13*SUM(DEAD!$E58:$I58)+INPUTS!$B$14*(RED!I58*SUMPRODUCT((CLASS!$E58:$I58="RES")*1,LIVE!$E58:$I58)+IF(SUMPRODUCT((CLASS!$E58:$I58="GAR")*1)&gt;=2,INPUTS!$B$20,1)*SUMPRODUCT((CLASS!$E58:$I58="GAR")*1,LIVE!$E58:$I58)+SUMPRODUCT((CLASS!$E58:$I58="NR")*1,LIVE!$E58:$I58))</f>
        <v>397.1338</v>
      </c>
      <c r="J58" s="10" t="n">
        <f aca="false">INPUTS!$B$13*SUM(DEAD!$E58:$J58)+INPUTS!$B$14*(RED!J58*SUMPRODUCT((CLASS!$E58:$J58="RES")*1,LIVE!$E58:$J58)+IF(SUMPRODUCT((CLASS!$E58:$J58="GAR")*1)&gt;=2,INPUTS!$B$20,1)*SUMPRODUCT((CLASS!$E58:$J58="GAR")*1,LIVE!$E58:$J58)+SUMPRODUCT((CLASS!$E58:$J58="NR")*1,LIVE!$E58:$J58))</f>
        <v>471.068</v>
      </c>
      <c r="K58" s="10" t="n">
        <f aca="false">INPUTS!$B$13*SUM(DEAD!$E58:$K58)+INPUTS!$B$14*(RED!K58*SUMPRODUCT((CLASS!$E58:$K58="RES")*1,LIVE!$E58:$K58)+IF(SUMPRODUCT((CLASS!$E58:$K58="GAR")*1)&gt;=2,INPUTS!$B$20,1)*SUMPRODUCT((CLASS!$E58:$K58="GAR")*1,LIVE!$E58:$K58)+SUMPRODUCT((CLASS!$E58:$K58="NR")*1,LIVE!$E58:$K58))</f>
        <v>540.097415583553</v>
      </c>
      <c r="L58" s="10" t="n">
        <f aca="false">INPUTS!$B$13*SUM(DEAD!$E58:$L58)+INPUTS!$B$14*(RED!L58*SUMPRODUCT((CLASS!$E58:$L58="RES")*1,LIVE!$E58:$L58)+IF(SUMPRODUCT((CLASS!$E58:$L58="GAR")*1)&gt;=2,INPUTS!$B$20,1)*SUMPRODUCT((CLASS!$E58:$L58="GAR")*1,LIVE!$E58:$L58)+SUMPRODUCT((CLASS!$E58:$L58="NR")*1,LIVE!$E58:$L58))</f>
        <v>603.401111082531</v>
      </c>
      <c r="M58" s="10" t="n">
        <f aca="false">INPUTS!$B$13*SUM(DEAD!$E58:$M58)+INPUTS!$B$14*(RED!M58*SUMPRODUCT((CLASS!$E58:$M58="RES")*1,LIVE!$E58:$M58)+IF(SUMPRODUCT((CLASS!$E58:$M58="GAR")*1)&gt;=2,INPUTS!$B$20,1)*SUMPRODUCT((CLASS!$E58:$M58="GAR")*1,LIVE!$E58:$M58)+SUMPRODUCT((CLASS!$E58:$M58="NR")*1,LIVE!$E58:$M58))</f>
        <v>665.762784405006</v>
      </c>
      <c r="N58" s="10" t="n">
        <f aca="false">INPUTS!$B$13*SUM(DEAD!$E58:$N58)+INPUTS!$B$14*(RED!N58*SUMPRODUCT((CLASS!$E58:$N58="RES")*1,LIVE!$E58:$N58)+IF(SUMPRODUCT((CLASS!$E58:$N58="GAR")*1)&gt;=2,INPUTS!$B$20,1)*SUMPRODUCT((CLASS!$E58:$N58="GAR")*1,LIVE!$E58:$N58)+SUMPRODUCT((CLASS!$E58:$N58="NR")*1,LIVE!$E58:$N58))</f>
        <v>727.636831167106</v>
      </c>
      <c r="O58" s="10" t="n">
        <f aca="false">INPUTS!$B$13*SUM(DEAD!$E58:$O58)+INPUTS!$B$14*(RED!O58*SUMPRODUCT((CLASS!$E58:$O58="RES")*1,LIVE!$E58:$O58)+IF(SUMPRODUCT((CLASS!$E58:$O58="GAR")*1)&gt;=2,INPUTS!$B$20,1)*SUMPRODUCT((CLASS!$E58:$O58="GAR")*1,LIVE!$E58:$O58)+SUMPRODUCT((CLASS!$E58:$O58="NR")*1,LIVE!$E58:$O58))</f>
        <v>789.199257685157</v>
      </c>
      <c r="P58" s="10" t="n">
        <f aca="false">INPUTS!$B$13*SUM(DEAD!$E58:$P58)+INPUTS!$B$14*(RED!P58*SUMPRODUCT((CLASS!$E58:$P58="RES")*1,LIVE!$E58:$P58)+IF(SUMPRODUCT((CLASS!$E58:$P58="GAR")*1)&gt;=2,INPUTS!$B$20,1)*SUMPRODUCT((CLASS!$E58:$P58="GAR")*1,LIVE!$E58:$P58)+SUMPRODUCT((CLASS!$E58:$P58="NR")*1,LIVE!$E58:$P58))</f>
        <v>851.485330713613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10" t="n">
        <f aca="false">INPUTS!$B$13*SUM(DEAD!$E59:$E59)+INPUTS!$B$14*(RED!E59*SUMPRODUCT((CLASS!$E59:$E59="RES")*1,LIVE!$E59:$E59)+IF(SUMPRODUCT((CLASS!$E59:$E59="GAR")*1)&gt;=2,INPUTS!$B$20,1)*SUMPRODUCT((CLASS!$E59:$E59="GAR")*1,LIVE!$E59:$E59)+SUMPRODUCT((CLASS!$E59:$E59="NR")*1,LIVE!$E59:$E59))</f>
        <v>89.217</v>
      </c>
      <c r="F59" s="10" t="n">
        <f aca="false">INPUTS!$B$13*SUM(DEAD!$E59:$F59)+INPUTS!$B$14*(RED!F59*SUMPRODUCT((CLASS!$E59:$F59="RES")*1,LIVE!$E59:$F59)+IF(SUMPRODUCT((CLASS!$E59:$F59="GAR")*1)&gt;=2,INPUTS!$B$20,1)*SUMPRODUCT((CLASS!$E59:$F59="GAR")*1,LIVE!$E59:$F59)+SUMPRODUCT((CLASS!$E59:$F59="NR")*1,LIVE!$E59:$F59))</f>
        <v>218.6</v>
      </c>
      <c r="G59" s="10" t="n">
        <f aca="false">INPUTS!$B$13*SUM(DEAD!$E59:$G59)+INPUTS!$B$14*(RED!G59*SUMPRODUCT((CLASS!$E59:$G59="RES")*1,LIVE!$E59:$G59)+IF(SUMPRODUCT((CLASS!$E59:$G59="GAR")*1)&gt;=2,INPUTS!$B$20,1)*SUMPRODUCT((CLASS!$E59:$G59="GAR")*1,LIVE!$E59:$G59)+SUMPRODUCT((CLASS!$E59:$G59="NR")*1,LIVE!$E59:$G59))</f>
        <v>288.007</v>
      </c>
      <c r="H59" s="10" t="n">
        <f aca="false">INPUTS!$B$13*SUM(DEAD!$E59:$H59)+INPUTS!$B$14*(RED!H59*SUMPRODUCT((CLASS!$E59:$H59="RES")*1,LIVE!$E59:$H59)+IF(SUMPRODUCT((CLASS!$E59:$H59="GAR")*1)&gt;=2,INPUTS!$B$20,1)*SUMPRODUCT((CLASS!$E59:$H59="GAR")*1,LIVE!$E59:$H59)+SUMPRODUCT((CLASS!$E59:$H59="NR")*1,LIVE!$E59:$H59))</f>
        <v>335.982</v>
      </c>
      <c r="I59" s="10" t="n">
        <f aca="false">INPUTS!$B$13*SUM(DEAD!$E59:$I59)+INPUTS!$B$14*(RED!I59*SUMPRODUCT((CLASS!$E59:$I59="RES")*1,LIVE!$E59:$I59)+IF(SUMPRODUCT((CLASS!$E59:$I59="GAR")*1)&gt;=2,INPUTS!$B$20,1)*SUMPRODUCT((CLASS!$E59:$I59="GAR")*1,LIVE!$E59:$I59)+SUMPRODUCT((CLASS!$E59:$I59="NR")*1,LIVE!$E59:$I59))</f>
        <v>379.1442</v>
      </c>
      <c r="J59" s="10" t="n">
        <f aca="false">INPUTS!$B$13*SUM(DEAD!$E59:$J59)+INPUTS!$B$14*(RED!J59*SUMPRODUCT((CLASS!$E59:$J59="RES")*1,LIVE!$E59:$J59)+IF(SUMPRODUCT((CLASS!$E59:$J59="GAR")*1)&gt;=2,INPUTS!$B$20,1)*SUMPRODUCT((CLASS!$E59:$J59="GAR")*1,LIVE!$E59:$J59)+SUMPRODUCT((CLASS!$E59:$J59="NR")*1,LIVE!$E59:$J59))</f>
        <v>423.2624</v>
      </c>
      <c r="K59" s="10" t="n">
        <f aca="false">INPUTS!$B$13*SUM(DEAD!$E59:$K59)+INPUTS!$B$14*(RED!K59*SUMPRODUCT((CLASS!$E59:$K59="RES")*1,LIVE!$E59:$K59)+IF(SUMPRODUCT((CLASS!$E59:$K59="GAR")*1)&gt;=2,INPUTS!$B$20,1)*SUMPRODUCT((CLASS!$E59:$K59="GAR")*1,LIVE!$E59:$K59)+SUMPRODUCT((CLASS!$E59:$K59="NR")*1,LIVE!$E59:$K59))</f>
        <v>466.294155326548</v>
      </c>
      <c r="L59" s="10" t="n">
        <f aca="false">INPUTS!$B$13*SUM(DEAD!$E59:$L59)+INPUTS!$B$14*(RED!L59*SUMPRODUCT((CLASS!$E59:$L59="RES")*1,LIVE!$E59:$L59)+IF(SUMPRODUCT((CLASS!$E59:$L59="GAR")*1)&gt;=2,INPUTS!$B$20,1)*SUMPRODUCT((CLASS!$E59:$L59="GAR")*1,LIVE!$E59:$L59)+SUMPRODUCT((CLASS!$E59:$L59="NR")*1,LIVE!$E59:$L59))</f>
        <v>504.957844514102</v>
      </c>
      <c r="M59" s="10" t="n">
        <f aca="false">INPUTS!$B$13*SUM(DEAD!$E59:$M59)+INPUTS!$B$14*(RED!M59*SUMPRODUCT((CLASS!$E59:$M59="RES")*1,LIVE!$E59:$M59)+IF(SUMPRODUCT((CLASS!$E59:$M59="GAR")*1)&gt;=2,INPUTS!$B$20,1)*SUMPRODUCT((CLASS!$E59:$M59="GAR")*1,LIVE!$E59:$M59)+SUMPRODUCT((CLASS!$E59:$M59="NR")*1,LIVE!$E59:$M59))</f>
        <v>542.902879085191</v>
      </c>
      <c r="N59" s="10" t="n">
        <f aca="false">INPUTS!$B$13*SUM(DEAD!$E59:$N59)+INPUTS!$B$14*(RED!N59*SUMPRODUCT((CLASS!$E59:$N59="RES")*1,LIVE!$E59:$N59)+IF(SUMPRODUCT((CLASS!$E59:$N59="GAR")*1)&gt;=2,INPUTS!$B$20,1)*SUMPRODUCT((CLASS!$E59:$N59="GAR")*1,LIVE!$E59:$N59)+SUMPRODUCT((CLASS!$E59:$N59="NR")*1,LIVE!$E59:$N59))</f>
        <v>580.475910653096</v>
      </c>
      <c r="O59" s="10" t="n">
        <f aca="false">INPUTS!$B$13*SUM(DEAD!$E59:$O59)+INPUTS!$B$14*(RED!O59*SUMPRODUCT((CLASS!$E59:$O59="RES")*1,LIVE!$E59:$O59)+IF(SUMPRODUCT((CLASS!$E59:$O59="GAR")*1)&gt;=2,INPUTS!$B$20,1)*SUMPRODUCT((CLASS!$E59:$O59="GAR")*1,LIVE!$E59:$O59)+SUMPRODUCT((CLASS!$E59:$O59="NR")*1,LIVE!$E59:$O59))</f>
        <v>617.811211801745</v>
      </c>
      <c r="P59" s="10" t="n">
        <f aca="false">INPUTS!$B$13*SUM(DEAD!$E59:$P59)+INPUTS!$B$14*(RED!P59*SUMPRODUCT((CLASS!$E59:$P59="RES")*1,LIVE!$E59:$P59)+IF(SUMPRODUCT((CLASS!$E59:$P59="GAR")*1)&gt;=2,INPUTS!$B$20,1)*SUMPRODUCT((CLASS!$E59:$P59="GAR")*1,LIVE!$E59:$P59)+SUMPRODUCT((CLASS!$E59:$P59="NR")*1,LIVE!$E59:$P59))</f>
        <v>655.922645686823</v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10" t="n">
        <f aca="false">INPUTS!$B$13*SUM(DEAD!$E60:$E60)+INPUTS!$B$14*(RED!E60*SUMPRODUCT((CLASS!$E60:$E60="RES")*1,LIVE!$E60:$E60)+IF(SUMPRODUCT((CLASS!$E60:$E60="GAR")*1)&gt;=2,INPUTS!$B$20,1)*SUMPRODUCT((CLASS!$E60:$E60="GAR")*1,LIVE!$E60:$E60)+SUMPRODUCT((CLASS!$E60:$E60="NR")*1,LIVE!$E60:$E60))</f>
        <v>88.65</v>
      </c>
      <c r="F60" s="10" t="n">
        <f aca="false">INPUTS!$B$13*SUM(DEAD!$E60:$F60)+INPUTS!$B$14*(RED!F60*SUMPRODUCT((CLASS!$E60:$F60="RES")*1,LIVE!$E60:$F60)+IF(SUMPRODUCT((CLASS!$E60:$F60="GAR")*1)&gt;=2,INPUTS!$B$20,1)*SUMPRODUCT((CLASS!$E60:$F60="GAR")*1,LIVE!$E60:$F60)+SUMPRODUCT((CLASS!$E60:$F60="NR")*1,LIVE!$E60:$F60))</f>
        <v>218.04</v>
      </c>
      <c r="G60" s="10" t="n">
        <f aca="false">INPUTS!$B$13*SUM(DEAD!$E60:$G60)+INPUTS!$B$14*(RED!G60*SUMPRODUCT((CLASS!$E60:$G60="RES")*1,LIVE!$E60:$G60)+IF(SUMPRODUCT((CLASS!$E60:$G60="GAR")*1)&gt;=2,INPUTS!$B$20,1)*SUMPRODUCT((CLASS!$E60:$G60="GAR")*1,LIVE!$E60:$G60)+SUMPRODUCT((CLASS!$E60:$G60="NR")*1,LIVE!$E60:$G60))</f>
        <v>228.462</v>
      </c>
      <c r="H60" s="10" t="n">
        <f aca="false">INPUTS!$B$13*SUM(DEAD!$E60:$H60)+INPUTS!$B$14*(RED!H60*SUMPRODUCT((CLASS!$E60:$H60="RES")*1,LIVE!$E60:$H60)+IF(SUMPRODUCT((CLASS!$E60:$H60="GAR")*1)&gt;=2,INPUTS!$B$20,1)*SUMPRODUCT((CLASS!$E60:$H60="GAR")*1,LIVE!$E60:$H60)+SUMPRODUCT((CLASS!$E60:$H60="NR")*1,LIVE!$E60:$H60))</f>
        <v>236.832</v>
      </c>
      <c r="I60" s="10" t="n">
        <f aca="false">INPUTS!$B$13*SUM(DEAD!$E60:$I60)+INPUTS!$B$14*(RED!I60*SUMPRODUCT((CLASS!$E60:$I60="RES")*1,LIVE!$E60:$I60)+IF(SUMPRODUCT((CLASS!$E60:$I60="GAR")*1)&gt;=2,INPUTS!$B$20,1)*SUMPRODUCT((CLASS!$E60:$I60="GAR")*1,LIVE!$E60:$I60)+SUMPRODUCT((CLASS!$E60:$I60="NR")*1,LIVE!$E60:$I60))</f>
        <v>244.7412</v>
      </c>
      <c r="J60" s="10" t="n">
        <f aca="false">INPUTS!$B$13*SUM(DEAD!$E60:$J60)+INPUTS!$B$14*(RED!J60*SUMPRODUCT((CLASS!$E60:$J60="RES")*1,LIVE!$E60:$J60)+IF(SUMPRODUCT((CLASS!$E60:$J60="GAR")*1)&gt;=2,INPUTS!$B$20,1)*SUMPRODUCT((CLASS!$E60:$J60="GAR")*1,LIVE!$E60:$J60)+SUMPRODUCT((CLASS!$E60:$J60="NR")*1,LIVE!$E60:$J60))</f>
        <v>251.8448</v>
      </c>
      <c r="K60" s="10" t="n">
        <f aca="false">INPUTS!$B$13*SUM(DEAD!$E60:$K60)+INPUTS!$B$14*(RED!K60*SUMPRODUCT((CLASS!$E60:$K60="RES")*1,LIVE!$E60:$K60)+IF(SUMPRODUCT((CLASS!$E60:$K60="GAR")*1)&gt;=2,INPUTS!$B$20,1)*SUMPRODUCT((CLASS!$E60:$K60="GAR")*1,LIVE!$E60:$K60)+SUMPRODUCT((CLASS!$E60:$K60="NR")*1,LIVE!$E60:$K60))</f>
        <v>259.1108</v>
      </c>
      <c r="L60" s="10" t="n">
        <f aca="false">INPUTS!$B$13*SUM(DEAD!$E60:$L60)+INPUTS!$B$14*(RED!L60*SUMPRODUCT((CLASS!$E60:$L60="RES")*1,LIVE!$E60:$L60)+IF(SUMPRODUCT((CLASS!$E60:$L60="GAR")*1)&gt;=2,INPUTS!$B$20,1)*SUMPRODUCT((CLASS!$E60:$L60="GAR")*1,LIVE!$E60:$L60)+SUMPRODUCT((CLASS!$E60:$L60="NR")*1,LIVE!$E60:$L60))</f>
        <v>266.3768</v>
      </c>
      <c r="M60" s="10" t="n">
        <f aca="false">INPUTS!$B$13*SUM(DEAD!$E60:$M60)+INPUTS!$B$14*(RED!M60*SUMPRODUCT((CLASS!$E60:$M60="RES")*1,LIVE!$E60:$M60)+IF(SUMPRODUCT((CLASS!$E60:$M60="GAR")*1)&gt;=2,INPUTS!$B$20,1)*SUMPRODUCT((CLASS!$E60:$M60="GAR")*1,LIVE!$E60:$M60)+SUMPRODUCT((CLASS!$E60:$M60="NR")*1,LIVE!$E60:$M60))</f>
        <v>273.6428</v>
      </c>
      <c r="N60" s="10" t="n">
        <f aca="false">INPUTS!$B$13*SUM(DEAD!$E60:$N60)+INPUTS!$B$14*(RED!N60*SUMPRODUCT((CLASS!$E60:$N60="RES")*1,LIVE!$E60:$N60)+IF(SUMPRODUCT((CLASS!$E60:$N60="GAR")*1)&gt;=2,INPUTS!$B$20,1)*SUMPRODUCT((CLASS!$E60:$N60="GAR")*1,LIVE!$E60:$N60)+SUMPRODUCT((CLASS!$E60:$N60="NR")*1,LIVE!$E60:$N60))</f>
        <v>280.9088</v>
      </c>
      <c r="O60" s="10" t="n">
        <f aca="false">INPUTS!$B$13*SUM(DEAD!$E60:$O60)+INPUTS!$B$14*(RED!O60*SUMPRODUCT((CLASS!$E60:$O60="RES")*1,LIVE!$E60:$O60)+IF(SUMPRODUCT((CLASS!$E60:$O60="GAR")*1)&gt;=2,INPUTS!$B$20,1)*SUMPRODUCT((CLASS!$E60:$O60="GAR")*1,LIVE!$E60:$O60)+SUMPRODUCT((CLASS!$E60:$O60="NR")*1,LIVE!$E60:$O60))</f>
        <v>288.1748</v>
      </c>
      <c r="P60" s="10" t="n">
        <f aca="false">INPUTS!$B$13*SUM(DEAD!$E60:$P60)+INPUTS!$B$14*(RED!P60*SUMPRODUCT((CLASS!$E60:$P60="RES")*1,LIVE!$E60:$P60)+IF(SUMPRODUCT((CLASS!$E60:$P60="GAR")*1)&gt;=2,INPUTS!$B$20,1)*SUMPRODUCT((CLASS!$E60:$P60="GAR")*1,LIVE!$E60:$P60)+SUMPRODUCT((CLASS!$E60:$P60="NR")*1,LIVE!$E60:$P60))</f>
        <v>296.0708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10" t="n">
        <f aca="false">INPUTS!$B$13*SUM(DEAD!$E61:$E61)+INPUTS!$B$14*(RED!E61*SUMPRODUCT((CLASS!$E61:$E61="RES")*1,LIVE!$E61:$E61)+IF(SUMPRODUCT((CLASS!$E61:$E61="GAR")*1)&gt;=2,INPUTS!$B$20,1)*SUMPRODUCT((CLASS!$E61:$E61="GAR")*1,LIVE!$E61:$E61)+SUMPRODUCT((CLASS!$E61:$E61="NR")*1,LIVE!$E61:$E61))</f>
        <v>92.727</v>
      </c>
      <c r="F61" s="10" t="n">
        <f aca="false">INPUTS!$B$13*SUM(DEAD!$E61:$F61)+INPUTS!$B$14*(RED!F61*SUMPRODUCT((CLASS!$E61:$F61="RES")*1,LIVE!$E61:$F61)+IF(SUMPRODUCT((CLASS!$E61:$F61="GAR")*1)&gt;=2,INPUTS!$B$20,1)*SUMPRODUCT((CLASS!$E61:$F61="GAR")*1,LIVE!$E61:$F61)+SUMPRODUCT((CLASS!$E61:$F61="NR")*1,LIVE!$E61:$F61))</f>
        <v>231.62</v>
      </c>
      <c r="G61" s="10" t="n">
        <f aca="false">INPUTS!$B$13*SUM(DEAD!$E61:$G61)+INPUTS!$B$14*(RED!G61*SUMPRODUCT((CLASS!$E61:$G61="RES")*1,LIVE!$E61:$G61)+IF(SUMPRODUCT((CLASS!$E61:$G61="GAR")*1)&gt;=2,INPUTS!$B$20,1)*SUMPRODUCT((CLASS!$E61:$G61="GAR")*1,LIVE!$E61:$G61)+SUMPRODUCT((CLASS!$E61:$G61="NR")*1,LIVE!$E61:$G61))</f>
        <v>357.631</v>
      </c>
      <c r="H61" s="10" t="n">
        <f aca="false">INPUTS!$B$13*SUM(DEAD!$E61:$H61)+INPUTS!$B$14*(RED!H61*SUMPRODUCT((CLASS!$E61:$H61="RES")*1,LIVE!$E61:$H61)+IF(SUMPRODUCT((CLASS!$E61:$H61="GAR")*1)&gt;=2,INPUTS!$B$20,1)*SUMPRODUCT((CLASS!$E61:$H61="GAR")*1,LIVE!$E61:$H61)+SUMPRODUCT((CLASS!$E61:$H61="NR")*1,LIVE!$E61:$H61))</f>
        <v>458.746</v>
      </c>
      <c r="I61" s="10" t="n">
        <f aca="false">INPUTS!$B$13*SUM(DEAD!$E61:$I61)+INPUTS!$B$14*(RED!I61*SUMPRODUCT((CLASS!$E61:$I61="RES")*1,LIVE!$E61:$I61)+IF(SUMPRODUCT((CLASS!$E61:$I61="GAR")*1)&gt;=2,INPUTS!$B$20,1)*SUMPRODUCT((CLASS!$E61:$I61="GAR")*1,LIVE!$E61:$I61)+SUMPRODUCT((CLASS!$E61:$I61="NR")*1,LIVE!$E61:$I61))</f>
        <v>549.493</v>
      </c>
      <c r="J61" s="10" t="n">
        <f aca="false">INPUTS!$B$13*SUM(DEAD!$E61:$J61)+INPUTS!$B$14*(RED!J61*SUMPRODUCT((CLASS!$E61:$J61="RES")*1,LIVE!$E61:$J61)+IF(SUMPRODUCT((CLASS!$E61:$J61="GAR")*1)&gt;=2,INPUTS!$B$20,1)*SUMPRODUCT((CLASS!$E61:$J61="GAR")*1,LIVE!$E61:$J61)+SUMPRODUCT((CLASS!$E61:$J61="NR")*1,LIVE!$E61:$J61))</f>
        <v>645.424</v>
      </c>
      <c r="K61" s="10" t="n">
        <f aca="false">INPUTS!$B$13*SUM(DEAD!$E61:$K61)+INPUTS!$B$14*(RED!K61*SUMPRODUCT((CLASS!$E61:$K61="RES")*1,LIVE!$E61:$K61)+IF(SUMPRODUCT((CLASS!$E61:$K61="GAR")*1)&gt;=2,INPUTS!$B$20,1)*SUMPRODUCT((CLASS!$E61:$K61="GAR")*1,LIVE!$E61:$K61)+SUMPRODUCT((CLASS!$E61:$K61="NR")*1,LIVE!$E61:$K61))</f>
        <v>733.393192037077</v>
      </c>
      <c r="L61" s="10" t="n">
        <f aca="false">INPUTS!$B$13*SUM(DEAD!$E61:$L61)+INPUTS!$B$14*(RED!L61*SUMPRODUCT((CLASS!$E61:$L61="RES")*1,LIVE!$E61:$L61)+IF(SUMPRODUCT((CLASS!$E61:$L61="GAR")*1)&gt;=2,INPUTS!$B$20,1)*SUMPRODUCT((CLASS!$E61:$L61="GAR")*1,LIVE!$E61:$L61)+SUMPRODUCT((CLASS!$E61:$L61="NR")*1,LIVE!$E61:$L61))</f>
        <v>814.828409656149</v>
      </c>
      <c r="M61" s="10" t="n">
        <f aca="false">INPUTS!$B$13*SUM(DEAD!$E61:$M61)+INPUTS!$B$14*(RED!M61*SUMPRODUCT((CLASS!$E61:$M61="RES")*1,LIVE!$E61:$M61)+IF(SUMPRODUCT((CLASS!$E61:$M61="GAR")*1)&gt;=2,INPUTS!$B$20,1)*SUMPRODUCT((CLASS!$E61:$M61="GAR")*1,LIVE!$E61:$M61)+SUMPRODUCT((CLASS!$E61:$M61="NR")*1,LIVE!$E61:$M61))</f>
        <v>895.188627325598</v>
      </c>
      <c r="N61" s="10" t="n">
        <f aca="false">INPUTS!$B$13*SUM(DEAD!$E61:$N61)+INPUTS!$B$14*(RED!N61*SUMPRODUCT((CLASS!$E61:$N61="RES")*1,LIVE!$E61:$N61)+IF(SUMPRODUCT((CLASS!$E61:$N61="GAR")*1)&gt;=2,INPUTS!$B$20,1)*SUMPRODUCT((CLASS!$E61:$N61="GAR")*1,LIVE!$E61:$N61)+SUMPRODUCT((CLASS!$E61:$N61="NR")*1,LIVE!$E61:$N61))</f>
        <v>974.992384074155</v>
      </c>
      <c r="O61" s="10" t="n">
        <f aca="false">INPUTS!$B$13*SUM(DEAD!$E61:$O61)+INPUTS!$B$14*(RED!O61*SUMPRODUCT((CLASS!$E61:$O61="RES")*1,LIVE!$E61:$O61)+IF(SUMPRODUCT((CLASS!$E61:$O61="GAR")*1)&gt;=2,INPUTS!$B$20,1)*SUMPRODUCT((CLASS!$E61:$O61="GAR")*1,LIVE!$E61:$O61)+SUMPRODUCT((CLASS!$E61:$O61="NR")*1,LIVE!$E61:$O61))</f>
        <v>1054.44053162899</v>
      </c>
      <c r="P61" s="10" t="n">
        <f aca="false">INPUTS!$B$13*SUM(DEAD!$E61:$P61)+INPUTS!$B$14*(RED!P61*SUMPRODUCT((CLASS!$E61:$P61="RES")*1,LIVE!$E61:$P61)+IF(SUMPRODUCT((CLASS!$E61:$P61="GAR")*1)&gt;=2,INPUTS!$B$20,1)*SUMPRODUCT((CLASS!$E61:$P61="GAR")*1,LIVE!$E61:$P61)+SUMPRODUCT((CLASS!$E61:$P61="NR")*1,LIVE!$E61:$P61))</f>
        <v>1134.58107898385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10" t="n">
        <f aca="false">INPUTS!$B$13*SUM(DEAD!$E62:$E62)+INPUTS!$B$14*(RED!E62*SUMPRODUCT((CLASS!$E62:$E62="RES")*1,LIVE!$E62:$E62)+IF(SUMPRODUCT((CLASS!$E62:$E62="GAR")*1)&gt;=2,INPUTS!$B$20,1)*SUMPRODUCT((CLASS!$E62:$E62="GAR")*1,LIVE!$E62:$E62)+SUMPRODUCT((CLASS!$E62:$E62="NR")*1,LIVE!$E62:$E62))</f>
        <v>93.897</v>
      </c>
      <c r="F62" s="10" t="n">
        <f aca="false">INPUTS!$B$13*SUM(DEAD!$E62:$F62)+INPUTS!$B$14*(RED!F62*SUMPRODUCT((CLASS!$E62:$F62="RES")*1,LIVE!$E62:$F62)+IF(SUMPRODUCT((CLASS!$E62:$F62="GAR")*1)&gt;=2,INPUTS!$B$20,1)*SUMPRODUCT((CLASS!$E62:$F62="GAR")*1,LIVE!$E62:$F62)+SUMPRODUCT((CLASS!$E62:$F62="NR")*1,LIVE!$E62:$F62))</f>
        <v>234.7</v>
      </c>
      <c r="G62" s="10" t="n">
        <f aca="false">INPUTS!$B$13*SUM(DEAD!$E62:$G62)+INPUTS!$B$14*(RED!G62*SUMPRODUCT((CLASS!$E62:$G62="RES")*1,LIVE!$E62:$G62)+IF(SUMPRODUCT((CLASS!$E62:$G62="GAR")*1)&gt;=2,INPUTS!$B$20,1)*SUMPRODUCT((CLASS!$E62:$G62="GAR")*1,LIVE!$E62:$G62)+SUMPRODUCT((CLASS!$E62:$G62="NR")*1,LIVE!$E62:$G62))</f>
        <v>362.201</v>
      </c>
      <c r="H62" s="10" t="n">
        <f aca="false">INPUTS!$B$13*SUM(DEAD!$E62:$H62)+INPUTS!$B$14*(RED!H62*SUMPRODUCT((CLASS!$E62:$H62="RES")*1,LIVE!$E62:$H62)+IF(SUMPRODUCT((CLASS!$E62:$H62="GAR")*1)&gt;=2,INPUTS!$B$20,1)*SUMPRODUCT((CLASS!$E62:$H62="GAR")*1,LIVE!$E62:$H62)+SUMPRODUCT((CLASS!$E62:$H62="NR")*1,LIVE!$E62:$H62))</f>
        <v>463.756</v>
      </c>
      <c r="I62" s="10" t="n">
        <f aca="false">INPUTS!$B$13*SUM(DEAD!$E62:$I62)+INPUTS!$B$14*(RED!I62*SUMPRODUCT((CLASS!$E62:$I62="RES")*1,LIVE!$E62:$I62)+IF(SUMPRODUCT((CLASS!$E62:$I62="GAR")*1)&gt;=2,INPUTS!$B$20,1)*SUMPRODUCT((CLASS!$E62:$I62="GAR")*1,LIVE!$E62:$I62)+SUMPRODUCT((CLASS!$E62:$I62="NR")*1,LIVE!$E62:$I62))</f>
        <v>554.8918</v>
      </c>
      <c r="J62" s="10" t="n">
        <f aca="false">INPUTS!$B$13*SUM(DEAD!$E62:$J62)+INPUTS!$B$14*(RED!J62*SUMPRODUCT((CLASS!$E62:$J62="RES")*1,LIVE!$E62:$J62)+IF(SUMPRODUCT((CLASS!$E62:$J62="GAR")*1)&gt;=2,INPUTS!$B$20,1)*SUMPRODUCT((CLASS!$E62:$J62="GAR")*1,LIVE!$E62:$J62)+SUMPRODUCT((CLASS!$E62:$J62="NR")*1,LIVE!$E62:$J62))</f>
        <v>651.2372</v>
      </c>
      <c r="K62" s="10" t="n">
        <f aca="false">INPUTS!$B$13*SUM(DEAD!$E62:$K62)+INPUTS!$B$14*(RED!K62*SUMPRODUCT((CLASS!$E62:$K62="RES")*1,LIVE!$E62:$K62)+IF(SUMPRODUCT((CLASS!$E62:$K62="GAR")*1)&gt;=2,INPUTS!$B$20,1)*SUMPRODUCT((CLASS!$E62:$K62="GAR")*1,LIVE!$E62:$K62)+SUMPRODUCT((CLASS!$E62:$K62="NR")*1,LIVE!$E62:$K62))</f>
        <v>738.337325168441</v>
      </c>
      <c r="L62" s="10" t="n">
        <f aca="false">INPUTS!$B$13*SUM(DEAD!$E62:$L62)+INPUTS!$B$14*(RED!L62*SUMPRODUCT((CLASS!$E62:$L62="RES")*1,LIVE!$E62:$L62)+IF(SUMPRODUCT((CLASS!$E62:$L62="GAR")*1)&gt;=2,INPUTS!$B$20,1)*SUMPRODUCT((CLASS!$E62:$L62="GAR")*1,LIVE!$E62:$L62)+SUMPRODUCT((CLASS!$E62:$L62="NR")*1,LIVE!$E62:$L62))</f>
        <v>831.83168719101</v>
      </c>
      <c r="M62" s="10" t="n">
        <f aca="false">INPUTS!$B$13*SUM(DEAD!$E62:$M62)+INPUTS!$B$14*(RED!M62*SUMPRODUCT((CLASS!$E62:$M62="RES")*1,LIVE!$E62:$M62)+IF(SUMPRODUCT((CLASS!$E62:$M62="GAR")*1)&gt;=2,INPUTS!$B$20,1)*SUMPRODUCT((CLASS!$E62:$M62="GAR")*1,LIVE!$E62:$M62)+SUMPRODUCT((CLASS!$E62:$M62="NR")*1,LIVE!$E62:$M62))</f>
        <v>923.981954659956</v>
      </c>
      <c r="N62" s="10" t="n">
        <f aca="false">INPUTS!$B$13*SUM(DEAD!$E62:$N62)+INPUTS!$B$14*(RED!N62*SUMPRODUCT((CLASS!$E62:$N62="RES")*1,LIVE!$E62:$N62)+IF(SUMPRODUCT((CLASS!$E62:$N62="GAR")*1)&gt;=2,INPUTS!$B$20,1)*SUMPRODUCT((CLASS!$E62:$N62="GAR")*1,LIVE!$E62:$N62)+SUMPRODUCT((CLASS!$E62:$N62="NR")*1,LIVE!$E62:$N62))</f>
        <v>1015.47449098441</v>
      </c>
      <c r="O62" s="10" t="n">
        <f aca="false">INPUTS!$B$13*SUM(DEAD!$E62:$O62)+INPUTS!$B$14*(RED!O62*SUMPRODUCT((CLASS!$E62:$O62="RES")*1,LIVE!$E62:$O62)+IF(SUMPRODUCT((CLASS!$E62:$O62="GAR")*1)&gt;=2,INPUTS!$B$20,1)*SUMPRODUCT((CLASS!$E62:$O62="GAR")*1,LIVE!$E62:$O62)+SUMPRODUCT((CLASS!$E62:$O62="NR")*1,LIVE!$E62:$O62))</f>
        <v>1106.55650040426</v>
      </c>
      <c r="P62" s="10" t="n">
        <f aca="false">INPUTS!$B$13*SUM(DEAD!$E62:$P62)+INPUTS!$B$14*(RED!P62*SUMPRODUCT((CLASS!$E62:$P62="RES")*1,LIVE!$E62:$P62)+IF(SUMPRODUCT((CLASS!$E62:$P62="GAR")*1)&gt;=2,INPUTS!$B$20,1)*SUMPRODUCT((CLASS!$E62:$P62="GAR")*1,LIVE!$E62:$P62)+SUMPRODUCT((CLASS!$E62:$P62="NR")*1,LIVE!$E62:$P62))</f>
        <v>1198.29575214549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10" t="n">
        <f aca="false">INPUTS!$B$13*SUM(DEAD!$E63:$E63)+INPUTS!$B$14*(RED!E63*SUMPRODUCT((CLASS!$E63:$E63="RES")*1,LIVE!$E63:$E63)+IF(SUMPRODUCT((CLASS!$E63:$E63="GAR")*1)&gt;=2,INPUTS!$B$20,1)*SUMPRODUCT((CLASS!$E63:$E63="GAR")*1,LIVE!$E63:$E63)+SUMPRODUCT((CLASS!$E63:$E63="NR")*1,LIVE!$E63:$E63))</f>
        <v>66.753</v>
      </c>
      <c r="F63" s="10" t="n">
        <f aca="false">INPUTS!$B$13*SUM(DEAD!$E63:$F63)+INPUTS!$B$14*(RED!F63*SUMPRODUCT((CLASS!$E63:$F63="RES")*1,LIVE!$E63:$F63)+IF(SUMPRODUCT((CLASS!$E63:$F63="GAR")*1)&gt;=2,INPUTS!$B$20,1)*SUMPRODUCT((CLASS!$E63:$F63="GAR")*1,LIVE!$E63:$F63)+SUMPRODUCT((CLASS!$E63:$F63="NR")*1,LIVE!$E63:$F63))</f>
        <v>165.98</v>
      </c>
      <c r="G63" s="10" t="n">
        <f aca="false">INPUTS!$B$13*SUM(DEAD!$E63:$G63)+INPUTS!$B$14*(RED!G63*SUMPRODUCT((CLASS!$E63:$G63="RES")*1,LIVE!$E63:$G63)+IF(SUMPRODUCT((CLASS!$E63:$G63="GAR")*1)&gt;=2,INPUTS!$B$20,1)*SUMPRODUCT((CLASS!$E63:$G63="GAR")*1,LIVE!$E63:$G63)+SUMPRODUCT((CLASS!$E63:$G63="NR")*1,LIVE!$E63:$G63))</f>
        <v>258.153</v>
      </c>
      <c r="H63" s="10" t="n">
        <f aca="false">INPUTS!$B$13*SUM(DEAD!$E63:$H63)+INPUTS!$B$14*(RED!H63*SUMPRODUCT((CLASS!$E63:$H63="RES")*1,LIVE!$E63:$H63)+IF(SUMPRODUCT((CLASS!$E63:$H63="GAR")*1)&gt;=2,INPUTS!$B$20,1)*SUMPRODUCT((CLASS!$E63:$H63="GAR")*1,LIVE!$E63:$H63)+SUMPRODUCT((CLASS!$E63:$H63="NR")*1,LIVE!$E63:$H63))</f>
        <v>343.068</v>
      </c>
      <c r="I63" s="10" t="n">
        <f aca="false">INPUTS!$B$13*SUM(DEAD!$E63:$I63)+INPUTS!$B$14*(RED!I63*SUMPRODUCT((CLASS!$E63:$I63="RES")*1,LIVE!$E63:$I63)+IF(SUMPRODUCT((CLASS!$E63:$I63="GAR")*1)&gt;=2,INPUTS!$B$20,1)*SUMPRODUCT((CLASS!$E63:$I63="GAR")*1,LIVE!$E63:$I63)+SUMPRODUCT((CLASS!$E63:$I63="NR")*1,LIVE!$E63:$I63))</f>
        <v>419.2278</v>
      </c>
      <c r="J63" s="10" t="n">
        <f aca="false">INPUTS!$B$13*SUM(DEAD!$E63:$J63)+INPUTS!$B$14*(RED!J63*SUMPRODUCT((CLASS!$E63:$J63="RES")*1,LIVE!$E63:$J63)+IF(SUMPRODUCT((CLASS!$E63:$J63="GAR")*1)&gt;=2,INPUTS!$B$20,1)*SUMPRODUCT((CLASS!$E63:$J63="GAR")*1,LIVE!$E63:$J63)+SUMPRODUCT((CLASS!$E63:$J63="NR")*1,LIVE!$E63:$J63))</f>
        <v>499.7652</v>
      </c>
      <c r="K63" s="10" t="n">
        <f aca="false">INPUTS!$B$13*SUM(DEAD!$E63:$K63)+INPUTS!$B$14*(RED!K63*SUMPRODUCT((CLASS!$E63:$K63="RES")*1,LIVE!$E63:$K63)+IF(SUMPRODUCT((CLASS!$E63:$K63="GAR")*1)&gt;=2,INPUTS!$B$20,1)*SUMPRODUCT((CLASS!$E63:$K63="GAR")*1,LIVE!$E63:$K63)+SUMPRODUCT((CLASS!$E63:$K63="NR")*1,LIVE!$E63:$K63))</f>
        <v>577.94845212487</v>
      </c>
      <c r="L63" s="10" t="n">
        <f aca="false">INPUTS!$B$13*SUM(DEAD!$E63:$L63)+INPUTS!$B$14*(RED!L63*SUMPRODUCT((CLASS!$E63:$L63="RES")*1,LIVE!$E63:$L63)+IF(SUMPRODUCT((CLASS!$E63:$L63="GAR")*1)&gt;=2,INPUTS!$B$20,1)*SUMPRODUCT((CLASS!$E63:$L63="GAR")*1,LIVE!$E63:$L63)+SUMPRODUCT((CLASS!$E63:$L63="NR")*1,LIVE!$E63:$L63))</f>
        <v>606.393094574824</v>
      </c>
      <c r="M63" s="10" t="n">
        <f aca="false">INPUTS!$B$13*SUM(DEAD!$E63:$M63)+INPUTS!$B$14*(RED!M63*SUMPRODUCT((CLASS!$E63:$M63="RES")*1,LIVE!$E63:$M63)+IF(SUMPRODUCT((CLASS!$E63:$M63="GAR")*1)&gt;=2,INPUTS!$B$20,1)*SUMPRODUCT((CLASS!$E63:$M63="GAR")*1,LIVE!$E63:$M63)+SUMPRODUCT((CLASS!$E63:$M63="NR")*1,LIVE!$E63:$M63))</f>
        <v>632.45304741365</v>
      </c>
      <c r="N63" s="10" t="n">
        <f aca="false">INPUTS!$B$13*SUM(DEAD!$E63:$N63)+INPUTS!$B$14*(RED!N63*SUMPRODUCT((CLASS!$E63:$N63="RES")*1,LIVE!$E63:$N63)+IF(SUMPRODUCT((CLASS!$E63:$N63="GAR")*1)&gt;=2,INPUTS!$B$20,1)*SUMPRODUCT((CLASS!$E63:$N63="GAR")*1,LIVE!$E63:$N63)+SUMPRODUCT((CLASS!$E63:$N63="NR")*1,LIVE!$E63:$N63))</f>
        <v>658.38968719101</v>
      </c>
      <c r="O63" s="10" t="n">
        <f aca="false">INPUTS!$B$13*SUM(DEAD!$E63:$O63)+INPUTS!$B$14*(RED!O63*SUMPRODUCT((CLASS!$E63:$O63="RES")*1,LIVE!$E63:$O63)+IF(SUMPRODUCT((CLASS!$E63:$O63="GAR")*1)&gt;=2,INPUTS!$B$20,1)*SUMPRODUCT((CLASS!$E63:$O63="GAR")*1,LIVE!$E63:$O63)+SUMPRODUCT((CLASS!$E63:$O63="NR")*1,LIVE!$E63:$O63))</f>
        <v>684.23037887473</v>
      </c>
      <c r="P63" s="10" t="n">
        <f aca="false">INPUTS!$B$13*SUM(DEAD!$E63:$P63)+INPUTS!$B$14*(RED!P63*SUMPRODUCT((CLASS!$E63:$P63="RES")*1,LIVE!$E63:$P63)+IF(SUMPRODUCT((CLASS!$E63:$P63="GAR")*1)&gt;=2,INPUTS!$B$20,1)*SUMPRODUCT((CLASS!$E63:$P63="GAR")*1,LIVE!$E63:$P63)+SUMPRODUCT((CLASS!$E63:$P63="NR")*1,LIVE!$E63:$P63))</f>
        <v>710.938652444105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10" t="n">
        <f aca="false">INPUTS!$B$13*SUM(DEAD!$E64:$E64)+INPUTS!$B$14*(RED!E64*SUMPRODUCT((CLASS!$E64:$E64="RES")*1,LIVE!$E64:$E64)+IF(SUMPRODUCT((CLASS!$E64:$E64="GAR")*1)&gt;=2,INPUTS!$B$20,1)*SUMPRODUCT((CLASS!$E64:$E64="GAR")*1,LIVE!$E64:$E64)+SUMPRODUCT((CLASS!$E64:$E64="NR")*1,LIVE!$E64:$E64))</f>
        <v>186.795</v>
      </c>
      <c r="F64" s="10" t="n">
        <f aca="false">INPUTS!$B$13*SUM(DEAD!$E64:$F64)+INPUTS!$B$14*(RED!F64*SUMPRODUCT((CLASS!$E64:$F64="RES")*1,LIVE!$E64:$F64)+IF(SUMPRODUCT((CLASS!$E64:$F64="GAR")*1)&gt;=2,INPUTS!$B$20,1)*SUMPRODUCT((CLASS!$E64:$F64="GAR")*1,LIVE!$E64:$F64)+SUMPRODUCT((CLASS!$E64:$F64="NR")*1,LIVE!$E64:$F64))</f>
        <v>460.46</v>
      </c>
      <c r="G64" s="10" t="n">
        <f aca="false">INPUTS!$B$13*SUM(DEAD!$E64:$G64)+INPUTS!$B$14*(RED!G64*SUMPRODUCT((CLASS!$E64:$G64="RES")*1,LIVE!$E64:$G64)+IF(SUMPRODUCT((CLASS!$E64:$G64="GAR")*1)&gt;=2,INPUTS!$B$20,1)*SUMPRODUCT((CLASS!$E64:$G64="GAR")*1,LIVE!$E64:$G64)+SUMPRODUCT((CLASS!$E64:$G64="NR")*1,LIVE!$E64:$G64))</f>
        <v>647.101</v>
      </c>
      <c r="H64" s="10" t="n">
        <f aca="false">INPUTS!$B$13*SUM(DEAD!$E64:$H64)+INPUTS!$B$14*(RED!H64*SUMPRODUCT((CLASS!$E64:$H64="RES")*1,LIVE!$E64:$H64)+IF(SUMPRODUCT((CLASS!$E64:$H64="GAR")*1)&gt;=2,INPUTS!$B$20,1)*SUMPRODUCT((CLASS!$E64:$H64="GAR")*1,LIVE!$E64:$H64)+SUMPRODUCT((CLASS!$E64:$H64="NR")*1,LIVE!$E64:$H64))</f>
        <v>772.296</v>
      </c>
      <c r="I64" s="10" t="n">
        <f aca="false">INPUTS!$B$13*SUM(DEAD!$E64:$I64)+INPUTS!$B$14*(RED!I64*SUMPRODUCT((CLASS!$E64:$I64="RES")*1,LIVE!$E64:$I64)+IF(SUMPRODUCT((CLASS!$E64:$I64="GAR")*1)&gt;=2,INPUTS!$B$20,1)*SUMPRODUCT((CLASS!$E64:$I64="GAR")*1,LIVE!$E64:$I64)+SUMPRODUCT((CLASS!$E64:$I64="NR")*1,LIVE!$E64:$I64))</f>
        <v>883.6926</v>
      </c>
      <c r="J64" s="10" t="n">
        <f aca="false">INPUTS!$B$13*SUM(DEAD!$E64:$J64)+INPUTS!$B$14*(RED!J64*SUMPRODUCT((CLASS!$E64:$J64="RES")*1,LIVE!$E64:$J64)+IF(SUMPRODUCT((CLASS!$E64:$J64="GAR")*1)&gt;=2,INPUTS!$B$20,1)*SUMPRODUCT((CLASS!$E64:$J64="GAR")*1,LIVE!$E64:$J64)+SUMPRODUCT((CLASS!$E64:$J64="NR")*1,LIVE!$E64:$J64))</f>
        <v>1004.8892</v>
      </c>
      <c r="K64" s="10" t="n">
        <f aca="false">INPUTS!$B$13*SUM(DEAD!$E64:$K64)+INPUTS!$B$14*(RED!K64*SUMPRODUCT((CLASS!$E64:$K64="RES")*1,LIVE!$E64:$K64)+IF(SUMPRODUCT((CLASS!$E64:$K64="GAR")*1)&gt;=2,INPUTS!$B$20,1)*SUMPRODUCT((CLASS!$E64:$K64="GAR")*1,LIVE!$E64:$K64)+SUMPRODUCT((CLASS!$E64:$K64="NR")*1,LIVE!$E64:$K64))</f>
        <v>1004.8892</v>
      </c>
      <c r="L64" s="10" t="n">
        <f aca="false">INPUTS!$B$13*SUM(DEAD!$E64:$L64)+INPUTS!$B$14*(RED!L64*SUMPRODUCT((CLASS!$E64:$L64="RES")*1,LIVE!$E64:$L64)+IF(SUMPRODUCT((CLASS!$E64:$L64="GAR")*1)&gt;=2,INPUTS!$B$20,1)*SUMPRODUCT((CLASS!$E64:$L64="GAR")*1,LIVE!$E64:$L64)+SUMPRODUCT((CLASS!$E64:$L64="NR")*1,LIVE!$E64:$L64))</f>
        <v>1004.8892</v>
      </c>
      <c r="M64" s="10" t="n">
        <f aca="false">INPUTS!$B$13*SUM(DEAD!$E64:$M64)+INPUTS!$B$14*(RED!M64*SUMPRODUCT((CLASS!$E64:$M64="RES")*1,LIVE!$E64:$M64)+IF(SUMPRODUCT((CLASS!$E64:$M64="GAR")*1)&gt;=2,INPUTS!$B$20,1)*SUMPRODUCT((CLASS!$E64:$M64="GAR")*1,LIVE!$E64:$M64)+SUMPRODUCT((CLASS!$E64:$M64="NR")*1,LIVE!$E64:$M64))</f>
        <v>1004.8892</v>
      </c>
      <c r="N64" s="10" t="n">
        <f aca="false">INPUTS!$B$13*SUM(DEAD!$E64:$N64)+INPUTS!$B$14*(RED!N64*SUMPRODUCT((CLASS!$E64:$N64="RES")*1,LIVE!$E64:$N64)+IF(SUMPRODUCT((CLASS!$E64:$N64="GAR")*1)&gt;=2,INPUTS!$B$20,1)*SUMPRODUCT((CLASS!$E64:$N64="GAR")*1,LIVE!$E64:$N64)+SUMPRODUCT((CLASS!$E64:$N64="NR")*1,LIVE!$E64:$N64))</f>
        <v>1004.8892</v>
      </c>
      <c r="O64" s="10" t="n">
        <f aca="false">INPUTS!$B$13*SUM(DEAD!$E64:$O64)+INPUTS!$B$14*(RED!O64*SUMPRODUCT((CLASS!$E64:$O64="RES")*1,LIVE!$E64:$O64)+IF(SUMPRODUCT((CLASS!$E64:$O64="GAR")*1)&gt;=2,INPUTS!$B$20,1)*SUMPRODUCT((CLASS!$E64:$O64="GAR")*1,LIVE!$E64:$O64)+SUMPRODUCT((CLASS!$E64:$O64="NR")*1,LIVE!$E64:$O64))</f>
        <v>1004.8892</v>
      </c>
      <c r="P64" s="10" t="n">
        <f aca="false">INPUTS!$B$13*SUM(DEAD!$E64:$P64)+INPUTS!$B$14*(RED!P64*SUMPRODUCT((CLASS!$E64:$P64="RES")*1,LIVE!$E64:$P64)+IF(SUMPRODUCT((CLASS!$E64:$P64="GAR")*1)&gt;=2,INPUTS!$B$20,1)*SUMPRODUCT((CLASS!$E64:$P64="GAR")*1,LIVE!$E64:$P64)+SUMPRODUCT((CLASS!$E64:$P64="NR")*1,LIVE!$E64:$P64))</f>
        <v>1004.8892</v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10" t="n">
        <f aca="false">INPUTS!$B$13*SUM(DEAD!$E65:$E65)+INPUTS!$B$14*(RED!E65*SUMPRODUCT((CLASS!$E65:$E65="RES")*1,LIVE!$E65:$E65)+IF(SUMPRODUCT((CLASS!$E65:$E65="GAR")*1)&gt;=2,INPUTS!$B$20,1)*SUMPRODUCT((CLASS!$E65:$E65="GAR")*1,LIVE!$E65:$E65)+SUMPRODUCT((CLASS!$E65:$E65="NR")*1,LIVE!$E65:$E65))</f>
        <v>149.589</v>
      </c>
      <c r="F65" s="10" t="n">
        <f aca="false">INPUTS!$B$13*SUM(DEAD!$E65:$F65)+INPUTS!$B$14*(RED!F65*SUMPRODUCT((CLASS!$E65:$F65="RES")*1,LIVE!$E65:$F65)+IF(SUMPRODUCT((CLASS!$E65:$F65="GAR")*1)&gt;=2,INPUTS!$B$20,1)*SUMPRODUCT((CLASS!$E65:$F65="GAR")*1,LIVE!$E65:$F65)+SUMPRODUCT((CLASS!$E65:$F65="NR")*1,LIVE!$E65:$F65))</f>
        <v>368.24</v>
      </c>
      <c r="G65" s="10" t="n">
        <f aca="false">INPUTS!$B$13*SUM(DEAD!$E65:$G65)+INPUTS!$B$14*(RED!G65*SUMPRODUCT((CLASS!$E65:$G65="RES")*1,LIVE!$E65:$G65)+IF(SUMPRODUCT((CLASS!$E65:$G65="GAR")*1)&gt;=2,INPUTS!$B$20,1)*SUMPRODUCT((CLASS!$E65:$G65="GAR")*1,LIVE!$E65:$G65)+SUMPRODUCT((CLASS!$E65:$G65="NR")*1,LIVE!$E65:$G65))</f>
        <v>558.555</v>
      </c>
      <c r="H65" s="10" t="n">
        <f aca="false">INPUTS!$B$13*SUM(DEAD!$E65:$H65)+INPUTS!$B$14*(RED!H65*SUMPRODUCT((CLASS!$E65:$H65="RES")*1,LIVE!$E65:$H65)+IF(SUMPRODUCT((CLASS!$E65:$H65="GAR")*1)&gt;=2,INPUTS!$B$20,1)*SUMPRODUCT((CLASS!$E65:$H65="GAR")*1,LIVE!$E65:$H65)+SUMPRODUCT((CLASS!$E65:$H65="NR")*1,LIVE!$E65:$H65))</f>
        <v>686.39</v>
      </c>
      <c r="I65" s="10" t="n">
        <f aca="false">INPUTS!$B$13*SUM(DEAD!$E65:$I65)+INPUTS!$B$14*(RED!I65*SUMPRODUCT((CLASS!$E65:$I65="RES")*1,LIVE!$E65:$I65)+IF(SUMPRODUCT((CLASS!$E65:$I65="GAR")*1)&gt;=2,INPUTS!$B$20,1)*SUMPRODUCT((CLASS!$E65:$I65="GAR")*1,LIVE!$E65:$I65)+SUMPRODUCT((CLASS!$E65:$I65="NR")*1,LIVE!$E65:$I65))</f>
        <v>800.1194</v>
      </c>
      <c r="J65" s="10" t="n">
        <f aca="false">INPUTS!$B$13*SUM(DEAD!$E65:$J65)+INPUTS!$B$14*(RED!J65*SUMPRODUCT((CLASS!$E65:$J65="RES")*1,LIVE!$E65:$J65)+IF(SUMPRODUCT((CLASS!$E65:$J65="GAR")*1)&gt;=2,INPUTS!$B$20,1)*SUMPRODUCT((CLASS!$E65:$J65="GAR")*1,LIVE!$E65:$J65)+SUMPRODUCT((CLASS!$E65:$J65="NR")*1,LIVE!$E65:$J65))</f>
        <v>924.6312</v>
      </c>
      <c r="K65" s="10" t="n">
        <f aca="false">INPUTS!$B$13*SUM(DEAD!$E65:$K65)+INPUTS!$B$14*(RED!K65*SUMPRODUCT((CLASS!$E65:$K65="RES")*1,LIVE!$E65:$K65)+IF(SUMPRODUCT((CLASS!$E65:$K65="GAR")*1)&gt;=2,INPUTS!$B$20,1)*SUMPRODUCT((CLASS!$E65:$K65="GAR")*1,LIVE!$E65:$K65)+SUMPRODUCT((CLASS!$E65:$K65="NR")*1,LIVE!$E65:$K65))</f>
        <v>924.6312</v>
      </c>
      <c r="L65" s="10" t="n">
        <f aca="false">INPUTS!$B$13*SUM(DEAD!$E65:$L65)+INPUTS!$B$14*(RED!L65*SUMPRODUCT((CLASS!$E65:$L65="RES")*1,LIVE!$E65:$L65)+IF(SUMPRODUCT((CLASS!$E65:$L65="GAR")*1)&gt;=2,INPUTS!$B$20,1)*SUMPRODUCT((CLASS!$E65:$L65="GAR")*1,LIVE!$E65:$L65)+SUMPRODUCT((CLASS!$E65:$L65="NR")*1,LIVE!$E65:$L65))</f>
        <v>924.6312</v>
      </c>
      <c r="M65" s="10" t="n">
        <f aca="false">INPUTS!$B$13*SUM(DEAD!$E65:$M65)+INPUTS!$B$14*(RED!M65*SUMPRODUCT((CLASS!$E65:$M65="RES")*1,LIVE!$E65:$M65)+IF(SUMPRODUCT((CLASS!$E65:$M65="GAR")*1)&gt;=2,INPUTS!$B$20,1)*SUMPRODUCT((CLASS!$E65:$M65="GAR")*1,LIVE!$E65:$M65)+SUMPRODUCT((CLASS!$E65:$M65="NR")*1,LIVE!$E65:$M65))</f>
        <v>924.6312</v>
      </c>
      <c r="N65" s="10" t="n">
        <f aca="false">INPUTS!$B$13*SUM(DEAD!$E65:$N65)+INPUTS!$B$14*(RED!N65*SUMPRODUCT((CLASS!$E65:$N65="RES")*1,LIVE!$E65:$N65)+IF(SUMPRODUCT((CLASS!$E65:$N65="GAR")*1)&gt;=2,INPUTS!$B$20,1)*SUMPRODUCT((CLASS!$E65:$N65="GAR")*1,LIVE!$E65:$N65)+SUMPRODUCT((CLASS!$E65:$N65="NR")*1,LIVE!$E65:$N65))</f>
        <v>924.6312</v>
      </c>
      <c r="O65" s="10" t="n">
        <f aca="false">INPUTS!$B$13*SUM(DEAD!$E65:$O65)+INPUTS!$B$14*(RED!O65*SUMPRODUCT((CLASS!$E65:$O65="RES")*1,LIVE!$E65:$O65)+IF(SUMPRODUCT((CLASS!$E65:$O65="GAR")*1)&gt;=2,INPUTS!$B$20,1)*SUMPRODUCT((CLASS!$E65:$O65="GAR")*1,LIVE!$E65:$O65)+SUMPRODUCT((CLASS!$E65:$O65="NR")*1,LIVE!$E65:$O65))</f>
        <v>924.6312</v>
      </c>
      <c r="P65" s="10" t="n">
        <f aca="false">INPUTS!$B$13*SUM(DEAD!$E65:$P65)+INPUTS!$B$14*(RED!P65*SUMPRODUCT((CLASS!$E65:$P65="RES")*1,LIVE!$E65:$P65)+IF(SUMPRODUCT((CLASS!$E65:$P65="GAR")*1)&gt;=2,INPUTS!$B$20,1)*SUMPRODUCT((CLASS!$E65:$P65="GAR")*1,LIVE!$E65:$P65)+SUMPRODUCT((CLASS!$E65:$P65="NR")*1,LIVE!$E65:$P65))</f>
        <v>924.6312</v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10" t="n">
        <f aca="false">INPUTS!$B$13*SUM(DEAD!$E66:$E66)+INPUTS!$B$14*(RED!E66*SUMPRODUCT((CLASS!$E66:$E66="RES")*1,LIVE!$E66:$E66)+IF(SUMPRODUCT((CLASS!$E66:$E66="GAR")*1)&gt;=2,INPUTS!$B$20,1)*SUMPRODUCT((CLASS!$E66:$E66="GAR")*1,LIVE!$E66:$E66)+SUMPRODUCT((CLASS!$E66:$E66="NR")*1,LIVE!$E66:$E66))</f>
        <v>99.981</v>
      </c>
      <c r="F66" s="10" t="n">
        <f aca="false">INPUTS!$B$13*SUM(DEAD!$E66:$F66)+INPUTS!$B$14*(RED!F66*SUMPRODUCT((CLASS!$E66:$F66="RES")*1,LIVE!$E66:$F66)+IF(SUMPRODUCT((CLASS!$E66:$F66="GAR")*1)&gt;=2,INPUTS!$B$20,1)*SUMPRODUCT((CLASS!$E66:$F66="GAR")*1,LIVE!$E66:$F66)+SUMPRODUCT((CLASS!$E66:$F66="NR")*1,LIVE!$E66:$F66))</f>
        <v>245.28</v>
      </c>
      <c r="G66" s="10" t="n">
        <f aca="false">INPUTS!$B$13*SUM(DEAD!$E66:$G66)+INPUTS!$B$14*(RED!G66*SUMPRODUCT((CLASS!$E66:$G66="RES")*1,LIVE!$E66:$G66)+IF(SUMPRODUCT((CLASS!$E66:$G66="GAR")*1)&gt;=2,INPUTS!$B$20,1)*SUMPRODUCT((CLASS!$E66:$G66="GAR")*1,LIVE!$E66:$G66)+SUMPRODUCT((CLASS!$E66:$G66="NR")*1,LIVE!$E66:$G66))</f>
        <v>365.121</v>
      </c>
      <c r="H66" s="10" t="n">
        <f aca="false">INPUTS!$B$13*SUM(DEAD!$E66:$H66)+INPUTS!$B$14*(RED!H66*SUMPRODUCT((CLASS!$E66:$H66="RES")*1,LIVE!$E66:$H66)+IF(SUMPRODUCT((CLASS!$E66:$H66="GAR")*1)&gt;=2,INPUTS!$B$20,1)*SUMPRODUCT((CLASS!$E66:$H66="GAR")*1,LIVE!$E66:$H66)+SUMPRODUCT((CLASS!$E66:$H66="NR")*1,LIVE!$E66:$H66))</f>
        <v>448.076</v>
      </c>
      <c r="I66" s="10" t="n">
        <f aca="false">INPUTS!$B$13*SUM(DEAD!$E66:$I66)+INPUTS!$B$14*(RED!I66*SUMPRODUCT((CLASS!$E66:$I66="RES")*1,LIVE!$E66:$I66)+IF(SUMPRODUCT((CLASS!$E66:$I66="GAR")*1)&gt;=2,INPUTS!$B$20,1)*SUMPRODUCT((CLASS!$E66:$I66="GAR")*1,LIVE!$E66:$I66)+SUMPRODUCT((CLASS!$E66:$I66="NR")*1,LIVE!$E66:$I66))</f>
        <v>522.1478</v>
      </c>
      <c r="J66" s="10" t="n">
        <f aca="false">INPUTS!$B$13*SUM(DEAD!$E66:$J66)+INPUTS!$B$14*(RED!J66*SUMPRODUCT((CLASS!$E66:$J66="RES")*1,LIVE!$E66:$J66)+IF(SUMPRODUCT((CLASS!$E66:$J66="GAR")*1)&gt;=2,INPUTS!$B$20,1)*SUMPRODUCT((CLASS!$E66:$J66="GAR")*1,LIVE!$E66:$J66)+SUMPRODUCT((CLASS!$E66:$J66="NR")*1,LIVE!$E66:$J66))</f>
        <v>682.5244</v>
      </c>
      <c r="K66" s="10" t="n">
        <f aca="false">INPUTS!$B$13*SUM(DEAD!$E66:$K66)+INPUTS!$B$14*(RED!K66*SUMPRODUCT((CLASS!$E66:$K66="RES")*1,LIVE!$E66:$K66)+IF(SUMPRODUCT((CLASS!$E66:$K66="GAR")*1)&gt;=2,INPUTS!$B$20,1)*SUMPRODUCT((CLASS!$E66:$K66="GAR")*1,LIVE!$E66:$K66)+SUMPRODUCT((CLASS!$E66:$K66="NR")*1,LIVE!$E66:$K66))</f>
        <v>682.5244</v>
      </c>
      <c r="L66" s="10" t="n">
        <f aca="false">INPUTS!$B$13*SUM(DEAD!$E66:$L66)+INPUTS!$B$14*(RED!L66*SUMPRODUCT((CLASS!$E66:$L66="RES")*1,LIVE!$E66:$L66)+IF(SUMPRODUCT((CLASS!$E66:$L66="GAR")*1)&gt;=2,INPUTS!$B$20,1)*SUMPRODUCT((CLASS!$E66:$L66="GAR")*1,LIVE!$E66:$L66)+SUMPRODUCT((CLASS!$E66:$L66="NR")*1,LIVE!$E66:$L66))</f>
        <v>682.5244</v>
      </c>
      <c r="M66" s="10" t="n">
        <f aca="false">INPUTS!$B$13*SUM(DEAD!$E66:$M66)+INPUTS!$B$14*(RED!M66*SUMPRODUCT((CLASS!$E66:$M66="RES")*1,LIVE!$E66:$M66)+IF(SUMPRODUCT((CLASS!$E66:$M66="GAR")*1)&gt;=2,INPUTS!$B$20,1)*SUMPRODUCT((CLASS!$E66:$M66="GAR")*1,LIVE!$E66:$M66)+SUMPRODUCT((CLASS!$E66:$M66="NR")*1,LIVE!$E66:$M66))</f>
        <v>682.5244</v>
      </c>
      <c r="N66" s="10" t="n">
        <f aca="false">INPUTS!$B$13*SUM(DEAD!$E66:$N66)+INPUTS!$B$14*(RED!N66*SUMPRODUCT((CLASS!$E66:$N66="RES")*1,LIVE!$E66:$N66)+IF(SUMPRODUCT((CLASS!$E66:$N66="GAR")*1)&gt;=2,INPUTS!$B$20,1)*SUMPRODUCT((CLASS!$E66:$N66="GAR")*1,LIVE!$E66:$N66)+SUMPRODUCT((CLASS!$E66:$N66="NR")*1,LIVE!$E66:$N66))</f>
        <v>682.5244</v>
      </c>
      <c r="O66" s="10" t="n">
        <f aca="false">INPUTS!$B$13*SUM(DEAD!$E66:$O66)+INPUTS!$B$14*(RED!O66*SUMPRODUCT((CLASS!$E66:$O66="RES")*1,LIVE!$E66:$O66)+IF(SUMPRODUCT((CLASS!$E66:$O66="GAR")*1)&gt;=2,INPUTS!$B$20,1)*SUMPRODUCT((CLASS!$E66:$O66="GAR")*1,LIVE!$E66:$O66)+SUMPRODUCT((CLASS!$E66:$O66="NR")*1,LIVE!$E66:$O66))</f>
        <v>682.5244</v>
      </c>
      <c r="P66" s="10" t="n">
        <f aca="false">INPUTS!$B$13*SUM(DEAD!$E66:$P66)+INPUTS!$B$14*(RED!P66*SUMPRODUCT((CLASS!$E66:$P66="RES")*1,LIVE!$E66:$P66)+IF(SUMPRODUCT((CLASS!$E66:$P66="GAR")*1)&gt;=2,INPUTS!$B$20,1)*SUMPRODUCT((CLASS!$E66:$P66="GAR")*1,LIVE!$E66:$P66)+SUMPRODUCT((CLASS!$E66:$P66="NR")*1,LIVE!$E66:$P66))</f>
        <v>682.5244</v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10" t="n">
        <f aca="false">INPUTS!$B$13*SUM(DEAD!$E67:$E67)+INPUTS!$B$14*(RED!E67*SUMPRODUCT((CLASS!$E67:$E67="RES")*1,LIVE!$E67:$E67)+IF(SUMPRODUCT((CLASS!$E67:$E67="GAR")*1)&gt;=2,INPUTS!$B$20,1)*SUMPRODUCT((CLASS!$E67:$E67="GAR")*1,LIVE!$E67:$E67)+SUMPRODUCT((CLASS!$E67:$E67="NR")*1,LIVE!$E67:$E67))</f>
        <v>139.293</v>
      </c>
      <c r="F67" s="10" t="n">
        <f aca="false">INPUTS!$B$13*SUM(DEAD!$E67:$F67)+INPUTS!$B$14*(RED!F67*SUMPRODUCT((CLASS!$E67:$F67="RES")*1,LIVE!$E67:$F67)+IF(SUMPRODUCT((CLASS!$E67:$F67="GAR")*1)&gt;=2,INPUTS!$B$20,1)*SUMPRODUCT((CLASS!$E67:$F67="GAR")*1,LIVE!$E67:$F67)+SUMPRODUCT((CLASS!$E67:$F67="NR")*1,LIVE!$E67:$F67))</f>
        <v>342.72</v>
      </c>
      <c r="G67" s="10" t="n">
        <f aca="false">INPUTS!$B$13*SUM(DEAD!$E67:$G67)+INPUTS!$B$14*(RED!G67*SUMPRODUCT((CLASS!$E67:$G67="RES")*1,LIVE!$E67:$G67)+IF(SUMPRODUCT((CLASS!$E67:$G67="GAR")*1)&gt;=2,INPUTS!$B$20,1)*SUMPRODUCT((CLASS!$E67:$G67="GAR")*1,LIVE!$E67:$G67)+SUMPRODUCT((CLASS!$E67:$G67="NR")*1,LIVE!$E67:$G67))</f>
        <v>483.603</v>
      </c>
      <c r="H67" s="10" t="n">
        <f aca="false">INPUTS!$B$13*SUM(DEAD!$E67:$H67)+INPUTS!$B$14*(RED!H67*SUMPRODUCT((CLASS!$E67:$H67="RES")*1,LIVE!$E67:$H67)+IF(SUMPRODUCT((CLASS!$E67:$H67="GAR")*1)&gt;=2,INPUTS!$B$20,1)*SUMPRODUCT((CLASS!$E67:$H67="GAR")*1,LIVE!$E67:$H67)+SUMPRODUCT((CLASS!$E67:$H67="NR")*1,LIVE!$E67:$H67))</f>
        <v>578.658</v>
      </c>
      <c r="I67" s="10" t="n">
        <f aca="false">INPUTS!$B$13*SUM(DEAD!$E67:$I67)+INPUTS!$B$14*(RED!I67*SUMPRODUCT((CLASS!$E67:$I67="RES")*1,LIVE!$E67:$I67)+IF(SUMPRODUCT((CLASS!$E67:$I67="GAR")*1)&gt;=2,INPUTS!$B$20,1)*SUMPRODUCT((CLASS!$E67:$I67="GAR")*1,LIVE!$E67:$I67)+SUMPRODUCT((CLASS!$E67:$I67="NR")*1,LIVE!$E67:$I67))</f>
        <v>663.4218</v>
      </c>
      <c r="J67" s="10" t="n">
        <f aca="false">INPUTS!$B$13*SUM(DEAD!$E67:$J67)+INPUTS!$B$14*(RED!J67*SUMPRODUCT((CLASS!$E67:$J67="RES")*1,LIVE!$E67:$J67)+IF(SUMPRODUCT((CLASS!$E67:$J67="GAR")*1)&gt;=2,INPUTS!$B$20,1)*SUMPRODUCT((CLASS!$E67:$J67="GAR")*1,LIVE!$E67:$J67)+SUMPRODUCT((CLASS!$E67:$J67="NR")*1,LIVE!$E67:$J67))</f>
        <v>752.088</v>
      </c>
      <c r="K67" s="10" t="n">
        <f aca="false">INPUTS!$B$13*SUM(DEAD!$E67:$K67)+INPUTS!$B$14*(RED!K67*SUMPRODUCT((CLASS!$E67:$K67="RES")*1,LIVE!$E67:$K67)+IF(SUMPRODUCT((CLASS!$E67:$K67="GAR")*1)&gt;=2,INPUTS!$B$20,1)*SUMPRODUCT((CLASS!$E67:$K67="GAR")*1,LIVE!$E67:$K67)+SUMPRODUCT((CLASS!$E67:$K67="NR")*1,LIVE!$E67:$K67))</f>
        <v>752.088</v>
      </c>
      <c r="L67" s="10" t="n">
        <f aca="false">INPUTS!$B$13*SUM(DEAD!$E67:$L67)+INPUTS!$B$14*(RED!L67*SUMPRODUCT((CLASS!$E67:$L67="RES")*1,LIVE!$E67:$L67)+IF(SUMPRODUCT((CLASS!$E67:$L67="GAR")*1)&gt;=2,INPUTS!$B$20,1)*SUMPRODUCT((CLASS!$E67:$L67="GAR")*1,LIVE!$E67:$L67)+SUMPRODUCT((CLASS!$E67:$L67="NR")*1,LIVE!$E67:$L67))</f>
        <v>752.088</v>
      </c>
      <c r="M67" s="10" t="n">
        <f aca="false">INPUTS!$B$13*SUM(DEAD!$E67:$M67)+INPUTS!$B$14*(RED!M67*SUMPRODUCT((CLASS!$E67:$M67="RES")*1,LIVE!$E67:$M67)+IF(SUMPRODUCT((CLASS!$E67:$M67="GAR")*1)&gt;=2,INPUTS!$B$20,1)*SUMPRODUCT((CLASS!$E67:$M67="GAR")*1,LIVE!$E67:$M67)+SUMPRODUCT((CLASS!$E67:$M67="NR")*1,LIVE!$E67:$M67))</f>
        <v>752.088</v>
      </c>
      <c r="N67" s="10" t="n">
        <f aca="false">INPUTS!$B$13*SUM(DEAD!$E67:$N67)+INPUTS!$B$14*(RED!N67*SUMPRODUCT((CLASS!$E67:$N67="RES")*1,LIVE!$E67:$N67)+IF(SUMPRODUCT((CLASS!$E67:$N67="GAR")*1)&gt;=2,INPUTS!$B$20,1)*SUMPRODUCT((CLASS!$E67:$N67="GAR")*1,LIVE!$E67:$N67)+SUMPRODUCT((CLASS!$E67:$N67="NR")*1,LIVE!$E67:$N67))</f>
        <v>752.088</v>
      </c>
      <c r="O67" s="10" t="n">
        <f aca="false">INPUTS!$B$13*SUM(DEAD!$E67:$O67)+INPUTS!$B$14*(RED!O67*SUMPRODUCT((CLASS!$E67:$O67="RES")*1,LIVE!$E67:$O67)+IF(SUMPRODUCT((CLASS!$E67:$O67="GAR")*1)&gt;=2,INPUTS!$B$20,1)*SUMPRODUCT((CLASS!$E67:$O67="GAR")*1,LIVE!$E67:$O67)+SUMPRODUCT((CLASS!$E67:$O67="NR")*1,LIVE!$E67:$O67))</f>
        <v>752.088</v>
      </c>
      <c r="P67" s="10" t="n">
        <f aca="false">INPUTS!$B$13*SUM(DEAD!$E67:$P67)+INPUTS!$B$14*(RED!P67*SUMPRODUCT((CLASS!$E67:$P67="RES")*1,LIVE!$E67:$P67)+IF(SUMPRODUCT((CLASS!$E67:$P67="GAR")*1)&gt;=2,INPUTS!$B$20,1)*SUMPRODUCT((CLASS!$E67:$P67="GAR")*1,LIVE!$E67:$P67)+SUMPRODUCT((CLASS!$E67:$P67="NR")*1,LIVE!$E67:$P67))</f>
        <v>752.088</v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10" t="n">
        <f aca="false">INPUTS!$B$13*SUM(DEAD!$E68:$E68)+INPUTS!$B$14*(RED!E68*SUMPRODUCT((CLASS!$E68:$E68="RES")*1,LIVE!$E68:$E68)+IF(SUMPRODUCT((CLASS!$E68:$E68="GAR")*1)&gt;=2,INPUTS!$B$20,1)*SUMPRODUCT((CLASS!$E68:$E68="GAR")*1,LIVE!$E68:$E68)+SUMPRODUCT((CLASS!$E68:$E68="NR")*1,LIVE!$E68:$E68))</f>
        <v>179.307</v>
      </c>
      <c r="F68" s="10" t="n">
        <f aca="false">INPUTS!$B$13*SUM(DEAD!$E68:$F68)+INPUTS!$B$14*(RED!F68*SUMPRODUCT((CLASS!$E68:$F68="RES")*1,LIVE!$E68:$F68)+IF(SUMPRODUCT((CLASS!$E68:$F68="GAR")*1)&gt;=2,INPUTS!$B$20,1)*SUMPRODUCT((CLASS!$E68:$F68="GAR")*1,LIVE!$E68:$F68)+SUMPRODUCT((CLASS!$E68:$F68="NR")*1,LIVE!$E68:$F68))</f>
        <v>441.9</v>
      </c>
      <c r="G68" s="10" t="n">
        <f aca="false">INPUTS!$B$13*SUM(DEAD!$E68:$G68)+INPUTS!$B$14*(RED!G68*SUMPRODUCT((CLASS!$E68:$G68="RES")*1,LIVE!$E68:$G68)+IF(SUMPRODUCT((CLASS!$E68:$G68="GAR")*1)&gt;=2,INPUTS!$B$20,1)*SUMPRODUCT((CLASS!$E68:$G68="GAR")*1,LIVE!$E68:$G68)+SUMPRODUCT((CLASS!$E68:$G68="NR")*1,LIVE!$E68:$G68))</f>
        <v>622.195</v>
      </c>
      <c r="H68" s="10" t="n">
        <f aca="false">INPUTS!$B$13*SUM(DEAD!$E68:$H68)+INPUTS!$B$14*(RED!H68*SUMPRODUCT((CLASS!$E68:$H68="RES")*1,LIVE!$E68:$H68)+IF(SUMPRODUCT((CLASS!$E68:$H68="GAR")*1)&gt;=2,INPUTS!$B$20,1)*SUMPRODUCT((CLASS!$E68:$H68="GAR")*1,LIVE!$E68:$H68)+SUMPRODUCT((CLASS!$E68:$H68="NR")*1,LIVE!$E68:$H68))</f>
        <v>743.21</v>
      </c>
      <c r="I68" s="10" t="n">
        <f aca="false">INPUTS!$B$13*SUM(DEAD!$E68:$I68)+INPUTS!$B$14*(RED!I68*SUMPRODUCT((CLASS!$E68:$I68="RES")*1,LIVE!$E68:$I68)+IF(SUMPRODUCT((CLASS!$E68:$I68="GAR")*1)&gt;=2,INPUTS!$B$20,1)*SUMPRODUCT((CLASS!$E68:$I68="GAR")*1,LIVE!$E68:$I68)+SUMPRODUCT((CLASS!$E68:$I68="NR")*1,LIVE!$E68:$I68))</f>
        <v>850.913</v>
      </c>
      <c r="J68" s="10" t="n">
        <f aca="false">INPUTS!$B$13*SUM(DEAD!$E68:$J68)+INPUTS!$B$14*(RED!J68*SUMPRODUCT((CLASS!$E68:$J68="RES")*1,LIVE!$E68:$J68)+IF(SUMPRODUCT((CLASS!$E68:$J68="GAR")*1)&gt;=2,INPUTS!$B$20,1)*SUMPRODUCT((CLASS!$E68:$J68="GAR")*1,LIVE!$E68:$J68)+SUMPRODUCT((CLASS!$E68:$J68="NR")*1,LIVE!$E68:$J68))</f>
        <v>1017.072</v>
      </c>
      <c r="K68" s="10" t="n">
        <f aca="false">INPUTS!$B$13*SUM(DEAD!$E68:$K68)+INPUTS!$B$14*(RED!K68*SUMPRODUCT((CLASS!$E68:$K68="RES")*1,LIVE!$E68:$K68)+IF(SUMPRODUCT((CLASS!$E68:$K68="GAR")*1)&gt;=2,INPUTS!$B$20,1)*SUMPRODUCT((CLASS!$E68:$K68="GAR")*1,LIVE!$E68:$K68)+SUMPRODUCT((CLASS!$E68:$K68="NR")*1,LIVE!$E68:$K68))</f>
        <v>1017.072</v>
      </c>
      <c r="L68" s="10" t="n">
        <f aca="false">INPUTS!$B$13*SUM(DEAD!$E68:$L68)+INPUTS!$B$14*(RED!L68*SUMPRODUCT((CLASS!$E68:$L68="RES")*1,LIVE!$E68:$L68)+IF(SUMPRODUCT((CLASS!$E68:$L68="GAR")*1)&gt;=2,INPUTS!$B$20,1)*SUMPRODUCT((CLASS!$E68:$L68="GAR")*1,LIVE!$E68:$L68)+SUMPRODUCT((CLASS!$E68:$L68="NR")*1,LIVE!$E68:$L68))</f>
        <v>1017.072</v>
      </c>
      <c r="M68" s="10" t="n">
        <f aca="false">INPUTS!$B$13*SUM(DEAD!$E68:$M68)+INPUTS!$B$14*(RED!M68*SUMPRODUCT((CLASS!$E68:$M68="RES")*1,LIVE!$E68:$M68)+IF(SUMPRODUCT((CLASS!$E68:$M68="GAR")*1)&gt;=2,INPUTS!$B$20,1)*SUMPRODUCT((CLASS!$E68:$M68="GAR")*1,LIVE!$E68:$M68)+SUMPRODUCT((CLASS!$E68:$M68="NR")*1,LIVE!$E68:$M68))</f>
        <v>1017.072</v>
      </c>
      <c r="N68" s="10" t="n">
        <f aca="false">INPUTS!$B$13*SUM(DEAD!$E68:$N68)+INPUTS!$B$14*(RED!N68*SUMPRODUCT((CLASS!$E68:$N68="RES")*1,LIVE!$E68:$N68)+IF(SUMPRODUCT((CLASS!$E68:$N68="GAR")*1)&gt;=2,INPUTS!$B$20,1)*SUMPRODUCT((CLASS!$E68:$N68="GAR")*1,LIVE!$E68:$N68)+SUMPRODUCT((CLASS!$E68:$N68="NR")*1,LIVE!$E68:$N68))</f>
        <v>1017.072</v>
      </c>
      <c r="O68" s="10" t="n">
        <f aca="false">INPUTS!$B$13*SUM(DEAD!$E68:$O68)+INPUTS!$B$14*(RED!O68*SUMPRODUCT((CLASS!$E68:$O68="RES")*1,LIVE!$E68:$O68)+IF(SUMPRODUCT((CLASS!$E68:$O68="GAR")*1)&gt;=2,INPUTS!$B$20,1)*SUMPRODUCT((CLASS!$E68:$O68="GAR")*1,LIVE!$E68:$O68)+SUMPRODUCT((CLASS!$E68:$O68="NR")*1,LIVE!$E68:$O68))</f>
        <v>1017.072</v>
      </c>
      <c r="P68" s="10" t="n">
        <f aca="false">INPUTS!$B$13*SUM(DEAD!$E68:$P68)+INPUTS!$B$14*(RED!P68*SUMPRODUCT((CLASS!$E68:$P68="RES")*1,LIVE!$E68:$P68)+IF(SUMPRODUCT((CLASS!$E68:$P68="GAR")*1)&gt;=2,INPUTS!$B$20,1)*SUMPRODUCT((CLASS!$E68:$P68="GAR")*1,LIVE!$E68:$P68)+SUMPRODUCT((CLASS!$E68:$P68="NR")*1,LIVE!$E68:$P68))</f>
        <v>1017.072</v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10" t="n">
        <f aca="false">INPUTS!$B$13*SUM(DEAD!$E69:$E69)+INPUTS!$B$14*(RED!E69*SUMPRODUCT((CLASS!$E69:$E69="RES")*1,LIVE!$E69:$E69)+IF(SUMPRODUCT((CLASS!$E69:$E69="GAR")*1)&gt;=2,INPUTS!$B$20,1)*SUMPRODUCT((CLASS!$E69:$E69="GAR")*1,LIVE!$E69:$E69)+SUMPRODUCT((CLASS!$E69:$E69="NR")*1,LIVE!$E69:$E69))</f>
        <v>182.115</v>
      </c>
      <c r="F69" s="10" t="n">
        <f aca="false">INPUTS!$B$13*SUM(DEAD!$E69:$F69)+INPUTS!$B$14*(RED!F69*SUMPRODUCT((CLASS!$E69:$F69="RES")*1,LIVE!$E69:$F69)+IF(SUMPRODUCT((CLASS!$E69:$F69="GAR")*1)&gt;=2,INPUTS!$B$20,1)*SUMPRODUCT((CLASS!$E69:$F69="GAR")*1,LIVE!$E69:$F69)+SUMPRODUCT((CLASS!$E69:$F69="NR")*1,LIVE!$E69:$F69))</f>
        <v>448.86</v>
      </c>
      <c r="G69" s="10" t="n">
        <f aca="false">INPUTS!$B$13*SUM(DEAD!$E69:$G69)+INPUTS!$B$14*(RED!G69*SUMPRODUCT((CLASS!$E69:$G69="RES")*1,LIVE!$E69:$G69)+IF(SUMPRODUCT((CLASS!$E69:$G69="GAR")*1)&gt;=2,INPUTS!$B$20,1)*SUMPRODUCT((CLASS!$E69:$G69="GAR")*1,LIVE!$E69:$G69)+SUMPRODUCT((CLASS!$E69:$G69="NR")*1,LIVE!$E69:$G69))</f>
        <v>640.845</v>
      </c>
      <c r="H69" s="10" t="n">
        <f aca="false">INPUTS!$B$13*SUM(DEAD!$E69:$H69)+INPUTS!$B$14*(RED!H69*SUMPRODUCT((CLASS!$E69:$H69="RES")*1,LIVE!$E69:$H69)+IF(SUMPRODUCT((CLASS!$E69:$H69="GAR")*1)&gt;=2,INPUTS!$B$20,1)*SUMPRODUCT((CLASS!$E69:$H69="GAR")*1,LIVE!$E69:$H69)+SUMPRODUCT((CLASS!$E69:$H69="NR")*1,LIVE!$E69:$H69))</f>
        <v>769.56</v>
      </c>
      <c r="I69" s="10" t="n">
        <f aca="false">INPUTS!$B$13*SUM(DEAD!$E69:$I69)+INPUTS!$B$14*(RED!I69*SUMPRODUCT((CLASS!$E69:$I69="RES")*1,LIVE!$E69:$I69)+IF(SUMPRODUCT((CLASS!$E69:$I69="GAR")*1)&gt;=2,INPUTS!$B$20,1)*SUMPRODUCT((CLASS!$E69:$I69="GAR")*1,LIVE!$E69:$I69)+SUMPRODUCT((CLASS!$E69:$I69="NR")*1,LIVE!$E69:$I69))</f>
        <v>884.067</v>
      </c>
      <c r="J69" s="10" t="n">
        <f aca="false">INPUTS!$B$13*SUM(DEAD!$E69:$J69)+INPUTS!$B$14*(RED!J69*SUMPRODUCT((CLASS!$E69:$J69="RES")*1,LIVE!$E69:$J69)+IF(SUMPRODUCT((CLASS!$E69:$J69="GAR")*1)&gt;=2,INPUTS!$B$20,1)*SUMPRODUCT((CLASS!$E69:$J69="GAR")*1,LIVE!$E69:$J69)+SUMPRODUCT((CLASS!$E69:$J69="NR")*1,LIVE!$E69:$J69))</f>
        <v>1047.5324</v>
      </c>
      <c r="K69" s="10" t="n">
        <f aca="false">INPUTS!$B$13*SUM(DEAD!$E69:$K69)+INPUTS!$B$14*(RED!K69*SUMPRODUCT((CLASS!$E69:$K69="RES")*1,LIVE!$E69:$K69)+IF(SUMPRODUCT((CLASS!$E69:$K69="GAR")*1)&gt;=2,INPUTS!$B$20,1)*SUMPRODUCT((CLASS!$E69:$K69="GAR")*1,LIVE!$E69:$K69)+SUMPRODUCT((CLASS!$E69:$K69="NR")*1,LIVE!$E69:$K69))</f>
        <v>1047.5324</v>
      </c>
      <c r="L69" s="10" t="n">
        <f aca="false">INPUTS!$B$13*SUM(DEAD!$E69:$L69)+INPUTS!$B$14*(RED!L69*SUMPRODUCT((CLASS!$E69:$L69="RES")*1,LIVE!$E69:$L69)+IF(SUMPRODUCT((CLASS!$E69:$L69="GAR")*1)&gt;=2,INPUTS!$B$20,1)*SUMPRODUCT((CLASS!$E69:$L69="GAR")*1,LIVE!$E69:$L69)+SUMPRODUCT((CLASS!$E69:$L69="NR")*1,LIVE!$E69:$L69))</f>
        <v>1047.5324</v>
      </c>
      <c r="M69" s="10" t="n">
        <f aca="false">INPUTS!$B$13*SUM(DEAD!$E69:$M69)+INPUTS!$B$14*(RED!M69*SUMPRODUCT((CLASS!$E69:$M69="RES")*1,LIVE!$E69:$M69)+IF(SUMPRODUCT((CLASS!$E69:$M69="GAR")*1)&gt;=2,INPUTS!$B$20,1)*SUMPRODUCT((CLASS!$E69:$M69="GAR")*1,LIVE!$E69:$M69)+SUMPRODUCT((CLASS!$E69:$M69="NR")*1,LIVE!$E69:$M69))</f>
        <v>1047.5324</v>
      </c>
      <c r="N69" s="10" t="n">
        <f aca="false">INPUTS!$B$13*SUM(DEAD!$E69:$N69)+INPUTS!$B$14*(RED!N69*SUMPRODUCT((CLASS!$E69:$N69="RES")*1,LIVE!$E69:$N69)+IF(SUMPRODUCT((CLASS!$E69:$N69="GAR")*1)&gt;=2,INPUTS!$B$20,1)*SUMPRODUCT((CLASS!$E69:$N69="GAR")*1,LIVE!$E69:$N69)+SUMPRODUCT((CLASS!$E69:$N69="NR")*1,LIVE!$E69:$N69))</f>
        <v>1047.5324</v>
      </c>
      <c r="O69" s="10" t="n">
        <f aca="false">INPUTS!$B$13*SUM(DEAD!$E69:$O69)+INPUTS!$B$14*(RED!O69*SUMPRODUCT((CLASS!$E69:$O69="RES")*1,LIVE!$E69:$O69)+IF(SUMPRODUCT((CLASS!$E69:$O69="GAR")*1)&gt;=2,INPUTS!$B$20,1)*SUMPRODUCT((CLASS!$E69:$O69="GAR")*1,LIVE!$E69:$O69)+SUMPRODUCT((CLASS!$E69:$O69="NR")*1,LIVE!$E69:$O69))</f>
        <v>1047.5324</v>
      </c>
      <c r="P69" s="10" t="n">
        <f aca="false">INPUTS!$B$13*SUM(DEAD!$E69:$P69)+INPUTS!$B$14*(RED!P69*SUMPRODUCT((CLASS!$E69:$P69="RES")*1,LIVE!$E69:$P69)+IF(SUMPRODUCT((CLASS!$E69:$P69="GAR")*1)&gt;=2,INPUTS!$B$20,1)*SUMPRODUCT((CLASS!$E69:$P69="GAR")*1,LIVE!$E69:$P69)+SUMPRODUCT((CLASS!$E69:$P69="NR")*1,LIVE!$E69:$P69))</f>
        <v>1047.5324</v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10" t="n">
        <f aca="false">INPUTS!$B$13*SUM(DEAD!$E70:$E70)+INPUTS!$B$14*(RED!E70*SUMPRODUCT((CLASS!$E70:$E70="RES")*1,LIVE!$E70:$E70)+IF(SUMPRODUCT((CLASS!$E70:$E70="GAR")*1)&gt;=2,INPUTS!$B$20,1)*SUMPRODUCT((CLASS!$E70:$E70="GAR")*1,LIVE!$E70:$E70)+SUMPRODUCT((CLASS!$E70:$E70="NR")*1,LIVE!$E70:$E70))</f>
        <v>93.897</v>
      </c>
      <c r="F70" s="10" t="n">
        <f aca="false">INPUTS!$B$13*SUM(DEAD!$E70:$F70)+INPUTS!$B$14*(RED!F70*SUMPRODUCT((CLASS!$E70:$F70="RES")*1,LIVE!$E70:$F70)+IF(SUMPRODUCT((CLASS!$E70:$F70="GAR")*1)&gt;=2,INPUTS!$B$20,1)*SUMPRODUCT((CLASS!$E70:$F70="GAR")*1,LIVE!$E70:$F70)+SUMPRODUCT((CLASS!$E70:$F70="NR")*1,LIVE!$E70:$F70))</f>
        <v>230.2</v>
      </c>
      <c r="G70" s="10" t="n">
        <f aca="false">INPUTS!$B$13*SUM(DEAD!$E70:$G70)+INPUTS!$B$14*(RED!G70*SUMPRODUCT((CLASS!$E70:$G70="RES")*1,LIVE!$E70:$G70)+IF(SUMPRODUCT((CLASS!$E70:$G70="GAR")*1)&gt;=2,INPUTS!$B$20,1)*SUMPRODUCT((CLASS!$E70:$G70="GAR")*1,LIVE!$E70:$G70)+SUMPRODUCT((CLASS!$E70:$G70="NR")*1,LIVE!$E70:$G70))</f>
        <v>361.397</v>
      </c>
      <c r="H70" s="10" t="n">
        <f aca="false">INPUTS!$B$13*SUM(DEAD!$E70:$H70)+INPUTS!$B$14*(RED!H70*SUMPRODUCT((CLASS!$E70:$H70="RES")*1,LIVE!$E70:$H70)+IF(SUMPRODUCT((CLASS!$E70:$H70="GAR")*1)&gt;=2,INPUTS!$B$20,1)*SUMPRODUCT((CLASS!$E70:$H70="GAR")*1,LIVE!$E70:$H70)+SUMPRODUCT((CLASS!$E70:$H70="NR")*1,LIVE!$E70:$H70))</f>
        <v>450.072</v>
      </c>
      <c r="I70" s="10" t="n">
        <f aca="false">INPUTS!$B$13*SUM(DEAD!$E70:$I70)+INPUTS!$B$14*(RED!I70*SUMPRODUCT((CLASS!$E70:$I70="RES")*1,LIVE!$E70:$I70)+IF(SUMPRODUCT((CLASS!$E70:$I70="GAR")*1)&gt;=2,INPUTS!$B$20,1)*SUMPRODUCT((CLASS!$E70:$I70="GAR")*1,LIVE!$E70:$I70)+SUMPRODUCT((CLASS!$E70:$I70="NR")*1,LIVE!$E70:$I70))</f>
        <v>529.1982</v>
      </c>
      <c r="J70" s="10" t="n">
        <f aca="false">INPUTS!$B$13*SUM(DEAD!$E70:$J70)+INPUTS!$B$14*(RED!J70*SUMPRODUCT((CLASS!$E70:$J70="RES")*1,LIVE!$E70:$J70)+IF(SUMPRODUCT((CLASS!$E70:$J70="GAR")*1)&gt;=2,INPUTS!$B$20,1)*SUMPRODUCT((CLASS!$E70:$J70="GAR")*1,LIVE!$E70:$J70)+SUMPRODUCT((CLASS!$E70:$J70="NR")*1,LIVE!$E70:$J70))</f>
        <v>680.9916</v>
      </c>
      <c r="K70" s="10" t="n">
        <f aca="false">INPUTS!$B$13*SUM(DEAD!$E70:$K70)+INPUTS!$B$14*(RED!K70*SUMPRODUCT((CLASS!$E70:$K70="RES")*1,LIVE!$E70:$K70)+IF(SUMPRODUCT((CLASS!$E70:$K70="GAR")*1)&gt;=2,INPUTS!$B$20,1)*SUMPRODUCT((CLASS!$E70:$K70="GAR")*1,LIVE!$E70:$K70)+SUMPRODUCT((CLASS!$E70:$K70="NR")*1,LIVE!$E70:$K70))</f>
        <v>680.9916</v>
      </c>
      <c r="L70" s="10" t="n">
        <f aca="false">INPUTS!$B$13*SUM(DEAD!$E70:$L70)+INPUTS!$B$14*(RED!L70*SUMPRODUCT((CLASS!$E70:$L70="RES")*1,LIVE!$E70:$L70)+IF(SUMPRODUCT((CLASS!$E70:$L70="GAR")*1)&gt;=2,INPUTS!$B$20,1)*SUMPRODUCT((CLASS!$E70:$L70="GAR")*1,LIVE!$E70:$L70)+SUMPRODUCT((CLASS!$E70:$L70="NR")*1,LIVE!$E70:$L70))</f>
        <v>680.9916</v>
      </c>
      <c r="M70" s="10" t="n">
        <f aca="false">INPUTS!$B$13*SUM(DEAD!$E70:$M70)+INPUTS!$B$14*(RED!M70*SUMPRODUCT((CLASS!$E70:$M70="RES")*1,LIVE!$E70:$M70)+IF(SUMPRODUCT((CLASS!$E70:$M70="GAR")*1)&gt;=2,INPUTS!$B$20,1)*SUMPRODUCT((CLASS!$E70:$M70="GAR")*1,LIVE!$E70:$M70)+SUMPRODUCT((CLASS!$E70:$M70="NR")*1,LIVE!$E70:$M70))</f>
        <v>680.9916</v>
      </c>
      <c r="N70" s="10" t="n">
        <f aca="false">INPUTS!$B$13*SUM(DEAD!$E70:$N70)+INPUTS!$B$14*(RED!N70*SUMPRODUCT((CLASS!$E70:$N70="RES")*1,LIVE!$E70:$N70)+IF(SUMPRODUCT((CLASS!$E70:$N70="GAR")*1)&gt;=2,INPUTS!$B$20,1)*SUMPRODUCT((CLASS!$E70:$N70="GAR")*1,LIVE!$E70:$N70)+SUMPRODUCT((CLASS!$E70:$N70="NR")*1,LIVE!$E70:$N70))</f>
        <v>680.9916</v>
      </c>
      <c r="O70" s="10" t="n">
        <f aca="false">INPUTS!$B$13*SUM(DEAD!$E70:$O70)+INPUTS!$B$14*(RED!O70*SUMPRODUCT((CLASS!$E70:$O70="RES")*1,LIVE!$E70:$O70)+IF(SUMPRODUCT((CLASS!$E70:$O70="GAR")*1)&gt;=2,INPUTS!$B$20,1)*SUMPRODUCT((CLASS!$E70:$O70="GAR")*1,LIVE!$E70:$O70)+SUMPRODUCT((CLASS!$E70:$O70="NR")*1,LIVE!$E70:$O70))</f>
        <v>680.9916</v>
      </c>
      <c r="P70" s="10" t="n">
        <f aca="false">INPUTS!$B$13*SUM(DEAD!$E70:$P70)+INPUTS!$B$14*(RED!P70*SUMPRODUCT((CLASS!$E70:$P70="RES")*1,LIVE!$E70:$P70)+IF(SUMPRODUCT((CLASS!$E70:$P70="GAR")*1)&gt;=2,INPUTS!$B$20,1)*SUMPRODUCT((CLASS!$E70:$P70="GAR")*1,LIVE!$E70:$P70)+SUMPRODUCT((CLASS!$E70:$P70="NR")*1,LIVE!$E70:$P70))</f>
        <v>680.9916</v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10" t="n">
        <f aca="false">INPUTS!$B$13*SUM(DEAD!$E71:$E71)+INPUTS!$B$14*(RED!E71*SUMPRODUCT((CLASS!$E71:$E71="RES")*1,LIVE!$E71:$E71)+IF(SUMPRODUCT((CLASS!$E71:$E71="GAR")*1)&gt;=2,INPUTS!$B$20,1)*SUMPRODUCT((CLASS!$E71:$E71="GAR")*1,LIVE!$E71:$E71)+SUMPRODUCT((CLASS!$E71:$E71="NR")*1,LIVE!$E71:$E71))</f>
        <v>134.847</v>
      </c>
      <c r="F71" s="10" t="n">
        <f aca="false">INPUTS!$B$13*SUM(DEAD!$E71:$F71)+INPUTS!$B$14*(RED!F71*SUMPRODUCT((CLASS!$E71:$F71="RES")*1,LIVE!$E71:$F71)+IF(SUMPRODUCT((CLASS!$E71:$F71="GAR")*1)&gt;=2,INPUTS!$B$20,1)*SUMPRODUCT((CLASS!$E71:$F71="GAR")*1,LIVE!$E71:$F71)+SUMPRODUCT((CLASS!$E71:$F71="NR")*1,LIVE!$E71:$F71))</f>
        <v>331.7</v>
      </c>
      <c r="G71" s="10" t="n">
        <f aca="false">INPUTS!$B$13*SUM(DEAD!$E71:$G71)+INPUTS!$B$14*(RED!G71*SUMPRODUCT((CLASS!$E71:$G71="RES")*1,LIVE!$E71:$G71)+IF(SUMPRODUCT((CLASS!$E71:$G71="GAR")*1)&gt;=2,INPUTS!$B$20,1)*SUMPRODUCT((CLASS!$E71:$G71="GAR")*1,LIVE!$E71:$G71)+SUMPRODUCT((CLASS!$E71:$G71="NR")*1,LIVE!$E71:$G71))</f>
        <v>507.987</v>
      </c>
      <c r="H71" s="10" t="n">
        <f aca="false">INPUTS!$B$13*SUM(DEAD!$E71:$H71)+INPUTS!$B$14*(RED!H71*SUMPRODUCT((CLASS!$E71:$H71="RES")*1,LIVE!$E71:$H71)+IF(SUMPRODUCT((CLASS!$E71:$H71="GAR")*1)&gt;=2,INPUTS!$B$20,1)*SUMPRODUCT((CLASS!$E71:$H71="GAR")*1,LIVE!$E71:$H71)+SUMPRODUCT((CLASS!$E71:$H71="NR")*1,LIVE!$E71:$H71))</f>
        <v>626.362</v>
      </c>
      <c r="I71" s="10" t="n">
        <f aca="false">INPUTS!$B$13*SUM(DEAD!$E71:$I71)+INPUTS!$B$14*(RED!I71*SUMPRODUCT((CLASS!$E71:$I71="RES")*1,LIVE!$E71:$I71)+IF(SUMPRODUCT((CLASS!$E71:$I71="GAR")*1)&gt;=2,INPUTS!$B$20,1)*SUMPRODUCT((CLASS!$E71:$I71="GAR")*1,LIVE!$E71:$I71)+SUMPRODUCT((CLASS!$E71:$I71="NR")*1,LIVE!$E71:$I71))</f>
        <v>731.7322</v>
      </c>
      <c r="J71" s="10" t="n">
        <f aca="false">INPUTS!$B$13*SUM(DEAD!$E71:$J71)+INPUTS!$B$14*(RED!J71*SUMPRODUCT((CLASS!$E71:$J71="RES")*1,LIVE!$E71:$J71)+IF(SUMPRODUCT((CLASS!$E71:$J71="GAR")*1)&gt;=2,INPUTS!$B$20,1)*SUMPRODUCT((CLASS!$E71:$J71="GAR")*1,LIVE!$E71:$J71)+SUMPRODUCT((CLASS!$E71:$J71="NR")*1,LIVE!$E71:$J71))</f>
        <v>842.5688</v>
      </c>
      <c r="K71" s="10" t="n">
        <f aca="false">INPUTS!$B$13*SUM(DEAD!$E71:$K71)+INPUTS!$B$14*(RED!K71*SUMPRODUCT((CLASS!$E71:$K71="RES")*1,LIVE!$E71:$K71)+IF(SUMPRODUCT((CLASS!$E71:$K71="GAR")*1)&gt;=2,INPUTS!$B$20,1)*SUMPRODUCT((CLASS!$E71:$K71="GAR")*1,LIVE!$E71:$K71)+SUMPRODUCT((CLASS!$E71:$K71="NR")*1,LIVE!$E71:$K71))</f>
        <v>842.5688</v>
      </c>
      <c r="L71" s="10" t="n">
        <f aca="false">INPUTS!$B$13*SUM(DEAD!$E71:$L71)+INPUTS!$B$14*(RED!L71*SUMPRODUCT((CLASS!$E71:$L71="RES")*1,LIVE!$E71:$L71)+IF(SUMPRODUCT((CLASS!$E71:$L71="GAR")*1)&gt;=2,INPUTS!$B$20,1)*SUMPRODUCT((CLASS!$E71:$L71="GAR")*1,LIVE!$E71:$L71)+SUMPRODUCT((CLASS!$E71:$L71="NR")*1,LIVE!$E71:$L71))</f>
        <v>842.5688</v>
      </c>
      <c r="M71" s="10" t="n">
        <f aca="false">INPUTS!$B$13*SUM(DEAD!$E71:$M71)+INPUTS!$B$14*(RED!M71*SUMPRODUCT((CLASS!$E71:$M71="RES")*1,LIVE!$E71:$M71)+IF(SUMPRODUCT((CLASS!$E71:$M71="GAR")*1)&gt;=2,INPUTS!$B$20,1)*SUMPRODUCT((CLASS!$E71:$M71="GAR")*1,LIVE!$E71:$M71)+SUMPRODUCT((CLASS!$E71:$M71="NR")*1,LIVE!$E71:$M71))</f>
        <v>842.5688</v>
      </c>
      <c r="N71" s="10" t="n">
        <f aca="false">INPUTS!$B$13*SUM(DEAD!$E71:$N71)+INPUTS!$B$14*(RED!N71*SUMPRODUCT((CLASS!$E71:$N71="RES")*1,LIVE!$E71:$N71)+IF(SUMPRODUCT((CLASS!$E71:$N71="GAR")*1)&gt;=2,INPUTS!$B$20,1)*SUMPRODUCT((CLASS!$E71:$N71="GAR")*1,LIVE!$E71:$N71)+SUMPRODUCT((CLASS!$E71:$N71="NR")*1,LIVE!$E71:$N71))</f>
        <v>842.5688</v>
      </c>
      <c r="O71" s="10" t="n">
        <f aca="false">INPUTS!$B$13*SUM(DEAD!$E71:$O71)+INPUTS!$B$14*(RED!O71*SUMPRODUCT((CLASS!$E71:$O71="RES")*1,LIVE!$E71:$O71)+IF(SUMPRODUCT((CLASS!$E71:$O71="GAR")*1)&gt;=2,INPUTS!$B$20,1)*SUMPRODUCT((CLASS!$E71:$O71="GAR")*1,LIVE!$E71:$O71)+SUMPRODUCT((CLASS!$E71:$O71="NR")*1,LIVE!$E71:$O71))</f>
        <v>842.5688</v>
      </c>
      <c r="P71" s="10" t="n">
        <f aca="false">INPUTS!$B$13*SUM(DEAD!$E71:$P71)+INPUTS!$B$14*(RED!P71*SUMPRODUCT((CLASS!$E71:$P71="RES")*1,LIVE!$E71:$P71)+IF(SUMPRODUCT((CLASS!$E71:$P71="GAR")*1)&gt;=2,INPUTS!$B$20,1)*SUMPRODUCT((CLASS!$E71:$P71="GAR")*1,LIVE!$E71:$P71)+SUMPRODUCT((CLASS!$E71:$P71="NR")*1,LIVE!$E71:$P71))</f>
        <v>842.5688</v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10" t="n">
        <f aca="false">INPUTS!$B$13*SUM(DEAD!$E72:$E72)+INPUTS!$B$14*(RED!E72*SUMPRODUCT((CLASS!$E72:$E72="RES")*1,LIVE!$E72:$E72)+IF(SUMPRODUCT((CLASS!$E72:$E72="GAR")*1)&gt;=2,INPUTS!$B$20,1)*SUMPRODUCT((CLASS!$E72:$E72="GAR")*1,LIVE!$E72:$E72)+SUMPRODUCT((CLASS!$E72:$E72="NR")*1,LIVE!$E72:$E72))</f>
        <v>127.125</v>
      </c>
      <c r="F72" s="10" t="n">
        <f aca="false">INPUTS!$B$13*SUM(DEAD!$E72:$F72)+INPUTS!$B$14*(RED!F72*SUMPRODUCT((CLASS!$E72:$F72="RES")*1,LIVE!$E72:$F72)+IF(SUMPRODUCT((CLASS!$E72:$F72="GAR")*1)&gt;=2,INPUTS!$B$20,1)*SUMPRODUCT((CLASS!$E72:$F72="GAR")*1,LIVE!$E72:$F72)+SUMPRODUCT((CLASS!$E72:$F72="NR")*1,LIVE!$E72:$F72))</f>
        <v>312.56</v>
      </c>
      <c r="G72" s="10" t="n">
        <f aca="false">INPUTS!$B$13*SUM(DEAD!$E72:$G72)+INPUTS!$B$14*(RED!G72*SUMPRODUCT((CLASS!$E72:$G72="RES")*1,LIVE!$E72:$G72)+IF(SUMPRODUCT((CLASS!$E72:$G72="GAR")*1)&gt;=2,INPUTS!$B$20,1)*SUMPRODUCT((CLASS!$E72:$G72="GAR")*1,LIVE!$E72:$G72)+SUMPRODUCT((CLASS!$E72:$G72="NR")*1,LIVE!$E72:$G72))</f>
        <v>488.179</v>
      </c>
      <c r="H72" s="10" t="n">
        <f aca="false">INPUTS!$B$13*SUM(DEAD!$E72:$H72)+INPUTS!$B$14*(RED!H72*SUMPRODUCT((CLASS!$E72:$H72="RES")*1,LIVE!$E72:$H72)+IF(SUMPRODUCT((CLASS!$E72:$H72="GAR")*1)&gt;=2,INPUTS!$B$20,1)*SUMPRODUCT((CLASS!$E72:$H72="GAR")*1,LIVE!$E72:$H72)+SUMPRODUCT((CLASS!$E72:$H72="NR")*1,LIVE!$E72:$H72))</f>
        <v>606.114</v>
      </c>
      <c r="I72" s="10" t="n">
        <f aca="false">INPUTS!$B$13*SUM(DEAD!$E72:$I72)+INPUTS!$B$14*(RED!I72*SUMPRODUCT((CLASS!$E72:$I72="RES")*1,LIVE!$E72:$I72)+IF(SUMPRODUCT((CLASS!$E72:$I72="GAR")*1)&gt;=2,INPUTS!$B$20,1)*SUMPRODUCT((CLASS!$E72:$I72="GAR")*1,LIVE!$E72:$I72)+SUMPRODUCT((CLASS!$E72:$I72="NR")*1,LIVE!$E72:$I72))</f>
        <v>711.0954</v>
      </c>
      <c r="J72" s="10" t="n">
        <f aca="false">INPUTS!$B$13*SUM(DEAD!$E72:$J72)+INPUTS!$B$14*(RED!J72*SUMPRODUCT((CLASS!$E72:$J72="RES")*1,LIVE!$E72:$J72)+IF(SUMPRODUCT((CLASS!$E72:$J72="GAR")*1)&gt;=2,INPUTS!$B$20,1)*SUMPRODUCT((CLASS!$E72:$J72="GAR")*1,LIVE!$E72:$J72)+SUMPRODUCT((CLASS!$E72:$J72="NR")*1,LIVE!$E72:$J72))</f>
        <v>821.3104</v>
      </c>
      <c r="K72" s="10" t="n">
        <f aca="false">INPUTS!$B$13*SUM(DEAD!$E72:$K72)+INPUTS!$B$14*(RED!K72*SUMPRODUCT((CLASS!$E72:$K72="RES")*1,LIVE!$E72:$K72)+IF(SUMPRODUCT((CLASS!$E72:$K72="GAR")*1)&gt;=2,INPUTS!$B$20,1)*SUMPRODUCT((CLASS!$E72:$K72="GAR")*1,LIVE!$E72:$K72)+SUMPRODUCT((CLASS!$E72:$K72="NR")*1,LIVE!$E72:$K72))</f>
        <v>821.3104</v>
      </c>
      <c r="L72" s="10" t="n">
        <f aca="false">INPUTS!$B$13*SUM(DEAD!$E72:$L72)+INPUTS!$B$14*(RED!L72*SUMPRODUCT((CLASS!$E72:$L72="RES")*1,LIVE!$E72:$L72)+IF(SUMPRODUCT((CLASS!$E72:$L72="GAR")*1)&gt;=2,INPUTS!$B$20,1)*SUMPRODUCT((CLASS!$E72:$L72="GAR")*1,LIVE!$E72:$L72)+SUMPRODUCT((CLASS!$E72:$L72="NR")*1,LIVE!$E72:$L72))</f>
        <v>821.3104</v>
      </c>
      <c r="M72" s="10" t="n">
        <f aca="false">INPUTS!$B$13*SUM(DEAD!$E72:$M72)+INPUTS!$B$14*(RED!M72*SUMPRODUCT((CLASS!$E72:$M72="RES")*1,LIVE!$E72:$M72)+IF(SUMPRODUCT((CLASS!$E72:$M72="GAR")*1)&gt;=2,INPUTS!$B$20,1)*SUMPRODUCT((CLASS!$E72:$M72="GAR")*1,LIVE!$E72:$M72)+SUMPRODUCT((CLASS!$E72:$M72="NR")*1,LIVE!$E72:$M72))</f>
        <v>821.3104</v>
      </c>
      <c r="N72" s="10" t="n">
        <f aca="false">INPUTS!$B$13*SUM(DEAD!$E72:$N72)+INPUTS!$B$14*(RED!N72*SUMPRODUCT((CLASS!$E72:$N72="RES")*1,LIVE!$E72:$N72)+IF(SUMPRODUCT((CLASS!$E72:$N72="GAR")*1)&gt;=2,INPUTS!$B$20,1)*SUMPRODUCT((CLASS!$E72:$N72="GAR")*1,LIVE!$E72:$N72)+SUMPRODUCT((CLASS!$E72:$N72="NR")*1,LIVE!$E72:$N72))</f>
        <v>821.3104</v>
      </c>
      <c r="O72" s="10" t="n">
        <f aca="false">INPUTS!$B$13*SUM(DEAD!$E72:$O72)+INPUTS!$B$14*(RED!O72*SUMPRODUCT((CLASS!$E72:$O72="RES")*1,LIVE!$E72:$O72)+IF(SUMPRODUCT((CLASS!$E72:$O72="GAR")*1)&gt;=2,INPUTS!$B$20,1)*SUMPRODUCT((CLASS!$E72:$O72="GAR")*1,LIVE!$E72:$O72)+SUMPRODUCT((CLASS!$E72:$O72="NR")*1,LIVE!$E72:$O72))</f>
        <v>821.3104</v>
      </c>
      <c r="P72" s="10" t="n">
        <f aca="false">INPUTS!$B$13*SUM(DEAD!$E72:$P72)+INPUTS!$B$14*(RED!P72*SUMPRODUCT((CLASS!$E72:$P72="RES")*1,LIVE!$E72:$P72)+IF(SUMPRODUCT((CLASS!$E72:$P72="GAR")*1)&gt;=2,INPUTS!$B$20,1)*SUMPRODUCT((CLASS!$E72:$P72="GAR")*1,LIVE!$E72:$P72)+SUMPRODUCT((CLASS!$E72:$P72="NR")*1,LIVE!$E72:$P72))</f>
        <v>821.3104</v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10" t="n">
        <f aca="false">INPUTS!$B$13*SUM(DEAD!$E73:$E73)+INPUTS!$B$14*(RED!E73*SUMPRODUCT((CLASS!$E73:$E73="RES")*1,LIVE!$E73:$E73)+IF(SUMPRODUCT((CLASS!$E73:$E73="GAR")*1)&gt;=2,INPUTS!$B$20,1)*SUMPRODUCT((CLASS!$E73:$E73="GAR")*1,LIVE!$E73:$E73)+SUMPRODUCT((CLASS!$E73:$E73="NR")*1,LIVE!$E73:$E73))</f>
        <v>24.165</v>
      </c>
      <c r="F73" s="10" t="n">
        <f aca="false">INPUTS!$B$13*SUM(DEAD!$E73:$F73)+INPUTS!$B$14*(RED!F73*SUMPRODUCT((CLASS!$E73:$F73="RES")*1,LIVE!$E73:$F73)+IF(SUMPRODUCT((CLASS!$E73:$F73="GAR")*1)&gt;=2,INPUTS!$B$20,1)*SUMPRODUCT((CLASS!$E73:$F73="GAR")*1,LIVE!$E73:$F73)+SUMPRODUCT((CLASS!$E73:$F73="NR")*1,LIVE!$E73:$F73))</f>
        <v>57.36</v>
      </c>
      <c r="G73" s="10" t="n">
        <f aca="false">INPUTS!$B$13*SUM(DEAD!$E73:$G73)+INPUTS!$B$14*(RED!G73*SUMPRODUCT((CLASS!$E73:$G73="RES")*1,LIVE!$E73:$G73)+IF(SUMPRODUCT((CLASS!$E73:$G73="GAR")*1)&gt;=2,INPUTS!$B$20,1)*SUMPRODUCT((CLASS!$E73:$G73="GAR")*1,LIVE!$E73:$G73)+SUMPRODUCT((CLASS!$E73:$G73="NR")*1,LIVE!$E73:$G73))</f>
        <v>231.309</v>
      </c>
      <c r="H73" s="10" t="n">
        <f aca="false">INPUTS!$B$13*SUM(DEAD!$E73:$H73)+INPUTS!$B$14*(RED!H73*SUMPRODUCT((CLASS!$E73:$H73="RES")*1,LIVE!$E73:$H73)+IF(SUMPRODUCT((CLASS!$E73:$H73="GAR")*1)&gt;=2,INPUTS!$B$20,1)*SUMPRODUCT((CLASS!$E73:$H73="GAR")*1,LIVE!$E73:$H73)+SUMPRODUCT((CLASS!$E73:$H73="NR")*1,LIVE!$E73:$H73))</f>
        <v>348.144</v>
      </c>
      <c r="I73" s="10" t="n">
        <f aca="false">INPUTS!$B$13*SUM(DEAD!$E73:$I73)+INPUTS!$B$14*(RED!I73*SUMPRODUCT((CLASS!$E73:$I73="RES")*1,LIVE!$E73:$I73)+IF(SUMPRODUCT((CLASS!$E73:$I73="GAR")*1)&gt;=2,INPUTS!$B$20,1)*SUMPRODUCT((CLASS!$E73:$I73="GAR")*1,LIVE!$E73:$I73)+SUMPRODUCT((CLASS!$E73:$I73="NR")*1,LIVE!$E73:$I73))</f>
        <v>452.1534</v>
      </c>
      <c r="J73" s="10" t="n">
        <f aca="false">INPUTS!$B$13*SUM(DEAD!$E73:$J73)+INPUTS!$B$14*(RED!J73*SUMPRODUCT((CLASS!$E73:$J73="RES")*1,LIVE!$E73:$J73)+IF(SUMPRODUCT((CLASS!$E73:$J73="GAR")*1)&gt;=2,INPUTS!$B$20,1)*SUMPRODUCT((CLASS!$E73:$J73="GAR")*1,LIVE!$E73:$J73)+SUMPRODUCT((CLASS!$E73:$J73="NR")*1,LIVE!$E73:$J73))</f>
        <v>574.386</v>
      </c>
      <c r="K73" s="10" t="n">
        <f aca="false">INPUTS!$B$13*SUM(DEAD!$E73:$K73)+INPUTS!$B$14*(RED!K73*SUMPRODUCT((CLASS!$E73:$K73="RES")*1,LIVE!$E73:$K73)+IF(SUMPRODUCT((CLASS!$E73:$K73="GAR")*1)&gt;=2,INPUTS!$B$20,1)*SUMPRODUCT((CLASS!$E73:$K73="GAR")*1,LIVE!$E73:$K73)+SUMPRODUCT((CLASS!$E73:$K73="NR")*1,LIVE!$E73:$K73))</f>
        <v>574.386</v>
      </c>
      <c r="L73" s="10" t="n">
        <f aca="false">INPUTS!$B$13*SUM(DEAD!$E73:$L73)+INPUTS!$B$14*(RED!L73*SUMPRODUCT((CLASS!$E73:$L73="RES")*1,LIVE!$E73:$L73)+IF(SUMPRODUCT((CLASS!$E73:$L73="GAR")*1)&gt;=2,INPUTS!$B$20,1)*SUMPRODUCT((CLASS!$E73:$L73="GAR")*1,LIVE!$E73:$L73)+SUMPRODUCT((CLASS!$E73:$L73="NR")*1,LIVE!$E73:$L73))</f>
        <v>574.386</v>
      </c>
      <c r="M73" s="10" t="n">
        <f aca="false">INPUTS!$B$13*SUM(DEAD!$E73:$M73)+INPUTS!$B$14*(RED!M73*SUMPRODUCT((CLASS!$E73:$M73="RES")*1,LIVE!$E73:$M73)+IF(SUMPRODUCT((CLASS!$E73:$M73="GAR")*1)&gt;=2,INPUTS!$B$20,1)*SUMPRODUCT((CLASS!$E73:$M73="GAR")*1,LIVE!$E73:$M73)+SUMPRODUCT((CLASS!$E73:$M73="NR")*1,LIVE!$E73:$M73))</f>
        <v>574.386</v>
      </c>
      <c r="N73" s="10" t="n">
        <f aca="false">INPUTS!$B$13*SUM(DEAD!$E73:$N73)+INPUTS!$B$14*(RED!N73*SUMPRODUCT((CLASS!$E73:$N73="RES")*1,LIVE!$E73:$N73)+IF(SUMPRODUCT((CLASS!$E73:$N73="GAR")*1)&gt;=2,INPUTS!$B$20,1)*SUMPRODUCT((CLASS!$E73:$N73="GAR")*1,LIVE!$E73:$N73)+SUMPRODUCT((CLASS!$E73:$N73="NR")*1,LIVE!$E73:$N73))</f>
        <v>574.386</v>
      </c>
      <c r="O73" s="10" t="n">
        <f aca="false">INPUTS!$B$13*SUM(DEAD!$E73:$O73)+INPUTS!$B$14*(RED!O73*SUMPRODUCT((CLASS!$E73:$O73="RES")*1,LIVE!$E73:$O73)+IF(SUMPRODUCT((CLASS!$E73:$O73="GAR")*1)&gt;=2,INPUTS!$B$20,1)*SUMPRODUCT((CLASS!$E73:$O73="GAR")*1,LIVE!$E73:$O73)+SUMPRODUCT((CLASS!$E73:$O73="NR")*1,LIVE!$E73:$O73))</f>
        <v>574.386</v>
      </c>
      <c r="P73" s="10" t="n">
        <f aca="false">INPUTS!$B$13*SUM(DEAD!$E73:$P73)+INPUTS!$B$14*(RED!P73*SUMPRODUCT((CLASS!$E73:$P73="RES")*1,LIVE!$E73:$P73)+IF(SUMPRODUCT((CLASS!$E73:$P73="GAR")*1)&gt;=2,INPUTS!$B$20,1)*SUMPRODUCT((CLASS!$E73:$P73="GAR")*1,LIVE!$E73:$P73)+SUMPRODUCT((CLASS!$E73:$P73="NR")*1,LIVE!$E73:$P73))</f>
        <v>574.386</v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10" t="n">
        <f aca="false">INPUTS!$B$13*SUM(DEAD!$E74:$E74)+INPUTS!$B$14*(RED!E74*SUMPRODUCT((CLASS!$E74:$E74="RES")*1,LIVE!$E74:$E74)+IF(SUMPRODUCT((CLASS!$E74:$E74="GAR")*1)&gt;=2,INPUTS!$B$20,1)*SUMPRODUCT((CLASS!$E74:$E74="GAR")*1,LIVE!$E74:$E74)+SUMPRODUCT((CLASS!$E74:$E74="NR")*1,LIVE!$E74:$E74))</f>
        <v>137.889</v>
      </c>
      <c r="F74" s="10" t="n">
        <f aca="false">INPUTS!$B$13*SUM(DEAD!$E74:$F74)+INPUTS!$B$14*(RED!F74*SUMPRODUCT((CLASS!$E74:$F74="RES")*1,LIVE!$E74:$F74)+IF(SUMPRODUCT((CLASS!$E74:$F74="GAR")*1)&gt;=2,INPUTS!$B$20,1)*SUMPRODUCT((CLASS!$E74:$F74="GAR")*1,LIVE!$E74:$F74)+SUMPRODUCT((CLASS!$E74:$F74="NR")*1,LIVE!$E74:$F74))</f>
        <v>339.24</v>
      </c>
      <c r="G74" s="10" t="n">
        <f aca="false">INPUTS!$B$13*SUM(DEAD!$E74:$G74)+INPUTS!$B$14*(RED!G74*SUMPRODUCT((CLASS!$E74:$G74="RES")*1,LIVE!$E74:$G74)+IF(SUMPRODUCT((CLASS!$E74:$G74="GAR")*1)&gt;=2,INPUTS!$B$20,1)*SUMPRODUCT((CLASS!$E74:$G74="GAR")*1,LIVE!$E74:$G74)+SUMPRODUCT((CLASS!$E74:$G74="NR")*1,LIVE!$E74:$G74))</f>
        <v>523.877</v>
      </c>
      <c r="H74" s="10" t="n">
        <f aca="false">INPUTS!$B$13*SUM(DEAD!$E74:$H74)+INPUTS!$B$14*(RED!H74*SUMPRODUCT((CLASS!$E74:$H74="RES")*1,LIVE!$E74:$H74)+IF(SUMPRODUCT((CLASS!$E74:$H74="GAR")*1)&gt;=2,INPUTS!$B$20,1)*SUMPRODUCT((CLASS!$E74:$H74="GAR")*1,LIVE!$E74:$H74)+SUMPRODUCT((CLASS!$E74:$H74="NR")*1,LIVE!$E74:$H74))</f>
        <v>647.752</v>
      </c>
      <c r="I74" s="10" t="n">
        <f aca="false">INPUTS!$B$13*SUM(DEAD!$E74:$I74)+INPUTS!$B$14*(RED!I74*SUMPRODUCT((CLASS!$E74:$I74="RES")*1,LIVE!$E74:$I74)+IF(SUMPRODUCT((CLASS!$E74:$I74="GAR")*1)&gt;=2,INPUTS!$B$20,1)*SUMPRODUCT((CLASS!$E74:$I74="GAR")*1,LIVE!$E74:$I74)+SUMPRODUCT((CLASS!$E74:$I74="NR")*1,LIVE!$E74:$I74))</f>
        <v>757.9822</v>
      </c>
      <c r="J74" s="10" t="n">
        <f aca="false">INPUTS!$B$13*SUM(DEAD!$E74:$J74)+INPUTS!$B$14*(RED!J74*SUMPRODUCT((CLASS!$E74:$J74="RES")*1,LIVE!$E74:$J74)+IF(SUMPRODUCT((CLASS!$E74:$J74="GAR")*1)&gt;=2,INPUTS!$B$20,1)*SUMPRODUCT((CLASS!$E74:$J74="GAR")*1,LIVE!$E74:$J74)+SUMPRODUCT((CLASS!$E74:$J74="NR")*1,LIVE!$E74:$J74))</f>
        <v>886.4308</v>
      </c>
      <c r="K74" s="10" t="n">
        <f aca="false">INPUTS!$B$13*SUM(DEAD!$E74:$K74)+INPUTS!$B$14*(RED!K74*SUMPRODUCT((CLASS!$E74:$K74="RES")*1,LIVE!$E74:$K74)+IF(SUMPRODUCT((CLASS!$E74:$K74="GAR")*1)&gt;=2,INPUTS!$B$20,1)*SUMPRODUCT((CLASS!$E74:$K74="GAR")*1,LIVE!$E74:$K74)+SUMPRODUCT((CLASS!$E74:$K74="NR")*1,LIVE!$E74:$K74))</f>
        <v>886.4308</v>
      </c>
      <c r="L74" s="10" t="n">
        <f aca="false">INPUTS!$B$13*SUM(DEAD!$E74:$L74)+INPUTS!$B$14*(RED!L74*SUMPRODUCT((CLASS!$E74:$L74="RES")*1,LIVE!$E74:$L74)+IF(SUMPRODUCT((CLASS!$E74:$L74="GAR")*1)&gt;=2,INPUTS!$B$20,1)*SUMPRODUCT((CLASS!$E74:$L74="GAR")*1,LIVE!$E74:$L74)+SUMPRODUCT((CLASS!$E74:$L74="NR")*1,LIVE!$E74:$L74))</f>
        <v>886.4308</v>
      </c>
      <c r="M74" s="10" t="n">
        <f aca="false">INPUTS!$B$13*SUM(DEAD!$E74:$M74)+INPUTS!$B$14*(RED!M74*SUMPRODUCT((CLASS!$E74:$M74="RES")*1,LIVE!$E74:$M74)+IF(SUMPRODUCT((CLASS!$E74:$M74="GAR")*1)&gt;=2,INPUTS!$B$20,1)*SUMPRODUCT((CLASS!$E74:$M74="GAR")*1,LIVE!$E74:$M74)+SUMPRODUCT((CLASS!$E74:$M74="NR")*1,LIVE!$E74:$M74))</f>
        <v>886.4308</v>
      </c>
      <c r="N74" s="10" t="n">
        <f aca="false">INPUTS!$B$13*SUM(DEAD!$E74:$N74)+INPUTS!$B$14*(RED!N74*SUMPRODUCT((CLASS!$E74:$N74="RES")*1,LIVE!$E74:$N74)+IF(SUMPRODUCT((CLASS!$E74:$N74="GAR")*1)&gt;=2,INPUTS!$B$20,1)*SUMPRODUCT((CLASS!$E74:$N74="GAR")*1,LIVE!$E74:$N74)+SUMPRODUCT((CLASS!$E74:$N74="NR")*1,LIVE!$E74:$N74))</f>
        <v>886.4308</v>
      </c>
      <c r="O74" s="10" t="n">
        <f aca="false">INPUTS!$B$13*SUM(DEAD!$E74:$O74)+INPUTS!$B$14*(RED!O74*SUMPRODUCT((CLASS!$E74:$O74="RES")*1,LIVE!$E74:$O74)+IF(SUMPRODUCT((CLASS!$E74:$O74="GAR")*1)&gt;=2,INPUTS!$B$20,1)*SUMPRODUCT((CLASS!$E74:$O74="GAR")*1,LIVE!$E74:$O74)+SUMPRODUCT((CLASS!$E74:$O74="NR")*1,LIVE!$E74:$O74))</f>
        <v>886.4308</v>
      </c>
      <c r="P74" s="10" t="n">
        <f aca="false">INPUTS!$B$13*SUM(DEAD!$E74:$P74)+INPUTS!$B$14*(RED!P74*SUMPRODUCT((CLASS!$E74:$P74="RES")*1,LIVE!$E74:$P74)+IF(SUMPRODUCT((CLASS!$E74:$P74="GAR")*1)&gt;=2,INPUTS!$B$20,1)*SUMPRODUCT((CLASS!$E74:$P74="GAR")*1,LIVE!$E74:$P74)+SUMPRODUCT((CLASS!$E74:$P74="NR")*1,LIVE!$E74:$P74))</f>
        <v>886.4308</v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10" t="n">
        <f aca="false">INPUTS!$B$13*SUM(DEAD!$E75:$E75)+INPUTS!$B$14*(RED!E75*SUMPRODUCT((CLASS!$E75:$E75="RES")*1,LIVE!$E75:$E75)+IF(SUMPRODUCT((CLASS!$E75:$E75="GAR")*1)&gt;=2,INPUTS!$B$20,1)*SUMPRODUCT((CLASS!$E75:$E75="GAR")*1,LIVE!$E75:$E75)+SUMPRODUCT((CLASS!$E75:$E75="NR")*1,LIVE!$E75:$E75))</f>
        <v>126.423</v>
      </c>
      <c r="F75" s="10" t="n">
        <f aca="false">INPUTS!$B$13*SUM(DEAD!$E75:$F75)+INPUTS!$B$14*(RED!F75*SUMPRODUCT((CLASS!$E75:$F75="RES")*1,LIVE!$E75:$F75)+IF(SUMPRODUCT((CLASS!$E75:$F75="GAR")*1)&gt;=2,INPUTS!$B$20,1)*SUMPRODUCT((CLASS!$E75:$F75="GAR")*1,LIVE!$E75:$F75)+SUMPRODUCT((CLASS!$E75:$F75="NR")*1,LIVE!$E75:$F75))</f>
        <v>310.82</v>
      </c>
      <c r="G75" s="10" t="n">
        <f aca="false">INPUTS!$B$13*SUM(DEAD!$E75:$G75)+INPUTS!$B$14*(RED!G75*SUMPRODUCT((CLASS!$E75:$G75="RES")*1,LIVE!$E75:$G75)+IF(SUMPRODUCT((CLASS!$E75:$G75="GAR")*1)&gt;=2,INPUTS!$B$20,1)*SUMPRODUCT((CLASS!$E75:$G75="GAR")*1,LIVE!$E75:$G75)+SUMPRODUCT((CLASS!$E75:$G75="NR")*1,LIVE!$E75:$G75))</f>
        <v>488.443</v>
      </c>
      <c r="H75" s="10" t="n">
        <f aca="false">INPUTS!$B$13*SUM(DEAD!$E75:$H75)+INPUTS!$B$14*(RED!H75*SUMPRODUCT((CLASS!$E75:$H75="RES")*1,LIVE!$E75:$H75)+IF(SUMPRODUCT((CLASS!$E75:$H75="GAR")*1)&gt;=2,INPUTS!$B$20,1)*SUMPRODUCT((CLASS!$E75:$H75="GAR")*1,LIVE!$E75:$H75)+SUMPRODUCT((CLASS!$E75:$H75="NR")*1,LIVE!$E75:$H75))</f>
        <v>607.698</v>
      </c>
      <c r="I75" s="10" t="n">
        <f aca="false">INPUTS!$B$13*SUM(DEAD!$E75:$I75)+INPUTS!$B$14*(RED!I75*SUMPRODUCT((CLASS!$E75:$I75="RES")*1,LIVE!$E75:$I75)+IF(SUMPRODUCT((CLASS!$E75:$I75="GAR")*1)&gt;=2,INPUTS!$B$20,1)*SUMPRODUCT((CLASS!$E75:$I75="GAR")*1,LIVE!$E75:$I75)+SUMPRODUCT((CLASS!$E75:$I75="NR")*1,LIVE!$E75:$I75))</f>
        <v>713.8458</v>
      </c>
      <c r="J75" s="10" t="n">
        <f aca="false">INPUTS!$B$13*SUM(DEAD!$E75:$J75)+INPUTS!$B$14*(RED!J75*SUMPRODUCT((CLASS!$E75:$J75="RES")*1,LIVE!$E75:$J75)+IF(SUMPRODUCT((CLASS!$E75:$J75="GAR")*1)&gt;=2,INPUTS!$B$20,1)*SUMPRODUCT((CLASS!$E75:$J75="GAR")*1,LIVE!$E75:$J75)+SUMPRODUCT((CLASS!$E75:$J75="NR")*1,LIVE!$E75:$J75))</f>
        <v>895.6392</v>
      </c>
      <c r="K75" s="10" t="n">
        <f aca="false">INPUTS!$B$13*SUM(DEAD!$E75:$K75)+INPUTS!$B$14*(RED!K75*SUMPRODUCT((CLASS!$E75:$K75="RES")*1,LIVE!$E75:$K75)+IF(SUMPRODUCT((CLASS!$E75:$K75="GAR")*1)&gt;=2,INPUTS!$B$20,1)*SUMPRODUCT((CLASS!$E75:$K75="GAR")*1,LIVE!$E75:$K75)+SUMPRODUCT((CLASS!$E75:$K75="NR")*1,LIVE!$E75:$K75))</f>
        <v>895.6392</v>
      </c>
      <c r="L75" s="10" t="n">
        <f aca="false">INPUTS!$B$13*SUM(DEAD!$E75:$L75)+INPUTS!$B$14*(RED!L75*SUMPRODUCT((CLASS!$E75:$L75="RES")*1,LIVE!$E75:$L75)+IF(SUMPRODUCT((CLASS!$E75:$L75="GAR")*1)&gt;=2,INPUTS!$B$20,1)*SUMPRODUCT((CLASS!$E75:$L75="GAR")*1,LIVE!$E75:$L75)+SUMPRODUCT((CLASS!$E75:$L75="NR")*1,LIVE!$E75:$L75))</f>
        <v>895.6392</v>
      </c>
      <c r="M75" s="10" t="n">
        <f aca="false">INPUTS!$B$13*SUM(DEAD!$E75:$M75)+INPUTS!$B$14*(RED!M75*SUMPRODUCT((CLASS!$E75:$M75="RES")*1,LIVE!$E75:$M75)+IF(SUMPRODUCT((CLASS!$E75:$M75="GAR")*1)&gt;=2,INPUTS!$B$20,1)*SUMPRODUCT((CLASS!$E75:$M75="GAR")*1,LIVE!$E75:$M75)+SUMPRODUCT((CLASS!$E75:$M75="NR")*1,LIVE!$E75:$M75))</f>
        <v>895.6392</v>
      </c>
      <c r="N75" s="10" t="n">
        <f aca="false">INPUTS!$B$13*SUM(DEAD!$E75:$N75)+INPUTS!$B$14*(RED!N75*SUMPRODUCT((CLASS!$E75:$N75="RES")*1,LIVE!$E75:$N75)+IF(SUMPRODUCT((CLASS!$E75:$N75="GAR")*1)&gt;=2,INPUTS!$B$20,1)*SUMPRODUCT((CLASS!$E75:$N75="GAR")*1,LIVE!$E75:$N75)+SUMPRODUCT((CLASS!$E75:$N75="NR")*1,LIVE!$E75:$N75))</f>
        <v>895.6392</v>
      </c>
      <c r="O75" s="10" t="n">
        <f aca="false">INPUTS!$B$13*SUM(DEAD!$E75:$O75)+INPUTS!$B$14*(RED!O75*SUMPRODUCT((CLASS!$E75:$O75="RES")*1,LIVE!$E75:$O75)+IF(SUMPRODUCT((CLASS!$E75:$O75="GAR")*1)&gt;=2,INPUTS!$B$20,1)*SUMPRODUCT((CLASS!$E75:$O75="GAR")*1,LIVE!$E75:$O75)+SUMPRODUCT((CLASS!$E75:$O75="NR")*1,LIVE!$E75:$O75))</f>
        <v>895.6392</v>
      </c>
      <c r="P75" s="10" t="n">
        <f aca="false">INPUTS!$B$13*SUM(DEAD!$E75:$P75)+INPUTS!$B$14*(RED!P75*SUMPRODUCT((CLASS!$E75:$P75="RES")*1,LIVE!$E75:$P75)+IF(SUMPRODUCT((CLASS!$E75:$P75="GAR")*1)&gt;=2,INPUTS!$B$20,1)*SUMPRODUCT((CLASS!$E75:$P75="GAR")*1,LIVE!$E75:$P75)+SUMPRODUCT((CLASS!$E75:$P75="NR")*1,LIVE!$E75:$P75))</f>
        <v>895.6392</v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10" t="n">
        <f aca="false">INPUTS!$B$13*SUM(DEAD!$E76:$E76)+INPUTS!$B$14*(RED!E76*SUMPRODUCT((CLASS!$E76:$E76="RES")*1,LIVE!$E76:$E76)+IF(SUMPRODUCT((CLASS!$E76:$E76="GAR")*1)&gt;=2,INPUTS!$B$20,1)*SUMPRODUCT((CLASS!$E76:$E76="GAR")*1,LIVE!$E76:$E76)+SUMPRODUCT((CLASS!$E76:$E76="NR")*1,LIVE!$E76:$E76))</f>
        <v>15.741</v>
      </c>
      <c r="F76" s="10" t="n">
        <f aca="false">INPUTS!$B$13*SUM(DEAD!$E76:$F76)+INPUTS!$B$14*(RED!F76*SUMPRODUCT((CLASS!$E76:$F76="RES")*1,LIVE!$E76:$F76)+IF(SUMPRODUCT((CLASS!$E76:$F76="GAR")*1)&gt;=2,INPUTS!$B$20,1)*SUMPRODUCT((CLASS!$E76:$F76="GAR")*1,LIVE!$E76:$F76)+SUMPRODUCT((CLASS!$E76:$F76="NR")*1,LIVE!$E76:$F76))</f>
        <v>36.48</v>
      </c>
      <c r="G76" s="10" t="n">
        <f aca="false">INPUTS!$B$13*SUM(DEAD!$E76:$G76)+INPUTS!$B$14*(RED!G76*SUMPRODUCT((CLASS!$E76:$G76="RES")*1,LIVE!$E76:$G76)+IF(SUMPRODUCT((CLASS!$E76:$G76="GAR")*1)&gt;=2,INPUTS!$B$20,1)*SUMPRODUCT((CLASS!$E76:$G76="GAR")*1,LIVE!$E76:$G76)+SUMPRODUCT((CLASS!$E76:$G76="NR")*1,LIVE!$E76:$G76))</f>
        <v>51.445</v>
      </c>
      <c r="H76" s="10" t="n">
        <f aca="false">INPUTS!$B$13*SUM(DEAD!$E76:$H76)+INPUTS!$B$14*(RED!H76*SUMPRODUCT((CLASS!$E76:$H76="RES")*1,LIVE!$E76:$H76)+IF(SUMPRODUCT((CLASS!$E76:$H76="GAR")*1)&gt;=2,INPUTS!$B$20,1)*SUMPRODUCT((CLASS!$E76:$H76="GAR")*1,LIVE!$E76:$H76)+SUMPRODUCT((CLASS!$E76:$H76="NR")*1,LIVE!$E76:$H76))</f>
        <v>63.56</v>
      </c>
      <c r="I76" s="10" t="n">
        <f aca="false">INPUTS!$B$13*SUM(DEAD!$E76:$I76)+INPUTS!$B$14*(RED!I76*SUMPRODUCT((CLASS!$E76:$I76="RES")*1,LIVE!$E76:$I76)+IF(SUMPRODUCT((CLASS!$E76:$I76="GAR")*1)&gt;=2,INPUTS!$B$20,1)*SUMPRODUCT((CLASS!$E76:$I76="GAR")*1,LIVE!$E76:$I76)+SUMPRODUCT((CLASS!$E76:$I76="NR")*1,LIVE!$E76:$I76))</f>
        <v>75.035</v>
      </c>
      <c r="J76" s="10" t="n">
        <f aca="false">INPUTS!$B$13*SUM(DEAD!$E76:$J76)+INPUTS!$B$14*(RED!J76*SUMPRODUCT((CLASS!$E76:$J76="RES")*1,LIVE!$E76:$J76)+IF(SUMPRODUCT((CLASS!$E76:$J76="GAR")*1)&gt;=2,INPUTS!$B$20,1)*SUMPRODUCT((CLASS!$E76:$J76="GAR")*1,LIVE!$E76:$J76)+SUMPRODUCT((CLASS!$E76:$J76="NR")*1,LIVE!$E76:$J76))</f>
        <v>175.5116</v>
      </c>
      <c r="K76" s="10" t="n">
        <f aca="false">INPUTS!$B$13*SUM(DEAD!$E76:$K76)+INPUTS!$B$14*(RED!K76*SUMPRODUCT((CLASS!$E76:$K76="RES")*1,LIVE!$E76:$K76)+IF(SUMPRODUCT((CLASS!$E76:$K76="GAR")*1)&gt;=2,INPUTS!$B$20,1)*SUMPRODUCT((CLASS!$E76:$K76="GAR")*1,LIVE!$E76:$K76)+SUMPRODUCT((CLASS!$E76:$K76="NR")*1,LIVE!$E76:$K76))</f>
        <v>175.5116</v>
      </c>
      <c r="L76" s="10" t="n">
        <f aca="false">INPUTS!$B$13*SUM(DEAD!$E76:$L76)+INPUTS!$B$14*(RED!L76*SUMPRODUCT((CLASS!$E76:$L76="RES")*1,LIVE!$E76:$L76)+IF(SUMPRODUCT((CLASS!$E76:$L76="GAR")*1)&gt;=2,INPUTS!$B$20,1)*SUMPRODUCT((CLASS!$E76:$L76="GAR")*1,LIVE!$E76:$L76)+SUMPRODUCT((CLASS!$E76:$L76="NR")*1,LIVE!$E76:$L76))</f>
        <v>175.5116</v>
      </c>
      <c r="M76" s="10" t="n">
        <f aca="false">INPUTS!$B$13*SUM(DEAD!$E76:$M76)+INPUTS!$B$14*(RED!M76*SUMPRODUCT((CLASS!$E76:$M76="RES")*1,LIVE!$E76:$M76)+IF(SUMPRODUCT((CLASS!$E76:$M76="GAR")*1)&gt;=2,INPUTS!$B$20,1)*SUMPRODUCT((CLASS!$E76:$M76="GAR")*1,LIVE!$E76:$M76)+SUMPRODUCT((CLASS!$E76:$M76="NR")*1,LIVE!$E76:$M76))</f>
        <v>175.5116</v>
      </c>
      <c r="N76" s="10" t="n">
        <f aca="false">INPUTS!$B$13*SUM(DEAD!$E76:$N76)+INPUTS!$B$14*(RED!N76*SUMPRODUCT((CLASS!$E76:$N76="RES")*1,LIVE!$E76:$N76)+IF(SUMPRODUCT((CLASS!$E76:$N76="GAR")*1)&gt;=2,INPUTS!$B$20,1)*SUMPRODUCT((CLASS!$E76:$N76="GAR")*1,LIVE!$E76:$N76)+SUMPRODUCT((CLASS!$E76:$N76="NR")*1,LIVE!$E76:$N76))</f>
        <v>175.5116</v>
      </c>
      <c r="O76" s="10" t="n">
        <f aca="false">INPUTS!$B$13*SUM(DEAD!$E76:$O76)+INPUTS!$B$14*(RED!O76*SUMPRODUCT((CLASS!$E76:$O76="RES")*1,LIVE!$E76:$O76)+IF(SUMPRODUCT((CLASS!$E76:$O76="GAR")*1)&gt;=2,INPUTS!$B$20,1)*SUMPRODUCT((CLASS!$E76:$O76="GAR")*1,LIVE!$E76:$O76)+SUMPRODUCT((CLASS!$E76:$O76="NR")*1,LIVE!$E76:$O76))</f>
        <v>175.5116</v>
      </c>
      <c r="P76" s="10" t="n">
        <f aca="false">INPUTS!$B$13*SUM(DEAD!$E76:$P76)+INPUTS!$B$14*(RED!P76*SUMPRODUCT((CLASS!$E76:$P76="RES")*1,LIVE!$E76:$P76)+IF(SUMPRODUCT((CLASS!$E76:$P76="GAR")*1)&gt;=2,INPUTS!$B$20,1)*SUMPRODUCT((CLASS!$E76:$P76="GAR")*1,LIVE!$E76:$P76)+SUMPRODUCT((CLASS!$E76:$P76="NR")*1,LIVE!$E76:$P76))</f>
        <v>175.5116</v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10" t="n">
        <f aca="false">INPUTS!$B$13*SUM(DEAD!$E77:$E77)+INPUTS!$B$14*(RED!E77*SUMPRODUCT((CLASS!$E77:$E77="RES")*1,LIVE!$E77:$E77)+IF(SUMPRODUCT((CLASS!$E77:$E77="GAR")*1)&gt;=2,INPUTS!$B$20,1)*SUMPRODUCT((CLASS!$E77:$E77="GAR")*1,LIVE!$E77:$E77)+SUMPRODUCT((CLASS!$E77:$E77="NR")*1,LIVE!$E77:$E77))</f>
        <v>78.219</v>
      </c>
      <c r="F77" s="10" t="n">
        <f aca="false">INPUTS!$B$13*SUM(DEAD!$E77:$F77)+INPUTS!$B$14*(RED!F77*SUMPRODUCT((CLASS!$E77:$F77="RES")*1,LIVE!$E77:$F77)+IF(SUMPRODUCT((CLASS!$E77:$F77="GAR")*1)&gt;=2,INPUTS!$B$20,1)*SUMPRODUCT((CLASS!$E77:$F77="GAR")*1,LIVE!$E77:$F77)+SUMPRODUCT((CLASS!$E77:$F77="NR")*1,LIVE!$E77:$F77))</f>
        <v>194.4</v>
      </c>
      <c r="G77" s="10" t="n">
        <f aca="false">INPUTS!$B$13*SUM(DEAD!$E77:$G77)+INPUTS!$B$14*(RED!G77*SUMPRODUCT((CLASS!$E77:$G77="RES")*1,LIVE!$E77:$G77)+IF(SUMPRODUCT((CLASS!$E77:$G77="GAR")*1)&gt;=2,INPUTS!$B$20,1)*SUMPRODUCT((CLASS!$E77:$G77="GAR")*1,LIVE!$E77:$G77)+SUMPRODUCT((CLASS!$E77:$G77="NR")*1,LIVE!$E77:$G77))</f>
        <v>288.423</v>
      </c>
      <c r="H77" s="10" t="n">
        <f aca="false">INPUTS!$B$13*SUM(DEAD!$E77:$H77)+INPUTS!$B$14*(RED!H77*SUMPRODUCT((CLASS!$E77:$H77="RES")*1,LIVE!$E77:$H77)+IF(SUMPRODUCT((CLASS!$E77:$H77="GAR")*1)&gt;=2,INPUTS!$B$20,1)*SUMPRODUCT((CLASS!$E77:$H77="GAR")*1,LIVE!$E77:$H77)+SUMPRODUCT((CLASS!$E77:$H77="NR")*1,LIVE!$E77:$H77))</f>
        <v>374.878</v>
      </c>
      <c r="I77" s="10" t="n">
        <f aca="false">INPUTS!$B$13*SUM(DEAD!$E77:$I77)+INPUTS!$B$14*(RED!I77*SUMPRODUCT((CLASS!$E77:$I77="RES")*1,LIVE!$E77:$I77)+IF(SUMPRODUCT((CLASS!$E77:$I77="GAR")*1)&gt;=2,INPUTS!$B$20,1)*SUMPRODUCT((CLASS!$E77:$I77="GAR")*1,LIVE!$E77:$I77)+SUMPRODUCT((CLASS!$E77:$I77="NR")*1,LIVE!$E77:$I77))</f>
        <v>452.3986</v>
      </c>
      <c r="J77" s="10" t="n">
        <f aca="false">INPUTS!$B$13*SUM(DEAD!$E77:$J77)+INPUTS!$B$14*(RED!J77*SUMPRODUCT((CLASS!$E77:$J77="RES")*1,LIVE!$E77:$J77)+IF(SUMPRODUCT((CLASS!$E77:$J77="GAR")*1)&gt;=2,INPUTS!$B$20,1)*SUMPRODUCT((CLASS!$E77:$J77="GAR")*1,LIVE!$E77:$J77)+SUMPRODUCT((CLASS!$E77:$J77="NR")*1,LIVE!$E77:$J77))</f>
        <v>534.3592</v>
      </c>
      <c r="K77" s="10" t="n">
        <f aca="false">INPUTS!$B$13*SUM(DEAD!$E77:$K77)+INPUTS!$B$14*(RED!K77*SUMPRODUCT((CLASS!$E77:$K77="RES")*1,LIVE!$E77:$K77)+IF(SUMPRODUCT((CLASS!$E77:$K77="GAR")*1)&gt;=2,INPUTS!$B$20,1)*SUMPRODUCT((CLASS!$E77:$K77="GAR")*1,LIVE!$E77:$K77)+SUMPRODUCT((CLASS!$E77:$K77="NR")*1,LIVE!$E77:$K77))</f>
        <v>534.3592</v>
      </c>
      <c r="L77" s="10" t="n">
        <f aca="false">INPUTS!$B$13*SUM(DEAD!$E77:$L77)+INPUTS!$B$14*(RED!L77*SUMPRODUCT((CLASS!$E77:$L77="RES")*1,LIVE!$E77:$L77)+IF(SUMPRODUCT((CLASS!$E77:$L77="GAR")*1)&gt;=2,INPUTS!$B$20,1)*SUMPRODUCT((CLASS!$E77:$L77="GAR")*1,LIVE!$E77:$L77)+SUMPRODUCT((CLASS!$E77:$L77="NR")*1,LIVE!$E77:$L77))</f>
        <v>534.3592</v>
      </c>
      <c r="M77" s="10" t="n">
        <f aca="false">INPUTS!$B$13*SUM(DEAD!$E77:$M77)+INPUTS!$B$14*(RED!M77*SUMPRODUCT((CLASS!$E77:$M77="RES")*1,LIVE!$E77:$M77)+IF(SUMPRODUCT((CLASS!$E77:$M77="GAR")*1)&gt;=2,INPUTS!$B$20,1)*SUMPRODUCT((CLASS!$E77:$M77="GAR")*1,LIVE!$E77:$M77)+SUMPRODUCT((CLASS!$E77:$M77="NR")*1,LIVE!$E77:$M77))</f>
        <v>534.3592</v>
      </c>
      <c r="N77" s="10" t="n">
        <f aca="false">INPUTS!$B$13*SUM(DEAD!$E77:$N77)+INPUTS!$B$14*(RED!N77*SUMPRODUCT((CLASS!$E77:$N77="RES")*1,LIVE!$E77:$N77)+IF(SUMPRODUCT((CLASS!$E77:$N77="GAR")*1)&gt;=2,INPUTS!$B$20,1)*SUMPRODUCT((CLASS!$E77:$N77="GAR")*1,LIVE!$E77:$N77)+SUMPRODUCT((CLASS!$E77:$N77="NR")*1,LIVE!$E77:$N77))</f>
        <v>534.3592</v>
      </c>
      <c r="O77" s="10" t="n">
        <f aca="false">INPUTS!$B$13*SUM(DEAD!$E77:$O77)+INPUTS!$B$14*(RED!O77*SUMPRODUCT((CLASS!$E77:$O77="RES")*1,LIVE!$E77:$O77)+IF(SUMPRODUCT((CLASS!$E77:$O77="GAR")*1)&gt;=2,INPUTS!$B$20,1)*SUMPRODUCT((CLASS!$E77:$O77="GAR")*1,LIVE!$E77:$O77)+SUMPRODUCT((CLASS!$E77:$O77="NR")*1,LIVE!$E77:$O77))</f>
        <v>534.3592</v>
      </c>
      <c r="P77" s="10" t="n">
        <f aca="false">INPUTS!$B$13*SUM(DEAD!$E77:$P77)+INPUTS!$B$14*(RED!P77*SUMPRODUCT((CLASS!$E77:$P77="RES")*1,LIVE!$E77:$P77)+IF(SUMPRODUCT((CLASS!$E77:$P77="GAR")*1)&gt;=2,INPUTS!$B$20,1)*SUMPRODUCT((CLASS!$E77:$P77="GAR")*1,LIVE!$E77:$P77)+SUMPRODUCT((CLASS!$E77:$P77="NR")*1,LIVE!$E77:$P77))</f>
        <v>534.3592</v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10" t="n">
        <f aca="false">INPUTS!$B$13*SUM(DEAD!$E78:$E78)+INPUTS!$B$14*(RED!E78*SUMPRODUCT((CLASS!$E78:$E78="RES")*1,LIVE!$E78:$E78)+IF(SUMPRODUCT((CLASS!$E78:$E78="GAR")*1)&gt;=2,INPUTS!$B$20,1)*SUMPRODUCT((CLASS!$E78:$E78="GAR")*1,LIVE!$E78:$E78)+SUMPRODUCT((CLASS!$E78:$E78="NR")*1,LIVE!$E78:$E78))</f>
        <v>153.801</v>
      </c>
      <c r="F78" s="10" t="n">
        <f aca="false">INPUTS!$B$13*SUM(DEAD!$E78:$F78)+INPUTS!$B$14*(RED!F78*SUMPRODUCT((CLASS!$E78:$F78="RES")*1,LIVE!$E78:$F78)+IF(SUMPRODUCT((CLASS!$E78:$F78="GAR")*1)&gt;=2,INPUTS!$B$20,1)*SUMPRODUCT((CLASS!$E78:$F78="GAR")*1,LIVE!$E78:$F78)+SUMPRODUCT((CLASS!$E78:$F78="NR")*1,LIVE!$E78:$F78))</f>
        <v>378.68</v>
      </c>
      <c r="G78" s="10" t="n">
        <f aca="false">INPUTS!$B$13*SUM(DEAD!$E78:$G78)+INPUTS!$B$14*(RED!G78*SUMPRODUCT((CLASS!$E78:$G78="RES")*1,LIVE!$E78:$G78)+IF(SUMPRODUCT((CLASS!$E78:$G78="GAR")*1)&gt;=2,INPUTS!$B$20,1)*SUMPRODUCT((CLASS!$E78:$G78="GAR")*1,LIVE!$E78:$G78)+SUMPRODUCT((CLASS!$E78:$G78="NR")*1,LIVE!$E78:$G78))</f>
        <v>567.325</v>
      </c>
      <c r="H78" s="10" t="n">
        <f aca="false">INPUTS!$B$13*SUM(DEAD!$E78:$H78)+INPUTS!$B$14*(RED!H78*SUMPRODUCT((CLASS!$E78:$H78="RES")*1,LIVE!$E78:$H78)+IF(SUMPRODUCT((CLASS!$E78:$H78="GAR")*1)&gt;=2,INPUTS!$B$20,1)*SUMPRODUCT((CLASS!$E78:$H78="GAR")*1,LIVE!$E78:$H78)+SUMPRODUCT((CLASS!$E78:$H78="NR")*1,LIVE!$E78:$H78))</f>
        <v>693.84</v>
      </c>
      <c r="I78" s="10" t="n">
        <f aca="false">INPUTS!$B$13*SUM(DEAD!$E78:$I78)+INPUTS!$B$14*(RED!I78*SUMPRODUCT((CLASS!$E78:$I78="RES")*1,LIVE!$E78:$I78)+IF(SUMPRODUCT((CLASS!$E78:$I78="GAR")*1)&gt;=2,INPUTS!$B$20,1)*SUMPRODUCT((CLASS!$E78:$I78="GAR")*1,LIVE!$E78:$I78)+SUMPRODUCT((CLASS!$E78:$I78="NR")*1,LIVE!$E78:$I78))</f>
        <v>806.403</v>
      </c>
      <c r="J78" s="10" t="n">
        <f aca="false">INPUTS!$B$13*SUM(DEAD!$E78:$J78)+INPUTS!$B$14*(RED!J78*SUMPRODUCT((CLASS!$E78:$J78="RES")*1,LIVE!$E78:$J78)+IF(SUMPRODUCT((CLASS!$E78:$J78="GAR")*1)&gt;=2,INPUTS!$B$20,1)*SUMPRODUCT((CLASS!$E78:$J78="GAR")*1,LIVE!$E78:$J78)+SUMPRODUCT((CLASS!$E78:$J78="NR")*1,LIVE!$E78:$J78))</f>
        <v>924.6988</v>
      </c>
      <c r="K78" s="10" t="n">
        <f aca="false">INPUTS!$B$13*SUM(DEAD!$E78:$K78)+INPUTS!$B$14*(RED!K78*SUMPRODUCT((CLASS!$E78:$K78="RES")*1,LIVE!$E78:$K78)+IF(SUMPRODUCT((CLASS!$E78:$K78="GAR")*1)&gt;=2,INPUTS!$B$20,1)*SUMPRODUCT((CLASS!$E78:$K78="GAR")*1,LIVE!$E78:$K78)+SUMPRODUCT((CLASS!$E78:$K78="NR")*1,LIVE!$E78:$K78))</f>
        <v>924.6988</v>
      </c>
      <c r="L78" s="10" t="n">
        <f aca="false">INPUTS!$B$13*SUM(DEAD!$E78:$L78)+INPUTS!$B$14*(RED!L78*SUMPRODUCT((CLASS!$E78:$L78="RES")*1,LIVE!$E78:$L78)+IF(SUMPRODUCT((CLASS!$E78:$L78="GAR")*1)&gt;=2,INPUTS!$B$20,1)*SUMPRODUCT((CLASS!$E78:$L78="GAR")*1,LIVE!$E78:$L78)+SUMPRODUCT((CLASS!$E78:$L78="NR")*1,LIVE!$E78:$L78))</f>
        <v>924.6988</v>
      </c>
      <c r="M78" s="10" t="n">
        <f aca="false">INPUTS!$B$13*SUM(DEAD!$E78:$M78)+INPUTS!$B$14*(RED!M78*SUMPRODUCT((CLASS!$E78:$M78="RES")*1,LIVE!$E78:$M78)+IF(SUMPRODUCT((CLASS!$E78:$M78="GAR")*1)&gt;=2,INPUTS!$B$20,1)*SUMPRODUCT((CLASS!$E78:$M78="GAR")*1,LIVE!$E78:$M78)+SUMPRODUCT((CLASS!$E78:$M78="NR")*1,LIVE!$E78:$M78))</f>
        <v>924.6988</v>
      </c>
      <c r="N78" s="10" t="n">
        <f aca="false">INPUTS!$B$13*SUM(DEAD!$E78:$N78)+INPUTS!$B$14*(RED!N78*SUMPRODUCT((CLASS!$E78:$N78="RES")*1,LIVE!$E78:$N78)+IF(SUMPRODUCT((CLASS!$E78:$N78="GAR")*1)&gt;=2,INPUTS!$B$20,1)*SUMPRODUCT((CLASS!$E78:$N78="GAR")*1,LIVE!$E78:$N78)+SUMPRODUCT((CLASS!$E78:$N78="NR")*1,LIVE!$E78:$N78))</f>
        <v>924.6988</v>
      </c>
      <c r="O78" s="10" t="n">
        <f aca="false">INPUTS!$B$13*SUM(DEAD!$E78:$O78)+INPUTS!$B$14*(RED!O78*SUMPRODUCT((CLASS!$E78:$O78="RES")*1,LIVE!$E78:$O78)+IF(SUMPRODUCT((CLASS!$E78:$O78="GAR")*1)&gt;=2,INPUTS!$B$20,1)*SUMPRODUCT((CLASS!$E78:$O78="GAR")*1,LIVE!$E78:$O78)+SUMPRODUCT((CLASS!$E78:$O78="NR")*1,LIVE!$E78:$O78))</f>
        <v>924.6988</v>
      </c>
      <c r="P78" s="10" t="n">
        <f aca="false">INPUTS!$B$13*SUM(DEAD!$E78:$P78)+INPUTS!$B$14*(RED!P78*SUMPRODUCT((CLASS!$E78:$P78="RES")*1,LIVE!$E78:$P78)+IF(SUMPRODUCT((CLASS!$E78:$P78="GAR")*1)&gt;=2,INPUTS!$B$20,1)*SUMPRODUCT((CLASS!$E78:$P78="GAR")*1,LIVE!$E78:$P78)+SUMPRODUCT((CLASS!$E78:$P78="NR")*1,LIVE!$E78:$P78))</f>
        <v>924.6988</v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10" t="n">
        <f aca="false">INPUTS!$B$13*SUM(DEAD!$E79:$E79)+INPUTS!$B$14*(RED!E79*SUMPRODUCT((CLASS!$E79:$E79="RES")*1,LIVE!$E79:$E79)+IF(SUMPRODUCT((CLASS!$E79:$E79="GAR")*1)&gt;=2,INPUTS!$B$20,1)*SUMPRODUCT((CLASS!$E79:$E79="GAR")*1,LIVE!$E79:$E79)+SUMPRODUCT((CLASS!$E79:$E79="NR")*1,LIVE!$E79:$E79))</f>
        <v>125.019</v>
      </c>
      <c r="F79" s="10" t="n">
        <f aca="false">INPUTS!$B$13*SUM(DEAD!$E79:$F79)+INPUTS!$B$14*(RED!F79*SUMPRODUCT((CLASS!$E79:$F79="RES")*1,LIVE!$E79:$F79)+IF(SUMPRODUCT((CLASS!$E79:$F79="GAR")*1)&gt;=2,INPUTS!$B$20,1)*SUMPRODUCT((CLASS!$E79:$F79="GAR")*1,LIVE!$E79:$F79)+SUMPRODUCT((CLASS!$E79:$F79="NR")*1,LIVE!$E79:$F79))</f>
        <v>307.34</v>
      </c>
      <c r="G79" s="10" t="n">
        <f aca="false">INPUTS!$B$13*SUM(DEAD!$E79:$G79)+INPUTS!$B$14*(RED!G79*SUMPRODUCT((CLASS!$E79:$G79="RES")*1,LIVE!$E79:$G79)+IF(SUMPRODUCT((CLASS!$E79:$G79="GAR")*1)&gt;=2,INPUTS!$B$20,1)*SUMPRODUCT((CLASS!$E79:$G79="GAR")*1,LIVE!$E79:$G79)+SUMPRODUCT((CLASS!$E79:$G79="NR")*1,LIVE!$E79:$G79))</f>
        <v>484.629</v>
      </c>
      <c r="H79" s="10" t="n">
        <f aca="false">INPUTS!$B$13*SUM(DEAD!$E79:$H79)+INPUTS!$B$14*(RED!H79*SUMPRODUCT((CLASS!$E79:$H79="RES")*1,LIVE!$E79:$H79)+IF(SUMPRODUCT((CLASS!$E79:$H79="GAR")*1)&gt;=2,INPUTS!$B$20,1)*SUMPRODUCT((CLASS!$E79:$H79="GAR")*1,LIVE!$E79:$H79)+SUMPRODUCT((CLASS!$E79:$H79="NR")*1,LIVE!$E79:$H79))</f>
        <v>603.664</v>
      </c>
      <c r="I79" s="10" t="n">
        <f aca="false">INPUTS!$B$13*SUM(DEAD!$E79:$I79)+INPUTS!$B$14*(RED!I79*SUMPRODUCT((CLASS!$E79:$I79="RES")*1,LIVE!$E79:$I79)+IF(SUMPRODUCT((CLASS!$E79:$I79="GAR")*1)&gt;=2,INPUTS!$B$20,1)*SUMPRODUCT((CLASS!$E79:$I79="GAR")*1,LIVE!$E79:$I79)+SUMPRODUCT((CLASS!$E79:$I79="NR")*1,LIVE!$E79:$I79))</f>
        <v>709.6174</v>
      </c>
      <c r="J79" s="10" t="n">
        <f aca="false">INPUTS!$B$13*SUM(DEAD!$E79:$J79)+INPUTS!$B$14*(RED!J79*SUMPRODUCT((CLASS!$E79:$J79="RES")*1,LIVE!$E79:$J79)+IF(SUMPRODUCT((CLASS!$E79:$J79="GAR")*1)&gt;=2,INPUTS!$B$20,1)*SUMPRODUCT((CLASS!$E79:$J79="GAR")*1,LIVE!$E79:$J79)+SUMPRODUCT((CLASS!$E79:$J79="NR")*1,LIVE!$E79:$J79))</f>
        <v>831.85</v>
      </c>
      <c r="K79" s="10" t="n">
        <f aca="false">INPUTS!$B$13*SUM(DEAD!$E79:$K79)+INPUTS!$B$14*(RED!K79*SUMPRODUCT((CLASS!$E79:$K79="RES")*1,LIVE!$E79:$K79)+IF(SUMPRODUCT((CLASS!$E79:$K79="GAR")*1)&gt;=2,INPUTS!$B$20,1)*SUMPRODUCT((CLASS!$E79:$K79="GAR")*1,LIVE!$E79:$K79)+SUMPRODUCT((CLASS!$E79:$K79="NR")*1,LIVE!$E79:$K79))</f>
        <v>831.85</v>
      </c>
      <c r="L79" s="10" t="n">
        <f aca="false">INPUTS!$B$13*SUM(DEAD!$E79:$L79)+INPUTS!$B$14*(RED!L79*SUMPRODUCT((CLASS!$E79:$L79="RES")*1,LIVE!$E79:$L79)+IF(SUMPRODUCT((CLASS!$E79:$L79="GAR")*1)&gt;=2,INPUTS!$B$20,1)*SUMPRODUCT((CLASS!$E79:$L79="GAR")*1,LIVE!$E79:$L79)+SUMPRODUCT((CLASS!$E79:$L79="NR")*1,LIVE!$E79:$L79))</f>
        <v>831.85</v>
      </c>
      <c r="M79" s="10" t="n">
        <f aca="false">INPUTS!$B$13*SUM(DEAD!$E79:$M79)+INPUTS!$B$14*(RED!M79*SUMPRODUCT((CLASS!$E79:$M79="RES")*1,LIVE!$E79:$M79)+IF(SUMPRODUCT((CLASS!$E79:$M79="GAR")*1)&gt;=2,INPUTS!$B$20,1)*SUMPRODUCT((CLASS!$E79:$M79="GAR")*1,LIVE!$E79:$M79)+SUMPRODUCT((CLASS!$E79:$M79="NR")*1,LIVE!$E79:$M79))</f>
        <v>831.85</v>
      </c>
      <c r="N79" s="10" t="n">
        <f aca="false">INPUTS!$B$13*SUM(DEAD!$E79:$N79)+INPUTS!$B$14*(RED!N79*SUMPRODUCT((CLASS!$E79:$N79="RES")*1,LIVE!$E79:$N79)+IF(SUMPRODUCT((CLASS!$E79:$N79="GAR")*1)&gt;=2,INPUTS!$B$20,1)*SUMPRODUCT((CLASS!$E79:$N79="GAR")*1,LIVE!$E79:$N79)+SUMPRODUCT((CLASS!$E79:$N79="NR")*1,LIVE!$E79:$N79))</f>
        <v>831.85</v>
      </c>
      <c r="O79" s="10" t="n">
        <f aca="false">INPUTS!$B$13*SUM(DEAD!$E79:$O79)+INPUTS!$B$14*(RED!O79*SUMPRODUCT((CLASS!$E79:$O79="RES")*1,LIVE!$E79:$O79)+IF(SUMPRODUCT((CLASS!$E79:$O79="GAR")*1)&gt;=2,INPUTS!$B$20,1)*SUMPRODUCT((CLASS!$E79:$O79="GAR")*1,LIVE!$E79:$O79)+SUMPRODUCT((CLASS!$E79:$O79="NR")*1,LIVE!$E79:$O79))</f>
        <v>831.85</v>
      </c>
      <c r="P79" s="10" t="n">
        <f aca="false">INPUTS!$B$13*SUM(DEAD!$E79:$P79)+INPUTS!$B$14*(RED!P79*SUMPRODUCT((CLASS!$E79:$P79="RES")*1,LIVE!$E79:$P79)+IF(SUMPRODUCT((CLASS!$E79:$P79="GAR")*1)&gt;=2,INPUTS!$B$20,1)*SUMPRODUCT((CLASS!$E79:$P79="GAR")*1,LIVE!$E79:$P79)+SUMPRODUCT((CLASS!$E79:$P79="NR")*1,LIVE!$E79:$P79))</f>
        <v>831.85</v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10" t="n">
        <f aca="false">INPUTS!$B$13*SUM(DEAD!$E80:$E80)+INPUTS!$B$14*(RED!E80*SUMPRODUCT((CLASS!$E80:$E80="RES")*1,LIVE!$E80:$E80)+IF(SUMPRODUCT((CLASS!$E80:$E80="GAR")*1)&gt;=2,INPUTS!$B$20,1)*SUMPRODUCT((CLASS!$E80:$E80="GAR")*1,LIVE!$E80:$E80)+SUMPRODUCT((CLASS!$E80:$E80="NR")*1,LIVE!$E80:$E80))</f>
        <v>131.103</v>
      </c>
      <c r="F80" s="10" t="n">
        <f aca="false">INPUTS!$B$13*SUM(DEAD!$E80:$F80)+INPUTS!$B$14*(RED!F80*SUMPRODUCT((CLASS!$E80:$F80="RES")*1,LIVE!$E80:$F80)+IF(SUMPRODUCT((CLASS!$E80:$F80="GAR")*1)&gt;=2,INPUTS!$B$20,1)*SUMPRODUCT((CLASS!$E80:$F80="GAR")*1,LIVE!$E80:$F80)+SUMPRODUCT((CLASS!$E80:$F80="NR")*1,LIVE!$E80:$F80))</f>
        <v>322.42</v>
      </c>
      <c r="G80" s="10" t="n">
        <f aca="false">INPUTS!$B$13*SUM(DEAD!$E80:$G80)+INPUTS!$B$14*(RED!G80*SUMPRODUCT((CLASS!$E80:$G80="RES")*1,LIVE!$E80:$G80)+IF(SUMPRODUCT((CLASS!$E80:$G80="GAR")*1)&gt;=2,INPUTS!$B$20,1)*SUMPRODUCT((CLASS!$E80:$G80="GAR")*1,LIVE!$E80:$G80)+SUMPRODUCT((CLASS!$E80:$G80="NR")*1,LIVE!$E80:$G80))</f>
        <v>506.723</v>
      </c>
      <c r="H80" s="10" t="n">
        <f aca="false">INPUTS!$B$13*SUM(DEAD!$E80:$H80)+INPUTS!$B$14*(RED!H80*SUMPRODUCT((CLASS!$E80:$H80="RES")*1,LIVE!$E80:$H80)+IF(SUMPRODUCT((CLASS!$E80:$H80="GAR")*1)&gt;=2,INPUTS!$B$20,1)*SUMPRODUCT((CLASS!$E80:$H80="GAR")*1,LIVE!$E80:$H80)+SUMPRODUCT((CLASS!$E80:$H80="NR")*1,LIVE!$E80:$H80))</f>
        <v>630.378</v>
      </c>
      <c r="I80" s="10" t="n">
        <f aca="false">INPUTS!$B$13*SUM(DEAD!$E80:$I80)+INPUTS!$B$14*(RED!I80*SUMPRODUCT((CLASS!$E80:$I80="RES")*1,LIVE!$E80:$I80)+IF(SUMPRODUCT((CLASS!$E80:$I80="GAR")*1)&gt;=2,INPUTS!$B$20,1)*SUMPRODUCT((CLASS!$E80:$I80="GAR")*1,LIVE!$E80:$I80)+SUMPRODUCT((CLASS!$E80:$I80="NR")*1,LIVE!$E80:$I80))</f>
        <v>740.4138</v>
      </c>
      <c r="J80" s="10" t="n">
        <f aca="false">INPUTS!$B$13*SUM(DEAD!$E80:$J80)+INPUTS!$B$14*(RED!J80*SUMPRODUCT((CLASS!$E80:$J80="RES")*1,LIVE!$E80:$J80)+IF(SUMPRODUCT((CLASS!$E80:$J80="GAR")*1)&gt;=2,INPUTS!$B$20,1)*SUMPRODUCT((CLASS!$E80:$J80="GAR")*1,LIVE!$E80:$J80)+SUMPRODUCT((CLASS!$E80:$J80="NR")*1,LIVE!$E80:$J80))</f>
        <v>868.6552</v>
      </c>
      <c r="K80" s="10" t="n">
        <f aca="false">INPUTS!$B$13*SUM(DEAD!$E80:$K80)+INPUTS!$B$14*(RED!K80*SUMPRODUCT((CLASS!$E80:$K80="RES")*1,LIVE!$E80:$K80)+IF(SUMPRODUCT((CLASS!$E80:$K80="GAR")*1)&gt;=2,INPUTS!$B$20,1)*SUMPRODUCT((CLASS!$E80:$K80="GAR")*1,LIVE!$E80:$K80)+SUMPRODUCT((CLASS!$E80:$K80="NR")*1,LIVE!$E80:$K80))</f>
        <v>868.6552</v>
      </c>
      <c r="L80" s="10" t="n">
        <f aca="false">INPUTS!$B$13*SUM(DEAD!$E80:$L80)+INPUTS!$B$14*(RED!L80*SUMPRODUCT((CLASS!$E80:$L80="RES")*1,LIVE!$E80:$L80)+IF(SUMPRODUCT((CLASS!$E80:$L80="GAR")*1)&gt;=2,INPUTS!$B$20,1)*SUMPRODUCT((CLASS!$E80:$L80="GAR")*1,LIVE!$E80:$L80)+SUMPRODUCT((CLASS!$E80:$L80="NR")*1,LIVE!$E80:$L80))</f>
        <v>868.6552</v>
      </c>
      <c r="M80" s="10" t="n">
        <f aca="false">INPUTS!$B$13*SUM(DEAD!$E80:$M80)+INPUTS!$B$14*(RED!M80*SUMPRODUCT((CLASS!$E80:$M80="RES")*1,LIVE!$E80:$M80)+IF(SUMPRODUCT((CLASS!$E80:$M80="GAR")*1)&gt;=2,INPUTS!$B$20,1)*SUMPRODUCT((CLASS!$E80:$M80="GAR")*1,LIVE!$E80:$M80)+SUMPRODUCT((CLASS!$E80:$M80="NR")*1,LIVE!$E80:$M80))</f>
        <v>868.6552</v>
      </c>
      <c r="N80" s="10" t="n">
        <f aca="false">INPUTS!$B$13*SUM(DEAD!$E80:$N80)+INPUTS!$B$14*(RED!N80*SUMPRODUCT((CLASS!$E80:$N80="RES")*1,LIVE!$E80:$N80)+IF(SUMPRODUCT((CLASS!$E80:$N80="GAR")*1)&gt;=2,INPUTS!$B$20,1)*SUMPRODUCT((CLASS!$E80:$N80="GAR")*1,LIVE!$E80:$N80)+SUMPRODUCT((CLASS!$E80:$N80="NR")*1,LIVE!$E80:$N80))</f>
        <v>868.6552</v>
      </c>
      <c r="O80" s="10" t="n">
        <f aca="false">INPUTS!$B$13*SUM(DEAD!$E80:$O80)+INPUTS!$B$14*(RED!O80*SUMPRODUCT((CLASS!$E80:$O80="RES")*1,LIVE!$E80:$O80)+IF(SUMPRODUCT((CLASS!$E80:$O80="GAR")*1)&gt;=2,INPUTS!$B$20,1)*SUMPRODUCT((CLASS!$E80:$O80="GAR")*1,LIVE!$E80:$O80)+SUMPRODUCT((CLASS!$E80:$O80="NR")*1,LIVE!$E80:$O80))</f>
        <v>868.6552</v>
      </c>
      <c r="P80" s="10" t="n">
        <f aca="false">INPUTS!$B$13*SUM(DEAD!$E80:$P80)+INPUTS!$B$14*(RED!P80*SUMPRODUCT((CLASS!$E80:$P80="RES")*1,LIVE!$E80:$P80)+IF(SUMPRODUCT((CLASS!$E80:$P80="GAR")*1)&gt;=2,INPUTS!$B$20,1)*SUMPRODUCT((CLASS!$E80:$P80="GAR")*1,LIVE!$E80:$P80)+SUMPRODUCT((CLASS!$E80:$P80="NR")*1,LIVE!$E80:$P80))</f>
        <v>868.6552</v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10" t="n">
        <f aca="false">INPUTS!$B$13*SUM(DEAD!$E81:$E81)+INPUTS!$B$14*(RED!E81*SUMPRODUCT((CLASS!$E81:$E81="RES")*1,LIVE!$E81:$E81)+IF(SUMPRODUCT((CLASS!$E81:$E81="GAR")*1)&gt;=2,INPUTS!$B$20,1)*SUMPRODUCT((CLASS!$E81:$E81="GAR")*1,LIVE!$E81:$E81)+SUMPRODUCT((CLASS!$E81:$E81="NR")*1,LIVE!$E81:$E81))</f>
        <v>131.103</v>
      </c>
      <c r="F81" s="10" t="n">
        <f aca="false">INPUTS!$B$13*SUM(DEAD!$E81:$F81)+INPUTS!$B$14*(RED!F81*SUMPRODUCT((CLASS!$E81:$F81="RES")*1,LIVE!$E81:$F81)+IF(SUMPRODUCT((CLASS!$E81:$F81="GAR")*1)&gt;=2,INPUTS!$B$20,1)*SUMPRODUCT((CLASS!$E81:$F81="GAR")*1,LIVE!$E81:$F81)+SUMPRODUCT((CLASS!$E81:$F81="NR")*1,LIVE!$E81:$F81))</f>
        <v>322.42</v>
      </c>
      <c r="G81" s="10" t="n">
        <f aca="false">INPUTS!$B$13*SUM(DEAD!$E81:$G81)+INPUTS!$B$14*(RED!G81*SUMPRODUCT((CLASS!$E81:$G81="RES")*1,LIVE!$E81:$G81)+IF(SUMPRODUCT((CLASS!$E81:$G81="GAR")*1)&gt;=2,INPUTS!$B$20,1)*SUMPRODUCT((CLASS!$E81:$G81="GAR")*1,LIVE!$E81:$G81)+SUMPRODUCT((CLASS!$E81:$G81="NR")*1,LIVE!$E81:$G81))</f>
        <v>506.723</v>
      </c>
      <c r="H81" s="10" t="n">
        <f aca="false">INPUTS!$B$13*SUM(DEAD!$E81:$H81)+INPUTS!$B$14*(RED!H81*SUMPRODUCT((CLASS!$E81:$H81="RES")*1,LIVE!$E81:$H81)+IF(SUMPRODUCT((CLASS!$E81:$H81="GAR")*1)&gt;=2,INPUTS!$B$20,1)*SUMPRODUCT((CLASS!$E81:$H81="GAR")*1,LIVE!$E81:$H81)+SUMPRODUCT((CLASS!$E81:$H81="NR")*1,LIVE!$E81:$H81))</f>
        <v>630.378</v>
      </c>
      <c r="I81" s="10" t="n">
        <f aca="false">INPUTS!$B$13*SUM(DEAD!$E81:$I81)+INPUTS!$B$14*(RED!I81*SUMPRODUCT((CLASS!$E81:$I81="RES")*1,LIVE!$E81:$I81)+IF(SUMPRODUCT((CLASS!$E81:$I81="GAR")*1)&gt;=2,INPUTS!$B$20,1)*SUMPRODUCT((CLASS!$E81:$I81="GAR")*1,LIVE!$E81:$I81)+SUMPRODUCT((CLASS!$E81:$I81="NR")*1,LIVE!$E81:$I81))</f>
        <v>740.4138</v>
      </c>
      <c r="J81" s="10" t="n">
        <f aca="false">INPUTS!$B$13*SUM(DEAD!$E81:$J81)+INPUTS!$B$14*(RED!J81*SUMPRODUCT((CLASS!$E81:$J81="RES")*1,LIVE!$E81:$J81)+IF(SUMPRODUCT((CLASS!$E81:$J81="GAR")*1)&gt;=2,INPUTS!$B$20,1)*SUMPRODUCT((CLASS!$E81:$J81="GAR")*1,LIVE!$E81:$J81)+SUMPRODUCT((CLASS!$E81:$J81="NR")*1,LIVE!$E81:$J81))</f>
        <v>922</v>
      </c>
      <c r="K81" s="10" t="n">
        <f aca="false">INPUTS!$B$13*SUM(DEAD!$E81:$K81)+INPUTS!$B$14*(RED!K81*SUMPRODUCT((CLASS!$E81:$K81="RES")*1,LIVE!$E81:$K81)+IF(SUMPRODUCT((CLASS!$E81:$K81="GAR")*1)&gt;=2,INPUTS!$B$20,1)*SUMPRODUCT((CLASS!$E81:$K81="GAR")*1,LIVE!$E81:$K81)+SUMPRODUCT((CLASS!$E81:$K81="NR")*1,LIVE!$E81:$K81))</f>
        <v>922</v>
      </c>
      <c r="L81" s="10" t="n">
        <f aca="false">INPUTS!$B$13*SUM(DEAD!$E81:$L81)+INPUTS!$B$14*(RED!L81*SUMPRODUCT((CLASS!$E81:$L81="RES")*1,LIVE!$E81:$L81)+IF(SUMPRODUCT((CLASS!$E81:$L81="GAR")*1)&gt;=2,INPUTS!$B$20,1)*SUMPRODUCT((CLASS!$E81:$L81="GAR")*1,LIVE!$E81:$L81)+SUMPRODUCT((CLASS!$E81:$L81="NR")*1,LIVE!$E81:$L81))</f>
        <v>922</v>
      </c>
      <c r="M81" s="10" t="n">
        <f aca="false">INPUTS!$B$13*SUM(DEAD!$E81:$M81)+INPUTS!$B$14*(RED!M81*SUMPRODUCT((CLASS!$E81:$M81="RES")*1,LIVE!$E81:$M81)+IF(SUMPRODUCT((CLASS!$E81:$M81="GAR")*1)&gt;=2,INPUTS!$B$20,1)*SUMPRODUCT((CLASS!$E81:$M81="GAR")*1,LIVE!$E81:$M81)+SUMPRODUCT((CLASS!$E81:$M81="NR")*1,LIVE!$E81:$M81))</f>
        <v>922</v>
      </c>
      <c r="N81" s="10" t="n">
        <f aca="false">INPUTS!$B$13*SUM(DEAD!$E81:$N81)+INPUTS!$B$14*(RED!N81*SUMPRODUCT((CLASS!$E81:$N81="RES")*1,LIVE!$E81:$N81)+IF(SUMPRODUCT((CLASS!$E81:$N81="GAR")*1)&gt;=2,INPUTS!$B$20,1)*SUMPRODUCT((CLASS!$E81:$N81="GAR")*1,LIVE!$E81:$N81)+SUMPRODUCT((CLASS!$E81:$N81="NR")*1,LIVE!$E81:$N81))</f>
        <v>922</v>
      </c>
      <c r="O81" s="10" t="n">
        <f aca="false">INPUTS!$B$13*SUM(DEAD!$E81:$O81)+INPUTS!$B$14*(RED!O81*SUMPRODUCT((CLASS!$E81:$O81="RES")*1,LIVE!$E81:$O81)+IF(SUMPRODUCT((CLASS!$E81:$O81="GAR")*1)&gt;=2,INPUTS!$B$20,1)*SUMPRODUCT((CLASS!$E81:$O81="GAR")*1,LIVE!$E81:$O81)+SUMPRODUCT((CLASS!$E81:$O81="NR")*1,LIVE!$E81:$O81))</f>
        <v>922</v>
      </c>
      <c r="P81" s="10" t="n">
        <f aca="false">INPUTS!$B$13*SUM(DEAD!$E81:$P81)+INPUTS!$B$14*(RED!P81*SUMPRODUCT((CLASS!$E81:$P81="RES")*1,LIVE!$E81:$P81)+IF(SUMPRODUCT((CLASS!$E81:$P81="GAR")*1)&gt;=2,INPUTS!$B$20,1)*SUMPRODUCT((CLASS!$E81:$P81="GAR")*1,LIVE!$E81:$P81)+SUMPRODUCT((CLASS!$E81:$P81="NR")*1,LIVE!$E81:$P81))</f>
        <v>922</v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10" t="n">
        <f aca="false">INPUTS!$B$13*SUM(DEAD!$E82:$E82)+INPUTS!$B$14*(RED!E82*SUMPRODUCT((CLASS!$E82:$E82="RES")*1,LIVE!$E82:$E82)+IF(SUMPRODUCT((CLASS!$E82:$E82="GAR")*1)&gt;=2,INPUTS!$B$20,1)*SUMPRODUCT((CLASS!$E82:$E82="GAR")*1,LIVE!$E82:$E82)+SUMPRODUCT((CLASS!$E82:$E82="NR")*1,LIVE!$E82:$E82))</f>
        <v>15.039</v>
      </c>
      <c r="F82" s="10" t="n">
        <f aca="false">INPUTS!$B$13*SUM(DEAD!$E82:$F82)+INPUTS!$B$14*(RED!F82*SUMPRODUCT((CLASS!$E82:$F82="RES")*1,LIVE!$E82:$F82)+IF(SUMPRODUCT((CLASS!$E82:$F82="GAR")*1)&gt;=2,INPUTS!$B$20,1)*SUMPRODUCT((CLASS!$E82:$F82="GAR")*1,LIVE!$E82:$F82)+SUMPRODUCT((CLASS!$E82:$F82="NR")*1,LIVE!$E82:$F82))</f>
        <v>34.74</v>
      </c>
      <c r="G82" s="10" t="n">
        <f aca="false">INPUTS!$B$13*SUM(DEAD!$E82:$G82)+INPUTS!$B$14*(RED!G82*SUMPRODUCT((CLASS!$E82:$G82="RES")*1,LIVE!$E82:$G82)+IF(SUMPRODUCT((CLASS!$E82:$G82="GAR")*1)&gt;=2,INPUTS!$B$20,1)*SUMPRODUCT((CLASS!$E82:$G82="GAR")*1,LIVE!$E82:$G82)+SUMPRODUCT((CLASS!$E82:$G82="NR")*1,LIVE!$E82:$G82))</f>
        <v>53.379</v>
      </c>
      <c r="H82" s="10" t="n">
        <f aca="false">INPUTS!$B$13*SUM(DEAD!$E82:$H82)+INPUTS!$B$14*(RED!H82*SUMPRODUCT((CLASS!$E82:$H82="RES")*1,LIVE!$E82:$H82)+IF(SUMPRODUCT((CLASS!$E82:$H82="GAR")*1)&gt;=2,INPUTS!$B$20,1)*SUMPRODUCT((CLASS!$E82:$H82="GAR")*1,LIVE!$E82:$H82)+SUMPRODUCT((CLASS!$E82:$H82="NR")*1,LIVE!$E82:$H82))</f>
        <v>67.914</v>
      </c>
      <c r="I82" s="10" t="n">
        <f aca="false">INPUTS!$B$13*SUM(DEAD!$E82:$I82)+INPUTS!$B$14*(RED!I82*SUMPRODUCT((CLASS!$E82:$I82="RES")*1,LIVE!$E82:$I82)+IF(SUMPRODUCT((CLASS!$E82:$I82="GAR")*1)&gt;=2,INPUTS!$B$20,1)*SUMPRODUCT((CLASS!$E82:$I82="GAR")*1,LIVE!$E82:$I82)+SUMPRODUCT((CLASS!$E82:$I82="NR")*1,LIVE!$E82:$I82))</f>
        <v>81.5274</v>
      </c>
      <c r="J82" s="10" t="n">
        <f aca="false">INPUTS!$B$13*SUM(DEAD!$E82:$J82)+INPUTS!$B$14*(RED!J82*SUMPRODUCT((CLASS!$E82:$J82="RES")*1,LIVE!$E82:$J82)+IF(SUMPRODUCT((CLASS!$E82:$J82="GAR")*1)&gt;=2,INPUTS!$B$20,1)*SUMPRODUCT((CLASS!$E82:$J82="GAR")*1,LIVE!$E82:$J82)+SUMPRODUCT((CLASS!$E82:$J82="NR")*1,LIVE!$E82:$J82))</f>
        <v>172.2656</v>
      </c>
      <c r="K82" s="10" t="n">
        <f aca="false">INPUTS!$B$13*SUM(DEAD!$E82:$K82)+INPUTS!$B$14*(RED!K82*SUMPRODUCT((CLASS!$E82:$K82="RES")*1,LIVE!$E82:$K82)+IF(SUMPRODUCT((CLASS!$E82:$K82="GAR")*1)&gt;=2,INPUTS!$B$20,1)*SUMPRODUCT((CLASS!$E82:$K82="GAR")*1,LIVE!$E82:$K82)+SUMPRODUCT((CLASS!$E82:$K82="NR")*1,LIVE!$E82:$K82))</f>
        <v>172.2656</v>
      </c>
      <c r="L82" s="10" t="n">
        <f aca="false">INPUTS!$B$13*SUM(DEAD!$E82:$L82)+INPUTS!$B$14*(RED!L82*SUMPRODUCT((CLASS!$E82:$L82="RES")*1,LIVE!$E82:$L82)+IF(SUMPRODUCT((CLASS!$E82:$L82="GAR")*1)&gt;=2,INPUTS!$B$20,1)*SUMPRODUCT((CLASS!$E82:$L82="GAR")*1,LIVE!$E82:$L82)+SUMPRODUCT((CLASS!$E82:$L82="NR")*1,LIVE!$E82:$L82))</f>
        <v>172.2656</v>
      </c>
      <c r="M82" s="10" t="n">
        <f aca="false">INPUTS!$B$13*SUM(DEAD!$E82:$M82)+INPUTS!$B$14*(RED!M82*SUMPRODUCT((CLASS!$E82:$M82="RES")*1,LIVE!$E82:$M82)+IF(SUMPRODUCT((CLASS!$E82:$M82="GAR")*1)&gt;=2,INPUTS!$B$20,1)*SUMPRODUCT((CLASS!$E82:$M82="GAR")*1,LIVE!$E82:$M82)+SUMPRODUCT((CLASS!$E82:$M82="NR")*1,LIVE!$E82:$M82))</f>
        <v>172.2656</v>
      </c>
      <c r="N82" s="10" t="n">
        <f aca="false">INPUTS!$B$13*SUM(DEAD!$E82:$N82)+INPUTS!$B$14*(RED!N82*SUMPRODUCT((CLASS!$E82:$N82="RES")*1,LIVE!$E82:$N82)+IF(SUMPRODUCT((CLASS!$E82:$N82="GAR")*1)&gt;=2,INPUTS!$B$20,1)*SUMPRODUCT((CLASS!$E82:$N82="GAR")*1,LIVE!$E82:$N82)+SUMPRODUCT((CLASS!$E82:$N82="NR")*1,LIVE!$E82:$N82))</f>
        <v>172.2656</v>
      </c>
      <c r="O82" s="10" t="n">
        <f aca="false">INPUTS!$B$13*SUM(DEAD!$E82:$O82)+INPUTS!$B$14*(RED!O82*SUMPRODUCT((CLASS!$E82:$O82="RES")*1,LIVE!$E82:$O82)+IF(SUMPRODUCT((CLASS!$E82:$O82="GAR")*1)&gt;=2,INPUTS!$B$20,1)*SUMPRODUCT((CLASS!$E82:$O82="GAR")*1,LIVE!$E82:$O82)+SUMPRODUCT((CLASS!$E82:$O82="NR")*1,LIVE!$E82:$O82))</f>
        <v>172.2656</v>
      </c>
      <c r="P82" s="10" t="n">
        <f aca="false">INPUTS!$B$13*SUM(DEAD!$E82:$P82)+INPUTS!$B$14*(RED!P82*SUMPRODUCT((CLASS!$E82:$P82="RES")*1,LIVE!$E82:$P82)+IF(SUMPRODUCT((CLASS!$E82:$P82="GAR")*1)&gt;=2,INPUTS!$B$20,1)*SUMPRODUCT((CLASS!$E82:$P82="GAR")*1,LIVE!$E82:$P82)+SUMPRODUCT((CLASS!$E82:$P82="NR")*1,LIVE!$E82:$P82))</f>
        <v>172.2656</v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10" t="n">
        <f aca="false">INPUTS!$B$13*SUM(DEAD!$E83:$E83)+INPUTS!$B$14*(RED!E83*SUMPRODUCT((CLASS!$E83:$E83="RES")*1,LIVE!$E83:$E83)+IF(SUMPRODUCT((CLASS!$E83:$E83="GAR")*1)&gt;=2,INPUTS!$B$20,1)*SUMPRODUCT((CLASS!$E83:$E83="GAR")*1,LIVE!$E83:$E83)+SUMPRODUCT((CLASS!$E83:$E83="NR")*1,LIVE!$E83:$E83))</f>
        <v>97.407</v>
      </c>
      <c r="F83" s="10" t="n">
        <f aca="false">INPUTS!$B$13*SUM(DEAD!$E83:$F83)+INPUTS!$B$14*(RED!F83*SUMPRODUCT((CLASS!$E83:$F83="RES")*1,LIVE!$E83:$F83)+IF(SUMPRODUCT((CLASS!$E83:$F83="GAR")*1)&gt;=2,INPUTS!$B$20,1)*SUMPRODUCT((CLASS!$E83:$F83="GAR")*1,LIVE!$E83:$F83)+SUMPRODUCT((CLASS!$E83:$F83="NR")*1,LIVE!$E83:$F83))</f>
        <v>244.84</v>
      </c>
      <c r="G83" s="10" t="n">
        <f aca="false">INPUTS!$B$13*SUM(DEAD!$E83:$G83)+INPUTS!$B$14*(RED!G83*SUMPRODUCT((CLASS!$E83:$G83="RES")*1,LIVE!$E83:$G83)+IF(SUMPRODUCT((CLASS!$E83:$G83="GAR")*1)&gt;=2,INPUTS!$B$20,1)*SUMPRODUCT((CLASS!$E83:$G83="GAR")*1,LIVE!$E83:$G83)+SUMPRODUCT((CLASS!$E83:$G83="NR")*1,LIVE!$E83:$G83))</f>
        <v>374.859</v>
      </c>
      <c r="H83" s="10" t="n">
        <f aca="false">INPUTS!$B$13*SUM(DEAD!$E83:$H83)+INPUTS!$B$14*(RED!H83*SUMPRODUCT((CLASS!$E83:$H83="RES")*1,LIVE!$E83:$H83)+IF(SUMPRODUCT((CLASS!$E83:$H83="GAR")*1)&gt;=2,INPUTS!$B$20,1)*SUMPRODUCT((CLASS!$E83:$H83="GAR")*1,LIVE!$E83:$H83)+SUMPRODUCT((CLASS!$E83:$H83="NR")*1,LIVE!$E83:$H83))</f>
        <v>479.894</v>
      </c>
      <c r="I83" s="10" t="n">
        <f aca="false">INPUTS!$B$13*SUM(DEAD!$E83:$I83)+INPUTS!$B$14*(RED!I83*SUMPRODUCT((CLASS!$E83:$I83="RES")*1,LIVE!$E83:$I83)+IF(SUMPRODUCT((CLASS!$E83:$I83="GAR")*1)&gt;=2,INPUTS!$B$20,1)*SUMPRODUCT((CLASS!$E83:$I83="GAR")*1,LIVE!$E83:$I83)+SUMPRODUCT((CLASS!$E83:$I83="NR")*1,LIVE!$E83:$I83))</f>
        <v>574.1258</v>
      </c>
      <c r="J83" s="10" t="n">
        <f aca="false">INPUTS!$B$13*SUM(DEAD!$E83:$J83)+INPUTS!$B$14*(RED!J83*SUMPRODUCT((CLASS!$E83:$J83="RES")*1,LIVE!$E83:$J83)+IF(SUMPRODUCT((CLASS!$E83:$J83="GAR")*1)&gt;=2,INPUTS!$B$20,1)*SUMPRODUCT((CLASS!$E83:$J83="GAR")*1,LIVE!$E83:$J83)+SUMPRODUCT((CLASS!$E83:$J83="NR")*1,LIVE!$E83:$J83))</f>
        <v>653.0056</v>
      </c>
      <c r="K83" s="10" t="n">
        <f aca="false">INPUTS!$B$13*SUM(DEAD!$E83:$K83)+INPUTS!$B$14*(RED!K83*SUMPRODUCT((CLASS!$E83:$K83="RES")*1,LIVE!$E83:$K83)+IF(SUMPRODUCT((CLASS!$E83:$K83="GAR")*1)&gt;=2,INPUTS!$B$20,1)*SUMPRODUCT((CLASS!$E83:$K83="GAR")*1,LIVE!$E83:$K83)+SUMPRODUCT((CLASS!$E83:$K83="NR")*1,LIVE!$E83:$K83))</f>
        <v>653.0056</v>
      </c>
      <c r="L83" s="10" t="n">
        <f aca="false">INPUTS!$B$13*SUM(DEAD!$E83:$L83)+INPUTS!$B$14*(RED!L83*SUMPRODUCT((CLASS!$E83:$L83="RES")*1,LIVE!$E83:$L83)+IF(SUMPRODUCT((CLASS!$E83:$L83="GAR")*1)&gt;=2,INPUTS!$B$20,1)*SUMPRODUCT((CLASS!$E83:$L83="GAR")*1,LIVE!$E83:$L83)+SUMPRODUCT((CLASS!$E83:$L83="NR")*1,LIVE!$E83:$L83))</f>
        <v>653.0056</v>
      </c>
      <c r="M83" s="10" t="n">
        <f aca="false">INPUTS!$B$13*SUM(DEAD!$E83:$M83)+INPUTS!$B$14*(RED!M83*SUMPRODUCT((CLASS!$E83:$M83="RES")*1,LIVE!$E83:$M83)+IF(SUMPRODUCT((CLASS!$E83:$M83="GAR")*1)&gt;=2,INPUTS!$B$20,1)*SUMPRODUCT((CLASS!$E83:$M83="GAR")*1,LIVE!$E83:$M83)+SUMPRODUCT((CLASS!$E83:$M83="NR")*1,LIVE!$E83:$M83))</f>
        <v>653.0056</v>
      </c>
      <c r="N83" s="10" t="n">
        <f aca="false">INPUTS!$B$13*SUM(DEAD!$E83:$N83)+INPUTS!$B$14*(RED!N83*SUMPRODUCT((CLASS!$E83:$N83="RES")*1,LIVE!$E83:$N83)+IF(SUMPRODUCT((CLASS!$E83:$N83="GAR")*1)&gt;=2,INPUTS!$B$20,1)*SUMPRODUCT((CLASS!$E83:$N83="GAR")*1,LIVE!$E83:$N83)+SUMPRODUCT((CLASS!$E83:$N83="NR")*1,LIVE!$E83:$N83))</f>
        <v>653.0056</v>
      </c>
      <c r="O83" s="10" t="n">
        <f aca="false">INPUTS!$B$13*SUM(DEAD!$E83:$O83)+INPUTS!$B$14*(RED!O83*SUMPRODUCT((CLASS!$E83:$O83="RES")*1,LIVE!$E83:$O83)+IF(SUMPRODUCT((CLASS!$E83:$O83="GAR")*1)&gt;=2,INPUTS!$B$20,1)*SUMPRODUCT((CLASS!$E83:$O83="GAR")*1,LIVE!$E83:$O83)+SUMPRODUCT((CLASS!$E83:$O83="NR")*1,LIVE!$E83:$O83))</f>
        <v>653.0056</v>
      </c>
      <c r="P83" s="10" t="n">
        <f aca="false">INPUTS!$B$13*SUM(DEAD!$E83:$P83)+INPUTS!$B$14*(RED!P83*SUMPRODUCT((CLASS!$E83:$P83="RES")*1,LIVE!$E83:$P83)+IF(SUMPRODUCT((CLASS!$E83:$P83="GAR")*1)&gt;=2,INPUTS!$B$20,1)*SUMPRODUCT((CLASS!$E83:$P83="GAR")*1,LIVE!$E83:$P83)+SUMPRODUCT((CLASS!$E83:$P83="NR")*1,LIVE!$E83:$P83))</f>
        <v>653.0056</v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10" t="n">
        <f aca="false">INPUTS!$B$13*SUM(DEAD!$E84:$E84)+INPUTS!$B$14*(RED!E84*SUMPRODUCT((CLASS!$E84:$E84="RES")*1,LIVE!$E84:$E84)+IF(SUMPRODUCT((CLASS!$E84:$E84="GAR")*1)&gt;=2,INPUTS!$B$20,1)*SUMPRODUCT((CLASS!$E84:$E84="GAR")*1,LIVE!$E84:$E84)+SUMPRODUCT((CLASS!$E84:$E84="NR")*1,LIVE!$E84:$E84))</f>
        <v>23.229</v>
      </c>
      <c r="F84" s="10" t="n">
        <f aca="false">INPUTS!$B$13*SUM(DEAD!$E84:$F84)+INPUTS!$B$14*(RED!F84*SUMPRODUCT((CLASS!$E84:$F84="RES")*1,LIVE!$E84:$F84)+IF(SUMPRODUCT((CLASS!$E84:$F84="GAR")*1)&gt;=2,INPUTS!$B$20,1)*SUMPRODUCT((CLASS!$E84:$F84="GAR")*1,LIVE!$E84:$F84)+SUMPRODUCT((CLASS!$E84:$F84="NR")*1,LIVE!$E84:$F84))</f>
        <v>55.04</v>
      </c>
      <c r="G84" s="10" t="n">
        <f aca="false">INPUTS!$B$13*SUM(DEAD!$E84:$G84)+INPUTS!$B$14*(RED!G84*SUMPRODUCT((CLASS!$E84:$G84="RES")*1,LIVE!$E84:$G84)+IF(SUMPRODUCT((CLASS!$E84:$G84="GAR")*1)&gt;=2,INPUTS!$B$20,1)*SUMPRODUCT((CLASS!$E84:$G84="GAR")*1,LIVE!$E84:$G84)+SUMPRODUCT((CLASS!$E84:$G84="NR")*1,LIVE!$E84:$G84))</f>
        <v>244.687</v>
      </c>
      <c r="H84" s="10" t="n">
        <f aca="false">INPUTS!$B$13*SUM(DEAD!$E84:$H84)+INPUTS!$B$14*(RED!H84*SUMPRODUCT((CLASS!$E84:$H84="RES")*1,LIVE!$E84:$H84)+IF(SUMPRODUCT((CLASS!$E84:$H84="GAR")*1)&gt;=2,INPUTS!$B$20,1)*SUMPRODUCT((CLASS!$E84:$H84="GAR")*1,LIVE!$E84:$H84)+SUMPRODUCT((CLASS!$E84:$H84="NR")*1,LIVE!$E84:$H84))</f>
        <v>371.862</v>
      </c>
      <c r="I84" s="10" t="n">
        <f aca="false">INPUTS!$B$13*SUM(DEAD!$E84:$I84)+INPUTS!$B$14*(RED!I84*SUMPRODUCT((CLASS!$E84:$I84="RES")*1,LIVE!$E84:$I84)+IF(SUMPRODUCT((CLASS!$E84:$I84="GAR")*1)&gt;=2,INPUTS!$B$20,1)*SUMPRODUCT((CLASS!$E84:$I84="GAR")*1,LIVE!$E84:$I84)+SUMPRODUCT((CLASS!$E84:$I84="NR")*1,LIVE!$E84:$I84))</f>
        <v>485.2154</v>
      </c>
      <c r="J84" s="10" t="n">
        <f aca="false">INPUTS!$B$13*SUM(DEAD!$E84:$J84)+INPUTS!$B$14*(RED!J84*SUMPRODUCT((CLASS!$E84:$J84="RES")*1,LIVE!$E84:$J84)+IF(SUMPRODUCT((CLASS!$E84:$J84="GAR")*1)&gt;=2,INPUTS!$B$20,1)*SUMPRODUCT((CLASS!$E84:$J84="GAR")*1,LIVE!$E84:$J84)+SUMPRODUCT((CLASS!$E84:$J84="NR")*1,LIVE!$E84:$J84))</f>
        <v>617.6008</v>
      </c>
      <c r="K84" s="10" t="n">
        <f aca="false">INPUTS!$B$13*SUM(DEAD!$E84:$K84)+INPUTS!$B$14*(RED!K84*SUMPRODUCT((CLASS!$E84:$K84="RES")*1,LIVE!$E84:$K84)+IF(SUMPRODUCT((CLASS!$E84:$K84="GAR")*1)&gt;=2,INPUTS!$B$20,1)*SUMPRODUCT((CLASS!$E84:$K84="GAR")*1,LIVE!$E84:$K84)+SUMPRODUCT((CLASS!$E84:$K84="NR")*1,LIVE!$E84:$K84))</f>
        <v>617.6008</v>
      </c>
      <c r="L84" s="10" t="n">
        <f aca="false">INPUTS!$B$13*SUM(DEAD!$E84:$L84)+INPUTS!$B$14*(RED!L84*SUMPRODUCT((CLASS!$E84:$L84="RES")*1,LIVE!$E84:$L84)+IF(SUMPRODUCT((CLASS!$E84:$L84="GAR")*1)&gt;=2,INPUTS!$B$20,1)*SUMPRODUCT((CLASS!$E84:$L84="GAR")*1,LIVE!$E84:$L84)+SUMPRODUCT((CLASS!$E84:$L84="NR")*1,LIVE!$E84:$L84))</f>
        <v>617.6008</v>
      </c>
      <c r="M84" s="10" t="n">
        <f aca="false">INPUTS!$B$13*SUM(DEAD!$E84:$M84)+INPUTS!$B$14*(RED!M84*SUMPRODUCT((CLASS!$E84:$M84="RES")*1,LIVE!$E84:$M84)+IF(SUMPRODUCT((CLASS!$E84:$M84="GAR")*1)&gt;=2,INPUTS!$B$20,1)*SUMPRODUCT((CLASS!$E84:$M84="GAR")*1,LIVE!$E84:$M84)+SUMPRODUCT((CLASS!$E84:$M84="NR")*1,LIVE!$E84:$M84))</f>
        <v>617.6008</v>
      </c>
      <c r="N84" s="10" t="n">
        <f aca="false">INPUTS!$B$13*SUM(DEAD!$E84:$N84)+INPUTS!$B$14*(RED!N84*SUMPRODUCT((CLASS!$E84:$N84="RES")*1,LIVE!$E84:$N84)+IF(SUMPRODUCT((CLASS!$E84:$N84="GAR")*1)&gt;=2,INPUTS!$B$20,1)*SUMPRODUCT((CLASS!$E84:$N84="GAR")*1,LIVE!$E84:$N84)+SUMPRODUCT((CLASS!$E84:$N84="NR")*1,LIVE!$E84:$N84))</f>
        <v>617.6008</v>
      </c>
      <c r="O84" s="10" t="n">
        <f aca="false">INPUTS!$B$13*SUM(DEAD!$E84:$O84)+INPUTS!$B$14*(RED!O84*SUMPRODUCT((CLASS!$E84:$O84="RES")*1,LIVE!$E84:$O84)+IF(SUMPRODUCT((CLASS!$E84:$O84="GAR")*1)&gt;=2,INPUTS!$B$20,1)*SUMPRODUCT((CLASS!$E84:$O84="GAR")*1,LIVE!$E84:$O84)+SUMPRODUCT((CLASS!$E84:$O84="NR")*1,LIVE!$E84:$O84))</f>
        <v>617.6008</v>
      </c>
      <c r="P84" s="10" t="n">
        <f aca="false">INPUTS!$B$13*SUM(DEAD!$E84:$P84)+INPUTS!$B$14*(RED!P84*SUMPRODUCT((CLASS!$E84:$P84="RES")*1,LIVE!$E84:$P84)+IF(SUMPRODUCT((CLASS!$E84:$P84="GAR")*1)&gt;=2,INPUTS!$B$20,1)*SUMPRODUCT((CLASS!$E84:$P84="GAR")*1,LIVE!$E84:$P84)+SUMPRODUCT((CLASS!$E84:$P84="NR")*1,LIVE!$E84:$P84))</f>
        <v>617.6008</v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10" t="n">
        <f aca="false">INPUTS!$B$13*SUM(DEAD!$E85:$E85)+INPUTS!$B$14*(RED!E85*SUMPRODUCT((CLASS!$E85:$E85="RES")*1,LIVE!$E85:$E85)+IF(SUMPRODUCT((CLASS!$E85:$E85="GAR")*1)&gt;=2,INPUTS!$B$20,1)*SUMPRODUCT((CLASS!$E85:$E85="GAR")*1,LIVE!$E85:$E85)+SUMPRODUCT((CLASS!$E85:$E85="NR")*1,LIVE!$E85:$E85))</f>
        <v>114.489</v>
      </c>
      <c r="F85" s="10" t="n">
        <f aca="false">INPUTS!$B$13*SUM(DEAD!$E85:$F85)+INPUTS!$B$14*(RED!F85*SUMPRODUCT((CLASS!$E85:$F85="RES")*1,LIVE!$E85:$F85)+IF(SUMPRODUCT((CLASS!$E85:$F85="GAR")*1)&gt;=2,INPUTS!$B$20,1)*SUMPRODUCT((CLASS!$E85:$F85="GAR")*1,LIVE!$E85:$F85)+SUMPRODUCT((CLASS!$E85:$F85="NR")*1,LIVE!$E85:$F85))</f>
        <v>281.24</v>
      </c>
      <c r="G85" s="10" t="n">
        <f aca="false">INPUTS!$B$13*SUM(DEAD!$E85:$G85)+INPUTS!$B$14*(RED!G85*SUMPRODUCT((CLASS!$E85:$G85="RES")*1,LIVE!$E85:$G85)+IF(SUMPRODUCT((CLASS!$E85:$G85="GAR")*1)&gt;=2,INPUTS!$B$20,1)*SUMPRODUCT((CLASS!$E85:$G85="GAR")*1,LIVE!$E85:$G85)+SUMPRODUCT((CLASS!$E85:$G85="NR")*1,LIVE!$E85:$G85))</f>
        <v>455.857</v>
      </c>
      <c r="H85" s="10" t="n">
        <f aca="false">INPUTS!$B$13*SUM(DEAD!$E85:$H85)+INPUTS!$B$14*(RED!H85*SUMPRODUCT((CLASS!$E85:$H85="RES")*1,LIVE!$E85:$H85)+IF(SUMPRODUCT((CLASS!$E85:$H85="GAR")*1)&gt;=2,INPUTS!$B$20,1)*SUMPRODUCT((CLASS!$E85:$H85="GAR")*1,LIVE!$E85:$H85)+SUMPRODUCT((CLASS!$E85:$H85="NR")*1,LIVE!$E85:$H85))</f>
        <v>573.132</v>
      </c>
      <c r="I85" s="10" t="n">
        <f aca="false">INPUTS!$B$13*SUM(DEAD!$E85:$I85)+INPUTS!$B$14*(RED!I85*SUMPRODUCT((CLASS!$E85:$I85="RES")*1,LIVE!$E85:$I85)+IF(SUMPRODUCT((CLASS!$E85:$I85="GAR")*1)&gt;=2,INPUTS!$B$20,1)*SUMPRODUCT((CLASS!$E85:$I85="GAR")*1,LIVE!$E85:$I85)+SUMPRODUCT((CLASS!$E85:$I85="NR")*1,LIVE!$E85:$I85))</f>
        <v>677.5302</v>
      </c>
      <c r="J85" s="10" t="n">
        <f aca="false">INPUTS!$B$13*SUM(DEAD!$E85:$J85)+INPUTS!$B$14*(RED!J85*SUMPRODUCT((CLASS!$E85:$J85="RES")*1,LIVE!$E85:$J85)+IF(SUMPRODUCT((CLASS!$E85:$J85="GAR")*1)&gt;=2,INPUTS!$B$20,1)*SUMPRODUCT((CLASS!$E85:$J85="GAR")*1,LIVE!$E85:$J85)+SUMPRODUCT((CLASS!$E85:$J85="NR")*1,LIVE!$E85:$J85))</f>
        <v>797.6908</v>
      </c>
      <c r="K85" s="10" t="n">
        <f aca="false">INPUTS!$B$13*SUM(DEAD!$E85:$K85)+INPUTS!$B$14*(RED!K85*SUMPRODUCT((CLASS!$E85:$K85="RES")*1,LIVE!$E85:$K85)+IF(SUMPRODUCT((CLASS!$E85:$K85="GAR")*1)&gt;=2,INPUTS!$B$20,1)*SUMPRODUCT((CLASS!$E85:$K85="GAR")*1,LIVE!$E85:$K85)+SUMPRODUCT((CLASS!$E85:$K85="NR")*1,LIVE!$E85:$K85))</f>
        <v>797.6908</v>
      </c>
      <c r="L85" s="10" t="n">
        <f aca="false">INPUTS!$B$13*SUM(DEAD!$E85:$L85)+INPUTS!$B$14*(RED!L85*SUMPRODUCT((CLASS!$E85:$L85="RES")*1,LIVE!$E85:$L85)+IF(SUMPRODUCT((CLASS!$E85:$L85="GAR")*1)&gt;=2,INPUTS!$B$20,1)*SUMPRODUCT((CLASS!$E85:$L85="GAR")*1,LIVE!$E85:$L85)+SUMPRODUCT((CLASS!$E85:$L85="NR")*1,LIVE!$E85:$L85))</f>
        <v>797.6908</v>
      </c>
      <c r="M85" s="10" t="n">
        <f aca="false">INPUTS!$B$13*SUM(DEAD!$E85:$M85)+INPUTS!$B$14*(RED!M85*SUMPRODUCT((CLASS!$E85:$M85="RES")*1,LIVE!$E85:$M85)+IF(SUMPRODUCT((CLASS!$E85:$M85="GAR")*1)&gt;=2,INPUTS!$B$20,1)*SUMPRODUCT((CLASS!$E85:$M85="GAR")*1,LIVE!$E85:$M85)+SUMPRODUCT((CLASS!$E85:$M85="NR")*1,LIVE!$E85:$M85))</f>
        <v>797.6908</v>
      </c>
      <c r="N85" s="10" t="n">
        <f aca="false">INPUTS!$B$13*SUM(DEAD!$E85:$N85)+INPUTS!$B$14*(RED!N85*SUMPRODUCT((CLASS!$E85:$N85="RES")*1,LIVE!$E85:$N85)+IF(SUMPRODUCT((CLASS!$E85:$N85="GAR")*1)&gt;=2,INPUTS!$B$20,1)*SUMPRODUCT((CLASS!$E85:$N85="GAR")*1,LIVE!$E85:$N85)+SUMPRODUCT((CLASS!$E85:$N85="NR")*1,LIVE!$E85:$N85))</f>
        <v>797.6908</v>
      </c>
      <c r="O85" s="10" t="n">
        <f aca="false">INPUTS!$B$13*SUM(DEAD!$E85:$O85)+INPUTS!$B$14*(RED!O85*SUMPRODUCT((CLASS!$E85:$O85="RES")*1,LIVE!$E85:$O85)+IF(SUMPRODUCT((CLASS!$E85:$O85="GAR")*1)&gt;=2,INPUTS!$B$20,1)*SUMPRODUCT((CLASS!$E85:$O85="GAR")*1,LIVE!$E85:$O85)+SUMPRODUCT((CLASS!$E85:$O85="NR")*1,LIVE!$E85:$O85))</f>
        <v>797.6908</v>
      </c>
      <c r="P85" s="10" t="n">
        <f aca="false">INPUTS!$B$13*SUM(DEAD!$E85:$P85)+INPUTS!$B$14*(RED!P85*SUMPRODUCT((CLASS!$E85:$P85="RES")*1,LIVE!$E85:$P85)+IF(SUMPRODUCT((CLASS!$E85:$P85="GAR")*1)&gt;=2,INPUTS!$B$20,1)*SUMPRODUCT((CLASS!$E85:$P85="GAR")*1,LIVE!$E85:$P85)+SUMPRODUCT((CLASS!$E85:$P85="NR")*1,LIVE!$E85:$P85))</f>
        <v>797.6908</v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10" t="n">
        <f aca="false">INPUTS!$B$13*SUM(DEAD!$E86:$E86)+INPUTS!$B$14*(RED!E86*SUMPRODUCT((CLASS!$E86:$E86="RES")*1,LIVE!$E86:$E86)+IF(SUMPRODUCT((CLASS!$E86:$E86="GAR")*1)&gt;=2,INPUTS!$B$20,1)*SUMPRODUCT((CLASS!$E86:$E86="GAR")*1,LIVE!$E86:$E86)+SUMPRODUCT((CLASS!$E86:$E86="NR")*1,LIVE!$E86:$E86))</f>
        <v>12.699</v>
      </c>
      <c r="F86" s="10" t="n">
        <f aca="false">INPUTS!$B$13*SUM(DEAD!$E86:$F86)+INPUTS!$B$14*(RED!F86*SUMPRODUCT((CLASS!$E86:$F86="RES")*1,LIVE!$E86:$F86)+IF(SUMPRODUCT((CLASS!$E86:$F86="GAR")*1)&gt;=2,INPUTS!$B$20,1)*SUMPRODUCT((CLASS!$E86:$F86="GAR")*1,LIVE!$E86:$F86)+SUMPRODUCT((CLASS!$E86:$F86="NR")*1,LIVE!$E86:$F86))</f>
        <v>28.94</v>
      </c>
      <c r="G86" s="10" t="n">
        <f aca="false">INPUTS!$B$13*SUM(DEAD!$E86:$G86)+INPUTS!$B$14*(RED!G86*SUMPRODUCT((CLASS!$E86:$G86="RES")*1,LIVE!$E86:$G86)+IF(SUMPRODUCT((CLASS!$E86:$G86="GAR")*1)&gt;=2,INPUTS!$B$20,1)*SUMPRODUCT((CLASS!$E86:$G86="GAR")*1,LIVE!$E86:$G86)+SUMPRODUCT((CLASS!$E86:$G86="NR")*1,LIVE!$E86:$G86))</f>
        <v>44.239</v>
      </c>
      <c r="H86" s="10" t="n">
        <f aca="false">INPUTS!$B$13*SUM(DEAD!$E86:$H86)+INPUTS!$B$14*(RED!H86*SUMPRODUCT((CLASS!$E86:$H86="RES")*1,LIVE!$E86:$H86)+IF(SUMPRODUCT((CLASS!$E86:$H86="GAR")*1)&gt;=2,INPUTS!$B$20,1)*SUMPRODUCT((CLASS!$E86:$H86="GAR")*1,LIVE!$E86:$H86)+SUMPRODUCT((CLASS!$E86:$H86="NR")*1,LIVE!$E86:$H86))</f>
        <v>56.574</v>
      </c>
      <c r="I86" s="10" t="n">
        <f aca="false">INPUTS!$B$13*SUM(DEAD!$E86:$I86)+INPUTS!$B$14*(RED!I86*SUMPRODUCT((CLASS!$E86:$I86="RES")*1,LIVE!$E86:$I86)+IF(SUMPRODUCT((CLASS!$E86:$I86="GAR")*1)&gt;=2,INPUTS!$B$20,1)*SUMPRODUCT((CLASS!$E86:$I86="GAR")*1,LIVE!$E86:$I86)+SUMPRODUCT((CLASS!$E86:$I86="NR")*1,LIVE!$E86:$I86))</f>
        <v>67.3602</v>
      </c>
      <c r="J86" s="10" t="n">
        <f aca="false">INPUTS!$B$13*SUM(DEAD!$E86:$J86)+INPUTS!$B$14*(RED!J86*SUMPRODUCT((CLASS!$E86:$J86="RES")*1,LIVE!$E86:$J86)+IF(SUMPRODUCT((CLASS!$E86:$J86="GAR")*1)&gt;=2,INPUTS!$B$20,1)*SUMPRODUCT((CLASS!$E86:$J86="GAR")*1,LIVE!$E86:$J86)+SUMPRODUCT((CLASS!$E86:$J86="NR")*1,LIVE!$E86:$J86))</f>
        <v>119.4464</v>
      </c>
      <c r="K86" s="10" t="n">
        <f aca="false">INPUTS!$B$13*SUM(DEAD!$E86:$K86)+INPUTS!$B$14*(RED!K86*SUMPRODUCT((CLASS!$E86:$K86="RES")*1,LIVE!$E86:$K86)+IF(SUMPRODUCT((CLASS!$E86:$K86="GAR")*1)&gt;=2,INPUTS!$B$20,1)*SUMPRODUCT((CLASS!$E86:$K86="GAR")*1,LIVE!$E86:$K86)+SUMPRODUCT((CLASS!$E86:$K86="NR")*1,LIVE!$E86:$K86))</f>
        <v>119.4464</v>
      </c>
      <c r="L86" s="10" t="n">
        <f aca="false">INPUTS!$B$13*SUM(DEAD!$E86:$L86)+INPUTS!$B$14*(RED!L86*SUMPRODUCT((CLASS!$E86:$L86="RES")*1,LIVE!$E86:$L86)+IF(SUMPRODUCT((CLASS!$E86:$L86="GAR")*1)&gt;=2,INPUTS!$B$20,1)*SUMPRODUCT((CLASS!$E86:$L86="GAR")*1,LIVE!$E86:$L86)+SUMPRODUCT((CLASS!$E86:$L86="NR")*1,LIVE!$E86:$L86))</f>
        <v>119.4464</v>
      </c>
      <c r="M86" s="10" t="n">
        <f aca="false">INPUTS!$B$13*SUM(DEAD!$E86:$M86)+INPUTS!$B$14*(RED!M86*SUMPRODUCT((CLASS!$E86:$M86="RES")*1,LIVE!$E86:$M86)+IF(SUMPRODUCT((CLASS!$E86:$M86="GAR")*1)&gt;=2,INPUTS!$B$20,1)*SUMPRODUCT((CLASS!$E86:$M86="GAR")*1,LIVE!$E86:$M86)+SUMPRODUCT((CLASS!$E86:$M86="NR")*1,LIVE!$E86:$M86))</f>
        <v>119.4464</v>
      </c>
      <c r="N86" s="10" t="n">
        <f aca="false">INPUTS!$B$13*SUM(DEAD!$E86:$N86)+INPUTS!$B$14*(RED!N86*SUMPRODUCT((CLASS!$E86:$N86="RES")*1,LIVE!$E86:$N86)+IF(SUMPRODUCT((CLASS!$E86:$N86="GAR")*1)&gt;=2,INPUTS!$B$20,1)*SUMPRODUCT((CLASS!$E86:$N86="GAR")*1,LIVE!$E86:$N86)+SUMPRODUCT((CLASS!$E86:$N86="NR")*1,LIVE!$E86:$N86))</f>
        <v>119.4464</v>
      </c>
      <c r="O86" s="10" t="n">
        <f aca="false">INPUTS!$B$13*SUM(DEAD!$E86:$O86)+INPUTS!$B$14*(RED!O86*SUMPRODUCT((CLASS!$E86:$O86="RES")*1,LIVE!$E86:$O86)+IF(SUMPRODUCT((CLASS!$E86:$O86="GAR")*1)&gt;=2,INPUTS!$B$20,1)*SUMPRODUCT((CLASS!$E86:$O86="GAR")*1,LIVE!$E86:$O86)+SUMPRODUCT((CLASS!$E86:$O86="NR")*1,LIVE!$E86:$O86))</f>
        <v>119.4464</v>
      </c>
      <c r="P86" s="10" t="n">
        <f aca="false">INPUTS!$B$13*SUM(DEAD!$E86:$P86)+INPUTS!$B$14*(RED!P86*SUMPRODUCT((CLASS!$E86:$P86="RES")*1,LIVE!$E86:$P86)+IF(SUMPRODUCT((CLASS!$E86:$P86="GAR")*1)&gt;=2,INPUTS!$B$20,1)*SUMPRODUCT((CLASS!$E86:$P86="GAR")*1,LIVE!$E86:$P86)+SUMPRODUCT((CLASS!$E86:$P86="NR")*1,LIVE!$E86:$P86))</f>
        <v>119.4464</v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10" t="n">
        <f aca="false">INPUTS!$B$13*SUM(DEAD!$E87:$E87)+INPUTS!$B$14*(RED!E87*SUMPRODUCT((CLASS!$E87:$E87="RES")*1,LIVE!$E87:$E87)+IF(SUMPRODUCT((CLASS!$E87:$E87="GAR")*1)&gt;=2,INPUTS!$B$20,1)*SUMPRODUCT((CLASS!$E87:$E87="GAR")*1,LIVE!$E87:$E87)+SUMPRODUCT((CLASS!$E87:$E87="NR")*1,LIVE!$E87:$E87))</f>
        <v>131.103</v>
      </c>
      <c r="F87" s="10" t="n">
        <f aca="false">INPUTS!$B$13*SUM(DEAD!$E87:$F87)+INPUTS!$B$14*(RED!F87*SUMPRODUCT((CLASS!$E87:$F87="RES")*1,LIVE!$E87:$F87)+IF(SUMPRODUCT((CLASS!$E87:$F87="GAR")*1)&gt;=2,INPUTS!$B$20,1)*SUMPRODUCT((CLASS!$E87:$F87="GAR")*1,LIVE!$E87:$F87)+SUMPRODUCT((CLASS!$E87:$F87="NR")*1,LIVE!$E87:$F87))</f>
        <v>322.42</v>
      </c>
      <c r="G87" s="10" t="n">
        <f aca="false">INPUTS!$B$13*SUM(DEAD!$E87:$G87)+INPUTS!$B$14*(RED!G87*SUMPRODUCT((CLASS!$E87:$G87="RES")*1,LIVE!$E87:$G87)+IF(SUMPRODUCT((CLASS!$E87:$G87="GAR")*1)&gt;=2,INPUTS!$B$20,1)*SUMPRODUCT((CLASS!$E87:$G87="GAR")*1,LIVE!$E87:$G87)+SUMPRODUCT((CLASS!$E87:$G87="NR")*1,LIVE!$E87:$G87))</f>
        <v>506.723</v>
      </c>
      <c r="H87" s="10" t="n">
        <f aca="false">INPUTS!$B$13*SUM(DEAD!$E87:$H87)+INPUTS!$B$14*(RED!H87*SUMPRODUCT((CLASS!$E87:$H87="RES")*1,LIVE!$E87:$H87)+IF(SUMPRODUCT((CLASS!$E87:$H87="GAR")*1)&gt;=2,INPUTS!$B$20,1)*SUMPRODUCT((CLASS!$E87:$H87="GAR")*1,LIVE!$E87:$H87)+SUMPRODUCT((CLASS!$E87:$H87="NR")*1,LIVE!$E87:$H87))</f>
        <v>630.378</v>
      </c>
      <c r="I87" s="10" t="n">
        <f aca="false">INPUTS!$B$13*SUM(DEAD!$E87:$I87)+INPUTS!$B$14*(RED!I87*SUMPRODUCT((CLASS!$E87:$I87="RES")*1,LIVE!$E87:$I87)+IF(SUMPRODUCT((CLASS!$E87:$I87="GAR")*1)&gt;=2,INPUTS!$B$20,1)*SUMPRODUCT((CLASS!$E87:$I87="GAR")*1,LIVE!$E87:$I87)+SUMPRODUCT((CLASS!$E87:$I87="NR")*1,LIVE!$E87:$I87))</f>
        <v>630.378</v>
      </c>
      <c r="J87" s="10" t="n">
        <f aca="false">INPUTS!$B$13*SUM(DEAD!$E87:$J87)+INPUTS!$B$14*(RED!J87*SUMPRODUCT((CLASS!$E87:$J87="RES")*1,LIVE!$E87:$J87)+IF(SUMPRODUCT((CLASS!$E87:$J87="GAR")*1)&gt;=2,INPUTS!$B$20,1)*SUMPRODUCT((CLASS!$E87:$J87="GAR")*1,LIVE!$E87:$J87)+SUMPRODUCT((CLASS!$E87:$J87="NR")*1,LIVE!$E87:$J87))</f>
        <v>630.378</v>
      </c>
      <c r="K87" s="10" t="n">
        <f aca="false">INPUTS!$B$13*SUM(DEAD!$E87:$K87)+INPUTS!$B$14*(RED!K87*SUMPRODUCT((CLASS!$E87:$K87="RES")*1,LIVE!$E87:$K87)+IF(SUMPRODUCT((CLASS!$E87:$K87="GAR")*1)&gt;=2,INPUTS!$B$20,1)*SUMPRODUCT((CLASS!$E87:$K87="GAR")*1,LIVE!$E87:$K87)+SUMPRODUCT((CLASS!$E87:$K87="NR")*1,LIVE!$E87:$K87))</f>
        <v>630.378</v>
      </c>
      <c r="L87" s="10" t="n">
        <f aca="false">INPUTS!$B$13*SUM(DEAD!$E87:$L87)+INPUTS!$B$14*(RED!L87*SUMPRODUCT((CLASS!$E87:$L87="RES")*1,LIVE!$E87:$L87)+IF(SUMPRODUCT((CLASS!$E87:$L87="GAR")*1)&gt;=2,INPUTS!$B$20,1)*SUMPRODUCT((CLASS!$E87:$L87="GAR")*1,LIVE!$E87:$L87)+SUMPRODUCT((CLASS!$E87:$L87="NR")*1,LIVE!$E87:$L87))</f>
        <v>630.378</v>
      </c>
      <c r="M87" s="10" t="n">
        <f aca="false">INPUTS!$B$13*SUM(DEAD!$E87:$M87)+INPUTS!$B$14*(RED!M87*SUMPRODUCT((CLASS!$E87:$M87="RES")*1,LIVE!$E87:$M87)+IF(SUMPRODUCT((CLASS!$E87:$M87="GAR")*1)&gt;=2,INPUTS!$B$20,1)*SUMPRODUCT((CLASS!$E87:$M87="GAR")*1,LIVE!$E87:$M87)+SUMPRODUCT((CLASS!$E87:$M87="NR")*1,LIVE!$E87:$M87))</f>
        <v>630.378</v>
      </c>
      <c r="N87" s="10" t="n">
        <f aca="false">INPUTS!$B$13*SUM(DEAD!$E87:$N87)+INPUTS!$B$14*(RED!N87*SUMPRODUCT((CLASS!$E87:$N87="RES")*1,LIVE!$E87:$N87)+IF(SUMPRODUCT((CLASS!$E87:$N87="GAR")*1)&gt;=2,INPUTS!$B$20,1)*SUMPRODUCT((CLASS!$E87:$N87="GAR")*1,LIVE!$E87:$N87)+SUMPRODUCT((CLASS!$E87:$N87="NR")*1,LIVE!$E87:$N87))</f>
        <v>630.378</v>
      </c>
      <c r="O87" s="10" t="n">
        <f aca="false">INPUTS!$B$13*SUM(DEAD!$E87:$O87)+INPUTS!$B$14*(RED!O87*SUMPRODUCT((CLASS!$E87:$O87="RES")*1,LIVE!$E87:$O87)+IF(SUMPRODUCT((CLASS!$E87:$O87="GAR")*1)&gt;=2,INPUTS!$B$20,1)*SUMPRODUCT((CLASS!$E87:$O87="GAR")*1,LIVE!$E87:$O87)+SUMPRODUCT((CLASS!$E87:$O87="NR")*1,LIVE!$E87:$O87))</f>
        <v>630.378</v>
      </c>
      <c r="P87" s="10" t="n">
        <f aca="false">INPUTS!$B$13*SUM(DEAD!$E87:$P87)+INPUTS!$B$14*(RED!P87*SUMPRODUCT((CLASS!$E87:$P87="RES")*1,LIVE!$E87:$P87)+IF(SUMPRODUCT((CLASS!$E87:$P87="GAR")*1)&gt;=2,INPUTS!$B$20,1)*SUMPRODUCT((CLASS!$E87:$P87="GAR")*1,LIVE!$E87:$P87)+SUMPRODUCT((CLASS!$E87:$P87="NR")*1,LIVE!$E87:$P87))</f>
        <v>630.378</v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10" t="n">
        <f aca="false">INPUTS!$B$13*SUM(DEAD!$E88:$E88)+INPUTS!$B$14*(RED!E88*SUMPRODUCT((CLASS!$E88:$E88="RES")*1,LIVE!$E88:$E88)+IF(SUMPRODUCT((CLASS!$E88:$E88="GAR")*1)&gt;=2,INPUTS!$B$20,1)*SUMPRODUCT((CLASS!$E88:$E88="GAR")*1,LIVE!$E88:$E88)+SUMPRODUCT((CLASS!$E88:$E88="NR")*1,LIVE!$E88:$E88))</f>
        <v>131.103</v>
      </c>
      <c r="F88" s="10" t="n">
        <f aca="false">INPUTS!$B$13*SUM(DEAD!$E88:$F88)+INPUTS!$B$14*(RED!F88*SUMPRODUCT((CLASS!$E88:$F88="RES")*1,LIVE!$E88:$F88)+IF(SUMPRODUCT((CLASS!$E88:$F88="GAR")*1)&gt;=2,INPUTS!$B$20,1)*SUMPRODUCT((CLASS!$E88:$F88="GAR")*1,LIVE!$E88:$F88)+SUMPRODUCT((CLASS!$E88:$F88="NR")*1,LIVE!$E88:$F88))</f>
        <v>322.42</v>
      </c>
      <c r="G88" s="10" t="n">
        <f aca="false">INPUTS!$B$13*SUM(DEAD!$E88:$G88)+INPUTS!$B$14*(RED!G88*SUMPRODUCT((CLASS!$E88:$G88="RES")*1,LIVE!$E88:$G88)+IF(SUMPRODUCT((CLASS!$E88:$G88="GAR")*1)&gt;=2,INPUTS!$B$20,1)*SUMPRODUCT((CLASS!$E88:$G88="GAR")*1,LIVE!$E88:$G88)+SUMPRODUCT((CLASS!$E88:$G88="NR")*1,LIVE!$E88:$G88))</f>
        <v>485.145</v>
      </c>
      <c r="H88" s="10" t="n">
        <f aca="false">INPUTS!$B$13*SUM(DEAD!$E88:$H88)+INPUTS!$B$14*(RED!H88*SUMPRODUCT((CLASS!$E88:$H88="RES")*1,LIVE!$E88:$H88)+IF(SUMPRODUCT((CLASS!$E88:$H88="GAR")*1)&gt;=2,INPUTS!$B$20,1)*SUMPRODUCT((CLASS!$E88:$H88="GAR")*1,LIVE!$E88:$H88)+SUMPRODUCT((CLASS!$E88:$H88="NR")*1,LIVE!$E88:$H88))</f>
        <v>595.34</v>
      </c>
      <c r="I88" s="10" t="n">
        <f aca="false">INPUTS!$B$13*SUM(DEAD!$E88:$I88)+INPUTS!$B$14*(RED!I88*SUMPRODUCT((CLASS!$E88:$I88="RES")*1,LIVE!$E88:$I88)+IF(SUMPRODUCT((CLASS!$E88:$I88="GAR")*1)&gt;=2,INPUTS!$B$20,1)*SUMPRODUCT((CLASS!$E88:$I88="GAR")*1,LIVE!$E88:$I88)+SUMPRODUCT((CLASS!$E88:$I88="NR")*1,LIVE!$E88:$I88))</f>
        <v>595.34</v>
      </c>
      <c r="J88" s="10" t="n">
        <f aca="false">INPUTS!$B$13*SUM(DEAD!$E88:$J88)+INPUTS!$B$14*(RED!J88*SUMPRODUCT((CLASS!$E88:$J88="RES")*1,LIVE!$E88:$J88)+IF(SUMPRODUCT((CLASS!$E88:$J88="GAR")*1)&gt;=2,INPUTS!$B$20,1)*SUMPRODUCT((CLASS!$E88:$J88="GAR")*1,LIVE!$E88:$J88)+SUMPRODUCT((CLASS!$E88:$J88="NR")*1,LIVE!$E88:$J88))</f>
        <v>595.34</v>
      </c>
      <c r="K88" s="10" t="n">
        <f aca="false">INPUTS!$B$13*SUM(DEAD!$E88:$K88)+INPUTS!$B$14*(RED!K88*SUMPRODUCT((CLASS!$E88:$K88="RES")*1,LIVE!$E88:$K88)+IF(SUMPRODUCT((CLASS!$E88:$K88="GAR")*1)&gt;=2,INPUTS!$B$20,1)*SUMPRODUCT((CLASS!$E88:$K88="GAR")*1,LIVE!$E88:$K88)+SUMPRODUCT((CLASS!$E88:$K88="NR")*1,LIVE!$E88:$K88))</f>
        <v>595.34</v>
      </c>
      <c r="L88" s="10" t="n">
        <f aca="false">INPUTS!$B$13*SUM(DEAD!$E88:$L88)+INPUTS!$B$14*(RED!L88*SUMPRODUCT((CLASS!$E88:$L88="RES")*1,LIVE!$E88:$L88)+IF(SUMPRODUCT((CLASS!$E88:$L88="GAR")*1)&gt;=2,INPUTS!$B$20,1)*SUMPRODUCT((CLASS!$E88:$L88="GAR")*1,LIVE!$E88:$L88)+SUMPRODUCT((CLASS!$E88:$L88="NR")*1,LIVE!$E88:$L88))</f>
        <v>595.34</v>
      </c>
      <c r="M88" s="10" t="n">
        <f aca="false">INPUTS!$B$13*SUM(DEAD!$E88:$M88)+INPUTS!$B$14*(RED!M88*SUMPRODUCT((CLASS!$E88:$M88="RES")*1,LIVE!$E88:$M88)+IF(SUMPRODUCT((CLASS!$E88:$M88="GAR")*1)&gt;=2,INPUTS!$B$20,1)*SUMPRODUCT((CLASS!$E88:$M88="GAR")*1,LIVE!$E88:$M88)+SUMPRODUCT((CLASS!$E88:$M88="NR")*1,LIVE!$E88:$M88))</f>
        <v>595.34</v>
      </c>
      <c r="N88" s="10" t="n">
        <f aca="false">INPUTS!$B$13*SUM(DEAD!$E88:$N88)+INPUTS!$B$14*(RED!N88*SUMPRODUCT((CLASS!$E88:$N88="RES")*1,LIVE!$E88:$N88)+IF(SUMPRODUCT((CLASS!$E88:$N88="GAR")*1)&gt;=2,INPUTS!$B$20,1)*SUMPRODUCT((CLASS!$E88:$N88="GAR")*1,LIVE!$E88:$N88)+SUMPRODUCT((CLASS!$E88:$N88="NR")*1,LIVE!$E88:$N88))</f>
        <v>595.34</v>
      </c>
      <c r="O88" s="10" t="n">
        <f aca="false">INPUTS!$B$13*SUM(DEAD!$E88:$O88)+INPUTS!$B$14*(RED!O88*SUMPRODUCT((CLASS!$E88:$O88="RES")*1,LIVE!$E88:$O88)+IF(SUMPRODUCT((CLASS!$E88:$O88="GAR")*1)&gt;=2,INPUTS!$B$20,1)*SUMPRODUCT((CLASS!$E88:$O88="GAR")*1,LIVE!$E88:$O88)+SUMPRODUCT((CLASS!$E88:$O88="NR")*1,LIVE!$E88:$O88))</f>
        <v>595.34</v>
      </c>
      <c r="P88" s="10" t="n">
        <f aca="false">INPUTS!$B$13*SUM(DEAD!$E88:$P88)+INPUTS!$B$14*(RED!P88*SUMPRODUCT((CLASS!$E88:$P88="RES")*1,LIVE!$E88:$P88)+IF(SUMPRODUCT((CLASS!$E88:$P88="GAR")*1)&gt;=2,INPUTS!$B$20,1)*SUMPRODUCT((CLASS!$E88:$P88="GAR")*1,LIVE!$E88:$P88)+SUMPRODUCT((CLASS!$E88:$P88="NR")*1,LIVE!$E88:$P88))</f>
        <v>595.34</v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10" t="n">
        <f aca="false">INPUTS!$B$13*SUM(DEAD!$E89:$E89)+INPUTS!$B$14*(RED!E89*SUMPRODUCT((CLASS!$E89:$E89="RES")*1,LIVE!$E89:$E89)+IF(SUMPRODUCT((CLASS!$E89:$E89="GAR")*1)&gt;=2,INPUTS!$B$20,1)*SUMPRODUCT((CLASS!$E89:$E89="GAR")*1,LIVE!$E89:$E89)+SUMPRODUCT((CLASS!$E89:$E89="NR")*1,LIVE!$E89:$E89))</f>
        <v>138.825</v>
      </c>
      <c r="F89" s="10" t="n">
        <f aca="false">INPUTS!$B$13*SUM(DEAD!$E89:$F89)+INPUTS!$B$14*(RED!F89*SUMPRODUCT((CLASS!$E89:$F89="RES")*1,LIVE!$E89:$F89)+IF(SUMPRODUCT((CLASS!$E89:$F89="GAR")*1)&gt;=2,INPUTS!$B$20,1)*SUMPRODUCT((CLASS!$E89:$F89="GAR")*1,LIVE!$E89:$F89)+SUMPRODUCT((CLASS!$E89:$F89="NR")*1,LIVE!$E89:$F89))</f>
        <v>346.06</v>
      </c>
      <c r="G89" s="10" t="n">
        <f aca="false">INPUTS!$B$13*SUM(DEAD!$E89:$G89)+INPUTS!$B$14*(RED!G89*SUMPRODUCT((CLASS!$E89:$G89="RES")*1,LIVE!$E89:$G89)+IF(SUMPRODUCT((CLASS!$E89:$G89="GAR")*1)&gt;=2,INPUTS!$B$20,1)*SUMPRODUCT((CLASS!$E89:$G89="GAR")*1,LIVE!$E89:$G89)+SUMPRODUCT((CLASS!$E89:$G89="NR")*1,LIVE!$E89:$G89))</f>
        <v>475.411</v>
      </c>
      <c r="H89" s="10" t="n">
        <f aca="false">INPUTS!$B$13*SUM(DEAD!$E89:$H89)+INPUTS!$B$14*(RED!H89*SUMPRODUCT((CLASS!$E89:$H89="RES")*1,LIVE!$E89:$H89)+IF(SUMPRODUCT((CLASS!$E89:$H89="GAR")*1)&gt;=2,INPUTS!$B$20,1)*SUMPRODUCT((CLASS!$E89:$H89="GAR")*1,LIVE!$E89:$H89)+SUMPRODUCT((CLASS!$E89:$H89="NR")*1,LIVE!$E89:$H89))</f>
        <v>580.446</v>
      </c>
      <c r="I89" s="10" t="n">
        <f aca="false">INPUTS!$B$13*SUM(DEAD!$E89:$I89)+INPUTS!$B$14*(RED!I89*SUMPRODUCT((CLASS!$E89:$I89="RES")*1,LIVE!$E89:$I89)+IF(SUMPRODUCT((CLASS!$E89:$I89="GAR")*1)&gt;=2,INPUTS!$B$20,1)*SUMPRODUCT((CLASS!$E89:$I89="GAR")*1,LIVE!$E89:$I89)+SUMPRODUCT((CLASS!$E89:$I89="NR")*1,LIVE!$E89:$I89))</f>
        <v>674.6778</v>
      </c>
      <c r="J89" s="10" t="n">
        <f aca="false">INPUTS!$B$13*SUM(DEAD!$E89:$J89)+INPUTS!$B$14*(RED!J89*SUMPRODUCT((CLASS!$E89:$J89="RES")*1,LIVE!$E89:$J89)+IF(SUMPRODUCT((CLASS!$E89:$J89="GAR")*1)&gt;=2,INPUTS!$B$20,1)*SUMPRODUCT((CLASS!$E89:$J89="GAR")*1,LIVE!$E89:$J89)+SUMPRODUCT((CLASS!$E89:$J89="NR")*1,LIVE!$E89:$J89))</f>
        <v>763.52</v>
      </c>
      <c r="K89" s="10" t="n">
        <f aca="false">INPUTS!$B$13*SUM(DEAD!$E89:$K89)+INPUTS!$B$14*(RED!K89*SUMPRODUCT((CLASS!$E89:$K89="RES")*1,LIVE!$E89:$K89)+IF(SUMPRODUCT((CLASS!$E89:$K89="GAR")*1)&gt;=2,INPUTS!$B$20,1)*SUMPRODUCT((CLASS!$E89:$K89="GAR")*1,LIVE!$E89:$K89)+SUMPRODUCT((CLASS!$E89:$K89="NR")*1,LIVE!$E89:$K89))</f>
        <v>763.52</v>
      </c>
      <c r="L89" s="10" t="n">
        <f aca="false">INPUTS!$B$13*SUM(DEAD!$E89:$L89)+INPUTS!$B$14*(RED!L89*SUMPRODUCT((CLASS!$E89:$L89="RES")*1,LIVE!$E89:$L89)+IF(SUMPRODUCT((CLASS!$E89:$L89="GAR")*1)&gt;=2,INPUTS!$B$20,1)*SUMPRODUCT((CLASS!$E89:$L89="GAR")*1,LIVE!$E89:$L89)+SUMPRODUCT((CLASS!$E89:$L89="NR")*1,LIVE!$E89:$L89))</f>
        <v>763.52</v>
      </c>
      <c r="M89" s="10" t="n">
        <f aca="false">INPUTS!$B$13*SUM(DEAD!$E89:$M89)+INPUTS!$B$14*(RED!M89*SUMPRODUCT((CLASS!$E89:$M89="RES")*1,LIVE!$E89:$M89)+IF(SUMPRODUCT((CLASS!$E89:$M89="GAR")*1)&gt;=2,INPUTS!$B$20,1)*SUMPRODUCT((CLASS!$E89:$M89="GAR")*1,LIVE!$E89:$M89)+SUMPRODUCT((CLASS!$E89:$M89="NR")*1,LIVE!$E89:$M89))</f>
        <v>763.52</v>
      </c>
      <c r="N89" s="10" t="n">
        <f aca="false">INPUTS!$B$13*SUM(DEAD!$E89:$N89)+INPUTS!$B$14*(RED!N89*SUMPRODUCT((CLASS!$E89:$N89="RES")*1,LIVE!$E89:$N89)+IF(SUMPRODUCT((CLASS!$E89:$N89="GAR")*1)&gt;=2,INPUTS!$B$20,1)*SUMPRODUCT((CLASS!$E89:$N89="GAR")*1,LIVE!$E89:$N89)+SUMPRODUCT((CLASS!$E89:$N89="NR")*1,LIVE!$E89:$N89))</f>
        <v>763.52</v>
      </c>
      <c r="O89" s="10" t="n">
        <f aca="false">INPUTS!$B$13*SUM(DEAD!$E89:$O89)+INPUTS!$B$14*(RED!O89*SUMPRODUCT((CLASS!$E89:$O89="RES")*1,LIVE!$E89:$O89)+IF(SUMPRODUCT((CLASS!$E89:$O89="GAR")*1)&gt;=2,INPUTS!$B$20,1)*SUMPRODUCT((CLASS!$E89:$O89="GAR")*1,LIVE!$E89:$O89)+SUMPRODUCT((CLASS!$E89:$O89="NR")*1,LIVE!$E89:$O89))</f>
        <v>763.52</v>
      </c>
      <c r="P89" s="10" t="n">
        <f aca="false">INPUTS!$B$13*SUM(DEAD!$E89:$P89)+INPUTS!$B$14*(RED!P89*SUMPRODUCT((CLASS!$E89:$P89="RES")*1,LIVE!$E89:$P89)+IF(SUMPRODUCT((CLASS!$E89:$P89="GAR")*1)&gt;=2,INPUTS!$B$20,1)*SUMPRODUCT((CLASS!$E89:$P89="GAR")*1,LIVE!$E89:$P89)+SUMPRODUCT((CLASS!$E89:$P89="NR")*1,LIVE!$E89:$P89))</f>
        <v>763.52</v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10" t="n">
        <f aca="false">INPUTS!$B$13*SUM(DEAD!$E90:$E90)+INPUTS!$B$14*(RED!E90*SUMPRODUCT((CLASS!$E90:$E90="RES")*1,LIVE!$E90:$E90)+IF(SUMPRODUCT((CLASS!$E90:$E90="GAR")*1)&gt;=2,INPUTS!$B$20,1)*SUMPRODUCT((CLASS!$E90:$E90="GAR")*1,LIVE!$E90:$E90)+SUMPRODUCT((CLASS!$E90:$E90="NR")*1,LIVE!$E90:$E90))</f>
        <v>11.529</v>
      </c>
      <c r="F90" s="10" t="n">
        <f aca="false">INPUTS!$B$13*SUM(DEAD!$E90:$F90)+INPUTS!$B$14*(RED!F90*SUMPRODUCT((CLASS!$E90:$F90="RES")*1,LIVE!$E90:$F90)+IF(SUMPRODUCT((CLASS!$E90:$F90="GAR")*1)&gt;=2,INPUTS!$B$20,1)*SUMPRODUCT((CLASS!$E90:$F90="GAR")*1,LIVE!$E90:$F90)+SUMPRODUCT((CLASS!$E90:$F90="NR")*1,LIVE!$E90:$F90))</f>
        <v>26.04</v>
      </c>
      <c r="G90" s="10" t="n">
        <f aca="false">INPUTS!$B$13*SUM(DEAD!$E90:$G90)+INPUTS!$B$14*(RED!G90*SUMPRODUCT((CLASS!$E90:$G90="RES")*1,LIVE!$E90:$G90)+IF(SUMPRODUCT((CLASS!$E90:$G90="GAR")*1)&gt;=2,INPUTS!$B$20,1)*SUMPRODUCT((CLASS!$E90:$G90="GAR")*1,LIVE!$E90:$G90)+SUMPRODUCT((CLASS!$E90:$G90="NR")*1,LIVE!$E90:$G90))</f>
        <v>39.669</v>
      </c>
      <c r="H90" s="10" t="n">
        <f aca="false">INPUTS!$B$13*SUM(DEAD!$E90:$H90)+INPUTS!$B$14*(RED!H90*SUMPRODUCT((CLASS!$E90:$H90="RES")*1,LIVE!$E90:$H90)+IF(SUMPRODUCT((CLASS!$E90:$H90="GAR")*1)&gt;=2,INPUTS!$B$20,1)*SUMPRODUCT((CLASS!$E90:$H90="GAR")*1,LIVE!$E90:$H90)+SUMPRODUCT((CLASS!$E90:$H90="NR")*1,LIVE!$E90:$H90))</f>
        <v>50.904</v>
      </c>
      <c r="I90" s="10" t="n">
        <f aca="false">INPUTS!$B$13*SUM(DEAD!$E90:$I90)+INPUTS!$B$14*(RED!I90*SUMPRODUCT((CLASS!$E90:$I90="RES")*1,LIVE!$E90:$I90)+IF(SUMPRODUCT((CLASS!$E90:$I90="GAR")*1)&gt;=2,INPUTS!$B$20,1)*SUMPRODUCT((CLASS!$E90:$I90="GAR")*1,LIVE!$E90:$I90)+SUMPRODUCT((CLASS!$E90:$I90="NR")*1,LIVE!$E90:$I90))</f>
        <v>61.6014</v>
      </c>
      <c r="J90" s="10" t="n">
        <f aca="false">INPUTS!$B$13*SUM(DEAD!$E90:$J90)+INPUTS!$B$14*(RED!J90*SUMPRODUCT((CLASS!$E90:$J90="RES")*1,LIVE!$E90:$J90)+IF(SUMPRODUCT((CLASS!$E90:$J90="GAR")*1)&gt;=2,INPUTS!$B$20,1)*SUMPRODUCT((CLASS!$E90:$J90="GAR")*1,LIVE!$E90:$J90)+SUMPRODUCT((CLASS!$E90:$J90="NR")*1,LIVE!$E90:$J90))</f>
        <v>106.6972</v>
      </c>
      <c r="K90" s="10" t="n">
        <f aca="false">INPUTS!$B$13*SUM(DEAD!$E90:$K90)+INPUTS!$B$14*(RED!K90*SUMPRODUCT((CLASS!$E90:$K90="RES")*1,LIVE!$E90:$K90)+IF(SUMPRODUCT((CLASS!$E90:$K90="GAR")*1)&gt;=2,INPUTS!$B$20,1)*SUMPRODUCT((CLASS!$E90:$K90="GAR")*1,LIVE!$E90:$K90)+SUMPRODUCT((CLASS!$E90:$K90="NR")*1,LIVE!$E90:$K90))</f>
        <v>106.6972</v>
      </c>
      <c r="L90" s="10" t="n">
        <f aca="false">INPUTS!$B$13*SUM(DEAD!$E90:$L90)+INPUTS!$B$14*(RED!L90*SUMPRODUCT((CLASS!$E90:$L90="RES")*1,LIVE!$E90:$L90)+IF(SUMPRODUCT((CLASS!$E90:$L90="GAR")*1)&gt;=2,INPUTS!$B$20,1)*SUMPRODUCT((CLASS!$E90:$L90="GAR")*1,LIVE!$E90:$L90)+SUMPRODUCT((CLASS!$E90:$L90="NR")*1,LIVE!$E90:$L90))</f>
        <v>106.6972</v>
      </c>
      <c r="M90" s="10" t="n">
        <f aca="false">INPUTS!$B$13*SUM(DEAD!$E90:$M90)+INPUTS!$B$14*(RED!M90*SUMPRODUCT((CLASS!$E90:$M90="RES")*1,LIVE!$E90:$M90)+IF(SUMPRODUCT((CLASS!$E90:$M90="GAR")*1)&gt;=2,INPUTS!$B$20,1)*SUMPRODUCT((CLASS!$E90:$M90="GAR")*1,LIVE!$E90:$M90)+SUMPRODUCT((CLASS!$E90:$M90="NR")*1,LIVE!$E90:$M90))</f>
        <v>106.6972</v>
      </c>
      <c r="N90" s="10" t="n">
        <f aca="false">INPUTS!$B$13*SUM(DEAD!$E90:$N90)+INPUTS!$B$14*(RED!N90*SUMPRODUCT((CLASS!$E90:$N90="RES")*1,LIVE!$E90:$N90)+IF(SUMPRODUCT((CLASS!$E90:$N90="GAR")*1)&gt;=2,INPUTS!$B$20,1)*SUMPRODUCT((CLASS!$E90:$N90="GAR")*1,LIVE!$E90:$N90)+SUMPRODUCT((CLASS!$E90:$N90="NR")*1,LIVE!$E90:$N90))</f>
        <v>106.6972</v>
      </c>
      <c r="O90" s="10" t="n">
        <f aca="false">INPUTS!$B$13*SUM(DEAD!$E90:$O90)+INPUTS!$B$14*(RED!O90*SUMPRODUCT((CLASS!$E90:$O90="RES")*1,LIVE!$E90:$O90)+IF(SUMPRODUCT((CLASS!$E90:$O90="GAR")*1)&gt;=2,INPUTS!$B$20,1)*SUMPRODUCT((CLASS!$E90:$O90="GAR")*1,LIVE!$E90:$O90)+SUMPRODUCT((CLASS!$E90:$O90="NR")*1,LIVE!$E90:$O90))</f>
        <v>106.6972</v>
      </c>
      <c r="P90" s="10" t="n">
        <f aca="false">INPUTS!$B$13*SUM(DEAD!$E90:$P90)+INPUTS!$B$14*(RED!P90*SUMPRODUCT((CLASS!$E90:$P90="RES")*1,LIVE!$E90:$P90)+IF(SUMPRODUCT((CLASS!$E90:$P90="GAR")*1)&gt;=2,INPUTS!$B$20,1)*SUMPRODUCT((CLASS!$E90:$P90="GAR")*1,LIVE!$E90:$P90)+SUMPRODUCT((CLASS!$E90:$P90="NR")*1,LIVE!$E90:$P90))</f>
        <v>106.6972</v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10" t="n">
        <f aca="false">INPUTS!$B$13*SUM(DEAD!$E91:$E91)+INPUTS!$B$14*(RED!E91*SUMPRODUCT((CLASS!$E91:$E91="RES")*1,LIVE!$E91:$E91)+IF(SUMPRODUCT((CLASS!$E91:$E91="GAR")*1)&gt;=2,INPUTS!$B$20,1)*SUMPRODUCT((CLASS!$E91:$E91="GAR")*1,LIVE!$E91:$E91)+SUMPRODUCT((CLASS!$E91:$E91="NR")*1,LIVE!$E91:$E91))</f>
        <v>114.489</v>
      </c>
      <c r="F91" s="10" t="n">
        <f aca="false">INPUTS!$B$13*SUM(DEAD!$E91:$F91)+INPUTS!$B$14*(RED!F91*SUMPRODUCT((CLASS!$E91:$F91="RES")*1,LIVE!$E91:$F91)+IF(SUMPRODUCT((CLASS!$E91:$F91="GAR")*1)&gt;=2,INPUTS!$B$20,1)*SUMPRODUCT((CLASS!$E91:$F91="GAR")*1,LIVE!$E91:$F91)+SUMPRODUCT((CLASS!$E91:$F91="NR")*1,LIVE!$E91:$F91))</f>
        <v>281.24</v>
      </c>
      <c r="G91" s="10" t="n">
        <f aca="false">INPUTS!$B$13*SUM(DEAD!$E91:$G91)+INPUTS!$B$14*(RED!G91*SUMPRODUCT((CLASS!$E91:$G91="RES")*1,LIVE!$E91:$G91)+IF(SUMPRODUCT((CLASS!$E91:$G91="GAR")*1)&gt;=2,INPUTS!$B$20,1)*SUMPRODUCT((CLASS!$E91:$G91="GAR")*1,LIVE!$E91:$G91)+SUMPRODUCT((CLASS!$E91:$G91="NR")*1,LIVE!$E91:$G91))</f>
        <v>448.843</v>
      </c>
      <c r="H91" s="10" t="n">
        <f aca="false">INPUTS!$B$13*SUM(DEAD!$E91:$H91)+INPUTS!$B$14*(RED!H91*SUMPRODUCT((CLASS!$E91:$H91="RES")*1,LIVE!$E91:$H91)+IF(SUMPRODUCT((CLASS!$E91:$H91="GAR")*1)&gt;=2,INPUTS!$B$20,1)*SUMPRODUCT((CLASS!$E91:$H91="GAR")*1,LIVE!$E91:$H91)+SUMPRODUCT((CLASS!$E91:$H91="NR")*1,LIVE!$E91:$H91))</f>
        <v>561.498</v>
      </c>
      <c r="I91" s="10" t="n">
        <f aca="false">INPUTS!$B$13*SUM(DEAD!$E91:$I91)+INPUTS!$B$14*(RED!I91*SUMPRODUCT((CLASS!$E91:$I91="RES")*1,LIVE!$E91:$I91)+IF(SUMPRODUCT((CLASS!$E91:$I91="GAR")*1)&gt;=2,INPUTS!$B$20,1)*SUMPRODUCT((CLASS!$E91:$I91="GAR")*1,LIVE!$E91:$I91)+SUMPRODUCT((CLASS!$E91:$I91="NR")*1,LIVE!$E91:$I91))</f>
        <v>662.2282</v>
      </c>
      <c r="J91" s="10" t="n">
        <f aca="false">INPUTS!$B$13*SUM(DEAD!$E91:$J91)+INPUTS!$B$14*(RED!J91*SUMPRODUCT((CLASS!$E91:$J91="RES")*1,LIVE!$E91:$J91)+IF(SUMPRODUCT((CLASS!$E91:$J91="GAR")*1)&gt;=2,INPUTS!$B$20,1)*SUMPRODUCT((CLASS!$E91:$J91="GAR")*1,LIVE!$E91:$J91)+SUMPRODUCT((CLASS!$E91:$J91="NR")*1,LIVE!$E91:$J91))</f>
        <v>742.7552</v>
      </c>
      <c r="K91" s="10" t="n">
        <f aca="false">INPUTS!$B$13*SUM(DEAD!$E91:$K91)+INPUTS!$B$14*(RED!K91*SUMPRODUCT((CLASS!$E91:$K91="RES")*1,LIVE!$E91:$K91)+IF(SUMPRODUCT((CLASS!$E91:$K91="GAR")*1)&gt;=2,INPUTS!$B$20,1)*SUMPRODUCT((CLASS!$E91:$K91="GAR")*1,LIVE!$E91:$K91)+SUMPRODUCT((CLASS!$E91:$K91="NR")*1,LIVE!$E91:$K91))</f>
        <v>742.7552</v>
      </c>
      <c r="L91" s="10" t="n">
        <f aca="false">INPUTS!$B$13*SUM(DEAD!$E91:$L91)+INPUTS!$B$14*(RED!L91*SUMPRODUCT((CLASS!$E91:$L91="RES")*1,LIVE!$E91:$L91)+IF(SUMPRODUCT((CLASS!$E91:$L91="GAR")*1)&gt;=2,INPUTS!$B$20,1)*SUMPRODUCT((CLASS!$E91:$L91="GAR")*1,LIVE!$E91:$L91)+SUMPRODUCT((CLASS!$E91:$L91="NR")*1,LIVE!$E91:$L91))</f>
        <v>742.7552</v>
      </c>
      <c r="M91" s="10" t="n">
        <f aca="false">INPUTS!$B$13*SUM(DEAD!$E91:$M91)+INPUTS!$B$14*(RED!M91*SUMPRODUCT((CLASS!$E91:$M91="RES")*1,LIVE!$E91:$M91)+IF(SUMPRODUCT((CLASS!$E91:$M91="GAR")*1)&gt;=2,INPUTS!$B$20,1)*SUMPRODUCT((CLASS!$E91:$M91="GAR")*1,LIVE!$E91:$M91)+SUMPRODUCT((CLASS!$E91:$M91="NR")*1,LIVE!$E91:$M91))</f>
        <v>742.7552</v>
      </c>
      <c r="N91" s="10" t="n">
        <f aca="false">INPUTS!$B$13*SUM(DEAD!$E91:$N91)+INPUTS!$B$14*(RED!N91*SUMPRODUCT((CLASS!$E91:$N91="RES")*1,LIVE!$E91:$N91)+IF(SUMPRODUCT((CLASS!$E91:$N91="GAR")*1)&gt;=2,INPUTS!$B$20,1)*SUMPRODUCT((CLASS!$E91:$N91="GAR")*1,LIVE!$E91:$N91)+SUMPRODUCT((CLASS!$E91:$N91="NR")*1,LIVE!$E91:$N91))</f>
        <v>742.7552</v>
      </c>
      <c r="O91" s="10" t="n">
        <f aca="false">INPUTS!$B$13*SUM(DEAD!$E91:$O91)+INPUTS!$B$14*(RED!O91*SUMPRODUCT((CLASS!$E91:$O91="RES")*1,LIVE!$E91:$O91)+IF(SUMPRODUCT((CLASS!$E91:$O91="GAR")*1)&gt;=2,INPUTS!$B$20,1)*SUMPRODUCT((CLASS!$E91:$O91="GAR")*1,LIVE!$E91:$O91)+SUMPRODUCT((CLASS!$E91:$O91="NR")*1,LIVE!$E91:$O91))</f>
        <v>742.7552</v>
      </c>
      <c r="P91" s="10" t="n">
        <f aca="false">INPUTS!$B$13*SUM(DEAD!$E91:$P91)+INPUTS!$B$14*(RED!P91*SUMPRODUCT((CLASS!$E91:$P91="RES")*1,LIVE!$E91:$P91)+IF(SUMPRODUCT((CLASS!$E91:$P91="GAR")*1)&gt;=2,INPUTS!$B$20,1)*SUMPRODUCT((CLASS!$E91:$P91="GAR")*1,LIVE!$E91:$P91)+SUMPRODUCT((CLASS!$E91:$P91="NR")*1,LIVE!$E91:$P91))</f>
        <v>742.7552</v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10" t="n">
        <f aca="false">INPUTS!$B$13*SUM(DEAD!$E92:$E92)+INPUTS!$B$14*(RED!E92*SUMPRODUCT((CLASS!$E92:$E92="RES")*1,LIVE!$E92:$E92)+IF(SUMPRODUCT((CLASS!$E92:$E92="GAR")*1)&gt;=2,INPUTS!$B$20,1)*SUMPRODUCT((CLASS!$E92:$E92="GAR")*1,LIVE!$E92:$E92)+SUMPRODUCT((CLASS!$E92:$E92="NR")*1,LIVE!$E92:$E92))</f>
        <v>145.611</v>
      </c>
      <c r="F92" s="10" t="n">
        <f aca="false">INPUTS!$B$13*SUM(DEAD!$E92:$F92)+INPUTS!$B$14*(RED!F92*SUMPRODUCT((CLASS!$E92:$F92="RES")*1,LIVE!$E92:$F92)+IF(SUMPRODUCT((CLASS!$E92:$F92="GAR")*1)&gt;=2,INPUTS!$B$20,1)*SUMPRODUCT((CLASS!$E92:$F92="GAR")*1,LIVE!$E92:$F92)+SUMPRODUCT((CLASS!$E92:$F92="NR")*1,LIVE!$E92:$F92))</f>
        <v>358.38</v>
      </c>
      <c r="G92" s="10" t="n">
        <f aca="false">INPUTS!$B$13*SUM(DEAD!$E92:$G92)+INPUTS!$B$14*(RED!G92*SUMPRODUCT((CLASS!$E92:$G92="RES")*1,LIVE!$E92:$G92)+IF(SUMPRODUCT((CLASS!$E92:$G92="GAR")*1)&gt;=2,INPUTS!$B$20,1)*SUMPRODUCT((CLASS!$E92:$G92="GAR")*1,LIVE!$E92:$G92)+SUMPRODUCT((CLASS!$E92:$G92="NR")*1,LIVE!$E92:$G92))</f>
        <v>563.391</v>
      </c>
      <c r="H92" s="10" t="n">
        <f aca="false">INPUTS!$B$13*SUM(DEAD!$E92:$H92)+INPUTS!$B$14*(RED!H92*SUMPRODUCT((CLASS!$E92:$H92="RES")*1,LIVE!$E92:$H92)+IF(SUMPRODUCT((CLASS!$E92:$H92="GAR")*1)&gt;=2,INPUTS!$B$20,1)*SUMPRODUCT((CLASS!$E92:$H92="GAR")*1,LIVE!$E92:$H92)+SUMPRODUCT((CLASS!$E92:$H92="NR")*1,LIVE!$E92:$H92))</f>
        <v>700.686</v>
      </c>
      <c r="I92" s="10" t="n">
        <f aca="false">INPUTS!$B$13*SUM(DEAD!$E92:$I92)+INPUTS!$B$14*(RED!I92*SUMPRODUCT((CLASS!$E92:$I92="RES")*1,LIVE!$E92:$I92)+IF(SUMPRODUCT((CLASS!$E92:$I92="GAR")*1)&gt;=2,INPUTS!$B$20,1)*SUMPRODUCT((CLASS!$E92:$I92="GAR")*1,LIVE!$E92:$I92)+SUMPRODUCT((CLASS!$E92:$I92="NR")*1,LIVE!$E92:$I92))</f>
        <v>822.7746</v>
      </c>
      <c r="J92" s="10" t="n">
        <f aca="false">INPUTS!$B$13*SUM(DEAD!$E92:$J92)+INPUTS!$B$14*(RED!J92*SUMPRODUCT((CLASS!$E92:$J92="RES")*1,LIVE!$E92:$J92)+IF(SUMPRODUCT((CLASS!$E92:$J92="GAR")*1)&gt;=2,INPUTS!$B$20,1)*SUMPRODUCT((CLASS!$E92:$J92="GAR")*1,LIVE!$E92:$J92)+SUMPRODUCT((CLASS!$E92:$J92="NR")*1,LIVE!$E92:$J92))</f>
        <v>822.7746</v>
      </c>
      <c r="K92" s="10" t="n">
        <f aca="false">INPUTS!$B$13*SUM(DEAD!$E92:$K92)+INPUTS!$B$14*(RED!K92*SUMPRODUCT((CLASS!$E92:$K92="RES")*1,LIVE!$E92:$K92)+IF(SUMPRODUCT((CLASS!$E92:$K92="GAR")*1)&gt;=2,INPUTS!$B$20,1)*SUMPRODUCT((CLASS!$E92:$K92="GAR")*1,LIVE!$E92:$K92)+SUMPRODUCT((CLASS!$E92:$K92="NR")*1,LIVE!$E92:$K92))</f>
        <v>822.7746</v>
      </c>
      <c r="L92" s="10" t="n">
        <f aca="false">INPUTS!$B$13*SUM(DEAD!$E92:$L92)+INPUTS!$B$14*(RED!L92*SUMPRODUCT((CLASS!$E92:$L92="RES")*1,LIVE!$E92:$L92)+IF(SUMPRODUCT((CLASS!$E92:$L92="GAR")*1)&gt;=2,INPUTS!$B$20,1)*SUMPRODUCT((CLASS!$E92:$L92="GAR")*1,LIVE!$E92:$L92)+SUMPRODUCT((CLASS!$E92:$L92="NR")*1,LIVE!$E92:$L92))</f>
        <v>822.7746</v>
      </c>
      <c r="M92" s="10" t="n">
        <f aca="false">INPUTS!$B$13*SUM(DEAD!$E92:$M92)+INPUTS!$B$14*(RED!M92*SUMPRODUCT((CLASS!$E92:$M92="RES")*1,LIVE!$E92:$M92)+IF(SUMPRODUCT((CLASS!$E92:$M92="GAR")*1)&gt;=2,INPUTS!$B$20,1)*SUMPRODUCT((CLASS!$E92:$M92="GAR")*1,LIVE!$E92:$M92)+SUMPRODUCT((CLASS!$E92:$M92="NR")*1,LIVE!$E92:$M92))</f>
        <v>822.7746</v>
      </c>
      <c r="N92" s="10" t="n">
        <f aca="false">INPUTS!$B$13*SUM(DEAD!$E92:$N92)+INPUTS!$B$14*(RED!N92*SUMPRODUCT((CLASS!$E92:$N92="RES")*1,LIVE!$E92:$N92)+IF(SUMPRODUCT((CLASS!$E92:$N92="GAR")*1)&gt;=2,INPUTS!$B$20,1)*SUMPRODUCT((CLASS!$E92:$N92="GAR")*1,LIVE!$E92:$N92)+SUMPRODUCT((CLASS!$E92:$N92="NR")*1,LIVE!$E92:$N92))</f>
        <v>822.7746</v>
      </c>
      <c r="O92" s="10" t="n">
        <f aca="false">INPUTS!$B$13*SUM(DEAD!$E92:$O92)+INPUTS!$B$14*(RED!O92*SUMPRODUCT((CLASS!$E92:$O92="RES")*1,LIVE!$E92:$O92)+IF(SUMPRODUCT((CLASS!$E92:$O92="GAR")*1)&gt;=2,INPUTS!$B$20,1)*SUMPRODUCT((CLASS!$E92:$O92="GAR")*1,LIVE!$E92:$O92)+SUMPRODUCT((CLASS!$E92:$O92="NR")*1,LIVE!$E92:$O92))</f>
        <v>822.7746</v>
      </c>
      <c r="P92" s="10" t="n">
        <f aca="false">INPUTS!$B$13*SUM(DEAD!$E92:$P92)+INPUTS!$B$14*(RED!P92*SUMPRODUCT((CLASS!$E92:$P92="RES")*1,LIVE!$E92:$P92)+IF(SUMPRODUCT((CLASS!$E92:$P92="GAR")*1)&gt;=2,INPUTS!$B$20,1)*SUMPRODUCT((CLASS!$E92:$P92="GAR")*1,LIVE!$E92:$P92)+SUMPRODUCT((CLASS!$E92:$P92="NR")*1,LIVE!$E92:$P92))</f>
        <v>822.7746</v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10" t="n">
        <f aca="false">INPUTS!$B$13*SUM(DEAD!$E93:$E93)+INPUTS!$B$14*(RED!E93*SUMPRODUCT((CLASS!$E93:$E93="RES")*1,LIVE!$E93:$E93)+IF(SUMPRODUCT((CLASS!$E93:$E93="GAR")*1)&gt;=2,INPUTS!$B$20,1)*SUMPRODUCT((CLASS!$E93:$E93="GAR")*1,LIVE!$E93:$E93)+SUMPRODUCT((CLASS!$E93:$E93="NR")*1,LIVE!$E93:$E93))</f>
        <v>145.611</v>
      </c>
      <c r="F93" s="10" t="n">
        <f aca="false">INPUTS!$B$13*SUM(DEAD!$E93:$F93)+INPUTS!$B$14*(RED!F93*SUMPRODUCT((CLASS!$E93:$F93="RES")*1,LIVE!$E93:$F93)+IF(SUMPRODUCT((CLASS!$E93:$F93="GAR")*1)&gt;=2,INPUTS!$B$20,1)*SUMPRODUCT((CLASS!$E93:$F93="GAR")*1,LIVE!$E93:$F93)+SUMPRODUCT((CLASS!$E93:$F93="NR")*1,LIVE!$E93:$F93))</f>
        <v>358.38</v>
      </c>
      <c r="G93" s="10" t="n">
        <f aca="false">INPUTS!$B$13*SUM(DEAD!$E93:$G93)+INPUTS!$B$14*(RED!G93*SUMPRODUCT((CLASS!$E93:$G93="RES")*1,LIVE!$E93:$G93)+IF(SUMPRODUCT((CLASS!$E93:$G93="GAR")*1)&gt;=2,INPUTS!$B$20,1)*SUMPRODUCT((CLASS!$E93:$G93="GAR")*1,LIVE!$E93:$G93)+SUMPRODUCT((CLASS!$E93:$G93="NR")*1,LIVE!$E93:$G93))</f>
        <v>563.263</v>
      </c>
      <c r="H93" s="10" t="n">
        <f aca="false">INPUTS!$B$13*SUM(DEAD!$E93:$H93)+INPUTS!$B$14*(RED!H93*SUMPRODUCT((CLASS!$E93:$H93="RES")*1,LIVE!$E93:$H93)+IF(SUMPRODUCT((CLASS!$E93:$H93="GAR")*1)&gt;=2,INPUTS!$B$20,1)*SUMPRODUCT((CLASS!$E93:$H93="GAR")*1,LIVE!$E93:$H93)+SUMPRODUCT((CLASS!$E93:$H93="NR")*1,LIVE!$E93:$H93))</f>
        <v>700.558</v>
      </c>
      <c r="I93" s="10" t="n">
        <f aca="false">INPUTS!$B$13*SUM(DEAD!$E93:$I93)+INPUTS!$B$14*(RED!I93*SUMPRODUCT((CLASS!$E93:$I93="RES")*1,LIVE!$E93:$I93)+IF(SUMPRODUCT((CLASS!$E93:$I93="GAR")*1)&gt;=2,INPUTS!$B$20,1)*SUMPRODUCT((CLASS!$E93:$I93="GAR")*1,LIVE!$E93:$I93)+SUMPRODUCT((CLASS!$E93:$I93="NR")*1,LIVE!$E93:$I93))</f>
        <v>822.6466</v>
      </c>
      <c r="J93" s="10" t="n">
        <f aca="false">INPUTS!$B$13*SUM(DEAD!$E93:$J93)+INPUTS!$B$14*(RED!J93*SUMPRODUCT((CLASS!$E93:$J93="RES")*1,LIVE!$E93:$J93)+IF(SUMPRODUCT((CLASS!$E93:$J93="GAR")*1)&gt;=2,INPUTS!$B$20,1)*SUMPRODUCT((CLASS!$E93:$J93="GAR")*1,LIVE!$E93:$J93)+SUMPRODUCT((CLASS!$E93:$J93="NR")*1,LIVE!$E93:$J93))</f>
        <v>822.6466</v>
      </c>
      <c r="K93" s="10" t="n">
        <f aca="false">INPUTS!$B$13*SUM(DEAD!$E93:$K93)+INPUTS!$B$14*(RED!K93*SUMPRODUCT((CLASS!$E93:$K93="RES")*1,LIVE!$E93:$K93)+IF(SUMPRODUCT((CLASS!$E93:$K93="GAR")*1)&gt;=2,INPUTS!$B$20,1)*SUMPRODUCT((CLASS!$E93:$K93="GAR")*1,LIVE!$E93:$K93)+SUMPRODUCT((CLASS!$E93:$K93="NR")*1,LIVE!$E93:$K93))</f>
        <v>822.6466</v>
      </c>
      <c r="L93" s="10" t="n">
        <f aca="false">INPUTS!$B$13*SUM(DEAD!$E93:$L93)+INPUTS!$B$14*(RED!L93*SUMPRODUCT((CLASS!$E93:$L93="RES")*1,LIVE!$E93:$L93)+IF(SUMPRODUCT((CLASS!$E93:$L93="GAR")*1)&gt;=2,INPUTS!$B$20,1)*SUMPRODUCT((CLASS!$E93:$L93="GAR")*1,LIVE!$E93:$L93)+SUMPRODUCT((CLASS!$E93:$L93="NR")*1,LIVE!$E93:$L93))</f>
        <v>822.6466</v>
      </c>
      <c r="M93" s="10" t="n">
        <f aca="false">INPUTS!$B$13*SUM(DEAD!$E93:$M93)+INPUTS!$B$14*(RED!M93*SUMPRODUCT((CLASS!$E93:$M93="RES")*1,LIVE!$E93:$M93)+IF(SUMPRODUCT((CLASS!$E93:$M93="GAR")*1)&gt;=2,INPUTS!$B$20,1)*SUMPRODUCT((CLASS!$E93:$M93="GAR")*1,LIVE!$E93:$M93)+SUMPRODUCT((CLASS!$E93:$M93="NR")*1,LIVE!$E93:$M93))</f>
        <v>822.6466</v>
      </c>
      <c r="N93" s="10" t="n">
        <f aca="false">INPUTS!$B$13*SUM(DEAD!$E93:$N93)+INPUTS!$B$14*(RED!N93*SUMPRODUCT((CLASS!$E93:$N93="RES")*1,LIVE!$E93:$N93)+IF(SUMPRODUCT((CLASS!$E93:$N93="GAR")*1)&gt;=2,INPUTS!$B$20,1)*SUMPRODUCT((CLASS!$E93:$N93="GAR")*1,LIVE!$E93:$N93)+SUMPRODUCT((CLASS!$E93:$N93="NR")*1,LIVE!$E93:$N93))</f>
        <v>822.6466</v>
      </c>
      <c r="O93" s="10" t="n">
        <f aca="false">INPUTS!$B$13*SUM(DEAD!$E93:$O93)+INPUTS!$B$14*(RED!O93*SUMPRODUCT((CLASS!$E93:$O93="RES")*1,LIVE!$E93:$O93)+IF(SUMPRODUCT((CLASS!$E93:$O93="GAR")*1)&gt;=2,INPUTS!$B$20,1)*SUMPRODUCT((CLASS!$E93:$O93="GAR")*1,LIVE!$E93:$O93)+SUMPRODUCT((CLASS!$E93:$O93="NR")*1,LIVE!$E93:$O93))</f>
        <v>822.6466</v>
      </c>
      <c r="P93" s="10" t="n">
        <f aca="false">INPUTS!$B$13*SUM(DEAD!$E93:$P93)+INPUTS!$B$14*(RED!P93*SUMPRODUCT((CLASS!$E93:$P93="RES")*1,LIVE!$E93:$P93)+IF(SUMPRODUCT((CLASS!$E93:$P93="GAR")*1)&gt;=2,INPUTS!$B$20,1)*SUMPRODUCT((CLASS!$E93:$P93="GAR")*1,LIVE!$E93:$P93)+SUMPRODUCT((CLASS!$E93:$P93="NR")*1,LIVE!$E93:$P93))</f>
        <v>822.6466</v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10" t="n">
        <f aca="false">INPUTS!$B$13*SUM(DEAD!$E94:$E94)+INPUTS!$B$14*(RED!E94*SUMPRODUCT((CLASS!$E94:$E94="RES")*1,LIVE!$E94:$E94)+IF(SUMPRODUCT((CLASS!$E94:$E94="GAR")*1)&gt;=2,INPUTS!$B$20,1)*SUMPRODUCT((CLASS!$E94:$E94="GAR")*1,LIVE!$E94:$E94)+SUMPRODUCT((CLASS!$E94:$E94="NR")*1,LIVE!$E94:$E94))</f>
        <v>8.253</v>
      </c>
      <c r="F94" s="10" t="n">
        <f aca="false">INPUTS!$B$13*SUM(DEAD!$E94:$F94)+INPUTS!$B$14*(RED!F94*SUMPRODUCT((CLASS!$E94:$F94="RES")*1,LIVE!$E94:$F94)+IF(SUMPRODUCT((CLASS!$E94:$F94="GAR")*1)&gt;=2,INPUTS!$B$20,1)*SUMPRODUCT((CLASS!$E94:$F94="GAR")*1,LIVE!$E94:$F94)+SUMPRODUCT((CLASS!$E94:$F94="NR")*1,LIVE!$E94:$F94))</f>
        <v>17.92</v>
      </c>
      <c r="G94" s="10" t="n">
        <f aca="false">INPUTS!$B$13*SUM(DEAD!$E94:$G94)+INPUTS!$B$14*(RED!G94*SUMPRODUCT((CLASS!$E94:$G94="RES")*1,LIVE!$E94:$G94)+IF(SUMPRODUCT((CLASS!$E94:$G94="GAR")*1)&gt;=2,INPUTS!$B$20,1)*SUMPRODUCT((CLASS!$E94:$G94="GAR")*1,LIVE!$E94:$G94)+SUMPRODUCT((CLASS!$E94:$G94="NR")*1,LIVE!$E94:$G94))</f>
        <v>55.263</v>
      </c>
      <c r="H94" s="10" t="n">
        <f aca="false">INPUTS!$B$13*SUM(DEAD!$E94:$H94)+INPUTS!$B$14*(RED!H94*SUMPRODUCT((CLASS!$E94:$H94="RES")*1,LIVE!$E94:$H94)+IF(SUMPRODUCT((CLASS!$E94:$H94="GAR")*1)&gt;=2,INPUTS!$B$20,1)*SUMPRODUCT((CLASS!$E94:$H94="GAR")*1,LIVE!$E94:$H94)+SUMPRODUCT((CLASS!$E94:$H94="NR")*1,LIVE!$E94:$H94))</f>
        <v>82.118</v>
      </c>
      <c r="I94" s="10" t="n">
        <f aca="false">INPUTS!$B$13*SUM(DEAD!$E94:$I94)+INPUTS!$B$14*(RED!I94*SUMPRODUCT((CLASS!$E94:$I94="RES")*1,LIVE!$E94:$I94)+IF(SUMPRODUCT((CLASS!$E94:$I94="GAR")*1)&gt;=2,INPUTS!$B$20,1)*SUMPRODUCT((CLASS!$E94:$I94="GAR")*1,LIVE!$E94:$I94)+SUMPRODUCT((CLASS!$E94:$I94="NR")*1,LIVE!$E94:$I94))</f>
        <v>111.1762</v>
      </c>
      <c r="J94" s="10" t="n">
        <f aca="false">INPUTS!$B$13*SUM(DEAD!$E94:$J94)+INPUTS!$B$14*(RED!J94*SUMPRODUCT((CLASS!$E94:$J94="RES")*1,LIVE!$E94:$J94)+IF(SUMPRODUCT((CLASS!$E94:$J94="GAR")*1)&gt;=2,INPUTS!$B$20,1)*SUMPRODUCT((CLASS!$E94:$J94="GAR")*1,LIVE!$E94:$J94)+SUMPRODUCT((CLASS!$E94:$J94="NR")*1,LIVE!$E94:$J94))</f>
        <v>299.9936</v>
      </c>
      <c r="K94" s="10" t="n">
        <f aca="false">INPUTS!$B$13*SUM(DEAD!$E94:$K94)+INPUTS!$B$14*(RED!K94*SUMPRODUCT((CLASS!$E94:$K94="RES")*1,LIVE!$E94:$K94)+IF(SUMPRODUCT((CLASS!$E94:$K94="GAR")*1)&gt;=2,INPUTS!$B$20,1)*SUMPRODUCT((CLASS!$E94:$K94="GAR")*1,LIVE!$E94:$K94)+SUMPRODUCT((CLASS!$E94:$K94="NR")*1,LIVE!$E94:$K94))</f>
        <v>299.9936</v>
      </c>
      <c r="L94" s="10" t="n">
        <f aca="false">INPUTS!$B$13*SUM(DEAD!$E94:$L94)+INPUTS!$B$14*(RED!L94*SUMPRODUCT((CLASS!$E94:$L94="RES")*1,LIVE!$E94:$L94)+IF(SUMPRODUCT((CLASS!$E94:$L94="GAR")*1)&gt;=2,INPUTS!$B$20,1)*SUMPRODUCT((CLASS!$E94:$L94="GAR")*1,LIVE!$E94:$L94)+SUMPRODUCT((CLASS!$E94:$L94="NR")*1,LIVE!$E94:$L94))</f>
        <v>299.9936</v>
      </c>
      <c r="M94" s="10" t="n">
        <f aca="false">INPUTS!$B$13*SUM(DEAD!$E94:$M94)+INPUTS!$B$14*(RED!M94*SUMPRODUCT((CLASS!$E94:$M94="RES")*1,LIVE!$E94:$M94)+IF(SUMPRODUCT((CLASS!$E94:$M94="GAR")*1)&gt;=2,INPUTS!$B$20,1)*SUMPRODUCT((CLASS!$E94:$M94="GAR")*1,LIVE!$E94:$M94)+SUMPRODUCT((CLASS!$E94:$M94="NR")*1,LIVE!$E94:$M94))</f>
        <v>299.9936</v>
      </c>
      <c r="N94" s="10" t="n">
        <f aca="false">INPUTS!$B$13*SUM(DEAD!$E94:$N94)+INPUTS!$B$14*(RED!N94*SUMPRODUCT((CLASS!$E94:$N94="RES")*1,LIVE!$E94:$N94)+IF(SUMPRODUCT((CLASS!$E94:$N94="GAR")*1)&gt;=2,INPUTS!$B$20,1)*SUMPRODUCT((CLASS!$E94:$N94="GAR")*1,LIVE!$E94:$N94)+SUMPRODUCT((CLASS!$E94:$N94="NR")*1,LIVE!$E94:$N94))</f>
        <v>299.9936</v>
      </c>
      <c r="O94" s="10" t="n">
        <f aca="false">INPUTS!$B$13*SUM(DEAD!$E94:$O94)+INPUTS!$B$14*(RED!O94*SUMPRODUCT((CLASS!$E94:$O94="RES")*1,LIVE!$E94:$O94)+IF(SUMPRODUCT((CLASS!$E94:$O94="GAR")*1)&gt;=2,INPUTS!$B$20,1)*SUMPRODUCT((CLASS!$E94:$O94="GAR")*1,LIVE!$E94:$O94)+SUMPRODUCT((CLASS!$E94:$O94="NR")*1,LIVE!$E94:$O94))</f>
        <v>299.9936</v>
      </c>
      <c r="P94" s="10" t="n">
        <f aca="false">INPUTS!$B$13*SUM(DEAD!$E94:$P94)+INPUTS!$B$14*(RED!P94*SUMPRODUCT((CLASS!$E94:$P94="RES")*1,LIVE!$E94:$P94)+IF(SUMPRODUCT((CLASS!$E94:$P94="GAR")*1)&gt;=2,INPUTS!$B$20,1)*SUMPRODUCT((CLASS!$E94:$P94="GAR")*1,LIVE!$E94:$P94)+SUMPRODUCT((CLASS!$E94:$P94="NR")*1,LIVE!$E94:$P94))</f>
        <v>299.9936</v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10" t="n">
        <f aca="false">INPUTS!$B$13*SUM(DEAD!$E95:$E95)+INPUTS!$B$14*(RED!E95*SUMPRODUCT((CLASS!$E95:$E95="RES")*1,LIVE!$E95:$E95)+IF(SUMPRODUCT((CLASS!$E95:$E95="GAR")*1)&gt;=2,INPUTS!$B$20,1)*SUMPRODUCT((CLASS!$E95:$E95="GAR")*1,LIVE!$E95:$E95)+SUMPRODUCT((CLASS!$E95:$E95="NR")*1,LIVE!$E95:$E95))</f>
        <v>97.407</v>
      </c>
      <c r="F95" s="10" t="n">
        <f aca="false">INPUTS!$B$13*SUM(DEAD!$E95:$F95)+INPUTS!$B$14*(RED!F95*SUMPRODUCT((CLASS!$E95:$F95="RES")*1,LIVE!$E95:$F95)+IF(SUMPRODUCT((CLASS!$E95:$F95="GAR")*1)&gt;=2,INPUTS!$B$20,1)*SUMPRODUCT((CLASS!$E95:$F95="GAR")*1,LIVE!$E95:$F95)+SUMPRODUCT((CLASS!$E95:$F95="NR")*1,LIVE!$E95:$F95))</f>
        <v>241.96</v>
      </c>
      <c r="G95" s="10" t="n">
        <f aca="false">INPUTS!$B$13*SUM(DEAD!$E95:$G95)+INPUTS!$B$14*(RED!G95*SUMPRODUCT((CLASS!$E95:$G95="RES")*1,LIVE!$E95:$G95)+IF(SUMPRODUCT((CLASS!$E95:$G95="GAR")*1)&gt;=2,INPUTS!$B$20,1)*SUMPRODUCT((CLASS!$E95:$G95="GAR")*1,LIVE!$E95:$G95)+SUMPRODUCT((CLASS!$E95:$G95="NR")*1,LIVE!$E95:$G95))</f>
        <v>335.469</v>
      </c>
      <c r="H95" s="10" t="n">
        <f aca="false">INPUTS!$B$13*SUM(DEAD!$E95:$H95)+INPUTS!$B$14*(RED!H95*SUMPRODUCT((CLASS!$E95:$H95="RES")*1,LIVE!$E95:$H95)+IF(SUMPRODUCT((CLASS!$E95:$H95="GAR")*1)&gt;=2,INPUTS!$B$20,1)*SUMPRODUCT((CLASS!$E95:$H95="GAR")*1,LIVE!$E95:$H95)+SUMPRODUCT((CLASS!$E95:$H95="NR")*1,LIVE!$E95:$H95))</f>
        <v>416.184</v>
      </c>
      <c r="I95" s="10" t="n">
        <f aca="false">INPUTS!$B$13*SUM(DEAD!$E95:$I95)+INPUTS!$B$14*(RED!I95*SUMPRODUCT((CLASS!$E95:$I95="RES")*1,LIVE!$E95:$I95)+IF(SUMPRODUCT((CLASS!$E95:$I95="GAR")*1)&gt;=2,INPUTS!$B$20,1)*SUMPRODUCT((CLASS!$E95:$I95="GAR")*1,LIVE!$E95:$I95)+SUMPRODUCT((CLASS!$E95:$I95="NR")*1,LIVE!$E95:$I95))</f>
        <v>488.7582</v>
      </c>
      <c r="J95" s="10" t="n">
        <f aca="false">INPUTS!$B$13*SUM(DEAD!$E95:$J95)+INPUTS!$B$14*(RED!J95*SUMPRODUCT((CLASS!$E95:$J95="RES")*1,LIVE!$E95:$J95)+IF(SUMPRODUCT((CLASS!$E95:$J95="GAR")*1)&gt;=2,INPUTS!$B$20,1)*SUMPRODUCT((CLASS!$E95:$J95="GAR")*1,LIVE!$E95:$J95)+SUMPRODUCT((CLASS!$E95:$J95="NR")*1,LIVE!$E95:$J95))</f>
        <v>661.91</v>
      </c>
      <c r="K95" s="10" t="n">
        <f aca="false">INPUTS!$B$13*SUM(DEAD!$E95:$K95)+INPUTS!$B$14*(RED!K95*SUMPRODUCT((CLASS!$E95:$K95="RES")*1,LIVE!$E95:$K95)+IF(SUMPRODUCT((CLASS!$E95:$K95="GAR")*1)&gt;=2,INPUTS!$B$20,1)*SUMPRODUCT((CLASS!$E95:$K95="GAR")*1,LIVE!$E95:$K95)+SUMPRODUCT((CLASS!$E95:$K95="NR")*1,LIVE!$E95:$K95))</f>
        <v>661.91</v>
      </c>
      <c r="L95" s="10" t="n">
        <f aca="false">INPUTS!$B$13*SUM(DEAD!$E95:$L95)+INPUTS!$B$14*(RED!L95*SUMPRODUCT((CLASS!$E95:$L95="RES")*1,LIVE!$E95:$L95)+IF(SUMPRODUCT((CLASS!$E95:$L95="GAR")*1)&gt;=2,INPUTS!$B$20,1)*SUMPRODUCT((CLASS!$E95:$L95="GAR")*1,LIVE!$E95:$L95)+SUMPRODUCT((CLASS!$E95:$L95="NR")*1,LIVE!$E95:$L95))</f>
        <v>661.91</v>
      </c>
      <c r="M95" s="10" t="n">
        <f aca="false">INPUTS!$B$13*SUM(DEAD!$E95:$M95)+INPUTS!$B$14*(RED!M95*SUMPRODUCT((CLASS!$E95:$M95="RES")*1,LIVE!$E95:$M95)+IF(SUMPRODUCT((CLASS!$E95:$M95="GAR")*1)&gt;=2,INPUTS!$B$20,1)*SUMPRODUCT((CLASS!$E95:$M95="GAR")*1,LIVE!$E95:$M95)+SUMPRODUCT((CLASS!$E95:$M95="NR")*1,LIVE!$E95:$M95))</f>
        <v>661.91</v>
      </c>
      <c r="N95" s="10" t="n">
        <f aca="false">INPUTS!$B$13*SUM(DEAD!$E95:$N95)+INPUTS!$B$14*(RED!N95*SUMPRODUCT((CLASS!$E95:$N95="RES")*1,LIVE!$E95:$N95)+IF(SUMPRODUCT((CLASS!$E95:$N95="GAR")*1)&gt;=2,INPUTS!$B$20,1)*SUMPRODUCT((CLASS!$E95:$N95="GAR")*1,LIVE!$E95:$N95)+SUMPRODUCT((CLASS!$E95:$N95="NR")*1,LIVE!$E95:$N95))</f>
        <v>661.91</v>
      </c>
      <c r="O95" s="10" t="n">
        <f aca="false">INPUTS!$B$13*SUM(DEAD!$E95:$O95)+INPUTS!$B$14*(RED!O95*SUMPRODUCT((CLASS!$E95:$O95="RES")*1,LIVE!$E95:$O95)+IF(SUMPRODUCT((CLASS!$E95:$O95="GAR")*1)&gt;=2,INPUTS!$B$20,1)*SUMPRODUCT((CLASS!$E95:$O95="GAR")*1,LIVE!$E95:$O95)+SUMPRODUCT((CLASS!$E95:$O95="NR")*1,LIVE!$E95:$O95))</f>
        <v>661.91</v>
      </c>
      <c r="P95" s="10" t="n">
        <f aca="false">INPUTS!$B$13*SUM(DEAD!$E95:$P95)+INPUTS!$B$14*(RED!P95*SUMPRODUCT((CLASS!$E95:$P95="RES")*1,LIVE!$E95:$P95)+IF(SUMPRODUCT((CLASS!$E95:$P95="GAR")*1)&gt;=2,INPUTS!$B$20,1)*SUMPRODUCT((CLASS!$E95:$P95="GAR")*1,LIVE!$E95:$P95)+SUMPRODUCT((CLASS!$E95:$P95="NR")*1,LIVE!$E95:$P95))</f>
        <v>661.91</v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10" t="n">
        <f aca="false">INPUTS!$B$13*SUM(DEAD!$E96:$E96)+INPUTS!$B$14*(RED!E96*SUMPRODUCT((CLASS!$E96:$E96="RES")*1,LIVE!$E96:$E96)+IF(SUMPRODUCT((CLASS!$E96:$E96="GAR")*1)&gt;=2,INPUTS!$B$20,1)*SUMPRODUCT((CLASS!$E96:$E96="GAR")*1,LIVE!$E96:$E96)+SUMPRODUCT((CLASS!$E96:$E96="NR")*1,LIVE!$E96:$E96))</f>
        <v>141.867</v>
      </c>
      <c r="F96" s="10" t="n">
        <f aca="false">INPUTS!$B$13*SUM(DEAD!$E96:$F96)+INPUTS!$B$14*(RED!F96*SUMPRODUCT((CLASS!$E96:$F96="RES")*1,LIVE!$E96:$F96)+IF(SUMPRODUCT((CLASS!$E96:$F96="GAR")*1)&gt;=2,INPUTS!$B$20,1)*SUMPRODUCT((CLASS!$E96:$F96="GAR")*1,LIVE!$E96:$F96)+SUMPRODUCT((CLASS!$E96:$F96="NR")*1,LIVE!$E96:$F96))</f>
        <v>349.1</v>
      </c>
      <c r="G96" s="10" t="n">
        <f aca="false">INPUTS!$B$13*SUM(DEAD!$E96:$G96)+INPUTS!$B$14*(RED!G96*SUMPRODUCT((CLASS!$E96:$G96="RES")*1,LIVE!$E96:$G96)+IF(SUMPRODUCT((CLASS!$E96:$G96="GAR")*1)&gt;=2,INPUTS!$B$20,1)*SUMPRODUCT((CLASS!$E96:$G96="GAR")*1,LIVE!$E96:$G96)+SUMPRODUCT((CLASS!$E96:$G96="NR")*1,LIVE!$E96:$G96))</f>
        <v>497.331</v>
      </c>
      <c r="H96" s="10" t="n">
        <f aca="false">INPUTS!$B$13*SUM(DEAD!$E96:$H96)+INPUTS!$B$14*(RED!H96*SUMPRODUCT((CLASS!$E96:$H96="RES")*1,LIVE!$E96:$H96)+IF(SUMPRODUCT((CLASS!$E96:$H96="GAR")*1)&gt;=2,INPUTS!$B$20,1)*SUMPRODUCT((CLASS!$E96:$H96="GAR")*1,LIVE!$E96:$H96)+SUMPRODUCT((CLASS!$E96:$H96="NR")*1,LIVE!$E96:$H96))</f>
        <v>597.226</v>
      </c>
      <c r="I96" s="10" t="n">
        <f aca="false">INPUTS!$B$13*SUM(DEAD!$E96:$I96)+INPUTS!$B$14*(RED!I96*SUMPRODUCT((CLASS!$E96:$I96="RES")*1,LIVE!$E96:$I96)+IF(SUMPRODUCT((CLASS!$E96:$I96="GAR")*1)&gt;=2,INPUTS!$B$20,1)*SUMPRODUCT((CLASS!$E96:$I96="GAR")*1,LIVE!$E96:$I96)+SUMPRODUCT((CLASS!$E96:$I96="NR")*1,LIVE!$E96:$I96))</f>
        <v>686.681</v>
      </c>
      <c r="J96" s="10" t="n">
        <f aca="false">INPUTS!$B$13*SUM(DEAD!$E96:$J96)+INPUTS!$B$14*(RED!J96*SUMPRODUCT((CLASS!$E96:$J96="RES")*1,LIVE!$E96:$J96)+IF(SUMPRODUCT((CLASS!$E96:$J96="GAR")*1)&gt;=2,INPUTS!$B$20,1)*SUMPRODUCT((CLASS!$E96:$J96="GAR")*1,LIVE!$E96:$J96)+SUMPRODUCT((CLASS!$E96:$J96="NR")*1,LIVE!$E96:$J96))</f>
        <v>686.681</v>
      </c>
      <c r="K96" s="10" t="n">
        <f aca="false">INPUTS!$B$13*SUM(DEAD!$E96:$K96)+INPUTS!$B$14*(RED!K96*SUMPRODUCT((CLASS!$E96:$K96="RES")*1,LIVE!$E96:$K96)+IF(SUMPRODUCT((CLASS!$E96:$K96="GAR")*1)&gt;=2,INPUTS!$B$20,1)*SUMPRODUCT((CLASS!$E96:$K96="GAR")*1,LIVE!$E96:$K96)+SUMPRODUCT((CLASS!$E96:$K96="NR")*1,LIVE!$E96:$K96))</f>
        <v>686.681</v>
      </c>
      <c r="L96" s="10" t="n">
        <f aca="false">INPUTS!$B$13*SUM(DEAD!$E96:$L96)+INPUTS!$B$14*(RED!L96*SUMPRODUCT((CLASS!$E96:$L96="RES")*1,LIVE!$E96:$L96)+IF(SUMPRODUCT((CLASS!$E96:$L96="GAR")*1)&gt;=2,INPUTS!$B$20,1)*SUMPRODUCT((CLASS!$E96:$L96="GAR")*1,LIVE!$E96:$L96)+SUMPRODUCT((CLASS!$E96:$L96="NR")*1,LIVE!$E96:$L96))</f>
        <v>686.681</v>
      </c>
      <c r="M96" s="10" t="n">
        <f aca="false">INPUTS!$B$13*SUM(DEAD!$E96:$M96)+INPUTS!$B$14*(RED!M96*SUMPRODUCT((CLASS!$E96:$M96="RES")*1,LIVE!$E96:$M96)+IF(SUMPRODUCT((CLASS!$E96:$M96="GAR")*1)&gt;=2,INPUTS!$B$20,1)*SUMPRODUCT((CLASS!$E96:$M96="GAR")*1,LIVE!$E96:$M96)+SUMPRODUCT((CLASS!$E96:$M96="NR")*1,LIVE!$E96:$M96))</f>
        <v>686.681</v>
      </c>
      <c r="N96" s="10" t="n">
        <f aca="false">INPUTS!$B$13*SUM(DEAD!$E96:$N96)+INPUTS!$B$14*(RED!N96*SUMPRODUCT((CLASS!$E96:$N96="RES")*1,LIVE!$E96:$N96)+IF(SUMPRODUCT((CLASS!$E96:$N96="GAR")*1)&gt;=2,INPUTS!$B$20,1)*SUMPRODUCT((CLASS!$E96:$N96="GAR")*1,LIVE!$E96:$N96)+SUMPRODUCT((CLASS!$E96:$N96="NR")*1,LIVE!$E96:$N96))</f>
        <v>686.681</v>
      </c>
      <c r="O96" s="10" t="n">
        <f aca="false">INPUTS!$B$13*SUM(DEAD!$E96:$O96)+INPUTS!$B$14*(RED!O96*SUMPRODUCT((CLASS!$E96:$O96="RES")*1,LIVE!$E96:$O96)+IF(SUMPRODUCT((CLASS!$E96:$O96="GAR")*1)&gt;=2,INPUTS!$B$20,1)*SUMPRODUCT((CLASS!$E96:$O96="GAR")*1,LIVE!$E96:$O96)+SUMPRODUCT((CLASS!$E96:$O96="NR")*1,LIVE!$E96:$O96))</f>
        <v>686.681</v>
      </c>
      <c r="P96" s="10" t="n">
        <f aca="false">INPUTS!$B$13*SUM(DEAD!$E96:$P96)+INPUTS!$B$14*(RED!P96*SUMPRODUCT((CLASS!$E96:$P96="RES")*1,LIVE!$E96:$P96)+IF(SUMPRODUCT((CLASS!$E96:$P96="GAR")*1)&gt;=2,INPUTS!$B$20,1)*SUMPRODUCT((CLASS!$E96:$P96="GAR")*1,LIVE!$E96:$P96)+SUMPRODUCT((CLASS!$E96:$P96="NR")*1,LIVE!$E96:$P96))</f>
        <v>686.681</v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10" t="n">
        <f aca="false">INPUTS!$B$13*SUM(DEAD!$E97:$E97)+INPUTS!$B$14*(RED!E97*SUMPRODUCT((CLASS!$E97:$E97="RES")*1,LIVE!$E97:$E97)+IF(SUMPRODUCT((CLASS!$E97:$E97="GAR")*1)&gt;=2,INPUTS!$B$20,1)*SUMPRODUCT((CLASS!$E97:$E97="GAR")*1,LIVE!$E97:$E97)+SUMPRODUCT((CLASS!$E97:$E97="NR")*1,LIVE!$E97:$E97))</f>
        <v>130.167</v>
      </c>
      <c r="F97" s="10" t="n">
        <f aca="false">INPUTS!$B$13*SUM(DEAD!$E97:$F97)+INPUTS!$B$14*(RED!F97*SUMPRODUCT((CLASS!$E97:$F97="RES")*1,LIVE!$E97:$F97)+IF(SUMPRODUCT((CLASS!$E97:$F97="GAR")*1)&gt;=2,INPUTS!$B$20,1)*SUMPRODUCT((CLASS!$E97:$F97="GAR")*1,LIVE!$E97:$F97)+SUMPRODUCT((CLASS!$E97:$F97="NR")*1,LIVE!$E97:$F97))</f>
        <v>320.1</v>
      </c>
      <c r="G97" s="10" t="n">
        <f aca="false">INPUTS!$B$13*SUM(DEAD!$E97:$G97)+INPUTS!$B$14*(RED!G97*SUMPRODUCT((CLASS!$E97:$G97="RES")*1,LIVE!$E97:$G97)+IF(SUMPRODUCT((CLASS!$E97:$G97="GAR")*1)&gt;=2,INPUTS!$B$20,1)*SUMPRODUCT((CLASS!$E97:$G97="GAR")*1,LIVE!$E97:$G97)+SUMPRODUCT((CLASS!$E97:$G97="NR")*1,LIVE!$E97:$G97))</f>
        <v>503.067</v>
      </c>
      <c r="H97" s="10" t="n">
        <f aca="false">INPUTS!$B$13*SUM(DEAD!$E97:$H97)+INPUTS!$B$14*(RED!H97*SUMPRODUCT((CLASS!$E97:$H97="RES")*1,LIVE!$E97:$H97)+IF(SUMPRODUCT((CLASS!$E97:$H97="GAR")*1)&gt;=2,INPUTS!$B$20,1)*SUMPRODUCT((CLASS!$E97:$H97="GAR")*1,LIVE!$E97:$H97)+SUMPRODUCT((CLASS!$E97:$H97="NR")*1,LIVE!$E97:$H97))</f>
        <v>625.842</v>
      </c>
      <c r="I97" s="10" t="n">
        <f aca="false">INPUTS!$B$13*SUM(DEAD!$E97:$I97)+INPUTS!$B$14*(RED!I97*SUMPRODUCT((CLASS!$E97:$I97="RES")*1,LIVE!$E97:$I97)+IF(SUMPRODUCT((CLASS!$E97:$I97="GAR")*1)&gt;=2,INPUTS!$B$20,1)*SUMPRODUCT((CLASS!$E97:$I97="GAR")*1,LIVE!$E97:$I97)+SUMPRODUCT((CLASS!$E97:$I97="NR")*1,LIVE!$E97:$I97))</f>
        <v>735.3074</v>
      </c>
      <c r="J97" s="10" t="n">
        <f aca="false">INPUTS!$B$13*SUM(DEAD!$E97:$J97)+INPUTS!$B$14*(RED!J97*SUMPRODUCT((CLASS!$E97:$J97="RES")*1,LIVE!$E97:$J97)+IF(SUMPRODUCT((CLASS!$E97:$J97="GAR")*1)&gt;=2,INPUTS!$B$20,1)*SUMPRODUCT((CLASS!$E97:$J97="GAR")*1,LIVE!$E97:$J97)+SUMPRODUCT((CLASS!$E97:$J97="NR")*1,LIVE!$E97:$J97))</f>
        <v>735.3074</v>
      </c>
      <c r="K97" s="10" t="n">
        <f aca="false">INPUTS!$B$13*SUM(DEAD!$E97:$K97)+INPUTS!$B$14*(RED!K97*SUMPRODUCT((CLASS!$E97:$K97="RES")*1,LIVE!$E97:$K97)+IF(SUMPRODUCT((CLASS!$E97:$K97="GAR")*1)&gt;=2,INPUTS!$B$20,1)*SUMPRODUCT((CLASS!$E97:$K97="GAR")*1,LIVE!$E97:$K97)+SUMPRODUCT((CLASS!$E97:$K97="NR")*1,LIVE!$E97:$K97))</f>
        <v>735.3074</v>
      </c>
      <c r="L97" s="10" t="n">
        <f aca="false">INPUTS!$B$13*SUM(DEAD!$E97:$L97)+INPUTS!$B$14*(RED!L97*SUMPRODUCT((CLASS!$E97:$L97="RES")*1,LIVE!$E97:$L97)+IF(SUMPRODUCT((CLASS!$E97:$L97="GAR")*1)&gt;=2,INPUTS!$B$20,1)*SUMPRODUCT((CLASS!$E97:$L97="GAR")*1,LIVE!$E97:$L97)+SUMPRODUCT((CLASS!$E97:$L97="NR")*1,LIVE!$E97:$L97))</f>
        <v>735.3074</v>
      </c>
      <c r="M97" s="10" t="n">
        <f aca="false">INPUTS!$B$13*SUM(DEAD!$E97:$M97)+INPUTS!$B$14*(RED!M97*SUMPRODUCT((CLASS!$E97:$M97="RES")*1,LIVE!$E97:$M97)+IF(SUMPRODUCT((CLASS!$E97:$M97="GAR")*1)&gt;=2,INPUTS!$B$20,1)*SUMPRODUCT((CLASS!$E97:$M97="GAR")*1,LIVE!$E97:$M97)+SUMPRODUCT((CLASS!$E97:$M97="NR")*1,LIVE!$E97:$M97))</f>
        <v>735.3074</v>
      </c>
      <c r="N97" s="10" t="n">
        <f aca="false">INPUTS!$B$13*SUM(DEAD!$E97:$N97)+INPUTS!$B$14*(RED!N97*SUMPRODUCT((CLASS!$E97:$N97="RES")*1,LIVE!$E97:$N97)+IF(SUMPRODUCT((CLASS!$E97:$N97="GAR")*1)&gt;=2,INPUTS!$B$20,1)*SUMPRODUCT((CLASS!$E97:$N97="GAR")*1,LIVE!$E97:$N97)+SUMPRODUCT((CLASS!$E97:$N97="NR")*1,LIVE!$E97:$N97))</f>
        <v>735.3074</v>
      </c>
      <c r="O97" s="10" t="n">
        <f aca="false">INPUTS!$B$13*SUM(DEAD!$E97:$O97)+INPUTS!$B$14*(RED!O97*SUMPRODUCT((CLASS!$E97:$O97="RES")*1,LIVE!$E97:$O97)+IF(SUMPRODUCT((CLASS!$E97:$O97="GAR")*1)&gt;=2,INPUTS!$B$20,1)*SUMPRODUCT((CLASS!$E97:$O97="GAR")*1,LIVE!$E97:$O97)+SUMPRODUCT((CLASS!$E97:$O97="NR")*1,LIVE!$E97:$O97))</f>
        <v>735.3074</v>
      </c>
      <c r="P97" s="10" t="n">
        <f aca="false">INPUTS!$B$13*SUM(DEAD!$E97:$P97)+INPUTS!$B$14*(RED!P97*SUMPRODUCT((CLASS!$E97:$P97="RES")*1,LIVE!$E97:$P97)+IF(SUMPRODUCT((CLASS!$E97:$P97="GAR")*1)&gt;=2,INPUTS!$B$20,1)*SUMPRODUCT((CLASS!$E97:$P97="GAR")*1,LIVE!$E97:$P97)+SUMPRODUCT((CLASS!$E97:$P97="NR")*1,LIVE!$E97:$P97))</f>
        <v>735.3074</v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10" t="n">
        <f aca="false">INPUTS!$B$13*SUM(DEAD!$E98:$E98)+INPUTS!$B$14*(RED!E98*SUMPRODUCT((CLASS!$E98:$E98="RES")*1,LIVE!$E98:$E98)+IF(SUMPRODUCT((CLASS!$E98:$E98="GAR")*1)&gt;=2,INPUTS!$B$20,1)*SUMPRODUCT((CLASS!$E98:$E98="GAR")*1,LIVE!$E98:$E98)+SUMPRODUCT((CLASS!$E98:$E98="NR")*1,LIVE!$E98:$E98))</f>
        <v>68.859</v>
      </c>
      <c r="F98" s="10" t="n">
        <f aca="false">INPUTS!$B$13*SUM(DEAD!$E98:$F98)+INPUTS!$B$14*(RED!F98*SUMPRODUCT((CLASS!$E98:$F98="RES")*1,LIVE!$E98:$F98)+IF(SUMPRODUCT((CLASS!$E98:$F98="GAR")*1)&gt;=2,INPUTS!$B$20,1)*SUMPRODUCT((CLASS!$E98:$F98="GAR")*1,LIVE!$E98:$F98)+SUMPRODUCT((CLASS!$E98:$F98="NR")*1,LIVE!$E98:$F98))</f>
        <v>168.14</v>
      </c>
      <c r="G98" s="10" t="n">
        <f aca="false">INPUTS!$B$13*SUM(DEAD!$E98:$G98)+INPUTS!$B$14*(RED!G98*SUMPRODUCT((CLASS!$E98:$G98="RES")*1,LIVE!$E98:$G98)+IF(SUMPRODUCT((CLASS!$E98:$G98="GAR")*1)&gt;=2,INPUTS!$B$20,1)*SUMPRODUCT((CLASS!$E98:$G98="GAR")*1,LIVE!$E98:$G98)+SUMPRODUCT((CLASS!$E98:$G98="NR")*1,LIVE!$E98:$G98))</f>
        <v>263.599</v>
      </c>
      <c r="H98" s="10" t="n">
        <f aca="false">INPUTS!$B$13*SUM(DEAD!$E98:$H98)+INPUTS!$B$14*(RED!H98*SUMPRODUCT((CLASS!$E98:$H98="RES")*1,LIVE!$E98:$H98)+IF(SUMPRODUCT((CLASS!$E98:$H98="GAR")*1)&gt;=2,INPUTS!$B$20,1)*SUMPRODUCT((CLASS!$E98:$H98="GAR")*1,LIVE!$E98:$H98)+SUMPRODUCT((CLASS!$E98:$H98="NR")*1,LIVE!$E98:$H98))</f>
        <v>328.734</v>
      </c>
      <c r="I98" s="10" t="n">
        <f aca="false">INPUTS!$B$13*SUM(DEAD!$E98:$I98)+INPUTS!$B$14*(RED!I98*SUMPRODUCT((CLASS!$E98:$I98="RES")*1,LIVE!$E98:$I98)+IF(SUMPRODUCT((CLASS!$E98:$I98="GAR")*1)&gt;=2,INPUTS!$B$20,1)*SUMPRODUCT((CLASS!$E98:$I98="GAR")*1,LIVE!$E98:$I98)+SUMPRODUCT((CLASS!$E98:$I98="NR")*1,LIVE!$E98:$I98))</f>
        <v>387.0594</v>
      </c>
      <c r="J98" s="10" t="n">
        <f aca="false">INPUTS!$B$13*SUM(DEAD!$E98:$J98)+INPUTS!$B$14*(RED!J98*SUMPRODUCT((CLASS!$E98:$J98="RES")*1,LIVE!$E98:$J98)+IF(SUMPRODUCT((CLASS!$E98:$J98="GAR")*1)&gt;=2,INPUTS!$B$20,1)*SUMPRODUCT((CLASS!$E98:$J98="GAR")*1,LIVE!$E98:$J98)+SUMPRODUCT((CLASS!$E98:$J98="NR")*1,LIVE!$E98:$J98))</f>
        <v>387.0594</v>
      </c>
      <c r="K98" s="10" t="n">
        <f aca="false">INPUTS!$B$13*SUM(DEAD!$E98:$K98)+INPUTS!$B$14*(RED!K98*SUMPRODUCT((CLASS!$E98:$K98="RES")*1,LIVE!$E98:$K98)+IF(SUMPRODUCT((CLASS!$E98:$K98="GAR")*1)&gt;=2,INPUTS!$B$20,1)*SUMPRODUCT((CLASS!$E98:$K98="GAR")*1,LIVE!$E98:$K98)+SUMPRODUCT((CLASS!$E98:$K98="NR")*1,LIVE!$E98:$K98))</f>
        <v>387.0594</v>
      </c>
      <c r="L98" s="10" t="n">
        <f aca="false">INPUTS!$B$13*SUM(DEAD!$E98:$L98)+INPUTS!$B$14*(RED!L98*SUMPRODUCT((CLASS!$E98:$L98="RES")*1,LIVE!$E98:$L98)+IF(SUMPRODUCT((CLASS!$E98:$L98="GAR")*1)&gt;=2,INPUTS!$B$20,1)*SUMPRODUCT((CLASS!$E98:$L98="GAR")*1,LIVE!$E98:$L98)+SUMPRODUCT((CLASS!$E98:$L98="NR")*1,LIVE!$E98:$L98))</f>
        <v>387.0594</v>
      </c>
      <c r="M98" s="10" t="n">
        <f aca="false">INPUTS!$B$13*SUM(DEAD!$E98:$M98)+INPUTS!$B$14*(RED!M98*SUMPRODUCT((CLASS!$E98:$M98="RES")*1,LIVE!$E98:$M98)+IF(SUMPRODUCT((CLASS!$E98:$M98="GAR")*1)&gt;=2,INPUTS!$B$20,1)*SUMPRODUCT((CLASS!$E98:$M98="GAR")*1,LIVE!$E98:$M98)+SUMPRODUCT((CLASS!$E98:$M98="NR")*1,LIVE!$E98:$M98))</f>
        <v>387.0594</v>
      </c>
      <c r="N98" s="10" t="n">
        <f aca="false">INPUTS!$B$13*SUM(DEAD!$E98:$N98)+INPUTS!$B$14*(RED!N98*SUMPRODUCT((CLASS!$E98:$N98="RES")*1,LIVE!$E98:$N98)+IF(SUMPRODUCT((CLASS!$E98:$N98="GAR")*1)&gt;=2,INPUTS!$B$20,1)*SUMPRODUCT((CLASS!$E98:$N98="GAR")*1,LIVE!$E98:$N98)+SUMPRODUCT((CLASS!$E98:$N98="NR")*1,LIVE!$E98:$N98))</f>
        <v>387.0594</v>
      </c>
      <c r="O98" s="10" t="n">
        <f aca="false">INPUTS!$B$13*SUM(DEAD!$E98:$O98)+INPUTS!$B$14*(RED!O98*SUMPRODUCT((CLASS!$E98:$O98="RES")*1,LIVE!$E98:$O98)+IF(SUMPRODUCT((CLASS!$E98:$O98="GAR")*1)&gt;=2,INPUTS!$B$20,1)*SUMPRODUCT((CLASS!$E98:$O98="GAR")*1,LIVE!$E98:$O98)+SUMPRODUCT((CLASS!$E98:$O98="NR")*1,LIVE!$E98:$O98))</f>
        <v>387.0594</v>
      </c>
      <c r="P98" s="10" t="n">
        <f aca="false">INPUTS!$B$13*SUM(DEAD!$E98:$P98)+INPUTS!$B$14*(RED!P98*SUMPRODUCT((CLASS!$E98:$P98="RES")*1,LIVE!$E98:$P98)+IF(SUMPRODUCT((CLASS!$E98:$P98="GAR")*1)&gt;=2,INPUTS!$B$20,1)*SUMPRODUCT((CLASS!$E98:$P98="GAR")*1,LIVE!$E98:$P98)+SUMPRODUCT((CLASS!$E98:$P98="NR")*1,LIVE!$E98:$P98))</f>
        <v>387.0594</v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10" t="n">
        <f aca="false">INPUTS!$B$13*SUM(DEAD!$E99:$E99)+INPUTS!$B$14*(RED!E99*SUMPRODUCT((CLASS!$E99:$E99="RES")*1,LIVE!$E99:$E99)+IF(SUMPRODUCT((CLASS!$E99:$E99="GAR")*1)&gt;=2,INPUTS!$B$20,1)*SUMPRODUCT((CLASS!$E99:$E99="GAR")*1,LIVE!$E99:$E99)+SUMPRODUCT((CLASS!$E99:$E99="NR")*1,LIVE!$E99:$E99))</f>
        <v>167.841</v>
      </c>
      <c r="F99" s="10" t="n">
        <f aca="false">INPUTS!$B$13*SUM(DEAD!$E99:$F99)+INPUTS!$B$14*(RED!F99*SUMPRODUCT((CLASS!$E99:$F99="RES")*1,LIVE!$E99:$F99)+IF(SUMPRODUCT((CLASS!$E99:$F99="GAR")*1)&gt;=2,INPUTS!$B$20,1)*SUMPRODUCT((CLASS!$E99:$F99="GAR")*1,LIVE!$E99:$F99)+SUMPRODUCT((CLASS!$E99:$F99="NR")*1,LIVE!$E99:$F99))</f>
        <v>413.48</v>
      </c>
      <c r="G99" s="10" t="n">
        <f aca="false">INPUTS!$B$13*SUM(DEAD!$E99:$G99)+INPUTS!$B$14*(RED!G99*SUMPRODUCT((CLASS!$E99:$G99="RES")*1,LIVE!$E99:$G99)+IF(SUMPRODUCT((CLASS!$E99:$G99="GAR")*1)&gt;=2,INPUTS!$B$20,1)*SUMPRODUCT((CLASS!$E99:$G99="GAR")*1,LIVE!$E99:$G99)+SUMPRODUCT((CLASS!$E99:$G99="NR")*1,LIVE!$E99:$G99))</f>
        <v>650.221</v>
      </c>
      <c r="H99" s="10" t="n">
        <f aca="false">INPUTS!$B$13*SUM(DEAD!$E99:$H99)+INPUTS!$B$14*(RED!H99*SUMPRODUCT((CLASS!$E99:$H99="RES")*1,LIVE!$E99:$H99)+IF(SUMPRODUCT((CLASS!$E99:$H99="GAR")*1)&gt;=2,INPUTS!$B$20,1)*SUMPRODUCT((CLASS!$E99:$H99="GAR")*1,LIVE!$E99:$H99)+SUMPRODUCT((CLASS!$E99:$H99="NR")*1,LIVE!$E99:$H99))</f>
        <v>808.416</v>
      </c>
      <c r="I99" s="10" t="n">
        <f aca="false">INPUTS!$B$13*SUM(DEAD!$E99:$I99)+INPUTS!$B$14*(RED!I99*SUMPRODUCT((CLASS!$E99:$I99="RES")*1,LIVE!$E99:$I99)+IF(SUMPRODUCT((CLASS!$E99:$I99="GAR")*1)&gt;=2,INPUTS!$B$20,1)*SUMPRODUCT((CLASS!$E99:$I99="GAR")*1,LIVE!$E99:$I99)+SUMPRODUCT((CLASS!$E99:$I99="NR")*1,LIVE!$E99:$I99))</f>
        <v>948.9726</v>
      </c>
      <c r="J99" s="10" t="n">
        <f aca="false">INPUTS!$B$13*SUM(DEAD!$E99:$J99)+INPUTS!$B$14*(RED!J99*SUMPRODUCT((CLASS!$E99:$J99="RES")*1,LIVE!$E99:$J99)+IF(SUMPRODUCT((CLASS!$E99:$J99="GAR")*1)&gt;=2,INPUTS!$B$20,1)*SUMPRODUCT((CLASS!$E99:$J99="GAR")*1,LIVE!$E99:$J99)+SUMPRODUCT((CLASS!$E99:$J99="NR")*1,LIVE!$E99:$J99))</f>
        <v>948.9726</v>
      </c>
      <c r="K99" s="10" t="n">
        <f aca="false">INPUTS!$B$13*SUM(DEAD!$E99:$K99)+INPUTS!$B$14*(RED!K99*SUMPRODUCT((CLASS!$E99:$K99="RES")*1,LIVE!$E99:$K99)+IF(SUMPRODUCT((CLASS!$E99:$K99="GAR")*1)&gt;=2,INPUTS!$B$20,1)*SUMPRODUCT((CLASS!$E99:$K99="GAR")*1,LIVE!$E99:$K99)+SUMPRODUCT((CLASS!$E99:$K99="NR")*1,LIVE!$E99:$K99))</f>
        <v>948.9726</v>
      </c>
      <c r="L99" s="10" t="n">
        <f aca="false">INPUTS!$B$13*SUM(DEAD!$E99:$L99)+INPUTS!$B$14*(RED!L99*SUMPRODUCT((CLASS!$E99:$L99="RES")*1,LIVE!$E99:$L99)+IF(SUMPRODUCT((CLASS!$E99:$L99="GAR")*1)&gt;=2,INPUTS!$B$20,1)*SUMPRODUCT((CLASS!$E99:$L99="GAR")*1,LIVE!$E99:$L99)+SUMPRODUCT((CLASS!$E99:$L99="NR")*1,LIVE!$E99:$L99))</f>
        <v>948.9726</v>
      </c>
      <c r="M99" s="10" t="n">
        <f aca="false">INPUTS!$B$13*SUM(DEAD!$E99:$M99)+INPUTS!$B$14*(RED!M99*SUMPRODUCT((CLASS!$E99:$M99="RES")*1,LIVE!$E99:$M99)+IF(SUMPRODUCT((CLASS!$E99:$M99="GAR")*1)&gt;=2,INPUTS!$B$20,1)*SUMPRODUCT((CLASS!$E99:$M99="GAR")*1,LIVE!$E99:$M99)+SUMPRODUCT((CLASS!$E99:$M99="NR")*1,LIVE!$E99:$M99))</f>
        <v>948.9726</v>
      </c>
      <c r="N99" s="10" t="n">
        <f aca="false">INPUTS!$B$13*SUM(DEAD!$E99:$N99)+INPUTS!$B$14*(RED!N99*SUMPRODUCT((CLASS!$E99:$N99="RES")*1,LIVE!$E99:$N99)+IF(SUMPRODUCT((CLASS!$E99:$N99="GAR")*1)&gt;=2,INPUTS!$B$20,1)*SUMPRODUCT((CLASS!$E99:$N99="GAR")*1,LIVE!$E99:$N99)+SUMPRODUCT((CLASS!$E99:$N99="NR")*1,LIVE!$E99:$N99))</f>
        <v>948.9726</v>
      </c>
      <c r="O99" s="10" t="n">
        <f aca="false">INPUTS!$B$13*SUM(DEAD!$E99:$O99)+INPUTS!$B$14*(RED!O99*SUMPRODUCT((CLASS!$E99:$O99="RES")*1,LIVE!$E99:$O99)+IF(SUMPRODUCT((CLASS!$E99:$O99="GAR")*1)&gt;=2,INPUTS!$B$20,1)*SUMPRODUCT((CLASS!$E99:$O99="GAR")*1,LIVE!$E99:$O99)+SUMPRODUCT((CLASS!$E99:$O99="NR")*1,LIVE!$E99:$O99))</f>
        <v>948.9726</v>
      </c>
      <c r="P99" s="10" t="n">
        <f aca="false">INPUTS!$B$13*SUM(DEAD!$E99:$P99)+INPUTS!$B$14*(RED!P99*SUMPRODUCT((CLASS!$E99:$P99="RES")*1,LIVE!$E99:$P99)+IF(SUMPRODUCT((CLASS!$E99:$P99="GAR")*1)&gt;=2,INPUTS!$B$20,1)*SUMPRODUCT((CLASS!$E99:$P99="GAR")*1,LIVE!$E99:$P99)+SUMPRODUCT((CLASS!$E99:$P99="NR")*1,LIVE!$E99:$P99))</f>
        <v>948.9726</v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10" t="n">
        <f aca="false">INPUTS!$B$13*SUM(DEAD!$E100:$E100)+INPUTS!$B$14*(RED!E100*SUMPRODUCT((CLASS!$E100:$E100="RES")*1,LIVE!$E100:$E100)+IF(SUMPRODUCT((CLASS!$E100:$E100="GAR")*1)&gt;=2,INPUTS!$B$20,1)*SUMPRODUCT((CLASS!$E100:$E100="GAR")*1,LIVE!$E100:$E100)+SUMPRODUCT((CLASS!$E100:$E100="NR")*1,LIVE!$E100:$E100))</f>
        <v>145.845</v>
      </c>
      <c r="F100" s="10" t="n">
        <f aca="false">INPUTS!$B$13*SUM(DEAD!$E100:$F100)+INPUTS!$B$14*(RED!F100*SUMPRODUCT((CLASS!$E100:$F100="RES")*1,LIVE!$E100:$F100)+IF(SUMPRODUCT((CLASS!$E100:$F100="GAR")*1)&gt;=2,INPUTS!$B$20,1)*SUMPRODUCT((CLASS!$E100:$F100="GAR")*1,LIVE!$E100:$F100)+SUMPRODUCT((CLASS!$E100:$F100="NR")*1,LIVE!$E100:$F100))</f>
        <v>358.96</v>
      </c>
      <c r="G100" s="10" t="n">
        <f aca="false">INPUTS!$B$13*SUM(DEAD!$E100:$G100)+INPUTS!$B$14*(RED!G100*SUMPRODUCT((CLASS!$E100:$G100="RES")*1,LIVE!$E100:$G100)+IF(SUMPRODUCT((CLASS!$E100:$G100="GAR")*1)&gt;=2,INPUTS!$B$20,1)*SUMPRODUCT((CLASS!$E100:$G100="GAR")*1,LIVE!$E100:$G100)+SUMPRODUCT((CLASS!$E100:$G100="NR")*1,LIVE!$E100:$G100))</f>
        <v>564.305</v>
      </c>
      <c r="H100" s="10" t="n">
        <f aca="false">INPUTS!$B$13*SUM(DEAD!$E100:$H100)+INPUTS!$B$14*(RED!H100*SUMPRODUCT((CLASS!$E100:$H100="RES")*1,LIVE!$E100:$H100)+IF(SUMPRODUCT((CLASS!$E100:$H100="GAR")*1)&gt;=2,INPUTS!$B$20,1)*SUMPRODUCT((CLASS!$E100:$H100="GAR")*1,LIVE!$E100:$H100)+SUMPRODUCT((CLASS!$E100:$H100="NR")*1,LIVE!$E100:$H100))</f>
        <v>701.82</v>
      </c>
      <c r="I100" s="10" t="n">
        <f aca="false">INPUTS!$B$13*SUM(DEAD!$E100:$I100)+INPUTS!$B$14*(RED!I100*SUMPRODUCT((CLASS!$E100:$I100="RES")*1,LIVE!$E100:$I100)+IF(SUMPRODUCT((CLASS!$E100:$I100="GAR")*1)&gt;=2,INPUTS!$B$20,1)*SUMPRODUCT((CLASS!$E100:$I100="GAR")*1,LIVE!$E100:$I100)+SUMPRODUCT((CLASS!$E100:$I100="NR")*1,LIVE!$E100:$I100))</f>
        <v>824.103</v>
      </c>
      <c r="J100" s="10" t="n">
        <f aca="false">INPUTS!$B$13*SUM(DEAD!$E100:$J100)+INPUTS!$B$14*(RED!J100*SUMPRODUCT((CLASS!$E100:$J100="RES")*1,LIVE!$E100:$J100)+IF(SUMPRODUCT((CLASS!$E100:$J100="GAR")*1)&gt;=2,INPUTS!$B$20,1)*SUMPRODUCT((CLASS!$E100:$J100="GAR")*1,LIVE!$E100:$J100)+SUMPRODUCT((CLASS!$E100:$J100="NR")*1,LIVE!$E100:$J100))</f>
        <v>824.103</v>
      </c>
      <c r="K100" s="10" t="n">
        <f aca="false">INPUTS!$B$13*SUM(DEAD!$E100:$K100)+INPUTS!$B$14*(RED!K100*SUMPRODUCT((CLASS!$E100:$K100="RES")*1,LIVE!$E100:$K100)+IF(SUMPRODUCT((CLASS!$E100:$K100="GAR")*1)&gt;=2,INPUTS!$B$20,1)*SUMPRODUCT((CLASS!$E100:$K100="GAR")*1,LIVE!$E100:$K100)+SUMPRODUCT((CLASS!$E100:$K100="NR")*1,LIVE!$E100:$K100))</f>
        <v>824.103</v>
      </c>
      <c r="L100" s="10" t="n">
        <f aca="false">INPUTS!$B$13*SUM(DEAD!$E100:$L100)+INPUTS!$B$14*(RED!L100*SUMPRODUCT((CLASS!$E100:$L100="RES")*1,LIVE!$E100:$L100)+IF(SUMPRODUCT((CLASS!$E100:$L100="GAR")*1)&gt;=2,INPUTS!$B$20,1)*SUMPRODUCT((CLASS!$E100:$L100="GAR")*1,LIVE!$E100:$L100)+SUMPRODUCT((CLASS!$E100:$L100="NR")*1,LIVE!$E100:$L100))</f>
        <v>824.103</v>
      </c>
      <c r="M100" s="10" t="n">
        <f aca="false">INPUTS!$B$13*SUM(DEAD!$E100:$M100)+INPUTS!$B$14*(RED!M100*SUMPRODUCT((CLASS!$E100:$M100="RES")*1,LIVE!$E100:$M100)+IF(SUMPRODUCT((CLASS!$E100:$M100="GAR")*1)&gt;=2,INPUTS!$B$20,1)*SUMPRODUCT((CLASS!$E100:$M100="GAR")*1,LIVE!$E100:$M100)+SUMPRODUCT((CLASS!$E100:$M100="NR")*1,LIVE!$E100:$M100))</f>
        <v>824.103</v>
      </c>
      <c r="N100" s="10" t="n">
        <f aca="false">INPUTS!$B$13*SUM(DEAD!$E100:$N100)+INPUTS!$B$14*(RED!N100*SUMPRODUCT((CLASS!$E100:$N100="RES")*1,LIVE!$E100:$N100)+IF(SUMPRODUCT((CLASS!$E100:$N100="GAR")*1)&gt;=2,INPUTS!$B$20,1)*SUMPRODUCT((CLASS!$E100:$N100="GAR")*1,LIVE!$E100:$N100)+SUMPRODUCT((CLASS!$E100:$N100="NR")*1,LIVE!$E100:$N100))</f>
        <v>824.103</v>
      </c>
      <c r="O100" s="10" t="n">
        <f aca="false">INPUTS!$B$13*SUM(DEAD!$E100:$O100)+INPUTS!$B$14*(RED!O100*SUMPRODUCT((CLASS!$E100:$O100="RES")*1,LIVE!$E100:$O100)+IF(SUMPRODUCT((CLASS!$E100:$O100="GAR")*1)&gt;=2,INPUTS!$B$20,1)*SUMPRODUCT((CLASS!$E100:$O100="GAR")*1,LIVE!$E100:$O100)+SUMPRODUCT((CLASS!$E100:$O100="NR")*1,LIVE!$E100:$O100))</f>
        <v>824.103</v>
      </c>
      <c r="P100" s="10" t="n">
        <f aca="false">INPUTS!$B$13*SUM(DEAD!$E100:$P100)+INPUTS!$B$14*(RED!P100*SUMPRODUCT((CLASS!$E100:$P100="RES")*1,LIVE!$E100:$P100)+IF(SUMPRODUCT((CLASS!$E100:$P100="GAR")*1)&gt;=2,INPUTS!$B$20,1)*SUMPRODUCT((CLASS!$E100:$P100="GAR")*1,LIVE!$E100:$P100)+SUMPRODUCT((CLASS!$E100:$P100="NR")*1,LIVE!$E100:$P100))</f>
        <v>824.103</v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10" t="n">
        <f aca="false">INPUTS!$B$13*SUM(DEAD!$E101:$E101)+INPUTS!$B$14*(RED!E101*SUMPRODUCT((CLASS!$E101:$E101="RES")*1,LIVE!$E101:$E101)+IF(SUMPRODUCT((CLASS!$E101:$E101="GAR")*1)&gt;=2,INPUTS!$B$20,1)*SUMPRODUCT((CLASS!$E101:$E101="GAR")*1,LIVE!$E101:$E101)+SUMPRODUCT((CLASS!$E101:$E101="NR")*1,LIVE!$E101:$E101))</f>
        <v>118.467</v>
      </c>
      <c r="F101" s="10" t="n">
        <f aca="false">INPUTS!$B$13*SUM(DEAD!$E101:$F101)+INPUTS!$B$14*(RED!F101*SUMPRODUCT((CLASS!$E101:$F101="RES")*1,LIVE!$E101:$F101)+IF(SUMPRODUCT((CLASS!$E101:$F101="GAR")*1)&gt;=2,INPUTS!$B$20,1)*SUMPRODUCT((CLASS!$E101:$F101="GAR")*1,LIVE!$E101:$F101)+SUMPRODUCT((CLASS!$E101:$F101="NR")*1,LIVE!$E101:$F101))</f>
        <v>294.34</v>
      </c>
      <c r="G101" s="10" t="n">
        <f aca="false">INPUTS!$B$13*SUM(DEAD!$E101:$G101)+INPUTS!$B$14*(RED!G101*SUMPRODUCT((CLASS!$E101:$G101="RES")*1,LIVE!$E101:$G101)+IF(SUMPRODUCT((CLASS!$E101:$G101="GAR")*1)&gt;=2,INPUTS!$B$20,1)*SUMPRODUCT((CLASS!$E101:$G101="GAR")*1,LIVE!$E101:$G101)+SUMPRODUCT((CLASS!$E101:$G101="NR")*1,LIVE!$E101:$G101))</f>
        <v>391.703</v>
      </c>
      <c r="H101" s="10" t="n">
        <f aca="false">INPUTS!$B$13*SUM(DEAD!$E101:$H101)+INPUTS!$B$14*(RED!H101*SUMPRODUCT((CLASS!$E101:$H101="RES")*1,LIVE!$E101:$H101)+IF(SUMPRODUCT((CLASS!$E101:$H101="GAR")*1)&gt;=2,INPUTS!$B$20,1)*SUMPRODUCT((CLASS!$E101:$H101="GAR")*1,LIVE!$E101:$H101)+SUMPRODUCT((CLASS!$E101:$H101="NR")*1,LIVE!$E101:$H101))</f>
        <v>469.298</v>
      </c>
      <c r="I101" s="10" t="n">
        <f aca="false">INPUTS!$B$13*SUM(DEAD!$E101:$I101)+INPUTS!$B$14*(RED!I101*SUMPRODUCT((CLASS!$E101:$I101="RES")*1,LIVE!$E101:$I101)+IF(SUMPRODUCT((CLASS!$E101:$I101="GAR")*1)&gt;=2,INPUTS!$B$20,1)*SUMPRODUCT((CLASS!$E101:$I101="GAR")*1,LIVE!$E101:$I101)+SUMPRODUCT((CLASS!$E101:$I101="NR")*1,LIVE!$E101:$I101))</f>
        <v>539.1362</v>
      </c>
      <c r="J101" s="10" t="n">
        <f aca="false">INPUTS!$B$13*SUM(DEAD!$E101:$J101)+INPUTS!$B$14*(RED!J101*SUMPRODUCT((CLASS!$E101:$J101="RES")*1,LIVE!$E101:$J101)+IF(SUMPRODUCT((CLASS!$E101:$J101="GAR")*1)&gt;=2,INPUTS!$B$20,1)*SUMPRODUCT((CLASS!$E101:$J101="GAR")*1,LIVE!$E101:$J101)+SUMPRODUCT((CLASS!$E101:$J101="NR")*1,LIVE!$E101:$J101))</f>
        <v>726.4824</v>
      </c>
      <c r="K101" s="10" t="n">
        <f aca="false">INPUTS!$B$13*SUM(DEAD!$E101:$K101)+INPUTS!$B$14*(RED!K101*SUMPRODUCT((CLASS!$E101:$K101="RES")*1,LIVE!$E101:$K101)+IF(SUMPRODUCT((CLASS!$E101:$K101="GAR")*1)&gt;=2,INPUTS!$B$20,1)*SUMPRODUCT((CLASS!$E101:$K101="GAR")*1,LIVE!$E101:$K101)+SUMPRODUCT((CLASS!$E101:$K101="NR")*1,LIVE!$E101:$K101))</f>
        <v>726.4824</v>
      </c>
      <c r="L101" s="10" t="n">
        <f aca="false">INPUTS!$B$13*SUM(DEAD!$E101:$L101)+INPUTS!$B$14*(RED!L101*SUMPRODUCT((CLASS!$E101:$L101="RES")*1,LIVE!$E101:$L101)+IF(SUMPRODUCT((CLASS!$E101:$L101="GAR")*1)&gt;=2,INPUTS!$B$20,1)*SUMPRODUCT((CLASS!$E101:$L101="GAR")*1,LIVE!$E101:$L101)+SUMPRODUCT((CLASS!$E101:$L101="NR")*1,LIVE!$E101:$L101))</f>
        <v>726.4824</v>
      </c>
      <c r="M101" s="10" t="n">
        <f aca="false">INPUTS!$B$13*SUM(DEAD!$E101:$M101)+INPUTS!$B$14*(RED!M101*SUMPRODUCT((CLASS!$E101:$M101="RES")*1,LIVE!$E101:$M101)+IF(SUMPRODUCT((CLASS!$E101:$M101="GAR")*1)&gt;=2,INPUTS!$B$20,1)*SUMPRODUCT((CLASS!$E101:$M101="GAR")*1,LIVE!$E101:$M101)+SUMPRODUCT((CLASS!$E101:$M101="NR")*1,LIVE!$E101:$M101))</f>
        <v>726.4824</v>
      </c>
      <c r="N101" s="10" t="n">
        <f aca="false">INPUTS!$B$13*SUM(DEAD!$E101:$N101)+INPUTS!$B$14*(RED!N101*SUMPRODUCT((CLASS!$E101:$N101="RES")*1,LIVE!$E101:$N101)+IF(SUMPRODUCT((CLASS!$E101:$N101="GAR")*1)&gt;=2,INPUTS!$B$20,1)*SUMPRODUCT((CLASS!$E101:$N101="GAR")*1,LIVE!$E101:$N101)+SUMPRODUCT((CLASS!$E101:$N101="NR")*1,LIVE!$E101:$N101))</f>
        <v>726.4824</v>
      </c>
      <c r="O101" s="10" t="n">
        <f aca="false">INPUTS!$B$13*SUM(DEAD!$E101:$O101)+INPUTS!$B$14*(RED!O101*SUMPRODUCT((CLASS!$E101:$O101="RES")*1,LIVE!$E101:$O101)+IF(SUMPRODUCT((CLASS!$E101:$O101="GAR")*1)&gt;=2,INPUTS!$B$20,1)*SUMPRODUCT((CLASS!$E101:$O101="GAR")*1,LIVE!$E101:$O101)+SUMPRODUCT((CLASS!$E101:$O101="NR")*1,LIVE!$E101:$O101))</f>
        <v>726.4824</v>
      </c>
      <c r="P101" s="10" t="n">
        <f aca="false">INPUTS!$B$13*SUM(DEAD!$E101:$P101)+INPUTS!$B$14*(RED!P101*SUMPRODUCT((CLASS!$E101:$P101="RES")*1,LIVE!$E101:$P101)+IF(SUMPRODUCT((CLASS!$E101:$P101="GAR")*1)&gt;=2,INPUTS!$B$20,1)*SUMPRODUCT((CLASS!$E101:$P101="GAR")*1,LIVE!$E101:$P101)+SUMPRODUCT((CLASS!$E101:$P101="NR")*1,LIVE!$E101:$P101))</f>
        <v>726.4824</v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10" t="n">
        <f aca="false">INPUTS!$B$13*SUM(DEAD!$E102:$E102)+INPUTS!$B$14*(RED!E102*SUMPRODUCT((CLASS!$E102:$E102="RES")*1,LIVE!$E102:$E102)+IF(SUMPRODUCT((CLASS!$E102:$E102="GAR")*1)&gt;=2,INPUTS!$B$20,1)*SUMPRODUCT((CLASS!$E102:$E102="GAR")*1,LIVE!$E102:$E102)+SUMPRODUCT((CLASS!$E102:$E102="NR")*1,LIVE!$E102:$E102))</f>
        <v>86.409</v>
      </c>
      <c r="F102" s="10" t="n">
        <f aca="false">INPUTS!$B$13*SUM(DEAD!$E102:$F102)+INPUTS!$B$14*(RED!F102*SUMPRODUCT((CLASS!$E102:$F102="RES")*1,LIVE!$E102:$F102)+IF(SUMPRODUCT((CLASS!$E102:$F102="GAR")*1)&gt;=2,INPUTS!$B$20,1)*SUMPRODUCT((CLASS!$E102:$F102="GAR")*1,LIVE!$E102:$F102)+SUMPRODUCT((CLASS!$E102:$F102="NR")*1,LIVE!$E102:$F102))</f>
        <v>211.64</v>
      </c>
      <c r="G102" s="10" t="n">
        <f aca="false">INPUTS!$B$13*SUM(DEAD!$E102:$G102)+INPUTS!$B$14*(RED!G102*SUMPRODUCT((CLASS!$E102:$G102="RES")*1,LIVE!$E102:$G102)+IF(SUMPRODUCT((CLASS!$E102:$G102="GAR")*1)&gt;=2,INPUTS!$B$20,1)*SUMPRODUCT((CLASS!$E102:$G102="GAR")*1,LIVE!$E102:$G102)+SUMPRODUCT((CLASS!$E102:$G102="NR")*1,LIVE!$E102:$G102))</f>
        <v>327.139</v>
      </c>
      <c r="H102" s="10" t="n">
        <f aca="false">INPUTS!$B$13*SUM(DEAD!$E102:$H102)+INPUTS!$B$14*(RED!H102*SUMPRODUCT((CLASS!$E102:$H102="RES")*1,LIVE!$E102:$H102)+IF(SUMPRODUCT((CLASS!$E102:$H102="GAR")*1)&gt;=2,INPUTS!$B$20,1)*SUMPRODUCT((CLASS!$E102:$H102="GAR")*1,LIVE!$E102:$H102)+SUMPRODUCT((CLASS!$E102:$H102="NR")*1,LIVE!$E102:$H102))</f>
        <v>405.474</v>
      </c>
      <c r="I102" s="10" t="n">
        <f aca="false">INPUTS!$B$13*SUM(DEAD!$E102:$I102)+INPUTS!$B$14*(RED!I102*SUMPRODUCT((CLASS!$E102:$I102="RES")*1,LIVE!$E102:$I102)+IF(SUMPRODUCT((CLASS!$E102:$I102="GAR")*1)&gt;=2,INPUTS!$B$20,1)*SUMPRODUCT((CLASS!$E102:$I102="GAR")*1,LIVE!$E102:$I102)+SUMPRODUCT((CLASS!$E102:$I102="NR")*1,LIVE!$E102:$I102))</f>
        <v>510.9282</v>
      </c>
      <c r="J102" s="10" t="n">
        <f aca="false">INPUTS!$B$13*SUM(DEAD!$E102:$J102)+INPUTS!$B$14*(RED!J102*SUMPRODUCT((CLASS!$E102:$J102="RES")*1,LIVE!$E102:$J102)+IF(SUMPRODUCT((CLASS!$E102:$J102="GAR")*1)&gt;=2,INPUTS!$B$20,1)*SUMPRODUCT((CLASS!$E102:$J102="GAR")*1,LIVE!$E102:$J102)+SUMPRODUCT((CLASS!$E102:$J102="NR")*1,LIVE!$E102:$J102))</f>
        <v>510.9282</v>
      </c>
      <c r="K102" s="10" t="n">
        <f aca="false">INPUTS!$B$13*SUM(DEAD!$E102:$K102)+INPUTS!$B$14*(RED!K102*SUMPRODUCT((CLASS!$E102:$K102="RES")*1,LIVE!$E102:$K102)+IF(SUMPRODUCT((CLASS!$E102:$K102="GAR")*1)&gt;=2,INPUTS!$B$20,1)*SUMPRODUCT((CLASS!$E102:$K102="GAR")*1,LIVE!$E102:$K102)+SUMPRODUCT((CLASS!$E102:$K102="NR")*1,LIVE!$E102:$K102))</f>
        <v>510.9282</v>
      </c>
      <c r="L102" s="10" t="n">
        <f aca="false">INPUTS!$B$13*SUM(DEAD!$E102:$L102)+INPUTS!$B$14*(RED!L102*SUMPRODUCT((CLASS!$E102:$L102="RES")*1,LIVE!$E102:$L102)+IF(SUMPRODUCT((CLASS!$E102:$L102="GAR")*1)&gt;=2,INPUTS!$B$20,1)*SUMPRODUCT((CLASS!$E102:$L102="GAR")*1,LIVE!$E102:$L102)+SUMPRODUCT((CLASS!$E102:$L102="NR")*1,LIVE!$E102:$L102))</f>
        <v>510.9282</v>
      </c>
      <c r="M102" s="10" t="n">
        <f aca="false">INPUTS!$B$13*SUM(DEAD!$E102:$M102)+INPUTS!$B$14*(RED!M102*SUMPRODUCT((CLASS!$E102:$M102="RES")*1,LIVE!$E102:$M102)+IF(SUMPRODUCT((CLASS!$E102:$M102="GAR")*1)&gt;=2,INPUTS!$B$20,1)*SUMPRODUCT((CLASS!$E102:$M102="GAR")*1,LIVE!$E102:$M102)+SUMPRODUCT((CLASS!$E102:$M102="NR")*1,LIVE!$E102:$M102))</f>
        <v>510.9282</v>
      </c>
      <c r="N102" s="10" t="n">
        <f aca="false">INPUTS!$B$13*SUM(DEAD!$E102:$N102)+INPUTS!$B$14*(RED!N102*SUMPRODUCT((CLASS!$E102:$N102="RES")*1,LIVE!$E102:$N102)+IF(SUMPRODUCT((CLASS!$E102:$N102="GAR")*1)&gt;=2,INPUTS!$B$20,1)*SUMPRODUCT((CLASS!$E102:$N102="GAR")*1,LIVE!$E102:$N102)+SUMPRODUCT((CLASS!$E102:$N102="NR")*1,LIVE!$E102:$N102))</f>
        <v>510.9282</v>
      </c>
      <c r="O102" s="10" t="n">
        <f aca="false">INPUTS!$B$13*SUM(DEAD!$E102:$O102)+INPUTS!$B$14*(RED!O102*SUMPRODUCT((CLASS!$E102:$O102="RES")*1,LIVE!$E102:$O102)+IF(SUMPRODUCT((CLASS!$E102:$O102="GAR")*1)&gt;=2,INPUTS!$B$20,1)*SUMPRODUCT((CLASS!$E102:$O102="GAR")*1,LIVE!$E102:$O102)+SUMPRODUCT((CLASS!$E102:$O102="NR")*1,LIVE!$E102:$O102))</f>
        <v>510.9282</v>
      </c>
      <c r="P102" s="10" t="n">
        <f aca="false">INPUTS!$B$13*SUM(DEAD!$E102:$P102)+INPUTS!$B$14*(RED!P102*SUMPRODUCT((CLASS!$E102:$P102="RES")*1,LIVE!$E102:$P102)+IF(SUMPRODUCT((CLASS!$E102:$P102="GAR")*1)&gt;=2,INPUTS!$B$20,1)*SUMPRODUCT((CLASS!$E102:$P102="GAR")*1,LIVE!$E102:$P102)+SUMPRODUCT((CLASS!$E102:$P102="NR")*1,LIVE!$E102:$P102))</f>
        <v>510.9282</v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10" t="n">
        <f aca="false">INPUTS!$B$13*SUM(DEAD!$E103:$E103)+INPUTS!$B$14*(RED!E103*SUMPRODUCT((CLASS!$E103:$E103="RES")*1,LIVE!$E103:$E103)+IF(SUMPRODUCT((CLASS!$E103:$E103="GAR")*1)&gt;=2,INPUTS!$B$20,1)*SUMPRODUCT((CLASS!$E103:$E103="GAR")*1,LIVE!$E103:$E103)+SUMPRODUCT((CLASS!$E103:$E103="NR")*1,LIVE!$E103:$E103))</f>
        <v>115.659</v>
      </c>
      <c r="F103" s="10" t="n">
        <f aca="false">INPUTS!$B$13*SUM(DEAD!$E103:$F103)+INPUTS!$B$14*(RED!F103*SUMPRODUCT((CLASS!$E103:$F103="RES")*1,LIVE!$E103:$F103)+IF(SUMPRODUCT((CLASS!$E103:$F103="GAR")*1)&gt;=2,INPUTS!$B$20,1)*SUMPRODUCT((CLASS!$E103:$F103="GAR")*1,LIVE!$E103:$F103)+SUMPRODUCT((CLASS!$E103:$F103="NR")*1,LIVE!$E103:$F103))</f>
        <v>284.14</v>
      </c>
      <c r="G103" s="10" t="n">
        <f aca="false">INPUTS!$B$13*SUM(DEAD!$E103:$G103)+INPUTS!$B$14*(RED!G103*SUMPRODUCT((CLASS!$E103:$G103="RES")*1,LIVE!$E103:$G103)+IF(SUMPRODUCT((CLASS!$E103:$G103="GAR")*1)&gt;=2,INPUTS!$B$20,1)*SUMPRODUCT((CLASS!$E103:$G103="GAR")*1,LIVE!$E103:$G103)+SUMPRODUCT((CLASS!$E103:$G103="NR")*1,LIVE!$E103:$G103))</f>
        <v>446.399</v>
      </c>
      <c r="H103" s="10" t="n">
        <f aca="false">INPUTS!$B$13*SUM(DEAD!$E103:$H103)+INPUTS!$B$14*(RED!H103*SUMPRODUCT((CLASS!$E103:$H103="RES")*1,LIVE!$E103:$H103)+IF(SUMPRODUCT((CLASS!$E103:$H103="GAR")*1)&gt;=2,INPUTS!$B$20,1)*SUMPRODUCT((CLASS!$E103:$H103="GAR")*1,LIVE!$E103:$H103)+SUMPRODUCT((CLASS!$E103:$H103="NR")*1,LIVE!$E103:$H103))</f>
        <v>555.534</v>
      </c>
      <c r="I103" s="10" t="n">
        <f aca="false">INPUTS!$B$13*SUM(DEAD!$E103:$I103)+INPUTS!$B$14*(RED!I103*SUMPRODUCT((CLASS!$E103:$I103="RES")*1,LIVE!$E103:$I103)+IF(SUMPRODUCT((CLASS!$E103:$I103="GAR")*1)&gt;=2,INPUTS!$B$20,1)*SUMPRODUCT((CLASS!$E103:$I103="GAR")*1,LIVE!$E103:$I103)+SUMPRODUCT((CLASS!$E103:$I103="NR")*1,LIVE!$E103:$I103))</f>
        <v>710.697</v>
      </c>
      <c r="J103" s="10" t="n">
        <f aca="false">INPUTS!$B$13*SUM(DEAD!$E103:$J103)+INPUTS!$B$14*(RED!J103*SUMPRODUCT((CLASS!$E103:$J103="RES")*1,LIVE!$E103:$J103)+IF(SUMPRODUCT((CLASS!$E103:$J103="GAR")*1)&gt;=2,INPUTS!$B$20,1)*SUMPRODUCT((CLASS!$E103:$J103="GAR")*1,LIVE!$E103:$J103)+SUMPRODUCT((CLASS!$E103:$J103="NR")*1,LIVE!$E103:$J103))</f>
        <v>710.697</v>
      </c>
      <c r="K103" s="10" t="n">
        <f aca="false">INPUTS!$B$13*SUM(DEAD!$E103:$K103)+INPUTS!$B$14*(RED!K103*SUMPRODUCT((CLASS!$E103:$K103="RES")*1,LIVE!$E103:$K103)+IF(SUMPRODUCT((CLASS!$E103:$K103="GAR")*1)&gt;=2,INPUTS!$B$20,1)*SUMPRODUCT((CLASS!$E103:$K103="GAR")*1,LIVE!$E103:$K103)+SUMPRODUCT((CLASS!$E103:$K103="NR")*1,LIVE!$E103:$K103))</f>
        <v>710.697</v>
      </c>
      <c r="L103" s="10" t="n">
        <f aca="false">INPUTS!$B$13*SUM(DEAD!$E103:$L103)+INPUTS!$B$14*(RED!L103*SUMPRODUCT((CLASS!$E103:$L103="RES")*1,LIVE!$E103:$L103)+IF(SUMPRODUCT((CLASS!$E103:$L103="GAR")*1)&gt;=2,INPUTS!$B$20,1)*SUMPRODUCT((CLASS!$E103:$L103="GAR")*1,LIVE!$E103:$L103)+SUMPRODUCT((CLASS!$E103:$L103="NR")*1,LIVE!$E103:$L103))</f>
        <v>710.697</v>
      </c>
      <c r="M103" s="10" t="n">
        <f aca="false">INPUTS!$B$13*SUM(DEAD!$E103:$M103)+INPUTS!$B$14*(RED!M103*SUMPRODUCT((CLASS!$E103:$M103="RES")*1,LIVE!$E103:$M103)+IF(SUMPRODUCT((CLASS!$E103:$M103="GAR")*1)&gt;=2,INPUTS!$B$20,1)*SUMPRODUCT((CLASS!$E103:$M103="GAR")*1,LIVE!$E103:$M103)+SUMPRODUCT((CLASS!$E103:$M103="NR")*1,LIVE!$E103:$M103))</f>
        <v>710.697</v>
      </c>
      <c r="N103" s="10" t="n">
        <f aca="false">INPUTS!$B$13*SUM(DEAD!$E103:$N103)+INPUTS!$B$14*(RED!N103*SUMPRODUCT((CLASS!$E103:$N103="RES")*1,LIVE!$E103:$N103)+IF(SUMPRODUCT((CLASS!$E103:$N103="GAR")*1)&gt;=2,INPUTS!$B$20,1)*SUMPRODUCT((CLASS!$E103:$N103="GAR")*1,LIVE!$E103:$N103)+SUMPRODUCT((CLASS!$E103:$N103="NR")*1,LIVE!$E103:$N103))</f>
        <v>710.697</v>
      </c>
      <c r="O103" s="10" t="n">
        <f aca="false">INPUTS!$B$13*SUM(DEAD!$E103:$O103)+INPUTS!$B$14*(RED!O103*SUMPRODUCT((CLASS!$E103:$O103="RES")*1,LIVE!$E103:$O103)+IF(SUMPRODUCT((CLASS!$E103:$O103="GAR")*1)&gt;=2,INPUTS!$B$20,1)*SUMPRODUCT((CLASS!$E103:$O103="GAR")*1,LIVE!$E103:$O103)+SUMPRODUCT((CLASS!$E103:$O103="NR")*1,LIVE!$E103:$O103))</f>
        <v>710.697</v>
      </c>
      <c r="P103" s="10" t="n">
        <f aca="false">INPUTS!$B$13*SUM(DEAD!$E103:$P103)+INPUTS!$B$14*(RED!P103*SUMPRODUCT((CLASS!$E103:$P103="RES")*1,LIVE!$E103:$P103)+IF(SUMPRODUCT((CLASS!$E103:$P103="GAR")*1)&gt;=2,INPUTS!$B$20,1)*SUMPRODUCT((CLASS!$E103:$P103="GAR")*1,LIVE!$E103:$P103)+SUMPRODUCT((CLASS!$E103:$P103="NR")*1,LIVE!$E103:$P103))</f>
        <v>710.697</v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10" t="n">
        <f aca="false">INPUTS!$B$13*SUM(DEAD!$E104:$E104)+INPUTS!$B$14*(RED!E104*SUMPRODUCT((CLASS!$E104:$E104="RES")*1,LIVE!$E104:$E104)+IF(SUMPRODUCT((CLASS!$E104:$E104="GAR")*1)&gt;=2,INPUTS!$B$20,1)*SUMPRODUCT((CLASS!$E104:$E104="GAR")*1,LIVE!$E104:$E104)+SUMPRODUCT((CLASS!$E104:$E104="NR")*1,LIVE!$E104:$E104))</f>
        <v>100.449</v>
      </c>
      <c r="F104" s="10" t="n">
        <f aca="false">INPUTS!$B$13*SUM(DEAD!$E104:$F104)+INPUTS!$B$14*(RED!F104*SUMPRODUCT((CLASS!$E104:$F104="RES")*1,LIVE!$E104:$F104)+IF(SUMPRODUCT((CLASS!$E104:$F104="GAR")*1)&gt;=2,INPUTS!$B$20,1)*SUMPRODUCT((CLASS!$E104:$F104="GAR")*1,LIVE!$E104:$F104)+SUMPRODUCT((CLASS!$E104:$F104="NR")*1,LIVE!$E104:$F104))</f>
        <v>246.44</v>
      </c>
      <c r="G104" s="10" t="n">
        <f aca="false">INPUTS!$B$13*SUM(DEAD!$E104:$G104)+INPUTS!$B$14*(RED!G104*SUMPRODUCT((CLASS!$E104:$G104="RES")*1,LIVE!$E104:$G104)+IF(SUMPRODUCT((CLASS!$E104:$G104="GAR")*1)&gt;=2,INPUTS!$B$20,1)*SUMPRODUCT((CLASS!$E104:$G104="GAR")*1,LIVE!$E104:$G104)+SUMPRODUCT((CLASS!$E104:$G104="NR")*1,LIVE!$E104:$G104))</f>
        <v>384.267</v>
      </c>
      <c r="H104" s="10" t="n">
        <f aca="false">INPUTS!$B$13*SUM(DEAD!$E104:$H104)+INPUTS!$B$14*(RED!H104*SUMPRODUCT((CLASS!$E104:$H104="RES")*1,LIVE!$E104:$H104)+IF(SUMPRODUCT((CLASS!$E104:$H104="GAR")*1)&gt;=2,INPUTS!$B$20,1)*SUMPRODUCT((CLASS!$E104:$H104="GAR")*1,LIVE!$E104:$H104)+SUMPRODUCT((CLASS!$E104:$H104="NR")*1,LIVE!$E104:$H104))</f>
        <v>477.162</v>
      </c>
      <c r="I104" s="10" t="n">
        <f aca="false">INPUTS!$B$13*SUM(DEAD!$E104:$I104)+INPUTS!$B$14*(RED!I104*SUMPRODUCT((CLASS!$E104:$I104="RES")*1,LIVE!$E104:$I104)+IF(SUMPRODUCT((CLASS!$E104:$I104="GAR")*1)&gt;=2,INPUTS!$B$20,1)*SUMPRODUCT((CLASS!$E104:$I104="GAR")*1,LIVE!$E104:$I104)+SUMPRODUCT((CLASS!$E104:$I104="NR")*1,LIVE!$E104:$I104))</f>
        <v>582.5226</v>
      </c>
      <c r="J104" s="10" t="n">
        <f aca="false">INPUTS!$B$13*SUM(DEAD!$E104:$J104)+INPUTS!$B$14*(RED!J104*SUMPRODUCT((CLASS!$E104:$J104="RES")*1,LIVE!$E104:$J104)+IF(SUMPRODUCT((CLASS!$E104:$J104="GAR")*1)&gt;=2,INPUTS!$B$20,1)*SUMPRODUCT((CLASS!$E104:$J104="GAR")*1,LIVE!$E104:$J104)+SUMPRODUCT((CLASS!$E104:$J104="NR")*1,LIVE!$E104:$J104))</f>
        <v>582.5226</v>
      </c>
      <c r="K104" s="10" t="n">
        <f aca="false">INPUTS!$B$13*SUM(DEAD!$E104:$K104)+INPUTS!$B$14*(RED!K104*SUMPRODUCT((CLASS!$E104:$K104="RES")*1,LIVE!$E104:$K104)+IF(SUMPRODUCT((CLASS!$E104:$K104="GAR")*1)&gt;=2,INPUTS!$B$20,1)*SUMPRODUCT((CLASS!$E104:$K104="GAR")*1,LIVE!$E104:$K104)+SUMPRODUCT((CLASS!$E104:$K104="NR")*1,LIVE!$E104:$K104))</f>
        <v>582.5226</v>
      </c>
      <c r="L104" s="10" t="n">
        <f aca="false">INPUTS!$B$13*SUM(DEAD!$E104:$L104)+INPUTS!$B$14*(RED!L104*SUMPRODUCT((CLASS!$E104:$L104="RES")*1,LIVE!$E104:$L104)+IF(SUMPRODUCT((CLASS!$E104:$L104="GAR")*1)&gt;=2,INPUTS!$B$20,1)*SUMPRODUCT((CLASS!$E104:$L104="GAR")*1,LIVE!$E104:$L104)+SUMPRODUCT((CLASS!$E104:$L104="NR")*1,LIVE!$E104:$L104))</f>
        <v>582.5226</v>
      </c>
      <c r="M104" s="10" t="n">
        <f aca="false">INPUTS!$B$13*SUM(DEAD!$E104:$M104)+INPUTS!$B$14*(RED!M104*SUMPRODUCT((CLASS!$E104:$M104="RES")*1,LIVE!$E104:$M104)+IF(SUMPRODUCT((CLASS!$E104:$M104="GAR")*1)&gt;=2,INPUTS!$B$20,1)*SUMPRODUCT((CLASS!$E104:$M104="GAR")*1,LIVE!$E104:$M104)+SUMPRODUCT((CLASS!$E104:$M104="NR")*1,LIVE!$E104:$M104))</f>
        <v>582.5226</v>
      </c>
      <c r="N104" s="10" t="n">
        <f aca="false">INPUTS!$B$13*SUM(DEAD!$E104:$N104)+INPUTS!$B$14*(RED!N104*SUMPRODUCT((CLASS!$E104:$N104="RES")*1,LIVE!$E104:$N104)+IF(SUMPRODUCT((CLASS!$E104:$N104="GAR")*1)&gt;=2,INPUTS!$B$20,1)*SUMPRODUCT((CLASS!$E104:$N104="GAR")*1,LIVE!$E104:$N104)+SUMPRODUCT((CLASS!$E104:$N104="NR")*1,LIVE!$E104:$N104))</f>
        <v>582.5226</v>
      </c>
      <c r="O104" s="10" t="n">
        <f aca="false">INPUTS!$B$13*SUM(DEAD!$E104:$O104)+INPUTS!$B$14*(RED!O104*SUMPRODUCT((CLASS!$E104:$O104="RES")*1,LIVE!$E104:$O104)+IF(SUMPRODUCT((CLASS!$E104:$O104="GAR")*1)&gt;=2,INPUTS!$B$20,1)*SUMPRODUCT((CLASS!$E104:$O104="GAR")*1,LIVE!$E104:$O104)+SUMPRODUCT((CLASS!$E104:$O104="NR")*1,LIVE!$E104:$O104))</f>
        <v>582.5226</v>
      </c>
      <c r="P104" s="10" t="n">
        <f aca="false">INPUTS!$B$13*SUM(DEAD!$E104:$P104)+INPUTS!$B$14*(RED!P104*SUMPRODUCT((CLASS!$E104:$P104="RES")*1,LIVE!$E104:$P104)+IF(SUMPRODUCT((CLASS!$E104:$P104="GAR")*1)&gt;=2,INPUTS!$B$20,1)*SUMPRODUCT((CLASS!$E104:$P104="GAR")*1,LIVE!$E104:$P104)+SUMPRODUCT((CLASS!$E104:$P104="NR")*1,LIVE!$E104:$P104))</f>
        <v>582.5226</v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10" t="n">
        <f aca="false">INPUTS!$B$13*SUM(DEAD!$E105:$E105)+INPUTS!$B$14*(RED!E105*SUMPRODUCT((CLASS!$E105:$E105="RES")*1,LIVE!$E105:$E105)+IF(SUMPRODUCT((CLASS!$E105:$E105="GAR")*1)&gt;=2,INPUTS!$B$20,1)*SUMPRODUCT((CLASS!$E105:$E105="GAR")*1,LIVE!$E105:$E105)+SUMPRODUCT((CLASS!$E105:$E105="NR")*1,LIVE!$E105:$E105))</f>
        <v>120.573</v>
      </c>
      <c r="F105" s="10" t="n">
        <f aca="false">INPUTS!$B$13*SUM(DEAD!$E105:$F105)+INPUTS!$B$14*(RED!F105*SUMPRODUCT((CLASS!$E105:$F105="RES")*1,LIVE!$E105:$F105)+IF(SUMPRODUCT((CLASS!$E105:$F105="GAR")*1)&gt;=2,INPUTS!$B$20,1)*SUMPRODUCT((CLASS!$E105:$F105="GAR")*1,LIVE!$E105:$F105)+SUMPRODUCT((CLASS!$E105:$F105="NR")*1,LIVE!$E105:$F105))</f>
        <v>296.32</v>
      </c>
      <c r="G105" s="10" t="n">
        <f aca="false">INPUTS!$B$13*SUM(DEAD!$E105:$G105)+INPUTS!$B$14*(RED!G105*SUMPRODUCT((CLASS!$E105:$G105="RES")*1,LIVE!$E105:$G105)+IF(SUMPRODUCT((CLASS!$E105:$G105="GAR")*1)&gt;=2,INPUTS!$B$20,1)*SUMPRODUCT((CLASS!$E105:$G105="GAR")*1,LIVE!$E105:$G105)+SUMPRODUCT((CLASS!$E105:$G105="NR")*1,LIVE!$E105:$G105))</f>
        <v>465.593</v>
      </c>
      <c r="H105" s="10" t="n">
        <f aca="false">INPUTS!$B$13*SUM(DEAD!$E105:$H105)+INPUTS!$B$14*(RED!H105*SUMPRODUCT((CLASS!$E105:$H105="RES")*1,LIVE!$E105:$H105)+IF(SUMPRODUCT((CLASS!$E105:$H105="GAR")*1)&gt;=2,INPUTS!$B$20,1)*SUMPRODUCT((CLASS!$E105:$H105="GAR")*1,LIVE!$E105:$H105)+SUMPRODUCT((CLASS!$E105:$H105="NR")*1,LIVE!$E105:$H105))</f>
        <v>579.348</v>
      </c>
      <c r="I105" s="10" t="n">
        <f aca="false">INPUTS!$B$13*SUM(DEAD!$E105:$I105)+INPUTS!$B$14*(RED!I105*SUMPRODUCT((CLASS!$E105:$I105="RES")*1,LIVE!$E105:$I105)+IF(SUMPRODUCT((CLASS!$E105:$I105="GAR")*1)&gt;=2,INPUTS!$B$20,1)*SUMPRODUCT((CLASS!$E105:$I105="GAR")*1,LIVE!$E105:$I105)+SUMPRODUCT((CLASS!$E105:$I105="NR")*1,LIVE!$E105:$I105))</f>
        <v>737.9446</v>
      </c>
      <c r="J105" s="10" t="n">
        <f aca="false">INPUTS!$B$13*SUM(DEAD!$E105:$J105)+INPUTS!$B$14*(RED!J105*SUMPRODUCT((CLASS!$E105:$J105="RES")*1,LIVE!$E105:$J105)+IF(SUMPRODUCT((CLASS!$E105:$J105="GAR")*1)&gt;=2,INPUTS!$B$20,1)*SUMPRODUCT((CLASS!$E105:$J105="GAR")*1,LIVE!$E105:$J105)+SUMPRODUCT((CLASS!$E105:$J105="NR")*1,LIVE!$E105:$J105))</f>
        <v>737.9446</v>
      </c>
      <c r="K105" s="10" t="n">
        <f aca="false">INPUTS!$B$13*SUM(DEAD!$E105:$K105)+INPUTS!$B$14*(RED!K105*SUMPRODUCT((CLASS!$E105:$K105="RES")*1,LIVE!$E105:$K105)+IF(SUMPRODUCT((CLASS!$E105:$K105="GAR")*1)&gt;=2,INPUTS!$B$20,1)*SUMPRODUCT((CLASS!$E105:$K105="GAR")*1,LIVE!$E105:$K105)+SUMPRODUCT((CLASS!$E105:$K105="NR")*1,LIVE!$E105:$K105))</f>
        <v>737.9446</v>
      </c>
      <c r="L105" s="10" t="n">
        <f aca="false">INPUTS!$B$13*SUM(DEAD!$E105:$L105)+INPUTS!$B$14*(RED!L105*SUMPRODUCT((CLASS!$E105:$L105="RES")*1,LIVE!$E105:$L105)+IF(SUMPRODUCT((CLASS!$E105:$L105="GAR")*1)&gt;=2,INPUTS!$B$20,1)*SUMPRODUCT((CLASS!$E105:$L105="GAR")*1,LIVE!$E105:$L105)+SUMPRODUCT((CLASS!$E105:$L105="NR")*1,LIVE!$E105:$L105))</f>
        <v>737.9446</v>
      </c>
      <c r="M105" s="10" t="n">
        <f aca="false">INPUTS!$B$13*SUM(DEAD!$E105:$M105)+INPUTS!$B$14*(RED!M105*SUMPRODUCT((CLASS!$E105:$M105="RES")*1,LIVE!$E105:$M105)+IF(SUMPRODUCT((CLASS!$E105:$M105="GAR")*1)&gt;=2,INPUTS!$B$20,1)*SUMPRODUCT((CLASS!$E105:$M105="GAR")*1,LIVE!$E105:$M105)+SUMPRODUCT((CLASS!$E105:$M105="NR")*1,LIVE!$E105:$M105))</f>
        <v>737.9446</v>
      </c>
      <c r="N105" s="10" t="n">
        <f aca="false">INPUTS!$B$13*SUM(DEAD!$E105:$N105)+INPUTS!$B$14*(RED!N105*SUMPRODUCT((CLASS!$E105:$N105="RES")*1,LIVE!$E105:$N105)+IF(SUMPRODUCT((CLASS!$E105:$N105="GAR")*1)&gt;=2,INPUTS!$B$20,1)*SUMPRODUCT((CLASS!$E105:$N105="GAR")*1,LIVE!$E105:$N105)+SUMPRODUCT((CLASS!$E105:$N105="NR")*1,LIVE!$E105:$N105))</f>
        <v>737.9446</v>
      </c>
      <c r="O105" s="10" t="n">
        <f aca="false">INPUTS!$B$13*SUM(DEAD!$E105:$O105)+INPUTS!$B$14*(RED!O105*SUMPRODUCT((CLASS!$E105:$O105="RES")*1,LIVE!$E105:$O105)+IF(SUMPRODUCT((CLASS!$E105:$O105="GAR")*1)&gt;=2,INPUTS!$B$20,1)*SUMPRODUCT((CLASS!$E105:$O105="GAR")*1,LIVE!$E105:$O105)+SUMPRODUCT((CLASS!$E105:$O105="NR")*1,LIVE!$E105:$O105))</f>
        <v>737.9446</v>
      </c>
      <c r="P105" s="10" t="n">
        <f aca="false">INPUTS!$B$13*SUM(DEAD!$E105:$P105)+INPUTS!$B$14*(RED!P105*SUMPRODUCT((CLASS!$E105:$P105="RES")*1,LIVE!$E105:$P105)+IF(SUMPRODUCT((CLASS!$E105:$P105="GAR")*1)&gt;=2,INPUTS!$B$20,1)*SUMPRODUCT((CLASS!$E105:$P105="GAR")*1,LIVE!$E105:$P105)+SUMPRODUCT((CLASS!$E105:$P105="NR")*1,LIVE!$E105:$P105))</f>
        <v>737.9446</v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10" t="n">
        <f aca="false">INPUTS!$B$13*SUM(DEAD!$E106:$E106)+INPUTS!$B$14*(RED!E106*SUMPRODUCT((CLASS!$E106:$E106="RES")*1,LIVE!$E106:$E106)+IF(SUMPRODUCT((CLASS!$E106:$E106="GAR")*1)&gt;=2,INPUTS!$B$20,1)*SUMPRODUCT((CLASS!$E106:$E106="GAR")*1,LIVE!$E106:$E106)+SUMPRODUCT((CLASS!$E106:$E106="NR")*1,LIVE!$E106:$E106))</f>
        <v>107.937</v>
      </c>
      <c r="F106" s="10" t="n">
        <f aca="false">INPUTS!$B$13*SUM(DEAD!$E106:$F106)+INPUTS!$B$14*(RED!F106*SUMPRODUCT((CLASS!$E106:$F106="RES")*1,LIVE!$E106:$F106)+IF(SUMPRODUCT((CLASS!$E106:$F106="GAR")*1)&gt;=2,INPUTS!$B$20,1)*SUMPRODUCT((CLASS!$E106:$F106="GAR")*1,LIVE!$E106:$F106)+SUMPRODUCT((CLASS!$E106:$F106="NR")*1,LIVE!$E106:$F106))</f>
        <v>265</v>
      </c>
      <c r="G106" s="10" t="n">
        <f aca="false">INPUTS!$B$13*SUM(DEAD!$E106:$G106)+INPUTS!$B$14*(RED!G106*SUMPRODUCT((CLASS!$E106:$G106="RES")*1,LIVE!$E106:$G106)+IF(SUMPRODUCT((CLASS!$E106:$G106="GAR")*1)&gt;=2,INPUTS!$B$20,1)*SUMPRODUCT((CLASS!$E106:$G106="GAR")*1,LIVE!$E106:$G106)+SUMPRODUCT((CLASS!$E106:$G106="NR")*1,LIVE!$E106:$G106))</f>
        <v>416.237</v>
      </c>
      <c r="H106" s="10" t="n">
        <f aca="false">INPUTS!$B$13*SUM(DEAD!$E106:$H106)+INPUTS!$B$14*(RED!H106*SUMPRODUCT((CLASS!$E106:$H106="RES")*1,LIVE!$E106:$H106)+IF(SUMPRODUCT((CLASS!$E106:$H106="GAR")*1)&gt;=2,INPUTS!$B$20,1)*SUMPRODUCT((CLASS!$E106:$H106="GAR")*1,LIVE!$E106:$H106)+SUMPRODUCT((CLASS!$E106:$H106="NR")*1,LIVE!$E106:$H106))</f>
        <v>518.112</v>
      </c>
      <c r="I106" s="10" t="n">
        <f aca="false">INPUTS!$B$13*SUM(DEAD!$E106:$I106)+INPUTS!$B$14*(RED!I106*SUMPRODUCT((CLASS!$E106:$I106="RES")*1,LIVE!$E106:$I106)+IF(SUMPRODUCT((CLASS!$E106:$I106="GAR")*1)&gt;=2,INPUTS!$B$20,1)*SUMPRODUCT((CLASS!$E106:$I106="GAR")*1,LIVE!$E106:$I106)+SUMPRODUCT((CLASS!$E106:$I106="NR")*1,LIVE!$E106:$I106))</f>
        <v>672.787</v>
      </c>
      <c r="J106" s="10" t="n">
        <f aca="false">INPUTS!$B$13*SUM(DEAD!$E106:$J106)+INPUTS!$B$14*(RED!J106*SUMPRODUCT((CLASS!$E106:$J106="RES")*1,LIVE!$E106:$J106)+IF(SUMPRODUCT((CLASS!$E106:$J106="GAR")*1)&gt;=2,INPUTS!$B$20,1)*SUMPRODUCT((CLASS!$E106:$J106="GAR")*1,LIVE!$E106:$J106)+SUMPRODUCT((CLASS!$E106:$J106="NR")*1,LIVE!$E106:$J106))</f>
        <v>672.787</v>
      </c>
      <c r="K106" s="10" t="n">
        <f aca="false">INPUTS!$B$13*SUM(DEAD!$E106:$K106)+INPUTS!$B$14*(RED!K106*SUMPRODUCT((CLASS!$E106:$K106="RES")*1,LIVE!$E106:$K106)+IF(SUMPRODUCT((CLASS!$E106:$K106="GAR")*1)&gt;=2,INPUTS!$B$20,1)*SUMPRODUCT((CLASS!$E106:$K106="GAR")*1,LIVE!$E106:$K106)+SUMPRODUCT((CLASS!$E106:$K106="NR")*1,LIVE!$E106:$K106))</f>
        <v>672.787</v>
      </c>
      <c r="L106" s="10" t="n">
        <f aca="false">INPUTS!$B$13*SUM(DEAD!$E106:$L106)+INPUTS!$B$14*(RED!L106*SUMPRODUCT((CLASS!$E106:$L106="RES")*1,LIVE!$E106:$L106)+IF(SUMPRODUCT((CLASS!$E106:$L106="GAR")*1)&gt;=2,INPUTS!$B$20,1)*SUMPRODUCT((CLASS!$E106:$L106="GAR")*1,LIVE!$E106:$L106)+SUMPRODUCT((CLASS!$E106:$L106="NR")*1,LIVE!$E106:$L106))</f>
        <v>672.787</v>
      </c>
      <c r="M106" s="10" t="n">
        <f aca="false">INPUTS!$B$13*SUM(DEAD!$E106:$M106)+INPUTS!$B$14*(RED!M106*SUMPRODUCT((CLASS!$E106:$M106="RES")*1,LIVE!$E106:$M106)+IF(SUMPRODUCT((CLASS!$E106:$M106="GAR")*1)&gt;=2,INPUTS!$B$20,1)*SUMPRODUCT((CLASS!$E106:$M106="GAR")*1,LIVE!$E106:$M106)+SUMPRODUCT((CLASS!$E106:$M106="NR")*1,LIVE!$E106:$M106))</f>
        <v>672.787</v>
      </c>
      <c r="N106" s="10" t="n">
        <f aca="false">INPUTS!$B$13*SUM(DEAD!$E106:$N106)+INPUTS!$B$14*(RED!N106*SUMPRODUCT((CLASS!$E106:$N106="RES")*1,LIVE!$E106:$N106)+IF(SUMPRODUCT((CLASS!$E106:$N106="GAR")*1)&gt;=2,INPUTS!$B$20,1)*SUMPRODUCT((CLASS!$E106:$N106="GAR")*1,LIVE!$E106:$N106)+SUMPRODUCT((CLASS!$E106:$N106="NR")*1,LIVE!$E106:$N106))</f>
        <v>672.787</v>
      </c>
      <c r="O106" s="10" t="n">
        <f aca="false">INPUTS!$B$13*SUM(DEAD!$E106:$O106)+INPUTS!$B$14*(RED!O106*SUMPRODUCT((CLASS!$E106:$O106="RES")*1,LIVE!$E106:$O106)+IF(SUMPRODUCT((CLASS!$E106:$O106="GAR")*1)&gt;=2,INPUTS!$B$20,1)*SUMPRODUCT((CLASS!$E106:$O106="GAR")*1,LIVE!$E106:$O106)+SUMPRODUCT((CLASS!$E106:$O106="NR")*1,LIVE!$E106:$O106))</f>
        <v>672.787</v>
      </c>
      <c r="P106" s="10" t="n">
        <f aca="false">INPUTS!$B$13*SUM(DEAD!$E106:$P106)+INPUTS!$B$14*(RED!P106*SUMPRODUCT((CLASS!$E106:$P106="RES")*1,LIVE!$E106:$P106)+IF(SUMPRODUCT((CLASS!$E106:$P106="GAR")*1)&gt;=2,INPUTS!$B$20,1)*SUMPRODUCT((CLASS!$E106:$P106="GAR")*1,LIVE!$E106:$P106)+SUMPRODUCT((CLASS!$E106:$P106="NR")*1,LIVE!$E106:$P106))</f>
        <v>672.787</v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10" t="n">
        <f aca="false">INPUTS!$B$13*SUM(DEAD!$E107:$E107)+INPUTS!$B$14*(RED!E107*SUMPRODUCT((CLASS!$E107:$E107="RES")*1,LIVE!$E107:$E107)+IF(SUMPRODUCT((CLASS!$E107:$E107="GAR")*1)&gt;=2,INPUTS!$B$20,1)*SUMPRODUCT((CLASS!$E107:$E107="GAR")*1,LIVE!$E107:$E107)+SUMPRODUCT((CLASS!$E107:$E107="NR")*1,LIVE!$E107:$E107))</f>
        <v>103.491</v>
      </c>
      <c r="F107" s="10" t="n">
        <f aca="false">INPUTS!$B$13*SUM(DEAD!$E107:$F107)+INPUTS!$B$14*(RED!F107*SUMPRODUCT((CLASS!$E107:$F107="RES")*1,LIVE!$E107:$F107)+IF(SUMPRODUCT((CLASS!$E107:$F107="GAR")*1)&gt;=2,INPUTS!$B$20,1)*SUMPRODUCT((CLASS!$E107:$F107="GAR")*1,LIVE!$E107:$F107)+SUMPRODUCT((CLASS!$E107:$F107="NR")*1,LIVE!$E107:$F107))</f>
        <v>257.22</v>
      </c>
      <c r="G107" s="10" t="n">
        <f aca="false">INPUTS!$B$13*SUM(DEAD!$E107:$G107)+INPUTS!$B$14*(RED!G107*SUMPRODUCT((CLASS!$E107:$G107="RES")*1,LIVE!$E107:$G107)+IF(SUMPRODUCT((CLASS!$E107:$G107="GAR")*1)&gt;=2,INPUTS!$B$20,1)*SUMPRODUCT((CLASS!$E107:$G107="GAR")*1,LIVE!$E107:$G107)+SUMPRODUCT((CLASS!$E107:$G107="NR")*1,LIVE!$E107:$G107))</f>
        <v>350.241</v>
      </c>
      <c r="H107" s="10" t="n">
        <f aca="false">INPUTS!$B$13*SUM(DEAD!$E107:$H107)+INPUTS!$B$14*(RED!H107*SUMPRODUCT((CLASS!$E107:$H107="RES")*1,LIVE!$E107:$H107)+IF(SUMPRODUCT((CLASS!$E107:$H107="GAR")*1)&gt;=2,INPUTS!$B$20,1)*SUMPRODUCT((CLASS!$E107:$H107="GAR")*1,LIVE!$E107:$H107)+SUMPRODUCT((CLASS!$E107:$H107="NR")*1,LIVE!$E107:$H107))</f>
        <v>427.656</v>
      </c>
      <c r="I107" s="10" t="n">
        <f aca="false">INPUTS!$B$13*SUM(DEAD!$E107:$I107)+INPUTS!$B$14*(RED!I107*SUMPRODUCT((CLASS!$E107:$I107="RES")*1,LIVE!$E107:$I107)+IF(SUMPRODUCT((CLASS!$E107:$I107="GAR")*1)&gt;=2,INPUTS!$B$20,1)*SUMPRODUCT((CLASS!$E107:$I107="GAR")*1,LIVE!$E107:$I107)+SUMPRODUCT((CLASS!$E107:$I107="NR")*1,LIVE!$E107:$I107))</f>
        <v>497.3142</v>
      </c>
      <c r="J107" s="10" t="n">
        <f aca="false">INPUTS!$B$13*SUM(DEAD!$E107:$J107)+INPUTS!$B$14*(RED!J107*SUMPRODUCT((CLASS!$E107:$J107="RES")*1,LIVE!$E107:$J107)+IF(SUMPRODUCT((CLASS!$E107:$J107="GAR")*1)&gt;=2,INPUTS!$B$20,1)*SUMPRODUCT((CLASS!$E107:$J107="GAR")*1,LIVE!$E107:$J107)+SUMPRODUCT((CLASS!$E107:$J107="NR")*1,LIVE!$E107:$J107))</f>
        <v>497.3142</v>
      </c>
      <c r="K107" s="10" t="n">
        <f aca="false">INPUTS!$B$13*SUM(DEAD!$E107:$K107)+INPUTS!$B$14*(RED!K107*SUMPRODUCT((CLASS!$E107:$K107="RES")*1,LIVE!$E107:$K107)+IF(SUMPRODUCT((CLASS!$E107:$K107="GAR")*1)&gt;=2,INPUTS!$B$20,1)*SUMPRODUCT((CLASS!$E107:$K107="GAR")*1,LIVE!$E107:$K107)+SUMPRODUCT((CLASS!$E107:$K107="NR")*1,LIVE!$E107:$K107))</f>
        <v>497.3142</v>
      </c>
      <c r="L107" s="10" t="n">
        <f aca="false">INPUTS!$B$13*SUM(DEAD!$E107:$L107)+INPUTS!$B$14*(RED!L107*SUMPRODUCT((CLASS!$E107:$L107="RES")*1,LIVE!$E107:$L107)+IF(SUMPRODUCT((CLASS!$E107:$L107="GAR")*1)&gt;=2,INPUTS!$B$20,1)*SUMPRODUCT((CLASS!$E107:$L107="GAR")*1,LIVE!$E107:$L107)+SUMPRODUCT((CLASS!$E107:$L107="NR")*1,LIVE!$E107:$L107))</f>
        <v>497.3142</v>
      </c>
      <c r="M107" s="10" t="n">
        <f aca="false">INPUTS!$B$13*SUM(DEAD!$E107:$M107)+INPUTS!$B$14*(RED!M107*SUMPRODUCT((CLASS!$E107:$M107="RES")*1,LIVE!$E107:$M107)+IF(SUMPRODUCT((CLASS!$E107:$M107="GAR")*1)&gt;=2,INPUTS!$B$20,1)*SUMPRODUCT((CLASS!$E107:$M107="GAR")*1,LIVE!$E107:$M107)+SUMPRODUCT((CLASS!$E107:$M107="NR")*1,LIVE!$E107:$M107))</f>
        <v>497.3142</v>
      </c>
      <c r="N107" s="10" t="n">
        <f aca="false">INPUTS!$B$13*SUM(DEAD!$E107:$N107)+INPUTS!$B$14*(RED!N107*SUMPRODUCT((CLASS!$E107:$N107="RES")*1,LIVE!$E107:$N107)+IF(SUMPRODUCT((CLASS!$E107:$N107="GAR")*1)&gt;=2,INPUTS!$B$20,1)*SUMPRODUCT((CLASS!$E107:$N107="GAR")*1,LIVE!$E107:$N107)+SUMPRODUCT((CLASS!$E107:$N107="NR")*1,LIVE!$E107:$N107))</f>
        <v>497.3142</v>
      </c>
      <c r="O107" s="10" t="n">
        <f aca="false">INPUTS!$B$13*SUM(DEAD!$E107:$O107)+INPUTS!$B$14*(RED!O107*SUMPRODUCT((CLASS!$E107:$O107="RES")*1,LIVE!$E107:$O107)+IF(SUMPRODUCT((CLASS!$E107:$O107="GAR")*1)&gt;=2,INPUTS!$B$20,1)*SUMPRODUCT((CLASS!$E107:$O107="GAR")*1,LIVE!$E107:$O107)+SUMPRODUCT((CLASS!$E107:$O107="NR")*1,LIVE!$E107:$O107))</f>
        <v>497.3142</v>
      </c>
      <c r="P107" s="10" t="n">
        <f aca="false">INPUTS!$B$13*SUM(DEAD!$E107:$P107)+INPUTS!$B$14*(RED!P107*SUMPRODUCT((CLASS!$E107:$P107="RES")*1,LIVE!$E107:$P107)+IF(SUMPRODUCT((CLASS!$E107:$P107="GAR")*1)&gt;=2,INPUTS!$B$20,1)*SUMPRODUCT((CLASS!$E107:$P107="GAR")*1,LIVE!$E107:$P107)+SUMPRODUCT((CLASS!$E107:$P107="NR")*1,LIVE!$E107:$P107))</f>
        <v>497.3142</v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10" t="n">
        <f aca="false">INPUTS!$B$13*SUM(DEAD!$E108:$E108)+INPUTS!$B$14*(RED!E108*SUMPRODUCT((CLASS!$E108:$E108="RES")*1,LIVE!$E108:$E108)+IF(SUMPRODUCT((CLASS!$E108:$E108="GAR")*1)&gt;=2,INPUTS!$B$20,1)*SUMPRODUCT((CLASS!$E108:$E108="GAR")*1,LIVE!$E108:$E108)+SUMPRODUCT((CLASS!$E108:$E108="NR")*1,LIVE!$E108:$E108))</f>
        <v>45.225</v>
      </c>
      <c r="F108" s="10" t="n">
        <f aca="false">INPUTS!$B$13*SUM(DEAD!$E108:$F108)+INPUTS!$B$14*(RED!F108*SUMPRODUCT((CLASS!$E108:$F108="RES")*1,LIVE!$E108:$F108)+IF(SUMPRODUCT((CLASS!$E108:$F108="GAR")*1)&gt;=2,INPUTS!$B$20,1)*SUMPRODUCT((CLASS!$E108:$F108="GAR")*1,LIVE!$E108:$F108)+SUMPRODUCT((CLASS!$E108:$F108="NR")*1,LIVE!$E108:$F108))</f>
        <v>114.96</v>
      </c>
      <c r="G108" s="10" t="n">
        <f aca="false">INPUTS!$B$13*SUM(DEAD!$E108:$G108)+INPUTS!$B$14*(RED!G108*SUMPRODUCT((CLASS!$E108:$G108="RES")*1,LIVE!$E108:$G108)+IF(SUMPRODUCT((CLASS!$E108:$G108="GAR")*1)&gt;=2,INPUTS!$B$20,1)*SUMPRODUCT((CLASS!$E108:$G108="GAR")*1,LIVE!$E108:$G108)+SUMPRODUCT((CLASS!$E108:$G108="NR")*1,LIVE!$E108:$G108))</f>
        <v>161.941</v>
      </c>
      <c r="H108" s="10" t="n">
        <f aca="false">INPUTS!$B$13*SUM(DEAD!$E108:$H108)+INPUTS!$B$14*(RED!H108*SUMPRODUCT((CLASS!$E108:$H108="RES")*1,LIVE!$E108:$H108)+IF(SUMPRODUCT((CLASS!$E108:$H108="GAR")*1)&gt;=2,INPUTS!$B$20,1)*SUMPRODUCT((CLASS!$E108:$H108="GAR")*1,LIVE!$E108:$H108)+SUMPRODUCT((CLASS!$E108:$H108="NR")*1,LIVE!$E108:$H108))</f>
        <v>179.476</v>
      </c>
      <c r="I108" s="10" t="n">
        <f aca="false">INPUTS!$B$13*SUM(DEAD!$E108:$I108)+INPUTS!$B$14*(RED!I108*SUMPRODUCT((CLASS!$E108:$I108="RES")*1,LIVE!$E108:$I108)+IF(SUMPRODUCT((CLASS!$E108:$I108="GAR")*1)&gt;=2,INPUTS!$B$20,1)*SUMPRODUCT((CLASS!$E108:$I108="GAR")*1,LIVE!$E108:$I108)+SUMPRODUCT((CLASS!$E108:$I108="NR")*1,LIVE!$E108:$I108))</f>
        <v>196.0126</v>
      </c>
      <c r="J108" s="10" t="n">
        <f aca="false">INPUTS!$B$13*SUM(DEAD!$E108:$J108)+INPUTS!$B$14*(RED!J108*SUMPRODUCT((CLASS!$E108:$J108="RES")*1,LIVE!$E108:$J108)+IF(SUMPRODUCT((CLASS!$E108:$J108="GAR")*1)&gt;=2,INPUTS!$B$20,1)*SUMPRODUCT((CLASS!$E108:$J108="GAR")*1,LIVE!$E108:$J108)+SUMPRODUCT((CLASS!$E108:$J108="NR")*1,LIVE!$E108:$J108))</f>
        <v>196.0126</v>
      </c>
      <c r="K108" s="10" t="n">
        <f aca="false">INPUTS!$B$13*SUM(DEAD!$E108:$K108)+INPUTS!$B$14*(RED!K108*SUMPRODUCT((CLASS!$E108:$K108="RES")*1,LIVE!$E108:$K108)+IF(SUMPRODUCT((CLASS!$E108:$K108="GAR")*1)&gt;=2,INPUTS!$B$20,1)*SUMPRODUCT((CLASS!$E108:$K108="GAR")*1,LIVE!$E108:$K108)+SUMPRODUCT((CLASS!$E108:$K108="NR")*1,LIVE!$E108:$K108))</f>
        <v>196.0126</v>
      </c>
      <c r="L108" s="10" t="n">
        <f aca="false">INPUTS!$B$13*SUM(DEAD!$E108:$L108)+INPUTS!$B$14*(RED!L108*SUMPRODUCT((CLASS!$E108:$L108="RES")*1,LIVE!$E108:$L108)+IF(SUMPRODUCT((CLASS!$E108:$L108="GAR")*1)&gt;=2,INPUTS!$B$20,1)*SUMPRODUCT((CLASS!$E108:$L108="GAR")*1,LIVE!$E108:$L108)+SUMPRODUCT((CLASS!$E108:$L108="NR")*1,LIVE!$E108:$L108))</f>
        <v>196.0126</v>
      </c>
      <c r="M108" s="10" t="n">
        <f aca="false">INPUTS!$B$13*SUM(DEAD!$E108:$M108)+INPUTS!$B$14*(RED!M108*SUMPRODUCT((CLASS!$E108:$M108="RES")*1,LIVE!$E108:$M108)+IF(SUMPRODUCT((CLASS!$E108:$M108="GAR")*1)&gt;=2,INPUTS!$B$20,1)*SUMPRODUCT((CLASS!$E108:$M108="GAR")*1,LIVE!$E108:$M108)+SUMPRODUCT((CLASS!$E108:$M108="NR")*1,LIVE!$E108:$M108))</f>
        <v>196.0126</v>
      </c>
      <c r="N108" s="10" t="n">
        <f aca="false">INPUTS!$B$13*SUM(DEAD!$E108:$N108)+INPUTS!$B$14*(RED!N108*SUMPRODUCT((CLASS!$E108:$N108="RES")*1,LIVE!$E108:$N108)+IF(SUMPRODUCT((CLASS!$E108:$N108="GAR")*1)&gt;=2,INPUTS!$B$20,1)*SUMPRODUCT((CLASS!$E108:$N108="GAR")*1,LIVE!$E108:$N108)+SUMPRODUCT((CLASS!$E108:$N108="NR")*1,LIVE!$E108:$N108))</f>
        <v>196.0126</v>
      </c>
      <c r="O108" s="10" t="n">
        <f aca="false">INPUTS!$B$13*SUM(DEAD!$E108:$O108)+INPUTS!$B$14*(RED!O108*SUMPRODUCT((CLASS!$E108:$O108="RES")*1,LIVE!$E108:$O108)+IF(SUMPRODUCT((CLASS!$E108:$O108="GAR")*1)&gt;=2,INPUTS!$B$20,1)*SUMPRODUCT((CLASS!$E108:$O108="GAR")*1,LIVE!$E108:$O108)+SUMPRODUCT((CLASS!$E108:$O108="NR")*1,LIVE!$E108:$O108))</f>
        <v>196.0126</v>
      </c>
      <c r="P108" s="10" t="n">
        <f aca="false">INPUTS!$B$13*SUM(DEAD!$E108:$P108)+INPUTS!$B$14*(RED!P108*SUMPRODUCT((CLASS!$E108:$P108="RES")*1,LIVE!$E108:$P108)+IF(SUMPRODUCT((CLASS!$E108:$P108="GAR")*1)&gt;=2,INPUTS!$B$20,1)*SUMPRODUCT((CLASS!$E108:$P108="GAR")*1,LIVE!$E108:$P108)+SUMPRODUCT((CLASS!$E108:$P108="NR")*1,LIVE!$E108:$P108))</f>
        <v>196.0126</v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10" t="n">
        <f aca="false">INPUTS!$B$13*SUM(DEAD!$E109:$E109)+INPUTS!$B$14*(RED!E109*SUMPRODUCT((CLASS!$E109:$E109="RES")*1,LIVE!$E109:$E109)+IF(SUMPRODUCT((CLASS!$E109:$E109="GAR")*1)&gt;=2,INPUTS!$B$20,1)*SUMPRODUCT((CLASS!$E109:$E109="GAR")*1,LIVE!$E109:$E109)+SUMPRODUCT((CLASS!$E109:$E109="NR")*1,LIVE!$E109:$E109))</f>
        <v>81.495</v>
      </c>
      <c r="F109" s="10" t="n">
        <f aca="false">INPUTS!$B$13*SUM(DEAD!$E109:$F109)+INPUTS!$B$14*(RED!F109*SUMPRODUCT((CLASS!$E109:$F109="RES")*1,LIVE!$E109:$F109)+IF(SUMPRODUCT((CLASS!$E109:$F109="GAR")*1)&gt;=2,INPUTS!$B$20,1)*SUMPRODUCT((CLASS!$E109:$F109="GAR")*1,LIVE!$E109:$F109)+SUMPRODUCT((CLASS!$E109:$F109="NR")*1,LIVE!$E109:$F109))</f>
        <v>201.8</v>
      </c>
      <c r="G109" s="10" t="n">
        <f aca="false">INPUTS!$B$13*SUM(DEAD!$E109:$G109)+INPUTS!$B$14*(RED!G109*SUMPRODUCT((CLASS!$E109:$G109="RES")*1,LIVE!$E109:$G109)+IF(SUMPRODUCT((CLASS!$E109:$G109="GAR")*1)&gt;=2,INPUTS!$B$20,1)*SUMPRODUCT((CLASS!$E109:$G109="GAR")*1,LIVE!$E109:$G109)+SUMPRODUCT((CLASS!$E109:$G109="NR")*1,LIVE!$E109:$G109))</f>
        <v>236.653</v>
      </c>
      <c r="H109" s="10" t="n">
        <f aca="false">INPUTS!$B$13*SUM(DEAD!$E109:$H109)+INPUTS!$B$14*(RED!H109*SUMPRODUCT((CLASS!$E109:$H109="RES")*1,LIVE!$E109:$H109)+IF(SUMPRODUCT((CLASS!$E109:$H109="GAR")*1)&gt;=2,INPUTS!$B$20,1)*SUMPRODUCT((CLASS!$E109:$H109="GAR")*1,LIVE!$E109:$H109)+SUMPRODUCT((CLASS!$E109:$H109="NR")*1,LIVE!$E109:$H109))</f>
        <v>245.168</v>
      </c>
      <c r="I109" s="10" t="n">
        <f aca="false">INPUTS!$B$13*SUM(DEAD!$E109:$I109)+INPUTS!$B$14*(RED!I109*SUMPRODUCT((CLASS!$E109:$I109="RES")*1,LIVE!$E109:$I109)+IF(SUMPRODUCT((CLASS!$E109:$I109="GAR")*1)&gt;=2,INPUTS!$B$20,1)*SUMPRODUCT((CLASS!$E109:$I109="GAR")*1,LIVE!$E109:$I109)+SUMPRODUCT((CLASS!$E109:$I109="NR")*1,LIVE!$E109:$I109))</f>
        <v>269.3118</v>
      </c>
      <c r="J109" s="10" t="n">
        <f aca="false">INPUTS!$B$13*SUM(DEAD!$E109:$J109)+INPUTS!$B$14*(RED!J109*SUMPRODUCT((CLASS!$E109:$J109="RES")*1,LIVE!$E109:$J109)+IF(SUMPRODUCT((CLASS!$E109:$J109="GAR")*1)&gt;=2,INPUTS!$B$20,1)*SUMPRODUCT((CLASS!$E109:$J109="GAR")*1,LIVE!$E109:$J109)+SUMPRODUCT((CLASS!$E109:$J109="NR")*1,LIVE!$E109:$J109))</f>
        <v>269.3118</v>
      </c>
      <c r="K109" s="10" t="n">
        <f aca="false">INPUTS!$B$13*SUM(DEAD!$E109:$K109)+INPUTS!$B$14*(RED!K109*SUMPRODUCT((CLASS!$E109:$K109="RES")*1,LIVE!$E109:$K109)+IF(SUMPRODUCT((CLASS!$E109:$K109="GAR")*1)&gt;=2,INPUTS!$B$20,1)*SUMPRODUCT((CLASS!$E109:$K109="GAR")*1,LIVE!$E109:$K109)+SUMPRODUCT((CLASS!$E109:$K109="NR")*1,LIVE!$E109:$K109))</f>
        <v>269.3118</v>
      </c>
      <c r="L109" s="10" t="n">
        <f aca="false">INPUTS!$B$13*SUM(DEAD!$E109:$L109)+INPUTS!$B$14*(RED!L109*SUMPRODUCT((CLASS!$E109:$L109="RES")*1,LIVE!$E109:$L109)+IF(SUMPRODUCT((CLASS!$E109:$L109="GAR")*1)&gt;=2,INPUTS!$B$20,1)*SUMPRODUCT((CLASS!$E109:$L109="GAR")*1,LIVE!$E109:$L109)+SUMPRODUCT((CLASS!$E109:$L109="NR")*1,LIVE!$E109:$L109))</f>
        <v>269.3118</v>
      </c>
      <c r="M109" s="10" t="n">
        <f aca="false">INPUTS!$B$13*SUM(DEAD!$E109:$M109)+INPUTS!$B$14*(RED!M109*SUMPRODUCT((CLASS!$E109:$M109="RES")*1,LIVE!$E109:$M109)+IF(SUMPRODUCT((CLASS!$E109:$M109="GAR")*1)&gt;=2,INPUTS!$B$20,1)*SUMPRODUCT((CLASS!$E109:$M109="GAR")*1,LIVE!$E109:$M109)+SUMPRODUCT((CLASS!$E109:$M109="NR")*1,LIVE!$E109:$M109))</f>
        <v>269.3118</v>
      </c>
      <c r="N109" s="10" t="n">
        <f aca="false">INPUTS!$B$13*SUM(DEAD!$E109:$N109)+INPUTS!$B$14*(RED!N109*SUMPRODUCT((CLASS!$E109:$N109="RES")*1,LIVE!$E109:$N109)+IF(SUMPRODUCT((CLASS!$E109:$N109="GAR")*1)&gt;=2,INPUTS!$B$20,1)*SUMPRODUCT((CLASS!$E109:$N109="GAR")*1,LIVE!$E109:$N109)+SUMPRODUCT((CLASS!$E109:$N109="NR")*1,LIVE!$E109:$N109))</f>
        <v>269.3118</v>
      </c>
      <c r="O109" s="10" t="n">
        <f aca="false">INPUTS!$B$13*SUM(DEAD!$E109:$O109)+INPUTS!$B$14*(RED!O109*SUMPRODUCT((CLASS!$E109:$O109="RES")*1,LIVE!$E109:$O109)+IF(SUMPRODUCT((CLASS!$E109:$O109="GAR")*1)&gt;=2,INPUTS!$B$20,1)*SUMPRODUCT((CLASS!$E109:$O109="GAR")*1,LIVE!$E109:$O109)+SUMPRODUCT((CLASS!$E109:$O109="NR")*1,LIVE!$E109:$O109))</f>
        <v>269.3118</v>
      </c>
      <c r="P109" s="10" t="n">
        <f aca="false">INPUTS!$B$13*SUM(DEAD!$E109:$P109)+INPUTS!$B$14*(RED!P109*SUMPRODUCT((CLASS!$E109:$P109="RES")*1,LIVE!$E109:$P109)+IF(SUMPRODUCT((CLASS!$E109:$P109="GAR")*1)&gt;=2,INPUTS!$B$20,1)*SUMPRODUCT((CLASS!$E109:$P109="GAR")*1,LIVE!$E109:$P109)+SUMPRODUCT((CLASS!$E109:$P109="NR")*1,LIVE!$E109:$P109))</f>
        <v>269.3118</v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10" t="n">
        <f aca="false">INPUTS!$B$13*SUM(DEAD!$E110:$E110)+INPUTS!$B$14*(RED!E110*SUMPRODUCT((CLASS!$E110:$E110="RES")*1,LIVE!$E110:$E110)+IF(SUMPRODUCT((CLASS!$E110:$E110="GAR")*1)&gt;=2,INPUTS!$B$20,1)*SUMPRODUCT((CLASS!$E110:$E110="GAR")*1,LIVE!$E110:$E110)+SUMPRODUCT((CLASS!$E110:$E110="NR")*1,LIVE!$E110:$E110))</f>
        <v>44.523</v>
      </c>
      <c r="F110" s="10" t="n">
        <f aca="false">INPUTS!$B$13*SUM(DEAD!$E110:$F110)+INPUTS!$B$14*(RED!F110*SUMPRODUCT((CLASS!$E110:$F110="RES")*1,LIVE!$E110:$F110)+IF(SUMPRODUCT((CLASS!$E110:$F110="GAR")*1)&gt;=2,INPUTS!$B$20,1)*SUMPRODUCT((CLASS!$E110:$F110="GAR")*1,LIVE!$E110:$F110)+SUMPRODUCT((CLASS!$E110:$F110="NR")*1,LIVE!$E110:$F110))</f>
        <v>112.86</v>
      </c>
      <c r="G110" s="10" t="n">
        <f aca="false">INPUTS!$B$13*SUM(DEAD!$E110:$G110)+INPUTS!$B$14*(RED!G110*SUMPRODUCT((CLASS!$E110:$G110="RES")*1,LIVE!$E110:$G110)+IF(SUMPRODUCT((CLASS!$E110:$G110="GAR")*1)&gt;=2,INPUTS!$B$20,1)*SUMPRODUCT((CLASS!$E110:$G110="GAR")*1,LIVE!$E110:$G110)+SUMPRODUCT((CLASS!$E110:$G110="NR")*1,LIVE!$E110:$G110))</f>
        <v>169.271</v>
      </c>
      <c r="H110" s="10" t="n">
        <f aca="false">INPUTS!$B$13*SUM(DEAD!$E110:$H110)+INPUTS!$B$14*(RED!H110*SUMPRODUCT((CLASS!$E110:$H110="RES")*1,LIVE!$E110:$H110)+IF(SUMPRODUCT((CLASS!$E110:$H110="GAR")*1)&gt;=2,INPUTS!$B$20,1)*SUMPRODUCT((CLASS!$E110:$H110="GAR")*1,LIVE!$E110:$H110)+SUMPRODUCT((CLASS!$E110:$H110="NR")*1,LIVE!$E110:$H110))</f>
        <v>169.271</v>
      </c>
      <c r="I110" s="10" t="n">
        <f aca="false">INPUTS!$B$13*SUM(DEAD!$E110:$I110)+INPUTS!$B$14*(RED!I110*SUMPRODUCT((CLASS!$E110:$I110="RES")*1,LIVE!$E110:$I110)+IF(SUMPRODUCT((CLASS!$E110:$I110="GAR")*1)&gt;=2,INPUTS!$B$20,1)*SUMPRODUCT((CLASS!$E110:$I110="GAR")*1,LIVE!$E110:$I110)+SUMPRODUCT((CLASS!$E110:$I110="NR")*1,LIVE!$E110:$I110))</f>
        <v>169.271</v>
      </c>
      <c r="J110" s="10" t="n">
        <f aca="false">INPUTS!$B$13*SUM(DEAD!$E110:$J110)+INPUTS!$B$14*(RED!J110*SUMPRODUCT((CLASS!$E110:$J110="RES")*1,LIVE!$E110:$J110)+IF(SUMPRODUCT((CLASS!$E110:$J110="GAR")*1)&gt;=2,INPUTS!$B$20,1)*SUMPRODUCT((CLASS!$E110:$J110="GAR")*1,LIVE!$E110:$J110)+SUMPRODUCT((CLASS!$E110:$J110="NR")*1,LIVE!$E110:$J110))</f>
        <v>169.271</v>
      </c>
      <c r="K110" s="10" t="n">
        <f aca="false">INPUTS!$B$13*SUM(DEAD!$E110:$K110)+INPUTS!$B$14*(RED!K110*SUMPRODUCT((CLASS!$E110:$K110="RES")*1,LIVE!$E110:$K110)+IF(SUMPRODUCT((CLASS!$E110:$K110="GAR")*1)&gt;=2,INPUTS!$B$20,1)*SUMPRODUCT((CLASS!$E110:$K110="GAR")*1,LIVE!$E110:$K110)+SUMPRODUCT((CLASS!$E110:$K110="NR")*1,LIVE!$E110:$K110))</f>
        <v>169.271</v>
      </c>
      <c r="L110" s="10" t="n">
        <f aca="false">INPUTS!$B$13*SUM(DEAD!$E110:$L110)+INPUTS!$B$14*(RED!L110*SUMPRODUCT((CLASS!$E110:$L110="RES")*1,LIVE!$E110:$L110)+IF(SUMPRODUCT((CLASS!$E110:$L110="GAR")*1)&gt;=2,INPUTS!$B$20,1)*SUMPRODUCT((CLASS!$E110:$L110="GAR")*1,LIVE!$E110:$L110)+SUMPRODUCT((CLASS!$E110:$L110="NR")*1,LIVE!$E110:$L110))</f>
        <v>169.271</v>
      </c>
      <c r="M110" s="10" t="n">
        <f aca="false">INPUTS!$B$13*SUM(DEAD!$E110:$M110)+INPUTS!$B$14*(RED!M110*SUMPRODUCT((CLASS!$E110:$M110="RES")*1,LIVE!$E110:$M110)+IF(SUMPRODUCT((CLASS!$E110:$M110="GAR")*1)&gt;=2,INPUTS!$B$20,1)*SUMPRODUCT((CLASS!$E110:$M110="GAR")*1,LIVE!$E110:$M110)+SUMPRODUCT((CLASS!$E110:$M110="NR")*1,LIVE!$E110:$M110))</f>
        <v>169.271</v>
      </c>
      <c r="N110" s="10" t="n">
        <f aca="false">INPUTS!$B$13*SUM(DEAD!$E110:$N110)+INPUTS!$B$14*(RED!N110*SUMPRODUCT((CLASS!$E110:$N110="RES")*1,LIVE!$E110:$N110)+IF(SUMPRODUCT((CLASS!$E110:$N110="GAR")*1)&gt;=2,INPUTS!$B$20,1)*SUMPRODUCT((CLASS!$E110:$N110="GAR")*1,LIVE!$E110:$N110)+SUMPRODUCT((CLASS!$E110:$N110="NR")*1,LIVE!$E110:$N110))</f>
        <v>169.271</v>
      </c>
      <c r="O110" s="10" t="n">
        <f aca="false">INPUTS!$B$13*SUM(DEAD!$E110:$O110)+INPUTS!$B$14*(RED!O110*SUMPRODUCT((CLASS!$E110:$O110="RES")*1,LIVE!$E110:$O110)+IF(SUMPRODUCT((CLASS!$E110:$O110="GAR")*1)&gt;=2,INPUTS!$B$20,1)*SUMPRODUCT((CLASS!$E110:$O110="GAR")*1,LIVE!$E110:$O110)+SUMPRODUCT((CLASS!$E110:$O110="NR")*1,LIVE!$E110:$O110))</f>
        <v>169.271</v>
      </c>
      <c r="P110" s="10" t="n">
        <f aca="false">INPUTS!$B$13*SUM(DEAD!$E110:$P110)+INPUTS!$B$14*(RED!P110*SUMPRODUCT((CLASS!$E110:$P110="RES")*1,LIVE!$E110:$P110)+IF(SUMPRODUCT((CLASS!$E110:$P110="GAR")*1)&gt;=2,INPUTS!$B$20,1)*SUMPRODUCT((CLASS!$E110:$P110="GAR")*1,LIVE!$E110:$P110)+SUMPRODUCT((CLASS!$E110:$P110="NR")*1,LIVE!$E110:$P110))</f>
        <v>169.271</v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10" t="n">
        <f aca="false">INPUTS!$B$13*SUM(DEAD!$E111:$E111)+INPUTS!$B$14*(RED!E111*SUMPRODUCT((CLASS!$E111:$E111="RES")*1,LIVE!$E111:$E111)+IF(SUMPRODUCT((CLASS!$E111:$E111="GAR")*1)&gt;=2,INPUTS!$B$20,1)*SUMPRODUCT((CLASS!$E111:$E111="GAR")*1,LIVE!$E111:$E111)+SUMPRODUCT((CLASS!$E111:$E111="NR")*1,LIVE!$E111:$E111))</f>
        <v>41.013</v>
      </c>
      <c r="F111" s="10" t="n">
        <f aca="false">INPUTS!$B$13*SUM(DEAD!$E111:$F111)+INPUTS!$B$14*(RED!F111*SUMPRODUCT((CLASS!$E111:$F111="RES")*1,LIVE!$E111:$F111)+IF(SUMPRODUCT((CLASS!$E111:$F111="GAR")*1)&gt;=2,INPUTS!$B$20,1)*SUMPRODUCT((CLASS!$E111:$F111="GAR")*1,LIVE!$E111:$F111)+SUMPRODUCT((CLASS!$E111:$F111="NR")*1,LIVE!$E111:$F111))</f>
        <v>100.56</v>
      </c>
      <c r="G111" s="10" t="n">
        <f aca="false">INPUTS!$B$13*SUM(DEAD!$E111:$G111)+INPUTS!$B$14*(RED!G111*SUMPRODUCT((CLASS!$E111:$G111="RES")*1,LIVE!$E111:$G111)+IF(SUMPRODUCT((CLASS!$E111:$G111="GAR")*1)&gt;=2,INPUTS!$B$20,1)*SUMPRODUCT((CLASS!$E111:$G111="GAR")*1,LIVE!$E111:$G111)+SUMPRODUCT((CLASS!$E111:$G111="NR")*1,LIVE!$E111:$G111))</f>
        <v>123.491</v>
      </c>
      <c r="H111" s="10" t="n">
        <f aca="false">INPUTS!$B$13*SUM(DEAD!$E111:$H111)+INPUTS!$B$14*(RED!H111*SUMPRODUCT((CLASS!$E111:$H111="RES")*1,LIVE!$E111:$H111)+IF(SUMPRODUCT((CLASS!$E111:$H111="GAR")*1)&gt;=2,INPUTS!$B$20,1)*SUMPRODUCT((CLASS!$E111:$H111="GAR")*1,LIVE!$E111:$H111)+SUMPRODUCT((CLASS!$E111:$H111="NR")*1,LIVE!$E111:$H111))</f>
        <v>123.491</v>
      </c>
      <c r="I111" s="10" t="n">
        <f aca="false">INPUTS!$B$13*SUM(DEAD!$E111:$I111)+INPUTS!$B$14*(RED!I111*SUMPRODUCT((CLASS!$E111:$I111="RES")*1,LIVE!$E111:$I111)+IF(SUMPRODUCT((CLASS!$E111:$I111="GAR")*1)&gt;=2,INPUTS!$B$20,1)*SUMPRODUCT((CLASS!$E111:$I111="GAR")*1,LIVE!$E111:$I111)+SUMPRODUCT((CLASS!$E111:$I111="NR")*1,LIVE!$E111:$I111))</f>
        <v>123.491</v>
      </c>
      <c r="J111" s="10" t="n">
        <f aca="false">INPUTS!$B$13*SUM(DEAD!$E111:$J111)+INPUTS!$B$14*(RED!J111*SUMPRODUCT((CLASS!$E111:$J111="RES")*1,LIVE!$E111:$J111)+IF(SUMPRODUCT((CLASS!$E111:$J111="GAR")*1)&gt;=2,INPUTS!$B$20,1)*SUMPRODUCT((CLASS!$E111:$J111="GAR")*1,LIVE!$E111:$J111)+SUMPRODUCT((CLASS!$E111:$J111="NR")*1,LIVE!$E111:$J111))</f>
        <v>123.491</v>
      </c>
      <c r="K111" s="10" t="n">
        <f aca="false">INPUTS!$B$13*SUM(DEAD!$E111:$K111)+INPUTS!$B$14*(RED!K111*SUMPRODUCT((CLASS!$E111:$K111="RES")*1,LIVE!$E111:$K111)+IF(SUMPRODUCT((CLASS!$E111:$K111="GAR")*1)&gt;=2,INPUTS!$B$20,1)*SUMPRODUCT((CLASS!$E111:$K111="GAR")*1,LIVE!$E111:$K111)+SUMPRODUCT((CLASS!$E111:$K111="NR")*1,LIVE!$E111:$K111))</f>
        <v>123.491</v>
      </c>
      <c r="L111" s="10" t="n">
        <f aca="false">INPUTS!$B$13*SUM(DEAD!$E111:$L111)+INPUTS!$B$14*(RED!L111*SUMPRODUCT((CLASS!$E111:$L111="RES")*1,LIVE!$E111:$L111)+IF(SUMPRODUCT((CLASS!$E111:$L111="GAR")*1)&gt;=2,INPUTS!$B$20,1)*SUMPRODUCT((CLASS!$E111:$L111="GAR")*1,LIVE!$E111:$L111)+SUMPRODUCT((CLASS!$E111:$L111="NR")*1,LIVE!$E111:$L111))</f>
        <v>123.491</v>
      </c>
      <c r="M111" s="10" t="n">
        <f aca="false">INPUTS!$B$13*SUM(DEAD!$E111:$M111)+INPUTS!$B$14*(RED!M111*SUMPRODUCT((CLASS!$E111:$M111="RES")*1,LIVE!$E111:$M111)+IF(SUMPRODUCT((CLASS!$E111:$M111="GAR")*1)&gt;=2,INPUTS!$B$20,1)*SUMPRODUCT((CLASS!$E111:$M111="GAR")*1,LIVE!$E111:$M111)+SUMPRODUCT((CLASS!$E111:$M111="NR")*1,LIVE!$E111:$M111))</f>
        <v>123.491</v>
      </c>
      <c r="N111" s="10" t="n">
        <f aca="false">INPUTS!$B$13*SUM(DEAD!$E111:$N111)+INPUTS!$B$14*(RED!N111*SUMPRODUCT((CLASS!$E111:$N111="RES")*1,LIVE!$E111:$N111)+IF(SUMPRODUCT((CLASS!$E111:$N111="GAR")*1)&gt;=2,INPUTS!$B$20,1)*SUMPRODUCT((CLASS!$E111:$N111="GAR")*1,LIVE!$E111:$N111)+SUMPRODUCT((CLASS!$E111:$N111="NR")*1,LIVE!$E111:$N111))</f>
        <v>123.491</v>
      </c>
      <c r="O111" s="10" t="n">
        <f aca="false">INPUTS!$B$13*SUM(DEAD!$E111:$O111)+INPUTS!$B$14*(RED!O111*SUMPRODUCT((CLASS!$E111:$O111="RES")*1,LIVE!$E111:$O111)+IF(SUMPRODUCT((CLASS!$E111:$O111="GAR")*1)&gt;=2,INPUTS!$B$20,1)*SUMPRODUCT((CLASS!$E111:$O111="GAR")*1,LIVE!$E111:$O111)+SUMPRODUCT((CLASS!$E111:$O111="NR")*1,LIVE!$E111:$O111))</f>
        <v>123.491</v>
      </c>
      <c r="P111" s="10" t="n">
        <f aca="false">INPUTS!$B$13*SUM(DEAD!$E111:$P111)+INPUTS!$B$14*(RED!P111*SUMPRODUCT((CLASS!$E111:$P111="RES")*1,LIVE!$E111:$P111)+IF(SUMPRODUCT((CLASS!$E111:$P111="GAR")*1)&gt;=2,INPUTS!$B$20,1)*SUMPRODUCT((CLASS!$E111:$P111="GAR")*1,LIVE!$E111:$P111)+SUMPRODUCT((CLASS!$E111:$P111="NR")*1,LIVE!$E111:$P111))</f>
        <v>123.491</v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10" t="n">
        <f aca="false">INPUTS!$B$13*SUM(DEAD!$E112:$E112)+INPUTS!$B$14*(RED!E112*SUMPRODUCT((CLASS!$E112:$E112="RES")*1,LIVE!$E112:$E112)+IF(SUMPRODUCT((CLASS!$E112:$E112="GAR")*1)&gt;=2,INPUTS!$B$20,1)*SUMPRODUCT((CLASS!$E112:$E112="GAR")*1,LIVE!$E112:$E112)+SUMPRODUCT((CLASS!$E112:$E112="NR")*1,LIVE!$E112:$E112))</f>
        <v>0</v>
      </c>
      <c r="F112" s="10" t="n">
        <f aca="false">INPUTS!$B$13*SUM(DEAD!$E112:$F112)+INPUTS!$B$14*(RED!F112*SUMPRODUCT((CLASS!$E112:$F112="RES")*1,LIVE!$E112:$F112)+IF(SUMPRODUCT((CLASS!$E112:$F112="GAR")*1)&gt;=2,INPUTS!$B$20,1)*SUMPRODUCT((CLASS!$E112:$F112="GAR")*1,LIVE!$E112:$F112)+SUMPRODUCT((CLASS!$E112:$F112="NR")*1,LIVE!$E112:$F112))</f>
        <v>89.405</v>
      </c>
      <c r="G112" s="10" t="n">
        <f aca="false">INPUTS!$B$13*SUM(DEAD!$E112:$G112)+INPUTS!$B$14*(RED!G112*SUMPRODUCT((CLASS!$E112:$G112="RES")*1,LIVE!$E112:$G112)+IF(SUMPRODUCT((CLASS!$E112:$G112="GAR")*1)&gt;=2,INPUTS!$B$20,1)*SUMPRODUCT((CLASS!$E112:$G112="GAR")*1,LIVE!$E112:$G112)+SUMPRODUCT((CLASS!$E112:$G112="NR")*1,LIVE!$E112:$G112))</f>
        <v>89.405</v>
      </c>
      <c r="H112" s="10" t="n">
        <f aca="false">INPUTS!$B$13*SUM(DEAD!$E112:$H112)+INPUTS!$B$14*(RED!H112*SUMPRODUCT((CLASS!$E112:$H112="RES")*1,LIVE!$E112:$H112)+IF(SUMPRODUCT((CLASS!$E112:$H112="GAR")*1)&gt;=2,INPUTS!$B$20,1)*SUMPRODUCT((CLASS!$E112:$H112="GAR")*1,LIVE!$E112:$H112)+SUMPRODUCT((CLASS!$E112:$H112="NR")*1,LIVE!$E112:$H112))</f>
        <v>89.405</v>
      </c>
      <c r="I112" s="10" t="n">
        <f aca="false">INPUTS!$B$13*SUM(DEAD!$E112:$I112)+INPUTS!$B$14*(RED!I112*SUMPRODUCT((CLASS!$E112:$I112="RES")*1,LIVE!$E112:$I112)+IF(SUMPRODUCT((CLASS!$E112:$I112="GAR")*1)&gt;=2,INPUTS!$B$20,1)*SUMPRODUCT((CLASS!$E112:$I112="GAR")*1,LIVE!$E112:$I112)+SUMPRODUCT((CLASS!$E112:$I112="NR")*1,LIVE!$E112:$I112))</f>
        <v>89.405</v>
      </c>
      <c r="J112" s="10" t="n">
        <f aca="false">INPUTS!$B$13*SUM(DEAD!$E112:$J112)+INPUTS!$B$14*(RED!J112*SUMPRODUCT((CLASS!$E112:$J112="RES")*1,LIVE!$E112:$J112)+IF(SUMPRODUCT((CLASS!$E112:$J112="GAR")*1)&gt;=2,INPUTS!$B$20,1)*SUMPRODUCT((CLASS!$E112:$J112="GAR")*1,LIVE!$E112:$J112)+SUMPRODUCT((CLASS!$E112:$J112="NR")*1,LIVE!$E112:$J112))</f>
        <v>89.405</v>
      </c>
      <c r="K112" s="10" t="n">
        <f aca="false">INPUTS!$B$13*SUM(DEAD!$E112:$K112)+INPUTS!$B$14*(RED!K112*SUMPRODUCT((CLASS!$E112:$K112="RES")*1,LIVE!$E112:$K112)+IF(SUMPRODUCT((CLASS!$E112:$K112="GAR")*1)&gt;=2,INPUTS!$B$20,1)*SUMPRODUCT((CLASS!$E112:$K112="GAR")*1,LIVE!$E112:$K112)+SUMPRODUCT((CLASS!$E112:$K112="NR")*1,LIVE!$E112:$K112))</f>
        <v>89.405</v>
      </c>
      <c r="L112" s="10" t="n">
        <f aca="false">INPUTS!$B$13*SUM(DEAD!$E112:$L112)+INPUTS!$B$14*(RED!L112*SUMPRODUCT((CLASS!$E112:$L112="RES")*1,LIVE!$E112:$L112)+IF(SUMPRODUCT((CLASS!$E112:$L112="GAR")*1)&gt;=2,INPUTS!$B$20,1)*SUMPRODUCT((CLASS!$E112:$L112="GAR")*1,LIVE!$E112:$L112)+SUMPRODUCT((CLASS!$E112:$L112="NR")*1,LIVE!$E112:$L112))</f>
        <v>89.405</v>
      </c>
      <c r="M112" s="10" t="n">
        <f aca="false">INPUTS!$B$13*SUM(DEAD!$E112:$M112)+INPUTS!$B$14*(RED!M112*SUMPRODUCT((CLASS!$E112:$M112="RES")*1,LIVE!$E112:$M112)+IF(SUMPRODUCT((CLASS!$E112:$M112="GAR")*1)&gt;=2,INPUTS!$B$20,1)*SUMPRODUCT((CLASS!$E112:$M112="GAR")*1,LIVE!$E112:$M112)+SUMPRODUCT((CLASS!$E112:$M112="NR")*1,LIVE!$E112:$M112))</f>
        <v>89.405</v>
      </c>
      <c r="N112" s="10" t="n">
        <f aca="false">INPUTS!$B$13*SUM(DEAD!$E112:$N112)+INPUTS!$B$14*(RED!N112*SUMPRODUCT((CLASS!$E112:$N112="RES")*1,LIVE!$E112:$N112)+IF(SUMPRODUCT((CLASS!$E112:$N112="GAR")*1)&gt;=2,INPUTS!$B$20,1)*SUMPRODUCT((CLASS!$E112:$N112="GAR")*1,LIVE!$E112:$N112)+SUMPRODUCT((CLASS!$E112:$N112="NR")*1,LIVE!$E112:$N112))</f>
        <v>89.405</v>
      </c>
      <c r="O112" s="10" t="n">
        <f aca="false">INPUTS!$B$13*SUM(DEAD!$E112:$O112)+INPUTS!$B$14*(RED!O112*SUMPRODUCT((CLASS!$E112:$O112="RES")*1,LIVE!$E112:$O112)+IF(SUMPRODUCT((CLASS!$E112:$O112="GAR")*1)&gt;=2,INPUTS!$B$20,1)*SUMPRODUCT((CLASS!$E112:$O112="GAR")*1,LIVE!$E112:$O112)+SUMPRODUCT((CLASS!$E112:$O112="NR")*1,LIVE!$E112:$O112))</f>
        <v>89.405</v>
      </c>
      <c r="P112" s="10" t="n">
        <f aca="false">INPUTS!$B$13*SUM(DEAD!$E112:$P112)+INPUTS!$B$14*(RED!P112*SUMPRODUCT((CLASS!$E112:$P112="RES")*1,LIVE!$E112:$P112)+IF(SUMPRODUCT((CLASS!$E112:$P112="GAR")*1)&gt;=2,INPUTS!$B$20,1)*SUMPRODUCT((CLASS!$E112:$P112="GAR")*1,LIVE!$E112:$P112)+SUMPRODUCT((CLASS!$E112:$P112="NR")*1,LIVE!$E112:$P112))</f>
        <v>89.405</v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10" t="n">
        <f aca="false">INPUTS!$B$13*SUM(DEAD!$E113:$E113)+INPUTS!$B$14*(RED!E113*SUMPRODUCT((CLASS!$E113:$E113="RES")*1,LIVE!$E113:$E113)+IF(SUMPRODUCT((CLASS!$E113:$E113="GAR")*1)&gt;=2,INPUTS!$B$20,1)*SUMPRODUCT((CLASS!$E113:$E113="GAR")*1,LIVE!$E113:$E113)+SUMPRODUCT((CLASS!$E113:$E113="NR")*1,LIVE!$E113:$E113))</f>
        <v>0</v>
      </c>
      <c r="F113" s="10" t="n">
        <f aca="false">INPUTS!$B$13*SUM(DEAD!$E113:$F113)+INPUTS!$B$14*(RED!F113*SUMPRODUCT((CLASS!$E113:$F113="RES")*1,LIVE!$E113:$F113)+IF(SUMPRODUCT((CLASS!$E113:$F113="GAR")*1)&gt;=2,INPUTS!$B$20,1)*SUMPRODUCT((CLASS!$E113:$F113="GAR")*1,LIVE!$E113:$F113)+SUMPRODUCT((CLASS!$E113:$F113="NR")*1,LIVE!$E113:$F113))</f>
        <v>141.5775</v>
      </c>
      <c r="G113" s="10" t="n">
        <f aca="false">INPUTS!$B$13*SUM(DEAD!$E113:$G113)+INPUTS!$B$14*(RED!G113*SUMPRODUCT((CLASS!$E113:$G113="RES")*1,LIVE!$E113:$G113)+IF(SUMPRODUCT((CLASS!$E113:$G113="GAR")*1)&gt;=2,INPUTS!$B$20,1)*SUMPRODUCT((CLASS!$E113:$G113="GAR")*1,LIVE!$E113:$G113)+SUMPRODUCT((CLASS!$E113:$G113="NR")*1,LIVE!$E113:$G113))</f>
        <v>141.5775</v>
      </c>
      <c r="H113" s="10" t="n">
        <f aca="false">INPUTS!$B$13*SUM(DEAD!$E113:$H113)+INPUTS!$B$14*(RED!H113*SUMPRODUCT((CLASS!$E113:$H113="RES")*1,LIVE!$E113:$H113)+IF(SUMPRODUCT((CLASS!$E113:$H113="GAR")*1)&gt;=2,INPUTS!$B$20,1)*SUMPRODUCT((CLASS!$E113:$H113="GAR")*1,LIVE!$E113:$H113)+SUMPRODUCT((CLASS!$E113:$H113="NR")*1,LIVE!$E113:$H113))</f>
        <v>141.5775</v>
      </c>
      <c r="I113" s="10" t="n">
        <f aca="false">INPUTS!$B$13*SUM(DEAD!$E113:$I113)+INPUTS!$B$14*(RED!I113*SUMPRODUCT((CLASS!$E113:$I113="RES")*1,LIVE!$E113:$I113)+IF(SUMPRODUCT((CLASS!$E113:$I113="GAR")*1)&gt;=2,INPUTS!$B$20,1)*SUMPRODUCT((CLASS!$E113:$I113="GAR")*1,LIVE!$E113:$I113)+SUMPRODUCT((CLASS!$E113:$I113="NR")*1,LIVE!$E113:$I113))</f>
        <v>141.5775</v>
      </c>
      <c r="J113" s="10" t="n">
        <f aca="false">INPUTS!$B$13*SUM(DEAD!$E113:$J113)+INPUTS!$B$14*(RED!J113*SUMPRODUCT((CLASS!$E113:$J113="RES")*1,LIVE!$E113:$J113)+IF(SUMPRODUCT((CLASS!$E113:$J113="GAR")*1)&gt;=2,INPUTS!$B$20,1)*SUMPRODUCT((CLASS!$E113:$J113="GAR")*1,LIVE!$E113:$J113)+SUMPRODUCT((CLASS!$E113:$J113="NR")*1,LIVE!$E113:$J113))</f>
        <v>141.5775</v>
      </c>
      <c r="K113" s="10" t="n">
        <f aca="false">INPUTS!$B$13*SUM(DEAD!$E113:$K113)+INPUTS!$B$14*(RED!K113*SUMPRODUCT((CLASS!$E113:$K113="RES")*1,LIVE!$E113:$K113)+IF(SUMPRODUCT((CLASS!$E113:$K113="GAR")*1)&gt;=2,INPUTS!$B$20,1)*SUMPRODUCT((CLASS!$E113:$K113="GAR")*1,LIVE!$E113:$K113)+SUMPRODUCT((CLASS!$E113:$K113="NR")*1,LIVE!$E113:$K113))</f>
        <v>141.5775</v>
      </c>
      <c r="L113" s="10" t="n">
        <f aca="false">INPUTS!$B$13*SUM(DEAD!$E113:$L113)+INPUTS!$B$14*(RED!L113*SUMPRODUCT((CLASS!$E113:$L113="RES")*1,LIVE!$E113:$L113)+IF(SUMPRODUCT((CLASS!$E113:$L113="GAR")*1)&gt;=2,INPUTS!$B$20,1)*SUMPRODUCT((CLASS!$E113:$L113="GAR")*1,LIVE!$E113:$L113)+SUMPRODUCT((CLASS!$E113:$L113="NR")*1,LIVE!$E113:$L113))</f>
        <v>141.5775</v>
      </c>
      <c r="M113" s="10" t="n">
        <f aca="false">INPUTS!$B$13*SUM(DEAD!$E113:$M113)+INPUTS!$B$14*(RED!M113*SUMPRODUCT((CLASS!$E113:$M113="RES")*1,LIVE!$E113:$M113)+IF(SUMPRODUCT((CLASS!$E113:$M113="GAR")*1)&gt;=2,INPUTS!$B$20,1)*SUMPRODUCT((CLASS!$E113:$M113="GAR")*1,LIVE!$E113:$M113)+SUMPRODUCT((CLASS!$E113:$M113="NR")*1,LIVE!$E113:$M113))</f>
        <v>141.5775</v>
      </c>
      <c r="N113" s="10" t="n">
        <f aca="false">INPUTS!$B$13*SUM(DEAD!$E113:$N113)+INPUTS!$B$14*(RED!N113*SUMPRODUCT((CLASS!$E113:$N113="RES")*1,LIVE!$E113:$N113)+IF(SUMPRODUCT((CLASS!$E113:$N113="GAR")*1)&gt;=2,INPUTS!$B$20,1)*SUMPRODUCT((CLASS!$E113:$N113="GAR")*1,LIVE!$E113:$N113)+SUMPRODUCT((CLASS!$E113:$N113="NR")*1,LIVE!$E113:$N113))</f>
        <v>141.5775</v>
      </c>
      <c r="O113" s="10" t="n">
        <f aca="false">INPUTS!$B$13*SUM(DEAD!$E113:$O113)+INPUTS!$B$14*(RED!O113*SUMPRODUCT((CLASS!$E113:$O113="RES")*1,LIVE!$E113:$O113)+IF(SUMPRODUCT((CLASS!$E113:$O113="GAR")*1)&gt;=2,INPUTS!$B$20,1)*SUMPRODUCT((CLASS!$E113:$O113="GAR")*1,LIVE!$E113:$O113)+SUMPRODUCT((CLASS!$E113:$O113="NR")*1,LIVE!$E113:$O113))</f>
        <v>141.5775</v>
      </c>
      <c r="P113" s="10" t="n">
        <f aca="false">INPUTS!$B$13*SUM(DEAD!$E113:$P113)+INPUTS!$B$14*(RED!P113*SUMPRODUCT((CLASS!$E113:$P113="RES")*1,LIVE!$E113:$P113)+IF(SUMPRODUCT((CLASS!$E113:$P113="GAR")*1)&gt;=2,INPUTS!$B$20,1)*SUMPRODUCT((CLASS!$E113:$P113="GAR")*1,LIVE!$E113:$P113)+SUMPRODUCT((CLASS!$E113:$P113="NR")*1,LIVE!$E113:$P113))</f>
        <v>141.5775</v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10" t="n">
        <f aca="false">INPUTS!$B$13*SUM(DEAD!$E114:$E114)+INPUTS!$B$14*(RED!E114*SUMPRODUCT((CLASS!$E114:$E114="RES")*1,LIVE!$E114:$E114)+IF(SUMPRODUCT((CLASS!$E114:$E114="GAR")*1)&gt;=2,INPUTS!$B$20,1)*SUMPRODUCT((CLASS!$E114:$E114="GAR")*1,LIVE!$E114:$E114)+SUMPRODUCT((CLASS!$E114:$E114="NR")*1,LIVE!$E114:$E114))</f>
        <v>133.443</v>
      </c>
      <c r="F114" s="10" t="n">
        <f aca="false">INPUTS!$B$13*SUM(DEAD!$E114:$F114)+INPUTS!$B$14*(RED!F114*SUMPRODUCT((CLASS!$E114:$F114="RES")*1,LIVE!$E114:$F114)+IF(SUMPRODUCT((CLASS!$E114:$F114="GAR")*1)&gt;=2,INPUTS!$B$20,1)*SUMPRODUCT((CLASS!$E114:$F114="GAR")*1,LIVE!$E114:$F114)+SUMPRODUCT((CLASS!$E114:$F114="NR")*1,LIVE!$E114:$F114))</f>
        <v>328.22</v>
      </c>
      <c r="G114" s="10" t="n">
        <f aca="false">INPUTS!$B$13*SUM(DEAD!$E114:$G114)+INPUTS!$B$14*(RED!G114*SUMPRODUCT((CLASS!$E114:$G114="RES")*1,LIVE!$E114:$G114)+IF(SUMPRODUCT((CLASS!$E114:$G114="GAR")*1)&gt;=2,INPUTS!$B$20,1)*SUMPRODUCT((CLASS!$E114:$G114="GAR")*1,LIVE!$E114:$G114)+SUMPRODUCT((CLASS!$E114:$G114="NR")*1,LIVE!$E114:$G114))</f>
        <v>328.22</v>
      </c>
      <c r="H114" s="10" t="n">
        <f aca="false">INPUTS!$B$13*SUM(DEAD!$E114:$H114)+INPUTS!$B$14*(RED!H114*SUMPRODUCT((CLASS!$E114:$H114="RES")*1,LIVE!$E114:$H114)+IF(SUMPRODUCT((CLASS!$E114:$H114="GAR")*1)&gt;=2,INPUTS!$B$20,1)*SUMPRODUCT((CLASS!$E114:$H114="GAR")*1,LIVE!$E114:$H114)+SUMPRODUCT((CLASS!$E114:$H114="NR")*1,LIVE!$E114:$H114))</f>
        <v>328.22</v>
      </c>
      <c r="I114" s="10" t="n">
        <f aca="false">INPUTS!$B$13*SUM(DEAD!$E114:$I114)+INPUTS!$B$14*(RED!I114*SUMPRODUCT((CLASS!$E114:$I114="RES")*1,LIVE!$E114:$I114)+IF(SUMPRODUCT((CLASS!$E114:$I114="GAR")*1)&gt;=2,INPUTS!$B$20,1)*SUMPRODUCT((CLASS!$E114:$I114="GAR")*1,LIVE!$E114:$I114)+SUMPRODUCT((CLASS!$E114:$I114="NR")*1,LIVE!$E114:$I114))</f>
        <v>328.22</v>
      </c>
      <c r="J114" s="10" t="n">
        <f aca="false">INPUTS!$B$13*SUM(DEAD!$E114:$J114)+INPUTS!$B$14*(RED!J114*SUMPRODUCT((CLASS!$E114:$J114="RES")*1,LIVE!$E114:$J114)+IF(SUMPRODUCT((CLASS!$E114:$J114="GAR")*1)&gt;=2,INPUTS!$B$20,1)*SUMPRODUCT((CLASS!$E114:$J114="GAR")*1,LIVE!$E114:$J114)+SUMPRODUCT((CLASS!$E114:$J114="NR")*1,LIVE!$E114:$J114))</f>
        <v>328.22</v>
      </c>
      <c r="K114" s="10" t="n">
        <f aca="false">INPUTS!$B$13*SUM(DEAD!$E114:$K114)+INPUTS!$B$14*(RED!K114*SUMPRODUCT((CLASS!$E114:$K114="RES")*1,LIVE!$E114:$K114)+IF(SUMPRODUCT((CLASS!$E114:$K114="GAR")*1)&gt;=2,INPUTS!$B$20,1)*SUMPRODUCT((CLASS!$E114:$K114="GAR")*1,LIVE!$E114:$K114)+SUMPRODUCT((CLASS!$E114:$K114="NR")*1,LIVE!$E114:$K114))</f>
        <v>328.22</v>
      </c>
      <c r="L114" s="10" t="n">
        <f aca="false">INPUTS!$B$13*SUM(DEAD!$E114:$L114)+INPUTS!$B$14*(RED!L114*SUMPRODUCT((CLASS!$E114:$L114="RES")*1,LIVE!$E114:$L114)+IF(SUMPRODUCT((CLASS!$E114:$L114="GAR")*1)&gt;=2,INPUTS!$B$20,1)*SUMPRODUCT((CLASS!$E114:$L114="GAR")*1,LIVE!$E114:$L114)+SUMPRODUCT((CLASS!$E114:$L114="NR")*1,LIVE!$E114:$L114))</f>
        <v>328.22</v>
      </c>
      <c r="M114" s="10" t="n">
        <f aca="false">INPUTS!$B$13*SUM(DEAD!$E114:$M114)+INPUTS!$B$14*(RED!M114*SUMPRODUCT((CLASS!$E114:$M114="RES")*1,LIVE!$E114:$M114)+IF(SUMPRODUCT((CLASS!$E114:$M114="GAR")*1)&gt;=2,INPUTS!$B$20,1)*SUMPRODUCT((CLASS!$E114:$M114="GAR")*1,LIVE!$E114:$M114)+SUMPRODUCT((CLASS!$E114:$M114="NR")*1,LIVE!$E114:$M114))</f>
        <v>328.22</v>
      </c>
      <c r="N114" s="10" t="n">
        <f aca="false">INPUTS!$B$13*SUM(DEAD!$E114:$N114)+INPUTS!$B$14*(RED!N114*SUMPRODUCT((CLASS!$E114:$N114="RES")*1,LIVE!$E114:$N114)+IF(SUMPRODUCT((CLASS!$E114:$N114="GAR")*1)&gt;=2,INPUTS!$B$20,1)*SUMPRODUCT((CLASS!$E114:$N114="GAR")*1,LIVE!$E114:$N114)+SUMPRODUCT((CLASS!$E114:$N114="NR")*1,LIVE!$E114:$N114))</f>
        <v>328.22</v>
      </c>
      <c r="O114" s="10" t="n">
        <f aca="false">INPUTS!$B$13*SUM(DEAD!$E114:$O114)+INPUTS!$B$14*(RED!O114*SUMPRODUCT((CLASS!$E114:$O114="RES")*1,LIVE!$E114:$O114)+IF(SUMPRODUCT((CLASS!$E114:$O114="GAR")*1)&gt;=2,INPUTS!$B$20,1)*SUMPRODUCT((CLASS!$E114:$O114="GAR")*1,LIVE!$E114:$O114)+SUMPRODUCT((CLASS!$E114:$O114="NR")*1,LIVE!$E114:$O114))</f>
        <v>328.22</v>
      </c>
      <c r="P114" s="10" t="n">
        <f aca="false">INPUTS!$B$13*SUM(DEAD!$E114:$P114)+INPUTS!$B$14*(RED!P114*SUMPRODUCT((CLASS!$E114:$P114="RES")*1,LIVE!$E114:$P114)+IF(SUMPRODUCT((CLASS!$E114:$P114="GAR")*1)&gt;=2,INPUTS!$B$20,1)*SUMPRODUCT((CLASS!$E114:$P114="GAR")*1,LIVE!$E114:$P114)+SUMPRODUCT((CLASS!$E114:$P114="NR")*1,LIVE!$E114:$P114))</f>
        <v>328.22</v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10" t="n">
        <f aca="false">INPUTS!$B$13*SUM(DEAD!$E115:$E115)+INPUTS!$B$14*(RED!E115*SUMPRODUCT((CLASS!$E115:$E115="RES")*1,LIVE!$E115:$E115)+IF(SUMPRODUCT((CLASS!$E115:$E115="GAR")*1)&gt;=2,INPUTS!$B$20,1)*SUMPRODUCT((CLASS!$E115:$E115="GAR")*1,LIVE!$E115:$E115)+SUMPRODUCT((CLASS!$E115:$E115="NR")*1,LIVE!$E115:$E115))</f>
        <v>132.039</v>
      </c>
      <c r="F115" s="10" t="n">
        <f aca="false">INPUTS!$B$13*SUM(DEAD!$E115:$F115)+INPUTS!$B$14*(RED!F115*SUMPRODUCT((CLASS!$E115:$F115="RES")*1,LIVE!$E115:$F115)+IF(SUMPRODUCT((CLASS!$E115:$F115="GAR")*1)&gt;=2,INPUTS!$B$20,1)*SUMPRODUCT((CLASS!$E115:$F115="GAR")*1,LIVE!$E115:$F115)+SUMPRODUCT((CLASS!$E115:$F115="NR")*1,LIVE!$E115:$F115))</f>
        <v>324.74</v>
      </c>
      <c r="G115" s="10" t="n">
        <f aca="false">INPUTS!$B$13*SUM(DEAD!$E115:$G115)+INPUTS!$B$14*(RED!G115*SUMPRODUCT((CLASS!$E115:$G115="RES")*1,LIVE!$E115:$G115)+IF(SUMPRODUCT((CLASS!$E115:$G115="GAR")*1)&gt;=2,INPUTS!$B$20,1)*SUMPRODUCT((CLASS!$E115:$G115="GAR")*1,LIVE!$E115:$G115)+SUMPRODUCT((CLASS!$E115:$G115="NR")*1,LIVE!$E115:$G115))</f>
        <v>324.74</v>
      </c>
      <c r="H115" s="10" t="n">
        <f aca="false">INPUTS!$B$13*SUM(DEAD!$E115:$H115)+INPUTS!$B$14*(RED!H115*SUMPRODUCT((CLASS!$E115:$H115="RES")*1,LIVE!$E115:$H115)+IF(SUMPRODUCT((CLASS!$E115:$H115="GAR")*1)&gt;=2,INPUTS!$B$20,1)*SUMPRODUCT((CLASS!$E115:$H115="GAR")*1,LIVE!$E115:$H115)+SUMPRODUCT((CLASS!$E115:$H115="NR")*1,LIVE!$E115:$H115))</f>
        <v>324.74</v>
      </c>
      <c r="I115" s="10" t="n">
        <f aca="false">INPUTS!$B$13*SUM(DEAD!$E115:$I115)+INPUTS!$B$14*(RED!I115*SUMPRODUCT((CLASS!$E115:$I115="RES")*1,LIVE!$E115:$I115)+IF(SUMPRODUCT((CLASS!$E115:$I115="GAR")*1)&gt;=2,INPUTS!$B$20,1)*SUMPRODUCT((CLASS!$E115:$I115="GAR")*1,LIVE!$E115:$I115)+SUMPRODUCT((CLASS!$E115:$I115="NR")*1,LIVE!$E115:$I115))</f>
        <v>324.74</v>
      </c>
      <c r="J115" s="10" t="n">
        <f aca="false">INPUTS!$B$13*SUM(DEAD!$E115:$J115)+INPUTS!$B$14*(RED!J115*SUMPRODUCT((CLASS!$E115:$J115="RES")*1,LIVE!$E115:$J115)+IF(SUMPRODUCT((CLASS!$E115:$J115="GAR")*1)&gt;=2,INPUTS!$B$20,1)*SUMPRODUCT((CLASS!$E115:$J115="GAR")*1,LIVE!$E115:$J115)+SUMPRODUCT((CLASS!$E115:$J115="NR")*1,LIVE!$E115:$J115))</f>
        <v>324.74</v>
      </c>
      <c r="K115" s="10" t="n">
        <f aca="false">INPUTS!$B$13*SUM(DEAD!$E115:$K115)+INPUTS!$B$14*(RED!K115*SUMPRODUCT((CLASS!$E115:$K115="RES")*1,LIVE!$E115:$K115)+IF(SUMPRODUCT((CLASS!$E115:$K115="GAR")*1)&gt;=2,INPUTS!$B$20,1)*SUMPRODUCT((CLASS!$E115:$K115="GAR")*1,LIVE!$E115:$K115)+SUMPRODUCT((CLASS!$E115:$K115="NR")*1,LIVE!$E115:$K115))</f>
        <v>324.74</v>
      </c>
      <c r="L115" s="10" t="n">
        <f aca="false">INPUTS!$B$13*SUM(DEAD!$E115:$L115)+INPUTS!$B$14*(RED!L115*SUMPRODUCT((CLASS!$E115:$L115="RES")*1,LIVE!$E115:$L115)+IF(SUMPRODUCT((CLASS!$E115:$L115="GAR")*1)&gt;=2,INPUTS!$B$20,1)*SUMPRODUCT((CLASS!$E115:$L115="GAR")*1,LIVE!$E115:$L115)+SUMPRODUCT((CLASS!$E115:$L115="NR")*1,LIVE!$E115:$L115))</f>
        <v>324.74</v>
      </c>
      <c r="M115" s="10" t="n">
        <f aca="false">INPUTS!$B$13*SUM(DEAD!$E115:$M115)+INPUTS!$B$14*(RED!M115*SUMPRODUCT((CLASS!$E115:$M115="RES")*1,LIVE!$E115:$M115)+IF(SUMPRODUCT((CLASS!$E115:$M115="GAR")*1)&gt;=2,INPUTS!$B$20,1)*SUMPRODUCT((CLASS!$E115:$M115="GAR")*1,LIVE!$E115:$M115)+SUMPRODUCT((CLASS!$E115:$M115="NR")*1,LIVE!$E115:$M115))</f>
        <v>324.74</v>
      </c>
      <c r="N115" s="10" t="n">
        <f aca="false">INPUTS!$B$13*SUM(DEAD!$E115:$N115)+INPUTS!$B$14*(RED!N115*SUMPRODUCT((CLASS!$E115:$N115="RES")*1,LIVE!$E115:$N115)+IF(SUMPRODUCT((CLASS!$E115:$N115="GAR")*1)&gt;=2,INPUTS!$B$20,1)*SUMPRODUCT((CLASS!$E115:$N115="GAR")*1,LIVE!$E115:$N115)+SUMPRODUCT((CLASS!$E115:$N115="NR")*1,LIVE!$E115:$N115))</f>
        <v>324.74</v>
      </c>
      <c r="O115" s="10" t="n">
        <f aca="false">INPUTS!$B$13*SUM(DEAD!$E115:$O115)+INPUTS!$B$14*(RED!O115*SUMPRODUCT((CLASS!$E115:$O115="RES")*1,LIVE!$E115:$O115)+IF(SUMPRODUCT((CLASS!$E115:$O115="GAR")*1)&gt;=2,INPUTS!$B$20,1)*SUMPRODUCT((CLASS!$E115:$O115="GAR")*1,LIVE!$E115:$O115)+SUMPRODUCT((CLASS!$E115:$O115="NR")*1,LIVE!$E115:$O115))</f>
        <v>324.74</v>
      </c>
      <c r="P115" s="10" t="n">
        <f aca="false">INPUTS!$B$13*SUM(DEAD!$E115:$P115)+INPUTS!$B$14*(RED!P115*SUMPRODUCT((CLASS!$E115:$P115="RES")*1,LIVE!$E115:$P115)+IF(SUMPRODUCT((CLASS!$E115:$P115="GAR")*1)&gt;=2,INPUTS!$B$20,1)*SUMPRODUCT((CLASS!$E115:$P115="GAR")*1,LIVE!$E115:$P115)+SUMPRODUCT((CLASS!$E115:$P115="NR")*1,LIVE!$E115:$P115))</f>
        <v>324.74</v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10" t="n">
        <f aca="false">INPUTS!$B$13*SUM(DEAD!$E116:$E116)+INPUTS!$B$14*(RED!E116*SUMPRODUCT((CLASS!$E116:$E116="RES")*1,LIVE!$E116:$E116)+IF(SUMPRODUCT((CLASS!$E116:$E116="GAR")*1)&gt;=2,INPUTS!$B$20,1)*SUMPRODUCT((CLASS!$E116:$E116="GAR")*1,LIVE!$E116:$E116)+SUMPRODUCT((CLASS!$E116:$E116="NR")*1,LIVE!$E116:$E116))</f>
        <v>142.569</v>
      </c>
      <c r="F116" s="10" t="n">
        <f aca="false">INPUTS!$B$13*SUM(DEAD!$E116:$F116)+INPUTS!$B$14*(RED!F116*SUMPRODUCT((CLASS!$E116:$F116="RES")*1,LIVE!$E116:$F116)+IF(SUMPRODUCT((CLASS!$E116:$F116="GAR")*1)&gt;=2,INPUTS!$B$20,1)*SUMPRODUCT((CLASS!$E116:$F116="GAR")*1,LIVE!$E116:$F116)+SUMPRODUCT((CLASS!$E116:$F116="NR")*1,LIVE!$E116:$F116))</f>
        <v>350.84</v>
      </c>
      <c r="G116" s="10" t="n">
        <f aca="false">INPUTS!$B$13*SUM(DEAD!$E116:$G116)+INPUTS!$B$14*(RED!G116*SUMPRODUCT((CLASS!$E116:$G116="RES")*1,LIVE!$E116:$G116)+IF(SUMPRODUCT((CLASS!$E116:$G116="GAR")*1)&gt;=2,INPUTS!$B$20,1)*SUMPRODUCT((CLASS!$E116:$G116="GAR")*1,LIVE!$E116:$G116)+SUMPRODUCT((CLASS!$E116:$G116="NR")*1,LIVE!$E116:$G116))</f>
        <v>350.84</v>
      </c>
      <c r="H116" s="10" t="n">
        <f aca="false">INPUTS!$B$13*SUM(DEAD!$E116:$H116)+INPUTS!$B$14*(RED!H116*SUMPRODUCT((CLASS!$E116:$H116="RES")*1,LIVE!$E116:$H116)+IF(SUMPRODUCT((CLASS!$E116:$H116="GAR")*1)&gt;=2,INPUTS!$B$20,1)*SUMPRODUCT((CLASS!$E116:$H116="GAR")*1,LIVE!$E116:$H116)+SUMPRODUCT((CLASS!$E116:$H116="NR")*1,LIVE!$E116:$H116))</f>
        <v>350.84</v>
      </c>
      <c r="I116" s="10" t="n">
        <f aca="false">INPUTS!$B$13*SUM(DEAD!$E116:$I116)+INPUTS!$B$14*(RED!I116*SUMPRODUCT((CLASS!$E116:$I116="RES")*1,LIVE!$E116:$I116)+IF(SUMPRODUCT((CLASS!$E116:$I116="GAR")*1)&gt;=2,INPUTS!$B$20,1)*SUMPRODUCT((CLASS!$E116:$I116="GAR")*1,LIVE!$E116:$I116)+SUMPRODUCT((CLASS!$E116:$I116="NR")*1,LIVE!$E116:$I116))</f>
        <v>350.84</v>
      </c>
      <c r="J116" s="10" t="n">
        <f aca="false">INPUTS!$B$13*SUM(DEAD!$E116:$J116)+INPUTS!$B$14*(RED!J116*SUMPRODUCT((CLASS!$E116:$J116="RES")*1,LIVE!$E116:$J116)+IF(SUMPRODUCT((CLASS!$E116:$J116="GAR")*1)&gt;=2,INPUTS!$B$20,1)*SUMPRODUCT((CLASS!$E116:$J116="GAR")*1,LIVE!$E116:$J116)+SUMPRODUCT((CLASS!$E116:$J116="NR")*1,LIVE!$E116:$J116))</f>
        <v>350.84</v>
      </c>
      <c r="K116" s="10" t="n">
        <f aca="false">INPUTS!$B$13*SUM(DEAD!$E116:$K116)+INPUTS!$B$14*(RED!K116*SUMPRODUCT((CLASS!$E116:$K116="RES")*1,LIVE!$E116:$K116)+IF(SUMPRODUCT((CLASS!$E116:$K116="GAR")*1)&gt;=2,INPUTS!$B$20,1)*SUMPRODUCT((CLASS!$E116:$K116="GAR")*1,LIVE!$E116:$K116)+SUMPRODUCT((CLASS!$E116:$K116="NR")*1,LIVE!$E116:$K116))</f>
        <v>350.84</v>
      </c>
      <c r="L116" s="10" t="n">
        <f aca="false">INPUTS!$B$13*SUM(DEAD!$E116:$L116)+INPUTS!$B$14*(RED!L116*SUMPRODUCT((CLASS!$E116:$L116="RES")*1,LIVE!$E116:$L116)+IF(SUMPRODUCT((CLASS!$E116:$L116="GAR")*1)&gt;=2,INPUTS!$B$20,1)*SUMPRODUCT((CLASS!$E116:$L116="GAR")*1,LIVE!$E116:$L116)+SUMPRODUCT((CLASS!$E116:$L116="NR")*1,LIVE!$E116:$L116))</f>
        <v>350.84</v>
      </c>
      <c r="M116" s="10" t="n">
        <f aca="false">INPUTS!$B$13*SUM(DEAD!$E116:$M116)+INPUTS!$B$14*(RED!M116*SUMPRODUCT((CLASS!$E116:$M116="RES")*1,LIVE!$E116:$M116)+IF(SUMPRODUCT((CLASS!$E116:$M116="GAR")*1)&gt;=2,INPUTS!$B$20,1)*SUMPRODUCT((CLASS!$E116:$M116="GAR")*1,LIVE!$E116:$M116)+SUMPRODUCT((CLASS!$E116:$M116="NR")*1,LIVE!$E116:$M116))</f>
        <v>350.84</v>
      </c>
      <c r="N116" s="10" t="n">
        <f aca="false">INPUTS!$B$13*SUM(DEAD!$E116:$N116)+INPUTS!$B$14*(RED!N116*SUMPRODUCT((CLASS!$E116:$N116="RES")*1,LIVE!$E116:$N116)+IF(SUMPRODUCT((CLASS!$E116:$N116="GAR")*1)&gt;=2,INPUTS!$B$20,1)*SUMPRODUCT((CLASS!$E116:$N116="GAR")*1,LIVE!$E116:$N116)+SUMPRODUCT((CLASS!$E116:$N116="NR")*1,LIVE!$E116:$N116))</f>
        <v>350.84</v>
      </c>
      <c r="O116" s="10" t="n">
        <f aca="false">INPUTS!$B$13*SUM(DEAD!$E116:$O116)+INPUTS!$B$14*(RED!O116*SUMPRODUCT((CLASS!$E116:$O116="RES")*1,LIVE!$E116:$O116)+IF(SUMPRODUCT((CLASS!$E116:$O116="GAR")*1)&gt;=2,INPUTS!$B$20,1)*SUMPRODUCT((CLASS!$E116:$O116="GAR")*1,LIVE!$E116:$O116)+SUMPRODUCT((CLASS!$E116:$O116="NR")*1,LIVE!$E116:$O116))</f>
        <v>350.84</v>
      </c>
      <c r="P116" s="10" t="n">
        <f aca="false">INPUTS!$B$13*SUM(DEAD!$E116:$P116)+INPUTS!$B$14*(RED!P116*SUMPRODUCT((CLASS!$E116:$P116="RES")*1,LIVE!$E116:$P116)+IF(SUMPRODUCT((CLASS!$E116:$P116="GAR")*1)&gt;=2,INPUTS!$B$20,1)*SUMPRODUCT((CLASS!$E116:$P116="GAR")*1,LIVE!$E116:$P116)+SUMPRODUCT((CLASS!$E116:$P116="NR")*1,LIVE!$E116:$P116))</f>
        <v>350.84</v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10" t="n">
        <f aca="false">INPUTS!$B$13*SUM(DEAD!$E117:$E117)+INPUTS!$B$14*(RED!E117*SUMPRODUCT((CLASS!$E117:$E117="RES")*1,LIVE!$E117:$E117)+IF(SUMPRODUCT((CLASS!$E117:$E117="GAR")*1)&gt;=2,INPUTS!$B$20,1)*SUMPRODUCT((CLASS!$E117:$E117="GAR")*1,LIVE!$E117:$E117)+SUMPRODUCT((CLASS!$E117:$E117="NR")*1,LIVE!$E117:$E117))</f>
        <v>136.719</v>
      </c>
      <c r="F117" s="10" t="n">
        <f aca="false">INPUTS!$B$13*SUM(DEAD!$E117:$F117)+INPUTS!$B$14*(RED!F117*SUMPRODUCT((CLASS!$E117:$F117="RES")*1,LIVE!$E117:$F117)+IF(SUMPRODUCT((CLASS!$E117:$F117="GAR")*1)&gt;=2,INPUTS!$B$20,1)*SUMPRODUCT((CLASS!$E117:$F117="GAR")*1,LIVE!$E117:$F117)+SUMPRODUCT((CLASS!$E117:$F117="NR")*1,LIVE!$E117:$F117))</f>
        <v>336.34</v>
      </c>
      <c r="G117" s="10" t="n">
        <f aca="false">INPUTS!$B$13*SUM(DEAD!$E117:$G117)+INPUTS!$B$14*(RED!G117*SUMPRODUCT((CLASS!$E117:$G117="RES")*1,LIVE!$E117:$G117)+IF(SUMPRODUCT((CLASS!$E117:$G117="GAR")*1)&gt;=2,INPUTS!$B$20,1)*SUMPRODUCT((CLASS!$E117:$G117="GAR")*1,LIVE!$E117:$G117)+SUMPRODUCT((CLASS!$E117:$G117="NR")*1,LIVE!$E117:$G117))</f>
        <v>336.34</v>
      </c>
      <c r="H117" s="10" t="n">
        <f aca="false">INPUTS!$B$13*SUM(DEAD!$E117:$H117)+INPUTS!$B$14*(RED!H117*SUMPRODUCT((CLASS!$E117:$H117="RES")*1,LIVE!$E117:$H117)+IF(SUMPRODUCT((CLASS!$E117:$H117="GAR")*1)&gt;=2,INPUTS!$B$20,1)*SUMPRODUCT((CLASS!$E117:$H117="GAR")*1,LIVE!$E117:$H117)+SUMPRODUCT((CLASS!$E117:$H117="NR")*1,LIVE!$E117:$H117))</f>
        <v>336.34</v>
      </c>
      <c r="I117" s="10" t="n">
        <f aca="false">INPUTS!$B$13*SUM(DEAD!$E117:$I117)+INPUTS!$B$14*(RED!I117*SUMPRODUCT((CLASS!$E117:$I117="RES")*1,LIVE!$E117:$I117)+IF(SUMPRODUCT((CLASS!$E117:$I117="GAR")*1)&gt;=2,INPUTS!$B$20,1)*SUMPRODUCT((CLASS!$E117:$I117="GAR")*1,LIVE!$E117:$I117)+SUMPRODUCT((CLASS!$E117:$I117="NR")*1,LIVE!$E117:$I117))</f>
        <v>336.34</v>
      </c>
      <c r="J117" s="10" t="n">
        <f aca="false">INPUTS!$B$13*SUM(DEAD!$E117:$J117)+INPUTS!$B$14*(RED!J117*SUMPRODUCT((CLASS!$E117:$J117="RES")*1,LIVE!$E117:$J117)+IF(SUMPRODUCT((CLASS!$E117:$J117="GAR")*1)&gt;=2,INPUTS!$B$20,1)*SUMPRODUCT((CLASS!$E117:$J117="GAR")*1,LIVE!$E117:$J117)+SUMPRODUCT((CLASS!$E117:$J117="NR")*1,LIVE!$E117:$J117))</f>
        <v>336.34</v>
      </c>
      <c r="K117" s="10" t="n">
        <f aca="false">INPUTS!$B$13*SUM(DEAD!$E117:$K117)+INPUTS!$B$14*(RED!K117*SUMPRODUCT((CLASS!$E117:$K117="RES")*1,LIVE!$E117:$K117)+IF(SUMPRODUCT((CLASS!$E117:$K117="GAR")*1)&gt;=2,INPUTS!$B$20,1)*SUMPRODUCT((CLASS!$E117:$K117="GAR")*1,LIVE!$E117:$K117)+SUMPRODUCT((CLASS!$E117:$K117="NR")*1,LIVE!$E117:$K117))</f>
        <v>336.34</v>
      </c>
      <c r="L117" s="10" t="n">
        <f aca="false">INPUTS!$B$13*SUM(DEAD!$E117:$L117)+INPUTS!$B$14*(RED!L117*SUMPRODUCT((CLASS!$E117:$L117="RES")*1,LIVE!$E117:$L117)+IF(SUMPRODUCT((CLASS!$E117:$L117="GAR")*1)&gt;=2,INPUTS!$B$20,1)*SUMPRODUCT((CLASS!$E117:$L117="GAR")*1,LIVE!$E117:$L117)+SUMPRODUCT((CLASS!$E117:$L117="NR")*1,LIVE!$E117:$L117))</f>
        <v>336.34</v>
      </c>
      <c r="M117" s="10" t="n">
        <f aca="false">INPUTS!$B$13*SUM(DEAD!$E117:$M117)+INPUTS!$B$14*(RED!M117*SUMPRODUCT((CLASS!$E117:$M117="RES")*1,LIVE!$E117:$M117)+IF(SUMPRODUCT((CLASS!$E117:$M117="GAR")*1)&gt;=2,INPUTS!$B$20,1)*SUMPRODUCT((CLASS!$E117:$M117="GAR")*1,LIVE!$E117:$M117)+SUMPRODUCT((CLASS!$E117:$M117="NR")*1,LIVE!$E117:$M117))</f>
        <v>336.34</v>
      </c>
      <c r="N117" s="10" t="n">
        <f aca="false">INPUTS!$B$13*SUM(DEAD!$E117:$N117)+INPUTS!$B$14*(RED!N117*SUMPRODUCT((CLASS!$E117:$N117="RES")*1,LIVE!$E117:$N117)+IF(SUMPRODUCT((CLASS!$E117:$N117="GAR")*1)&gt;=2,INPUTS!$B$20,1)*SUMPRODUCT((CLASS!$E117:$N117="GAR")*1,LIVE!$E117:$N117)+SUMPRODUCT((CLASS!$E117:$N117="NR")*1,LIVE!$E117:$N117))</f>
        <v>336.34</v>
      </c>
      <c r="O117" s="10" t="n">
        <f aca="false">INPUTS!$B$13*SUM(DEAD!$E117:$O117)+INPUTS!$B$14*(RED!O117*SUMPRODUCT((CLASS!$E117:$O117="RES")*1,LIVE!$E117:$O117)+IF(SUMPRODUCT((CLASS!$E117:$O117="GAR")*1)&gt;=2,INPUTS!$B$20,1)*SUMPRODUCT((CLASS!$E117:$O117="GAR")*1,LIVE!$E117:$O117)+SUMPRODUCT((CLASS!$E117:$O117="NR")*1,LIVE!$E117:$O117))</f>
        <v>336.34</v>
      </c>
      <c r="P117" s="10" t="n">
        <f aca="false">INPUTS!$B$13*SUM(DEAD!$E117:$P117)+INPUTS!$B$14*(RED!P117*SUMPRODUCT((CLASS!$E117:$P117="RES")*1,LIVE!$E117:$P117)+IF(SUMPRODUCT((CLASS!$E117:$P117="GAR")*1)&gt;=2,INPUTS!$B$20,1)*SUMPRODUCT((CLASS!$E117:$P117="GAR")*1,LIVE!$E117:$P117)+SUMPRODUCT((CLASS!$E117:$P117="NR")*1,LIVE!$E117:$P117))</f>
        <v>336.34</v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10" t="n">
        <f aca="false">INPUTS!$B$13*SUM(DEAD!$E118:$E118)+INPUTS!$B$14*(RED!E118*SUMPRODUCT((CLASS!$E118:$E118="RES")*1,LIVE!$E118:$E118)+IF(SUMPRODUCT((CLASS!$E118:$E118="GAR")*1)&gt;=2,INPUTS!$B$20,1)*SUMPRODUCT((CLASS!$E118:$E118="GAR")*1,LIVE!$E118:$E118)+SUMPRODUCT((CLASS!$E118:$E118="NR")*1,LIVE!$E118:$E118))</f>
        <v>61.371</v>
      </c>
      <c r="F118" s="10" t="n">
        <f aca="false">INPUTS!$B$13*SUM(DEAD!$E118:$F118)+INPUTS!$B$14*(RED!F118*SUMPRODUCT((CLASS!$E118:$F118="RES")*1,LIVE!$E118:$F118)+IF(SUMPRODUCT((CLASS!$E118:$F118="GAR")*1)&gt;=2,INPUTS!$B$20,1)*SUMPRODUCT((CLASS!$E118:$F118="GAR")*1,LIVE!$E118:$F118)+SUMPRODUCT((CLASS!$E118:$F118="NR")*1,LIVE!$E118:$F118))</f>
        <v>149.58</v>
      </c>
      <c r="G118" s="10" t="n">
        <f aca="false">INPUTS!$B$13*SUM(DEAD!$E118:$G118)+INPUTS!$B$14*(RED!G118*SUMPRODUCT((CLASS!$E118:$G118="RES")*1,LIVE!$E118:$G118)+IF(SUMPRODUCT((CLASS!$E118:$G118="GAR")*1)&gt;=2,INPUTS!$B$20,1)*SUMPRODUCT((CLASS!$E118:$G118="GAR")*1,LIVE!$E118:$G118)+SUMPRODUCT((CLASS!$E118:$G118="NR")*1,LIVE!$E118:$G118))</f>
        <v>149.58</v>
      </c>
      <c r="H118" s="10" t="n">
        <f aca="false">INPUTS!$B$13*SUM(DEAD!$E118:$H118)+INPUTS!$B$14*(RED!H118*SUMPRODUCT((CLASS!$E118:$H118="RES")*1,LIVE!$E118:$H118)+IF(SUMPRODUCT((CLASS!$E118:$H118="GAR")*1)&gt;=2,INPUTS!$B$20,1)*SUMPRODUCT((CLASS!$E118:$H118="GAR")*1,LIVE!$E118:$H118)+SUMPRODUCT((CLASS!$E118:$H118="NR")*1,LIVE!$E118:$H118))</f>
        <v>149.58</v>
      </c>
      <c r="I118" s="10" t="n">
        <f aca="false">INPUTS!$B$13*SUM(DEAD!$E118:$I118)+INPUTS!$B$14*(RED!I118*SUMPRODUCT((CLASS!$E118:$I118="RES")*1,LIVE!$E118:$I118)+IF(SUMPRODUCT((CLASS!$E118:$I118="GAR")*1)&gt;=2,INPUTS!$B$20,1)*SUMPRODUCT((CLASS!$E118:$I118="GAR")*1,LIVE!$E118:$I118)+SUMPRODUCT((CLASS!$E118:$I118="NR")*1,LIVE!$E118:$I118))</f>
        <v>149.58</v>
      </c>
      <c r="J118" s="10" t="n">
        <f aca="false">INPUTS!$B$13*SUM(DEAD!$E118:$J118)+INPUTS!$B$14*(RED!J118*SUMPRODUCT((CLASS!$E118:$J118="RES")*1,LIVE!$E118:$J118)+IF(SUMPRODUCT((CLASS!$E118:$J118="GAR")*1)&gt;=2,INPUTS!$B$20,1)*SUMPRODUCT((CLASS!$E118:$J118="GAR")*1,LIVE!$E118:$J118)+SUMPRODUCT((CLASS!$E118:$J118="NR")*1,LIVE!$E118:$J118))</f>
        <v>149.58</v>
      </c>
      <c r="K118" s="10" t="n">
        <f aca="false">INPUTS!$B$13*SUM(DEAD!$E118:$K118)+INPUTS!$B$14*(RED!K118*SUMPRODUCT((CLASS!$E118:$K118="RES")*1,LIVE!$E118:$K118)+IF(SUMPRODUCT((CLASS!$E118:$K118="GAR")*1)&gt;=2,INPUTS!$B$20,1)*SUMPRODUCT((CLASS!$E118:$K118="GAR")*1,LIVE!$E118:$K118)+SUMPRODUCT((CLASS!$E118:$K118="NR")*1,LIVE!$E118:$K118))</f>
        <v>149.58</v>
      </c>
      <c r="L118" s="10" t="n">
        <f aca="false">INPUTS!$B$13*SUM(DEAD!$E118:$L118)+INPUTS!$B$14*(RED!L118*SUMPRODUCT((CLASS!$E118:$L118="RES")*1,LIVE!$E118:$L118)+IF(SUMPRODUCT((CLASS!$E118:$L118="GAR")*1)&gt;=2,INPUTS!$B$20,1)*SUMPRODUCT((CLASS!$E118:$L118="GAR")*1,LIVE!$E118:$L118)+SUMPRODUCT((CLASS!$E118:$L118="NR")*1,LIVE!$E118:$L118))</f>
        <v>149.58</v>
      </c>
      <c r="M118" s="10" t="n">
        <f aca="false">INPUTS!$B$13*SUM(DEAD!$E118:$M118)+INPUTS!$B$14*(RED!M118*SUMPRODUCT((CLASS!$E118:$M118="RES")*1,LIVE!$E118:$M118)+IF(SUMPRODUCT((CLASS!$E118:$M118="GAR")*1)&gt;=2,INPUTS!$B$20,1)*SUMPRODUCT((CLASS!$E118:$M118="GAR")*1,LIVE!$E118:$M118)+SUMPRODUCT((CLASS!$E118:$M118="NR")*1,LIVE!$E118:$M118))</f>
        <v>149.58</v>
      </c>
      <c r="N118" s="10" t="n">
        <f aca="false">INPUTS!$B$13*SUM(DEAD!$E118:$N118)+INPUTS!$B$14*(RED!N118*SUMPRODUCT((CLASS!$E118:$N118="RES")*1,LIVE!$E118:$N118)+IF(SUMPRODUCT((CLASS!$E118:$N118="GAR")*1)&gt;=2,INPUTS!$B$20,1)*SUMPRODUCT((CLASS!$E118:$N118="GAR")*1,LIVE!$E118:$N118)+SUMPRODUCT((CLASS!$E118:$N118="NR")*1,LIVE!$E118:$N118))</f>
        <v>149.58</v>
      </c>
      <c r="O118" s="10" t="n">
        <f aca="false">INPUTS!$B$13*SUM(DEAD!$E118:$O118)+INPUTS!$B$14*(RED!O118*SUMPRODUCT((CLASS!$E118:$O118="RES")*1,LIVE!$E118:$O118)+IF(SUMPRODUCT((CLASS!$E118:$O118="GAR")*1)&gt;=2,INPUTS!$B$20,1)*SUMPRODUCT((CLASS!$E118:$O118="GAR")*1,LIVE!$E118:$O118)+SUMPRODUCT((CLASS!$E118:$O118="NR")*1,LIVE!$E118:$O118))</f>
        <v>149.58</v>
      </c>
      <c r="P118" s="10" t="n">
        <f aca="false">INPUTS!$B$13*SUM(DEAD!$E118:$P118)+INPUTS!$B$14*(RED!P118*SUMPRODUCT((CLASS!$E118:$P118="RES")*1,LIVE!$E118:$P118)+IF(SUMPRODUCT((CLASS!$E118:$P118="GAR")*1)&gt;=2,INPUTS!$B$20,1)*SUMPRODUCT((CLASS!$E118:$P118="GAR")*1,LIVE!$E118:$P118)+SUMPRODUCT((CLASS!$E118:$P118="NR")*1,LIVE!$E118:$P118))</f>
        <v>149.58</v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10" t="n">
        <f aca="false">INPUTS!$B$13*SUM(DEAD!$E119:$E119)+INPUTS!$B$14*(RED!E119*SUMPRODUCT((CLASS!$E119:$E119="RES")*1,LIVE!$E119:$E119)+IF(SUMPRODUCT((CLASS!$E119:$E119="GAR")*1)&gt;=2,INPUTS!$B$20,1)*SUMPRODUCT((CLASS!$E119:$E119="GAR")*1,LIVE!$E119:$E119)+SUMPRODUCT((CLASS!$E119:$E119="NR")*1,LIVE!$E119:$E119))</f>
        <v>0</v>
      </c>
      <c r="F119" s="10" t="n">
        <f aca="false">INPUTS!$B$13*SUM(DEAD!$E119:$F119)+INPUTS!$B$14*(RED!F119*SUMPRODUCT((CLASS!$E119:$F119="RES")*1,LIVE!$E119:$F119)+IF(SUMPRODUCT((CLASS!$E119:$F119="GAR")*1)&gt;=2,INPUTS!$B$20,1)*SUMPRODUCT((CLASS!$E119:$F119="GAR")*1,LIVE!$E119:$F119)+SUMPRODUCT((CLASS!$E119:$F119="NR")*1,LIVE!$E119:$F119))</f>
        <v>0</v>
      </c>
      <c r="G119" s="10" t="n">
        <f aca="false">INPUTS!$B$13*SUM(DEAD!$E119:$G119)+INPUTS!$B$14*(RED!G119*SUMPRODUCT((CLASS!$E119:$G119="RES")*1,LIVE!$E119:$G119)+IF(SUMPRODUCT((CLASS!$E119:$G119="GAR")*1)&gt;=2,INPUTS!$B$20,1)*SUMPRODUCT((CLASS!$E119:$G119="GAR")*1,LIVE!$E119:$G119)+SUMPRODUCT((CLASS!$E119:$G119="NR")*1,LIVE!$E119:$G119))</f>
        <v>0</v>
      </c>
      <c r="H119" s="10" t="n">
        <f aca="false">INPUTS!$B$13*SUM(DEAD!$E119:$H119)+INPUTS!$B$14*(RED!H119*SUMPRODUCT((CLASS!$E119:$H119="RES")*1,LIVE!$E119:$H119)+IF(SUMPRODUCT((CLASS!$E119:$H119="GAR")*1)&gt;=2,INPUTS!$B$20,1)*SUMPRODUCT((CLASS!$E119:$H119="GAR")*1,LIVE!$E119:$H119)+SUMPRODUCT((CLASS!$E119:$H119="NR")*1,LIVE!$E119:$H119))</f>
        <v>0</v>
      </c>
      <c r="I119" s="10" t="n">
        <f aca="false">INPUTS!$B$13*SUM(DEAD!$E119:$I119)+INPUTS!$B$14*(RED!I119*SUMPRODUCT((CLASS!$E119:$I119="RES")*1,LIVE!$E119:$I119)+IF(SUMPRODUCT((CLASS!$E119:$I119="GAR")*1)&gt;=2,INPUTS!$B$20,1)*SUMPRODUCT((CLASS!$E119:$I119="GAR")*1,LIVE!$E119:$I119)+SUMPRODUCT((CLASS!$E119:$I119="NR")*1,LIVE!$E119:$I119))</f>
        <v>0</v>
      </c>
      <c r="J119" s="10" t="n">
        <f aca="false">INPUTS!$B$13*SUM(DEAD!$E119:$J119)+INPUTS!$B$14*(RED!J119*SUMPRODUCT((CLASS!$E119:$J119="RES")*1,LIVE!$E119:$J119)+IF(SUMPRODUCT((CLASS!$E119:$J119="GAR")*1)&gt;=2,INPUTS!$B$20,1)*SUMPRODUCT((CLASS!$E119:$J119="GAR")*1,LIVE!$E119:$J119)+SUMPRODUCT((CLASS!$E119:$J119="NR")*1,LIVE!$E119:$J119))</f>
        <v>6.615</v>
      </c>
      <c r="K119" s="10" t="n">
        <f aca="false">INPUTS!$B$13*SUM(DEAD!$E119:$K119)+INPUTS!$B$14*(RED!K119*SUMPRODUCT((CLASS!$E119:$K119="RES")*1,LIVE!$E119:$K119)+IF(SUMPRODUCT((CLASS!$E119:$K119="GAR")*1)&gt;=2,INPUTS!$B$20,1)*SUMPRODUCT((CLASS!$E119:$K119="GAR")*1,LIVE!$E119:$K119)+SUMPRODUCT((CLASS!$E119:$K119="NR")*1,LIVE!$E119:$K119))</f>
        <v>6.615</v>
      </c>
      <c r="L119" s="10" t="n">
        <f aca="false">INPUTS!$B$13*SUM(DEAD!$E119:$L119)+INPUTS!$B$14*(RED!L119*SUMPRODUCT((CLASS!$E119:$L119="RES")*1,LIVE!$E119:$L119)+IF(SUMPRODUCT((CLASS!$E119:$L119="GAR")*1)&gt;=2,INPUTS!$B$20,1)*SUMPRODUCT((CLASS!$E119:$L119="GAR")*1,LIVE!$E119:$L119)+SUMPRODUCT((CLASS!$E119:$L119="NR")*1,LIVE!$E119:$L119))</f>
        <v>6.615</v>
      </c>
      <c r="M119" s="10" t="n">
        <f aca="false">INPUTS!$B$13*SUM(DEAD!$E119:$M119)+INPUTS!$B$14*(RED!M119*SUMPRODUCT((CLASS!$E119:$M119="RES")*1,LIVE!$E119:$M119)+IF(SUMPRODUCT((CLASS!$E119:$M119="GAR")*1)&gt;=2,INPUTS!$B$20,1)*SUMPRODUCT((CLASS!$E119:$M119="GAR")*1,LIVE!$E119:$M119)+SUMPRODUCT((CLASS!$E119:$M119="NR")*1,LIVE!$E119:$M119))</f>
        <v>6.615</v>
      </c>
      <c r="N119" s="10" t="n">
        <f aca="false">INPUTS!$B$13*SUM(DEAD!$E119:$N119)+INPUTS!$B$14*(RED!N119*SUMPRODUCT((CLASS!$E119:$N119="RES")*1,LIVE!$E119:$N119)+IF(SUMPRODUCT((CLASS!$E119:$N119="GAR")*1)&gt;=2,INPUTS!$B$20,1)*SUMPRODUCT((CLASS!$E119:$N119="GAR")*1,LIVE!$E119:$N119)+SUMPRODUCT((CLASS!$E119:$N119="NR")*1,LIVE!$E119:$N119))</f>
        <v>6.615</v>
      </c>
      <c r="O119" s="10" t="n">
        <f aca="false">INPUTS!$B$13*SUM(DEAD!$E119:$O119)+INPUTS!$B$14*(RED!O119*SUMPRODUCT((CLASS!$E119:$O119="RES")*1,LIVE!$E119:$O119)+IF(SUMPRODUCT((CLASS!$E119:$O119="GAR")*1)&gt;=2,INPUTS!$B$20,1)*SUMPRODUCT((CLASS!$E119:$O119="GAR")*1,LIVE!$E119:$O119)+SUMPRODUCT((CLASS!$E119:$O119="NR")*1,LIVE!$E119:$O119))</f>
        <v>6.615</v>
      </c>
      <c r="P119" s="10" t="n">
        <f aca="false">INPUTS!$B$13*SUM(DEAD!$E119:$P119)+INPUTS!$B$14*(RED!P119*SUMPRODUCT((CLASS!$E119:$P119="RES")*1,LIVE!$E119:$P119)+IF(SUMPRODUCT((CLASS!$E119:$P119="GAR")*1)&gt;=2,INPUTS!$B$20,1)*SUMPRODUCT((CLASS!$E119:$P119="GAR")*1,LIVE!$E119:$P119)+SUMPRODUCT((CLASS!$E119:$P119="NR")*1,LIVE!$E119:$P119))</f>
        <v>6.615</v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10" t="n">
        <f aca="false">INPUTS!$B$13*SUM(DEAD!$E120:$E120)+INPUTS!$B$14*(RED!E120*SUMPRODUCT((CLASS!$E120:$E120="RES")*1,LIVE!$E120:$E120)+IF(SUMPRODUCT((CLASS!$E120:$E120="GAR")*1)&gt;=2,INPUTS!$B$20,1)*SUMPRODUCT((CLASS!$E120:$E120="GAR")*1,LIVE!$E120:$E120)+SUMPRODUCT((CLASS!$E120:$E120="NR")*1,LIVE!$E120:$E120))</f>
        <v>0</v>
      </c>
      <c r="F120" s="10" t="n">
        <f aca="false">INPUTS!$B$13*SUM(DEAD!$E120:$F120)+INPUTS!$B$14*(RED!F120*SUMPRODUCT((CLASS!$E120:$F120="RES")*1,LIVE!$E120:$F120)+IF(SUMPRODUCT((CLASS!$E120:$F120="GAR")*1)&gt;=2,INPUTS!$B$20,1)*SUMPRODUCT((CLASS!$E120:$F120="GAR")*1,LIVE!$E120:$F120)+SUMPRODUCT((CLASS!$E120:$F120="NR")*1,LIVE!$E120:$F120))</f>
        <v>0</v>
      </c>
      <c r="G120" s="10" t="n">
        <f aca="false">INPUTS!$B$13*SUM(DEAD!$E120:$G120)+INPUTS!$B$14*(RED!G120*SUMPRODUCT((CLASS!$E120:$G120="RES")*1,LIVE!$E120:$G120)+IF(SUMPRODUCT((CLASS!$E120:$G120="GAR")*1)&gt;=2,INPUTS!$B$20,1)*SUMPRODUCT((CLASS!$E120:$G120="GAR")*1,LIVE!$E120:$G120)+SUMPRODUCT((CLASS!$E120:$G120="NR")*1,LIVE!$E120:$G120))</f>
        <v>0</v>
      </c>
      <c r="H120" s="10" t="n">
        <f aca="false">INPUTS!$B$13*SUM(DEAD!$E120:$H120)+INPUTS!$B$14*(RED!H120*SUMPRODUCT((CLASS!$E120:$H120="RES")*1,LIVE!$E120:$H120)+IF(SUMPRODUCT((CLASS!$E120:$H120="GAR")*1)&gt;=2,INPUTS!$B$20,1)*SUMPRODUCT((CLASS!$E120:$H120="GAR")*1,LIVE!$E120:$H120)+SUMPRODUCT((CLASS!$E120:$H120="NR")*1,LIVE!$E120:$H120))</f>
        <v>0</v>
      </c>
      <c r="I120" s="10" t="n">
        <f aca="false">INPUTS!$B$13*SUM(DEAD!$E120:$I120)+INPUTS!$B$14*(RED!I120*SUMPRODUCT((CLASS!$E120:$I120="RES")*1,LIVE!$E120:$I120)+IF(SUMPRODUCT((CLASS!$E120:$I120="GAR")*1)&gt;=2,INPUTS!$B$20,1)*SUMPRODUCT((CLASS!$E120:$I120="GAR")*1,LIVE!$E120:$I120)+SUMPRODUCT((CLASS!$E120:$I120="NR")*1,LIVE!$E120:$I120))</f>
        <v>0</v>
      </c>
      <c r="J120" s="10" t="n">
        <f aca="false">INPUTS!$B$13*SUM(DEAD!$E120:$J120)+INPUTS!$B$14*(RED!J120*SUMPRODUCT((CLASS!$E120:$J120="RES")*1,LIVE!$E120:$J120)+IF(SUMPRODUCT((CLASS!$E120:$J120="GAR")*1)&gt;=2,INPUTS!$B$20,1)*SUMPRODUCT((CLASS!$E120:$J120="GAR")*1,LIVE!$E120:$J120)+SUMPRODUCT((CLASS!$E120:$J120="NR")*1,LIVE!$E120:$J120))</f>
        <v>24.179</v>
      </c>
      <c r="K120" s="10" t="n">
        <f aca="false">INPUTS!$B$13*SUM(DEAD!$E120:$K120)+INPUTS!$B$14*(RED!K120*SUMPRODUCT((CLASS!$E120:$K120="RES")*1,LIVE!$E120:$K120)+IF(SUMPRODUCT((CLASS!$E120:$K120="GAR")*1)&gt;=2,INPUTS!$B$20,1)*SUMPRODUCT((CLASS!$E120:$K120="GAR")*1,LIVE!$E120:$K120)+SUMPRODUCT((CLASS!$E120:$K120="NR")*1,LIVE!$E120:$K120))</f>
        <v>24.179</v>
      </c>
      <c r="L120" s="10" t="n">
        <f aca="false">INPUTS!$B$13*SUM(DEAD!$E120:$L120)+INPUTS!$B$14*(RED!L120*SUMPRODUCT((CLASS!$E120:$L120="RES")*1,LIVE!$E120:$L120)+IF(SUMPRODUCT((CLASS!$E120:$L120="GAR")*1)&gt;=2,INPUTS!$B$20,1)*SUMPRODUCT((CLASS!$E120:$L120="GAR")*1,LIVE!$E120:$L120)+SUMPRODUCT((CLASS!$E120:$L120="NR")*1,LIVE!$E120:$L120))</f>
        <v>24.179</v>
      </c>
      <c r="M120" s="10" t="n">
        <f aca="false">INPUTS!$B$13*SUM(DEAD!$E120:$M120)+INPUTS!$B$14*(RED!M120*SUMPRODUCT((CLASS!$E120:$M120="RES")*1,LIVE!$E120:$M120)+IF(SUMPRODUCT((CLASS!$E120:$M120="GAR")*1)&gt;=2,INPUTS!$B$20,1)*SUMPRODUCT((CLASS!$E120:$M120="GAR")*1,LIVE!$E120:$M120)+SUMPRODUCT((CLASS!$E120:$M120="NR")*1,LIVE!$E120:$M120))</f>
        <v>24.179</v>
      </c>
      <c r="N120" s="10" t="n">
        <f aca="false">INPUTS!$B$13*SUM(DEAD!$E120:$N120)+INPUTS!$B$14*(RED!N120*SUMPRODUCT((CLASS!$E120:$N120="RES")*1,LIVE!$E120:$N120)+IF(SUMPRODUCT((CLASS!$E120:$N120="GAR")*1)&gt;=2,INPUTS!$B$20,1)*SUMPRODUCT((CLASS!$E120:$N120="GAR")*1,LIVE!$E120:$N120)+SUMPRODUCT((CLASS!$E120:$N120="NR")*1,LIVE!$E120:$N120))</f>
        <v>24.179</v>
      </c>
      <c r="O120" s="10" t="n">
        <f aca="false">INPUTS!$B$13*SUM(DEAD!$E120:$O120)+INPUTS!$B$14*(RED!O120*SUMPRODUCT((CLASS!$E120:$O120="RES")*1,LIVE!$E120:$O120)+IF(SUMPRODUCT((CLASS!$E120:$O120="GAR")*1)&gt;=2,INPUTS!$B$20,1)*SUMPRODUCT((CLASS!$E120:$O120="GAR")*1,LIVE!$E120:$O120)+SUMPRODUCT((CLASS!$E120:$O120="NR")*1,LIVE!$E120:$O120))</f>
        <v>24.179</v>
      </c>
      <c r="P120" s="10" t="n">
        <f aca="false">INPUTS!$B$13*SUM(DEAD!$E120:$P120)+INPUTS!$B$14*(RED!P120*SUMPRODUCT((CLASS!$E120:$P120="RES")*1,LIVE!$E120:$P120)+IF(SUMPRODUCT((CLASS!$E120:$P120="GAR")*1)&gt;=2,INPUTS!$B$20,1)*SUMPRODUCT((CLASS!$E120:$P120="GAR")*1,LIVE!$E120:$P120)+SUMPRODUCT((CLASS!$E120:$P120="NR")*1,LIVE!$E120:$P120))</f>
        <v>24.179</v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10" t="n">
        <f aca="false">INPUTS!$B$13*SUM(DEAD!$E121:$E121)+INPUTS!$B$14*(RED!E121*SUMPRODUCT((CLASS!$E121:$E121="RES")*1,LIVE!$E121:$E121)+IF(SUMPRODUCT((CLASS!$E121:$E121="GAR")*1)&gt;=2,INPUTS!$B$20,1)*SUMPRODUCT((CLASS!$E121:$E121="GAR")*1,LIVE!$E121:$E121)+SUMPRODUCT((CLASS!$E121:$E121="NR")*1,LIVE!$E121:$E121))</f>
        <v>0</v>
      </c>
      <c r="F121" s="10" t="n">
        <f aca="false">INPUTS!$B$13*SUM(DEAD!$E121:$F121)+INPUTS!$B$14*(RED!F121*SUMPRODUCT((CLASS!$E121:$F121="RES")*1,LIVE!$E121:$F121)+IF(SUMPRODUCT((CLASS!$E121:$F121="GAR")*1)&gt;=2,INPUTS!$B$20,1)*SUMPRODUCT((CLASS!$E121:$F121="GAR")*1,LIVE!$E121:$F121)+SUMPRODUCT((CLASS!$E121:$F121="NR")*1,LIVE!$E121:$F121))</f>
        <v>0</v>
      </c>
      <c r="G121" s="10" t="n">
        <f aca="false">INPUTS!$B$13*SUM(DEAD!$E121:$G121)+INPUTS!$B$14*(RED!G121*SUMPRODUCT((CLASS!$E121:$G121="RES")*1,LIVE!$E121:$G121)+IF(SUMPRODUCT((CLASS!$E121:$G121="GAR")*1)&gt;=2,INPUTS!$B$20,1)*SUMPRODUCT((CLASS!$E121:$G121="GAR")*1,LIVE!$E121:$G121)+SUMPRODUCT((CLASS!$E121:$G121="NR")*1,LIVE!$E121:$G121))</f>
        <v>0</v>
      </c>
      <c r="H121" s="10" t="n">
        <f aca="false">INPUTS!$B$13*SUM(DEAD!$E121:$H121)+INPUTS!$B$14*(RED!H121*SUMPRODUCT((CLASS!$E121:$H121="RES")*1,LIVE!$E121:$H121)+IF(SUMPRODUCT((CLASS!$E121:$H121="GAR")*1)&gt;=2,INPUTS!$B$20,1)*SUMPRODUCT((CLASS!$E121:$H121="GAR")*1,LIVE!$E121:$H121)+SUMPRODUCT((CLASS!$E121:$H121="NR")*1,LIVE!$E121:$H121))</f>
        <v>0</v>
      </c>
      <c r="I121" s="10" t="n">
        <f aca="false">INPUTS!$B$13*SUM(DEAD!$E121:$I121)+INPUTS!$B$14*(RED!I121*SUMPRODUCT((CLASS!$E121:$I121="RES")*1,LIVE!$E121:$I121)+IF(SUMPRODUCT((CLASS!$E121:$I121="GAR")*1)&gt;=2,INPUTS!$B$20,1)*SUMPRODUCT((CLASS!$E121:$I121="GAR")*1,LIVE!$E121:$I121)+SUMPRODUCT((CLASS!$E121:$I121="NR")*1,LIVE!$E121:$I121))</f>
        <v>0</v>
      </c>
      <c r="J121" s="10" t="n">
        <f aca="false">INPUTS!$B$13*SUM(DEAD!$E121:$J121)+INPUTS!$B$14*(RED!J121*SUMPRODUCT((CLASS!$E121:$J121="RES")*1,LIVE!$E121:$J121)+IF(SUMPRODUCT((CLASS!$E121:$J121="GAR")*1)&gt;=2,INPUTS!$B$20,1)*SUMPRODUCT((CLASS!$E121:$J121="GAR")*1,LIVE!$E121:$J121)+SUMPRODUCT((CLASS!$E121:$J121="NR")*1,LIVE!$E121:$J121))</f>
        <v>6.615</v>
      </c>
      <c r="K121" s="10" t="n">
        <f aca="false">INPUTS!$B$13*SUM(DEAD!$E121:$K121)+INPUTS!$B$14*(RED!K121*SUMPRODUCT((CLASS!$E121:$K121="RES")*1,LIVE!$E121:$K121)+IF(SUMPRODUCT((CLASS!$E121:$K121="GAR")*1)&gt;=2,INPUTS!$B$20,1)*SUMPRODUCT((CLASS!$E121:$K121="GAR")*1,LIVE!$E121:$K121)+SUMPRODUCT((CLASS!$E121:$K121="NR")*1,LIVE!$E121:$K121))</f>
        <v>6.615</v>
      </c>
      <c r="L121" s="10" t="n">
        <f aca="false">INPUTS!$B$13*SUM(DEAD!$E121:$L121)+INPUTS!$B$14*(RED!L121*SUMPRODUCT((CLASS!$E121:$L121="RES")*1,LIVE!$E121:$L121)+IF(SUMPRODUCT((CLASS!$E121:$L121="GAR")*1)&gt;=2,INPUTS!$B$20,1)*SUMPRODUCT((CLASS!$E121:$L121="GAR")*1,LIVE!$E121:$L121)+SUMPRODUCT((CLASS!$E121:$L121="NR")*1,LIVE!$E121:$L121))</f>
        <v>6.615</v>
      </c>
      <c r="M121" s="10" t="n">
        <f aca="false">INPUTS!$B$13*SUM(DEAD!$E121:$M121)+INPUTS!$B$14*(RED!M121*SUMPRODUCT((CLASS!$E121:$M121="RES")*1,LIVE!$E121:$M121)+IF(SUMPRODUCT((CLASS!$E121:$M121="GAR")*1)&gt;=2,INPUTS!$B$20,1)*SUMPRODUCT((CLASS!$E121:$M121="GAR")*1,LIVE!$E121:$M121)+SUMPRODUCT((CLASS!$E121:$M121="NR")*1,LIVE!$E121:$M121))</f>
        <v>6.615</v>
      </c>
      <c r="N121" s="10" t="n">
        <f aca="false">INPUTS!$B$13*SUM(DEAD!$E121:$N121)+INPUTS!$B$14*(RED!N121*SUMPRODUCT((CLASS!$E121:$N121="RES")*1,LIVE!$E121:$N121)+IF(SUMPRODUCT((CLASS!$E121:$N121="GAR")*1)&gt;=2,INPUTS!$B$20,1)*SUMPRODUCT((CLASS!$E121:$N121="GAR")*1,LIVE!$E121:$N121)+SUMPRODUCT((CLASS!$E121:$N121="NR")*1,LIVE!$E121:$N121))</f>
        <v>6.615</v>
      </c>
      <c r="O121" s="10" t="n">
        <f aca="false">INPUTS!$B$13*SUM(DEAD!$E121:$O121)+INPUTS!$B$14*(RED!O121*SUMPRODUCT((CLASS!$E121:$O121="RES")*1,LIVE!$E121:$O121)+IF(SUMPRODUCT((CLASS!$E121:$O121="GAR")*1)&gt;=2,INPUTS!$B$20,1)*SUMPRODUCT((CLASS!$E121:$O121="GAR")*1,LIVE!$E121:$O121)+SUMPRODUCT((CLASS!$E121:$O121="NR")*1,LIVE!$E121:$O121))</f>
        <v>6.615</v>
      </c>
      <c r="P121" s="10" t="n">
        <f aca="false">INPUTS!$B$13*SUM(DEAD!$E121:$P121)+INPUTS!$B$14*(RED!P121*SUMPRODUCT((CLASS!$E121:$P121="RES")*1,LIVE!$E121:$P121)+IF(SUMPRODUCT((CLASS!$E121:$P121="GAR")*1)&gt;=2,INPUTS!$B$20,1)*SUMPRODUCT((CLASS!$E121:$P121="GAR")*1,LIVE!$E121:$P121)+SUMPRODUCT((CLASS!$E121:$P121="NR")*1,LIVE!$E121:$P121))</f>
        <v>6.615</v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10" t="n">
        <f aca="false">INPUTS!$B$13*SUM(DEAD!$E122:$E122)+INPUTS!$B$14*(RED!E122*SUMPRODUCT((CLASS!$E122:$E122="RES")*1,LIVE!$E122:$E122)+IF(SUMPRODUCT((CLASS!$E122:$E122="GAR")*1)&gt;=2,INPUTS!$B$20,1)*SUMPRODUCT((CLASS!$E122:$E122="GAR")*1,LIVE!$E122:$E122)+SUMPRODUCT((CLASS!$E122:$E122="NR")*1,LIVE!$E122:$E122))</f>
        <v>0</v>
      </c>
      <c r="F122" s="10" t="n">
        <f aca="false">INPUTS!$B$13*SUM(DEAD!$E122:$F122)+INPUTS!$B$14*(RED!F122*SUMPRODUCT((CLASS!$E122:$F122="RES")*1,LIVE!$E122:$F122)+IF(SUMPRODUCT((CLASS!$E122:$F122="GAR")*1)&gt;=2,INPUTS!$B$20,1)*SUMPRODUCT((CLASS!$E122:$F122="GAR")*1,LIVE!$E122:$F122)+SUMPRODUCT((CLASS!$E122:$F122="NR")*1,LIVE!$E122:$F122))</f>
        <v>0</v>
      </c>
      <c r="G122" s="10" t="n">
        <f aca="false">INPUTS!$B$13*SUM(DEAD!$E122:$G122)+INPUTS!$B$14*(RED!G122*SUMPRODUCT((CLASS!$E122:$G122="RES")*1,LIVE!$E122:$G122)+IF(SUMPRODUCT((CLASS!$E122:$G122="GAR")*1)&gt;=2,INPUTS!$B$20,1)*SUMPRODUCT((CLASS!$E122:$G122="GAR")*1,LIVE!$E122:$G122)+SUMPRODUCT((CLASS!$E122:$G122="NR")*1,LIVE!$E122:$G122))</f>
        <v>0</v>
      </c>
      <c r="H122" s="10" t="n">
        <f aca="false">INPUTS!$B$13*SUM(DEAD!$E122:$H122)+INPUTS!$B$14*(RED!H122*SUMPRODUCT((CLASS!$E122:$H122="RES")*1,LIVE!$E122:$H122)+IF(SUMPRODUCT((CLASS!$E122:$H122="GAR")*1)&gt;=2,INPUTS!$B$20,1)*SUMPRODUCT((CLASS!$E122:$H122="GAR")*1,LIVE!$E122:$H122)+SUMPRODUCT((CLASS!$E122:$H122="NR")*1,LIVE!$E122:$H122))</f>
        <v>0</v>
      </c>
      <c r="I122" s="10" t="n">
        <f aca="false">INPUTS!$B$13*SUM(DEAD!$E122:$I122)+INPUTS!$B$14*(RED!I122*SUMPRODUCT((CLASS!$E122:$I122="RES")*1,LIVE!$E122:$I122)+IF(SUMPRODUCT((CLASS!$E122:$I122="GAR")*1)&gt;=2,INPUTS!$B$20,1)*SUMPRODUCT((CLASS!$E122:$I122="GAR")*1,LIVE!$E122:$I122)+SUMPRODUCT((CLASS!$E122:$I122="NR")*1,LIVE!$E122:$I122))</f>
        <v>0</v>
      </c>
      <c r="J122" s="10" t="n">
        <f aca="false">INPUTS!$B$13*SUM(DEAD!$E122:$J122)+INPUTS!$B$14*(RED!J122*SUMPRODUCT((CLASS!$E122:$J122="RES")*1,LIVE!$E122:$J122)+IF(SUMPRODUCT((CLASS!$E122:$J122="GAR")*1)&gt;=2,INPUTS!$B$20,1)*SUMPRODUCT((CLASS!$E122:$J122="GAR")*1,LIVE!$E122:$J122)+SUMPRODUCT((CLASS!$E122:$J122="NR")*1,LIVE!$E122:$J122))</f>
        <v>6.615</v>
      </c>
      <c r="K122" s="10" t="n">
        <f aca="false">INPUTS!$B$13*SUM(DEAD!$E122:$K122)+INPUTS!$B$14*(RED!K122*SUMPRODUCT((CLASS!$E122:$K122="RES")*1,LIVE!$E122:$K122)+IF(SUMPRODUCT((CLASS!$E122:$K122="GAR")*1)&gt;=2,INPUTS!$B$20,1)*SUMPRODUCT((CLASS!$E122:$K122="GAR")*1,LIVE!$E122:$K122)+SUMPRODUCT((CLASS!$E122:$K122="NR")*1,LIVE!$E122:$K122))</f>
        <v>6.615</v>
      </c>
      <c r="L122" s="10" t="n">
        <f aca="false">INPUTS!$B$13*SUM(DEAD!$E122:$L122)+INPUTS!$B$14*(RED!L122*SUMPRODUCT((CLASS!$E122:$L122="RES")*1,LIVE!$E122:$L122)+IF(SUMPRODUCT((CLASS!$E122:$L122="GAR")*1)&gt;=2,INPUTS!$B$20,1)*SUMPRODUCT((CLASS!$E122:$L122="GAR")*1,LIVE!$E122:$L122)+SUMPRODUCT((CLASS!$E122:$L122="NR")*1,LIVE!$E122:$L122))</f>
        <v>6.615</v>
      </c>
      <c r="M122" s="10" t="n">
        <f aca="false">INPUTS!$B$13*SUM(DEAD!$E122:$M122)+INPUTS!$B$14*(RED!M122*SUMPRODUCT((CLASS!$E122:$M122="RES")*1,LIVE!$E122:$M122)+IF(SUMPRODUCT((CLASS!$E122:$M122="GAR")*1)&gt;=2,INPUTS!$B$20,1)*SUMPRODUCT((CLASS!$E122:$M122="GAR")*1,LIVE!$E122:$M122)+SUMPRODUCT((CLASS!$E122:$M122="NR")*1,LIVE!$E122:$M122))</f>
        <v>6.615</v>
      </c>
      <c r="N122" s="10" t="n">
        <f aca="false">INPUTS!$B$13*SUM(DEAD!$E122:$N122)+INPUTS!$B$14*(RED!N122*SUMPRODUCT((CLASS!$E122:$N122="RES")*1,LIVE!$E122:$N122)+IF(SUMPRODUCT((CLASS!$E122:$N122="GAR")*1)&gt;=2,INPUTS!$B$20,1)*SUMPRODUCT((CLASS!$E122:$N122="GAR")*1,LIVE!$E122:$N122)+SUMPRODUCT((CLASS!$E122:$N122="NR")*1,LIVE!$E122:$N122))</f>
        <v>6.615</v>
      </c>
      <c r="O122" s="10" t="n">
        <f aca="false">INPUTS!$B$13*SUM(DEAD!$E122:$O122)+INPUTS!$B$14*(RED!O122*SUMPRODUCT((CLASS!$E122:$O122="RES")*1,LIVE!$E122:$O122)+IF(SUMPRODUCT((CLASS!$E122:$O122="GAR")*1)&gt;=2,INPUTS!$B$20,1)*SUMPRODUCT((CLASS!$E122:$O122="GAR")*1,LIVE!$E122:$O122)+SUMPRODUCT((CLASS!$E122:$O122="NR")*1,LIVE!$E122:$O122))</f>
        <v>6.615</v>
      </c>
      <c r="P122" s="10" t="n">
        <f aca="false">INPUTS!$B$13*SUM(DEAD!$E122:$P122)+INPUTS!$B$14*(RED!P122*SUMPRODUCT((CLASS!$E122:$P122="RES")*1,LIVE!$E122:$P122)+IF(SUMPRODUCT((CLASS!$E122:$P122="GAR")*1)&gt;=2,INPUTS!$B$20,1)*SUMPRODUCT((CLASS!$E122:$P122="GAR")*1,LIVE!$E122:$P122)+SUMPRODUCT((CLASS!$E122:$P122="NR")*1,LIVE!$E122:$P122))</f>
        <v>6.615</v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10" t="n">
        <f aca="false">INPUTS!$B$13*SUM(DEAD!$E123:$E123)+INPUTS!$B$14*(RED!E123*SUMPRODUCT((CLASS!$E123:$E123="RES")*1,LIVE!$E123:$E123)+IF(SUMPRODUCT((CLASS!$E123:$E123="GAR")*1)&gt;=2,INPUTS!$B$20,1)*SUMPRODUCT((CLASS!$E123:$E123="GAR")*1,LIVE!$E123:$E123)+SUMPRODUCT((CLASS!$E123:$E123="NR")*1,LIVE!$E123:$E123))</f>
        <v>0</v>
      </c>
      <c r="F123" s="10" t="n">
        <f aca="false">INPUTS!$B$13*SUM(DEAD!$E123:$F123)+INPUTS!$B$14*(RED!F123*SUMPRODUCT((CLASS!$E123:$F123="RES")*1,LIVE!$E123:$F123)+IF(SUMPRODUCT((CLASS!$E123:$F123="GAR")*1)&gt;=2,INPUTS!$B$20,1)*SUMPRODUCT((CLASS!$E123:$F123="GAR")*1,LIVE!$E123:$F123)+SUMPRODUCT((CLASS!$E123:$F123="NR")*1,LIVE!$E123:$F123))</f>
        <v>0</v>
      </c>
      <c r="G123" s="10" t="n">
        <f aca="false">INPUTS!$B$13*SUM(DEAD!$E123:$G123)+INPUTS!$B$14*(RED!G123*SUMPRODUCT((CLASS!$E123:$G123="RES")*1,LIVE!$E123:$G123)+IF(SUMPRODUCT((CLASS!$E123:$G123="GAR")*1)&gt;=2,INPUTS!$B$20,1)*SUMPRODUCT((CLASS!$E123:$G123="GAR")*1,LIVE!$E123:$G123)+SUMPRODUCT((CLASS!$E123:$G123="NR")*1,LIVE!$E123:$G123))</f>
        <v>0</v>
      </c>
      <c r="H123" s="10" t="n">
        <f aca="false">INPUTS!$B$13*SUM(DEAD!$E123:$H123)+INPUTS!$B$14*(RED!H123*SUMPRODUCT((CLASS!$E123:$H123="RES")*1,LIVE!$E123:$H123)+IF(SUMPRODUCT((CLASS!$E123:$H123="GAR")*1)&gt;=2,INPUTS!$B$20,1)*SUMPRODUCT((CLASS!$E123:$H123="GAR")*1,LIVE!$E123:$H123)+SUMPRODUCT((CLASS!$E123:$H123="NR")*1,LIVE!$E123:$H123))</f>
        <v>0</v>
      </c>
      <c r="I123" s="10" t="n">
        <f aca="false">INPUTS!$B$13*SUM(DEAD!$E123:$I123)+INPUTS!$B$14*(RED!I123*SUMPRODUCT((CLASS!$E123:$I123="RES")*1,LIVE!$E123:$I123)+IF(SUMPRODUCT((CLASS!$E123:$I123="GAR")*1)&gt;=2,INPUTS!$B$20,1)*SUMPRODUCT((CLASS!$E123:$I123="GAR")*1,LIVE!$E123:$I123)+SUMPRODUCT((CLASS!$E123:$I123="NR")*1,LIVE!$E123:$I123))</f>
        <v>0</v>
      </c>
      <c r="J123" s="10" t="n">
        <f aca="false">INPUTS!$B$13*SUM(DEAD!$E123:$J123)+INPUTS!$B$14*(RED!J123*SUMPRODUCT((CLASS!$E123:$J123="RES")*1,LIVE!$E123:$J123)+IF(SUMPRODUCT((CLASS!$E123:$J123="GAR")*1)&gt;=2,INPUTS!$B$20,1)*SUMPRODUCT((CLASS!$E123:$J123="GAR")*1,LIVE!$E123:$J123)+SUMPRODUCT((CLASS!$E123:$J123="NR")*1,LIVE!$E123:$J123))</f>
        <v>6.615</v>
      </c>
      <c r="K123" s="10" t="n">
        <f aca="false">INPUTS!$B$13*SUM(DEAD!$E123:$K123)+INPUTS!$B$14*(RED!K123*SUMPRODUCT((CLASS!$E123:$K123="RES")*1,LIVE!$E123:$K123)+IF(SUMPRODUCT((CLASS!$E123:$K123="GAR")*1)&gt;=2,INPUTS!$B$20,1)*SUMPRODUCT((CLASS!$E123:$K123="GAR")*1,LIVE!$E123:$K123)+SUMPRODUCT((CLASS!$E123:$K123="NR")*1,LIVE!$E123:$K123))</f>
        <v>6.615</v>
      </c>
      <c r="L123" s="10" t="n">
        <f aca="false">INPUTS!$B$13*SUM(DEAD!$E123:$L123)+INPUTS!$B$14*(RED!L123*SUMPRODUCT((CLASS!$E123:$L123="RES")*1,LIVE!$E123:$L123)+IF(SUMPRODUCT((CLASS!$E123:$L123="GAR")*1)&gt;=2,INPUTS!$B$20,1)*SUMPRODUCT((CLASS!$E123:$L123="GAR")*1,LIVE!$E123:$L123)+SUMPRODUCT((CLASS!$E123:$L123="NR")*1,LIVE!$E123:$L123))</f>
        <v>6.615</v>
      </c>
      <c r="M123" s="10" t="n">
        <f aca="false">INPUTS!$B$13*SUM(DEAD!$E123:$M123)+INPUTS!$B$14*(RED!M123*SUMPRODUCT((CLASS!$E123:$M123="RES")*1,LIVE!$E123:$M123)+IF(SUMPRODUCT((CLASS!$E123:$M123="GAR")*1)&gt;=2,INPUTS!$B$20,1)*SUMPRODUCT((CLASS!$E123:$M123="GAR")*1,LIVE!$E123:$M123)+SUMPRODUCT((CLASS!$E123:$M123="NR")*1,LIVE!$E123:$M123))</f>
        <v>6.615</v>
      </c>
      <c r="N123" s="10" t="n">
        <f aca="false">INPUTS!$B$13*SUM(DEAD!$E123:$N123)+INPUTS!$B$14*(RED!N123*SUMPRODUCT((CLASS!$E123:$N123="RES")*1,LIVE!$E123:$N123)+IF(SUMPRODUCT((CLASS!$E123:$N123="GAR")*1)&gt;=2,INPUTS!$B$20,1)*SUMPRODUCT((CLASS!$E123:$N123="GAR")*1,LIVE!$E123:$N123)+SUMPRODUCT((CLASS!$E123:$N123="NR")*1,LIVE!$E123:$N123))</f>
        <v>6.615</v>
      </c>
      <c r="O123" s="10" t="n">
        <f aca="false">INPUTS!$B$13*SUM(DEAD!$E123:$O123)+INPUTS!$B$14*(RED!O123*SUMPRODUCT((CLASS!$E123:$O123="RES")*1,LIVE!$E123:$O123)+IF(SUMPRODUCT((CLASS!$E123:$O123="GAR")*1)&gt;=2,INPUTS!$B$20,1)*SUMPRODUCT((CLASS!$E123:$O123="GAR")*1,LIVE!$E123:$O123)+SUMPRODUCT((CLASS!$E123:$O123="NR")*1,LIVE!$E123:$O123))</f>
        <v>6.615</v>
      </c>
      <c r="P123" s="10" t="n">
        <f aca="false">INPUTS!$B$13*SUM(DEAD!$E123:$P123)+INPUTS!$B$14*(RED!P123*SUMPRODUCT((CLASS!$E123:$P123="RES")*1,LIVE!$E123:$P123)+IF(SUMPRODUCT((CLASS!$E123:$P123="GAR")*1)&gt;=2,INPUTS!$B$20,1)*SUMPRODUCT((CLASS!$E123:$P123="GAR")*1,LIVE!$E123:$P123)+SUMPRODUCT((CLASS!$E123:$P123="NR")*1,LIVE!$E123:$P123))</f>
        <v>6.615</v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10" t="n">
        <f aca="false">INPUTS!$B$13*SUM(DEAD!$E124:$E124)+INPUTS!$B$14*(RED!E124*SUMPRODUCT((CLASS!$E124:$E124="RES")*1,LIVE!$E124:$E124)+IF(SUMPRODUCT((CLASS!$E124:$E124="GAR")*1)&gt;=2,INPUTS!$B$20,1)*SUMPRODUCT((CLASS!$E124:$E124="GAR")*1,LIVE!$E124:$E124)+SUMPRODUCT((CLASS!$E124:$E124="NR")*1,LIVE!$E124:$E124))</f>
        <v>0</v>
      </c>
      <c r="F124" s="10" t="n">
        <f aca="false">INPUTS!$B$13*SUM(DEAD!$E124:$F124)+INPUTS!$B$14*(RED!F124*SUMPRODUCT((CLASS!$E124:$F124="RES")*1,LIVE!$E124:$F124)+IF(SUMPRODUCT((CLASS!$E124:$F124="GAR")*1)&gt;=2,INPUTS!$B$20,1)*SUMPRODUCT((CLASS!$E124:$F124="GAR")*1,LIVE!$E124:$F124)+SUMPRODUCT((CLASS!$E124:$F124="NR")*1,LIVE!$E124:$F124))</f>
        <v>0</v>
      </c>
      <c r="G124" s="10" t="n">
        <f aca="false">INPUTS!$B$13*SUM(DEAD!$E124:$G124)+INPUTS!$B$14*(RED!G124*SUMPRODUCT((CLASS!$E124:$G124="RES")*1,LIVE!$E124:$G124)+IF(SUMPRODUCT((CLASS!$E124:$G124="GAR")*1)&gt;=2,INPUTS!$B$20,1)*SUMPRODUCT((CLASS!$E124:$G124="GAR")*1,LIVE!$E124:$G124)+SUMPRODUCT((CLASS!$E124:$G124="NR")*1,LIVE!$E124:$G124))</f>
        <v>0</v>
      </c>
      <c r="H124" s="10" t="n">
        <f aca="false">INPUTS!$B$13*SUM(DEAD!$E124:$H124)+INPUTS!$B$14*(RED!H124*SUMPRODUCT((CLASS!$E124:$H124="RES")*1,LIVE!$E124:$H124)+IF(SUMPRODUCT((CLASS!$E124:$H124="GAR")*1)&gt;=2,INPUTS!$B$20,1)*SUMPRODUCT((CLASS!$E124:$H124="GAR")*1,LIVE!$E124:$H124)+SUMPRODUCT((CLASS!$E124:$H124="NR")*1,LIVE!$E124:$H124))</f>
        <v>0</v>
      </c>
      <c r="I124" s="10" t="n">
        <f aca="false">INPUTS!$B$13*SUM(DEAD!$E124:$I124)+INPUTS!$B$14*(RED!I124*SUMPRODUCT((CLASS!$E124:$I124="RES")*1,LIVE!$E124:$I124)+IF(SUMPRODUCT((CLASS!$E124:$I124="GAR")*1)&gt;=2,INPUTS!$B$20,1)*SUMPRODUCT((CLASS!$E124:$I124="GAR")*1,LIVE!$E124:$I124)+SUMPRODUCT((CLASS!$E124:$I124="NR")*1,LIVE!$E124:$I124))</f>
        <v>0</v>
      </c>
      <c r="J124" s="10" t="n">
        <f aca="false">INPUTS!$B$13*SUM(DEAD!$E124:$J124)+INPUTS!$B$14*(RED!J124*SUMPRODUCT((CLASS!$E124:$J124="RES")*1,LIVE!$E124:$J124)+IF(SUMPRODUCT((CLASS!$E124:$J124="GAR")*1)&gt;=2,INPUTS!$B$20,1)*SUMPRODUCT((CLASS!$E124:$J124="GAR")*1,LIVE!$E124:$J124)+SUMPRODUCT((CLASS!$E124:$J124="NR")*1,LIVE!$E124:$J124))</f>
        <v>41.5333387491734</v>
      </c>
      <c r="K124" s="10" t="n">
        <f aca="false">INPUTS!$B$13*SUM(DEAD!$E124:$K124)+INPUTS!$B$14*(RED!K124*SUMPRODUCT((CLASS!$E124:$K124="RES")*1,LIVE!$E124:$K124)+IF(SUMPRODUCT((CLASS!$E124:$K124="GAR")*1)&gt;=2,INPUTS!$B$20,1)*SUMPRODUCT((CLASS!$E124:$K124="GAR")*1,LIVE!$E124:$K124)+SUMPRODUCT((CLASS!$E124:$K124="NR")*1,LIVE!$E124:$K124))</f>
        <v>41.5333387491734</v>
      </c>
      <c r="L124" s="10" t="n">
        <f aca="false">INPUTS!$B$13*SUM(DEAD!$E124:$L124)+INPUTS!$B$14*(RED!L124*SUMPRODUCT((CLASS!$E124:$L124="RES")*1,LIVE!$E124:$L124)+IF(SUMPRODUCT((CLASS!$E124:$L124="GAR")*1)&gt;=2,INPUTS!$B$20,1)*SUMPRODUCT((CLASS!$E124:$L124="GAR")*1,LIVE!$E124:$L124)+SUMPRODUCT((CLASS!$E124:$L124="NR")*1,LIVE!$E124:$L124))</f>
        <v>41.5333387491734</v>
      </c>
      <c r="M124" s="10" t="n">
        <f aca="false">INPUTS!$B$13*SUM(DEAD!$E124:$M124)+INPUTS!$B$14*(RED!M124*SUMPRODUCT((CLASS!$E124:$M124="RES")*1,LIVE!$E124:$M124)+IF(SUMPRODUCT((CLASS!$E124:$M124="GAR")*1)&gt;=2,INPUTS!$B$20,1)*SUMPRODUCT((CLASS!$E124:$M124="GAR")*1,LIVE!$E124:$M124)+SUMPRODUCT((CLASS!$E124:$M124="NR")*1,LIVE!$E124:$M124))</f>
        <v>41.5333387491734</v>
      </c>
      <c r="N124" s="10" t="n">
        <f aca="false">INPUTS!$B$13*SUM(DEAD!$E124:$N124)+INPUTS!$B$14*(RED!N124*SUMPRODUCT((CLASS!$E124:$N124="RES")*1,LIVE!$E124:$N124)+IF(SUMPRODUCT((CLASS!$E124:$N124="GAR")*1)&gt;=2,INPUTS!$B$20,1)*SUMPRODUCT((CLASS!$E124:$N124="GAR")*1,LIVE!$E124:$N124)+SUMPRODUCT((CLASS!$E124:$N124="NR")*1,LIVE!$E124:$N124))</f>
        <v>41.5333387491734</v>
      </c>
      <c r="O124" s="10" t="n">
        <f aca="false">INPUTS!$B$13*SUM(DEAD!$E124:$O124)+INPUTS!$B$14*(RED!O124*SUMPRODUCT((CLASS!$E124:$O124="RES")*1,LIVE!$E124:$O124)+IF(SUMPRODUCT((CLASS!$E124:$O124="GAR")*1)&gt;=2,INPUTS!$B$20,1)*SUMPRODUCT((CLASS!$E124:$O124="GAR")*1,LIVE!$E124:$O124)+SUMPRODUCT((CLASS!$E124:$O124="NR")*1,LIVE!$E124:$O124))</f>
        <v>41.5333387491734</v>
      </c>
      <c r="P124" s="10" t="n">
        <f aca="false">INPUTS!$B$13*SUM(DEAD!$E124:$P124)+INPUTS!$B$14*(RED!P124*SUMPRODUCT((CLASS!$E124:$P124="RES")*1,LIVE!$E124:$P124)+IF(SUMPRODUCT((CLASS!$E124:$P124="GAR")*1)&gt;=2,INPUTS!$B$20,1)*SUMPRODUCT((CLASS!$E124:$P124="GAR")*1,LIVE!$E124:$P124)+SUMPRODUCT((CLASS!$E124:$P124="NR")*1,LIVE!$E124:$P124))</f>
        <v>41.5333387491734</v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10" t="n">
        <f aca="false">INPUTS!$B$13*SUM(DEAD!$E125:$E125)+INPUTS!$B$14*(RED!E125*SUMPRODUCT((CLASS!$E125:$E125="RES")*1,LIVE!$E125:$E125)+IF(SUMPRODUCT((CLASS!$E125:$E125="GAR")*1)&gt;=2,INPUTS!$B$20,1)*SUMPRODUCT((CLASS!$E125:$E125="GAR")*1,LIVE!$E125:$E125)+SUMPRODUCT((CLASS!$E125:$E125="NR")*1,LIVE!$E125:$E125))</f>
        <v>0</v>
      </c>
      <c r="F125" s="10" t="n">
        <f aca="false">INPUTS!$B$13*SUM(DEAD!$E125:$F125)+INPUTS!$B$14*(RED!F125*SUMPRODUCT((CLASS!$E125:$F125="RES")*1,LIVE!$E125:$F125)+IF(SUMPRODUCT((CLASS!$E125:$F125="GAR")*1)&gt;=2,INPUTS!$B$20,1)*SUMPRODUCT((CLASS!$E125:$F125="GAR")*1,LIVE!$E125:$F125)+SUMPRODUCT((CLASS!$E125:$F125="NR")*1,LIVE!$E125:$F125))</f>
        <v>0</v>
      </c>
      <c r="G125" s="10" t="n">
        <f aca="false">INPUTS!$B$13*SUM(DEAD!$E125:$G125)+INPUTS!$B$14*(RED!G125*SUMPRODUCT((CLASS!$E125:$G125="RES")*1,LIVE!$E125:$G125)+IF(SUMPRODUCT((CLASS!$E125:$G125="GAR")*1)&gt;=2,INPUTS!$B$20,1)*SUMPRODUCT((CLASS!$E125:$G125="GAR")*1,LIVE!$E125:$G125)+SUMPRODUCT((CLASS!$E125:$G125="NR")*1,LIVE!$E125:$G125))</f>
        <v>0</v>
      </c>
      <c r="H125" s="10" t="n">
        <f aca="false">INPUTS!$B$13*SUM(DEAD!$E125:$H125)+INPUTS!$B$14*(RED!H125*SUMPRODUCT((CLASS!$E125:$H125="RES")*1,LIVE!$E125:$H125)+IF(SUMPRODUCT((CLASS!$E125:$H125="GAR")*1)&gt;=2,INPUTS!$B$20,1)*SUMPRODUCT((CLASS!$E125:$H125="GAR")*1,LIVE!$E125:$H125)+SUMPRODUCT((CLASS!$E125:$H125="NR")*1,LIVE!$E125:$H125))</f>
        <v>0</v>
      </c>
      <c r="I125" s="10" t="n">
        <f aca="false">INPUTS!$B$13*SUM(DEAD!$E125:$I125)+INPUTS!$B$14*(RED!I125*SUMPRODUCT((CLASS!$E125:$I125="RES")*1,LIVE!$E125:$I125)+IF(SUMPRODUCT((CLASS!$E125:$I125="GAR")*1)&gt;=2,INPUTS!$B$20,1)*SUMPRODUCT((CLASS!$E125:$I125="GAR")*1,LIVE!$E125:$I125)+SUMPRODUCT((CLASS!$E125:$I125="NR")*1,LIVE!$E125:$I125))</f>
        <v>0</v>
      </c>
      <c r="J125" s="10" t="n">
        <f aca="false">INPUTS!$B$13*SUM(DEAD!$E125:$J125)+INPUTS!$B$14*(RED!J125*SUMPRODUCT((CLASS!$E125:$J125="RES")*1,LIVE!$E125:$J125)+IF(SUMPRODUCT((CLASS!$E125:$J125="GAR")*1)&gt;=2,INPUTS!$B$20,1)*SUMPRODUCT((CLASS!$E125:$J125="GAR")*1,LIVE!$E125:$J125)+SUMPRODUCT((CLASS!$E125:$J125="NR")*1,LIVE!$E125:$J125))</f>
        <v>6.615</v>
      </c>
      <c r="K125" s="10" t="n">
        <f aca="false">INPUTS!$B$13*SUM(DEAD!$E125:$K125)+INPUTS!$B$14*(RED!K125*SUMPRODUCT((CLASS!$E125:$K125="RES")*1,LIVE!$E125:$K125)+IF(SUMPRODUCT((CLASS!$E125:$K125="GAR")*1)&gt;=2,INPUTS!$B$20,1)*SUMPRODUCT((CLASS!$E125:$K125="GAR")*1,LIVE!$E125:$K125)+SUMPRODUCT((CLASS!$E125:$K125="NR")*1,LIVE!$E125:$K125))</f>
        <v>6.615</v>
      </c>
      <c r="L125" s="10" t="n">
        <f aca="false">INPUTS!$B$13*SUM(DEAD!$E125:$L125)+INPUTS!$B$14*(RED!L125*SUMPRODUCT((CLASS!$E125:$L125="RES")*1,LIVE!$E125:$L125)+IF(SUMPRODUCT((CLASS!$E125:$L125="GAR")*1)&gt;=2,INPUTS!$B$20,1)*SUMPRODUCT((CLASS!$E125:$L125="GAR")*1,LIVE!$E125:$L125)+SUMPRODUCT((CLASS!$E125:$L125="NR")*1,LIVE!$E125:$L125))</f>
        <v>6.615</v>
      </c>
      <c r="M125" s="10" t="n">
        <f aca="false">INPUTS!$B$13*SUM(DEAD!$E125:$M125)+INPUTS!$B$14*(RED!M125*SUMPRODUCT((CLASS!$E125:$M125="RES")*1,LIVE!$E125:$M125)+IF(SUMPRODUCT((CLASS!$E125:$M125="GAR")*1)&gt;=2,INPUTS!$B$20,1)*SUMPRODUCT((CLASS!$E125:$M125="GAR")*1,LIVE!$E125:$M125)+SUMPRODUCT((CLASS!$E125:$M125="NR")*1,LIVE!$E125:$M125))</f>
        <v>6.615</v>
      </c>
      <c r="N125" s="10" t="n">
        <f aca="false">INPUTS!$B$13*SUM(DEAD!$E125:$N125)+INPUTS!$B$14*(RED!N125*SUMPRODUCT((CLASS!$E125:$N125="RES")*1,LIVE!$E125:$N125)+IF(SUMPRODUCT((CLASS!$E125:$N125="GAR")*1)&gt;=2,INPUTS!$B$20,1)*SUMPRODUCT((CLASS!$E125:$N125="GAR")*1,LIVE!$E125:$N125)+SUMPRODUCT((CLASS!$E125:$N125="NR")*1,LIVE!$E125:$N125))</f>
        <v>6.615</v>
      </c>
      <c r="O125" s="10" t="n">
        <f aca="false">INPUTS!$B$13*SUM(DEAD!$E125:$O125)+INPUTS!$B$14*(RED!O125*SUMPRODUCT((CLASS!$E125:$O125="RES")*1,LIVE!$E125:$O125)+IF(SUMPRODUCT((CLASS!$E125:$O125="GAR")*1)&gt;=2,INPUTS!$B$20,1)*SUMPRODUCT((CLASS!$E125:$O125="GAR")*1,LIVE!$E125:$O125)+SUMPRODUCT((CLASS!$E125:$O125="NR")*1,LIVE!$E125:$O125))</f>
        <v>6.615</v>
      </c>
      <c r="P125" s="10" t="n">
        <f aca="false">INPUTS!$B$13*SUM(DEAD!$E125:$P125)+INPUTS!$B$14*(RED!P125*SUMPRODUCT((CLASS!$E125:$P125="RES")*1,LIVE!$E125:$P125)+IF(SUMPRODUCT((CLASS!$E125:$P125="GAR")*1)&gt;=2,INPUTS!$B$20,1)*SUMPRODUCT((CLASS!$E125:$P125="GAR")*1,LIVE!$E125:$P125)+SUMPRODUCT((CLASS!$E125:$P125="NR")*1,LIVE!$E125:$P125))</f>
        <v>6.615</v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10" t="n">
        <f aca="false">INPUTS!$B$13*SUM(DEAD!$E126:$E126)+INPUTS!$B$14*(RED!E126*SUMPRODUCT((CLASS!$E126:$E126="RES")*1,LIVE!$E126:$E126)+IF(SUMPRODUCT((CLASS!$E126:$E126="GAR")*1)&gt;=2,INPUTS!$B$20,1)*SUMPRODUCT((CLASS!$E126:$E126="GAR")*1,LIVE!$E126:$E126)+SUMPRODUCT((CLASS!$E126:$E126="NR")*1,LIVE!$E126:$E126))</f>
        <v>0</v>
      </c>
      <c r="F126" s="10" t="n">
        <f aca="false">INPUTS!$B$13*SUM(DEAD!$E126:$F126)+INPUTS!$B$14*(RED!F126*SUMPRODUCT((CLASS!$E126:$F126="RES")*1,LIVE!$E126:$F126)+IF(SUMPRODUCT((CLASS!$E126:$F126="GAR")*1)&gt;=2,INPUTS!$B$20,1)*SUMPRODUCT((CLASS!$E126:$F126="GAR")*1,LIVE!$E126:$F126)+SUMPRODUCT((CLASS!$E126:$F126="NR")*1,LIVE!$E126:$F126))</f>
        <v>0</v>
      </c>
      <c r="G126" s="10" t="n">
        <f aca="false">INPUTS!$B$13*SUM(DEAD!$E126:$G126)+INPUTS!$B$14*(RED!G126*SUMPRODUCT((CLASS!$E126:$G126="RES")*1,LIVE!$E126:$G126)+IF(SUMPRODUCT((CLASS!$E126:$G126="GAR")*1)&gt;=2,INPUTS!$B$20,1)*SUMPRODUCT((CLASS!$E126:$G126="GAR")*1,LIVE!$E126:$G126)+SUMPRODUCT((CLASS!$E126:$G126="NR")*1,LIVE!$E126:$G126))</f>
        <v>0</v>
      </c>
      <c r="H126" s="10" t="n">
        <f aca="false">INPUTS!$B$13*SUM(DEAD!$E126:$H126)+INPUTS!$B$14*(RED!H126*SUMPRODUCT((CLASS!$E126:$H126="RES")*1,LIVE!$E126:$H126)+IF(SUMPRODUCT((CLASS!$E126:$H126="GAR")*1)&gt;=2,INPUTS!$B$20,1)*SUMPRODUCT((CLASS!$E126:$H126="GAR")*1,LIVE!$E126:$H126)+SUMPRODUCT((CLASS!$E126:$H126="NR")*1,LIVE!$E126:$H126))</f>
        <v>0</v>
      </c>
      <c r="I126" s="10" t="n">
        <f aca="false">INPUTS!$B$13*SUM(DEAD!$E126:$I126)+INPUTS!$B$14*(RED!I126*SUMPRODUCT((CLASS!$E126:$I126="RES")*1,LIVE!$E126:$I126)+IF(SUMPRODUCT((CLASS!$E126:$I126="GAR")*1)&gt;=2,INPUTS!$B$20,1)*SUMPRODUCT((CLASS!$E126:$I126="GAR")*1,LIVE!$E126:$I126)+SUMPRODUCT((CLASS!$E126:$I126="NR")*1,LIVE!$E126:$I126))</f>
        <v>0</v>
      </c>
      <c r="J126" s="10" t="n">
        <f aca="false">INPUTS!$B$13*SUM(DEAD!$E126:$J126)+INPUTS!$B$14*(RED!J126*SUMPRODUCT((CLASS!$E126:$J126="RES")*1,LIVE!$E126:$J126)+IF(SUMPRODUCT((CLASS!$E126:$J126="GAR")*1)&gt;=2,INPUTS!$B$20,1)*SUMPRODUCT((CLASS!$E126:$J126="GAR")*1,LIVE!$E126:$J126)+SUMPRODUCT((CLASS!$E126:$J126="NR")*1,LIVE!$E126:$J126))</f>
        <v>6.615</v>
      </c>
      <c r="K126" s="10" t="n">
        <f aca="false">INPUTS!$B$13*SUM(DEAD!$E126:$K126)+INPUTS!$B$14*(RED!K126*SUMPRODUCT((CLASS!$E126:$K126="RES")*1,LIVE!$E126:$K126)+IF(SUMPRODUCT((CLASS!$E126:$K126="GAR")*1)&gt;=2,INPUTS!$B$20,1)*SUMPRODUCT((CLASS!$E126:$K126="GAR")*1,LIVE!$E126:$K126)+SUMPRODUCT((CLASS!$E126:$K126="NR")*1,LIVE!$E126:$K126))</f>
        <v>6.615</v>
      </c>
      <c r="L126" s="10" t="n">
        <f aca="false">INPUTS!$B$13*SUM(DEAD!$E126:$L126)+INPUTS!$B$14*(RED!L126*SUMPRODUCT((CLASS!$E126:$L126="RES")*1,LIVE!$E126:$L126)+IF(SUMPRODUCT((CLASS!$E126:$L126="GAR")*1)&gt;=2,INPUTS!$B$20,1)*SUMPRODUCT((CLASS!$E126:$L126="GAR")*1,LIVE!$E126:$L126)+SUMPRODUCT((CLASS!$E126:$L126="NR")*1,LIVE!$E126:$L126))</f>
        <v>6.615</v>
      </c>
      <c r="M126" s="10" t="n">
        <f aca="false">INPUTS!$B$13*SUM(DEAD!$E126:$M126)+INPUTS!$B$14*(RED!M126*SUMPRODUCT((CLASS!$E126:$M126="RES")*1,LIVE!$E126:$M126)+IF(SUMPRODUCT((CLASS!$E126:$M126="GAR")*1)&gt;=2,INPUTS!$B$20,1)*SUMPRODUCT((CLASS!$E126:$M126="GAR")*1,LIVE!$E126:$M126)+SUMPRODUCT((CLASS!$E126:$M126="NR")*1,LIVE!$E126:$M126))</f>
        <v>6.615</v>
      </c>
      <c r="N126" s="10" t="n">
        <f aca="false">INPUTS!$B$13*SUM(DEAD!$E126:$N126)+INPUTS!$B$14*(RED!N126*SUMPRODUCT((CLASS!$E126:$N126="RES")*1,LIVE!$E126:$N126)+IF(SUMPRODUCT((CLASS!$E126:$N126="GAR")*1)&gt;=2,INPUTS!$B$20,1)*SUMPRODUCT((CLASS!$E126:$N126="GAR")*1,LIVE!$E126:$N126)+SUMPRODUCT((CLASS!$E126:$N126="NR")*1,LIVE!$E126:$N126))</f>
        <v>6.615</v>
      </c>
      <c r="O126" s="10" t="n">
        <f aca="false">INPUTS!$B$13*SUM(DEAD!$E126:$O126)+INPUTS!$B$14*(RED!O126*SUMPRODUCT((CLASS!$E126:$O126="RES")*1,LIVE!$E126:$O126)+IF(SUMPRODUCT((CLASS!$E126:$O126="GAR")*1)&gt;=2,INPUTS!$B$20,1)*SUMPRODUCT((CLASS!$E126:$O126="GAR")*1,LIVE!$E126:$O126)+SUMPRODUCT((CLASS!$E126:$O126="NR")*1,LIVE!$E126:$O126))</f>
        <v>6.615</v>
      </c>
      <c r="P126" s="10" t="n">
        <f aca="false">INPUTS!$B$13*SUM(DEAD!$E126:$P126)+INPUTS!$B$14*(RED!P126*SUMPRODUCT((CLASS!$E126:$P126="RES")*1,LIVE!$E126:$P126)+IF(SUMPRODUCT((CLASS!$E126:$P126="GAR")*1)&gt;=2,INPUTS!$B$20,1)*SUMPRODUCT((CLASS!$E126:$P126="GAR")*1,LIVE!$E126:$P126)+SUMPRODUCT((CLASS!$E126:$P126="NR")*1,LIVE!$E126:$P126))</f>
        <v>6.615</v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10" t="n">
        <f aca="false">INPUTS!$B$13*SUM(DEAD!$E127:$E127)+INPUTS!$B$14*(RED!E127*SUMPRODUCT((CLASS!$E127:$E127="RES")*1,LIVE!$E127:$E127)+IF(SUMPRODUCT((CLASS!$E127:$E127="GAR")*1)&gt;=2,INPUTS!$B$20,1)*SUMPRODUCT((CLASS!$E127:$E127="GAR")*1,LIVE!$E127:$E127)+SUMPRODUCT((CLASS!$E127:$E127="NR")*1,LIVE!$E127:$E127))</f>
        <v>0</v>
      </c>
      <c r="F127" s="10" t="n">
        <f aca="false">INPUTS!$B$13*SUM(DEAD!$E127:$F127)+INPUTS!$B$14*(RED!F127*SUMPRODUCT((CLASS!$E127:$F127="RES")*1,LIVE!$E127:$F127)+IF(SUMPRODUCT((CLASS!$E127:$F127="GAR")*1)&gt;=2,INPUTS!$B$20,1)*SUMPRODUCT((CLASS!$E127:$F127="GAR")*1,LIVE!$E127:$F127)+SUMPRODUCT((CLASS!$E127:$F127="NR")*1,LIVE!$E127:$F127))</f>
        <v>0</v>
      </c>
      <c r="G127" s="10" t="n">
        <f aca="false">INPUTS!$B$13*SUM(DEAD!$E127:$G127)+INPUTS!$B$14*(RED!G127*SUMPRODUCT((CLASS!$E127:$G127="RES")*1,LIVE!$E127:$G127)+IF(SUMPRODUCT((CLASS!$E127:$G127="GAR")*1)&gt;=2,INPUTS!$B$20,1)*SUMPRODUCT((CLASS!$E127:$G127="GAR")*1,LIVE!$E127:$G127)+SUMPRODUCT((CLASS!$E127:$G127="NR")*1,LIVE!$E127:$G127))</f>
        <v>0</v>
      </c>
      <c r="H127" s="10" t="n">
        <f aca="false">INPUTS!$B$13*SUM(DEAD!$E127:$H127)+INPUTS!$B$14*(RED!H127*SUMPRODUCT((CLASS!$E127:$H127="RES")*1,LIVE!$E127:$H127)+IF(SUMPRODUCT((CLASS!$E127:$H127="GAR")*1)&gt;=2,INPUTS!$B$20,1)*SUMPRODUCT((CLASS!$E127:$H127="GAR")*1,LIVE!$E127:$H127)+SUMPRODUCT((CLASS!$E127:$H127="NR")*1,LIVE!$E127:$H127))</f>
        <v>0</v>
      </c>
      <c r="I127" s="10" t="n">
        <f aca="false">INPUTS!$B$13*SUM(DEAD!$E127:$I127)+INPUTS!$B$14*(RED!I127*SUMPRODUCT((CLASS!$E127:$I127="RES")*1,LIVE!$E127:$I127)+IF(SUMPRODUCT((CLASS!$E127:$I127="GAR")*1)&gt;=2,INPUTS!$B$20,1)*SUMPRODUCT((CLASS!$E127:$I127="GAR")*1,LIVE!$E127:$I127)+SUMPRODUCT((CLASS!$E127:$I127="NR")*1,LIVE!$E127:$I127))</f>
        <v>0</v>
      </c>
      <c r="J127" s="10" t="n">
        <f aca="false">INPUTS!$B$13*SUM(DEAD!$E127:$J127)+INPUTS!$B$14*(RED!J127*SUMPRODUCT((CLASS!$E127:$J127="RES")*1,LIVE!$E127:$J127)+IF(SUMPRODUCT((CLASS!$E127:$J127="GAR")*1)&gt;=2,INPUTS!$B$20,1)*SUMPRODUCT((CLASS!$E127:$J127="GAR")*1,LIVE!$E127:$J127)+SUMPRODUCT((CLASS!$E127:$J127="NR")*1,LIVE!$E127:$J127))</f>
        <v>28.879</v>
      </c>
      <c r="K127" s="10" t="n">
        <f aca="false">INPUTS!$B$13*SUM(DEAD!$E127:$K127)+INPUTS!$B$14*(RED!K127*SUMPRODUCT((CLASS!$E127:$K127="RES")*1,LIVE!$E127:$K127)+IF(SUMPRODUCT((CLASS!$E127:$K127="GAR")*1)&gt;=2,INPUTS!$B$20,1)*SUMPRODUCT((CLASS!$E127:$K127="GAR")*1,LIVE!$E127:$K127)+SUMPRODUCT((CLASS!$E127:$K127="NR")*1,LIVE!$E127:$K127))</f>
        <v>28.879</v>
      </c>
      <c r="L127" s="10" t="n">
        <f aca="false">INPUTS!$B$13*SUM(DEAD!$E127:$L127)+INPUTS!$B$14*(RED!L127*SUMPRODUCT((CLASS!$E127:$L127="RES")*1,LIVE!$E127:$L127)+IF(SUMPRODUCT((CLASS!$E127:$L127="GAR")*1)&gt;=2,INPUTS!$B$20,1)*SUMPRODUCT((CLASS!$E127:$L127="GAR")*1,LIVE!$E127:$L127)+SUMPRODUCT((CLASS!$E127:$L127="NR")*1,LIVE!$E127:$L127))</f>
        <v>28.879</v>
      </c>
      <c r="M127" s="10" t="n">
        <f aca="false">INPUTS!$B$13*SUM(DEAD!$E127:$M127)+INPUTS!$B$14*(RED!M127*SUMPRODUCT((CLASS!$E127:$M127="RES")*1,LIVE!$E127:$M127)+IF(SUMPRODUCT((CLASS!$E127:$M127="GAR")*1)&gt;=2,INPUTS!$B$20,1)*SUMPRODUCT((CLASS!$E127:$M127="GAR")*1,LIVE!$E127:$M127)+SUMPRODUCT((CLASS!$E127:$M127="NR")*1,LIVE!$E127:$M127))</f>
        <v>28.879</v>
      </c>
      <c r="N127" s="10" t="n">
        <f aca="false">INPUTS!$B$13*SUM(DEAD!$E127:$N127)+INPUTS!$B$14*(RED!N127*SUMPRODUCT((CLASS!$E127:$N127="RES")*1,LIVE!$E127:$N127)+IF(SUMPRODUCT((CLASS!$E127:$N127="GAR")*1)&gt;=2,INPUTS!$B$20,1)*SUMPRODUCT((CLASS!$E127:$N127="GAR")*1,LIVE!$E127:$N127)+SUMPRODUCT((CLASS!$E127:$N127="NR")*1,LIVE!$E127:$N127))</f>
        <v>28.879</v>
      </c>
      <c r="O127" s="10" t="n">
        <f aca="false">INPUTS!$B$13*SUM(DEAD!$E127:$O127)+INPUTS!$B$14*(RED!O127*SUMPRODUCT((CLASS!$E127:$O127="RES")*1,LIVE!$E127:$O127)+IF(SUMPRODUCT((CLASS!$E127:$O127="GAR")*1)&gt;=2,INPUTS!$B$20,1)*SUMPRODUCT((CLASS!$E127:$O127="GAR")*1,LIVE!$E127:$O127)+SUMPRODUCT((CLASS!$E127:$O127="NR")*1,LIVE!$E127:$O127))</f>
        <v>28.879</v>
      </c>
      <c r="P127" s="10" t="n">
        <f aca="false">INPUTS!$B$13*SUM(DEAD!$E127:$P127)+INPUTS!$B$14*(RED!P127*SUMPRODUCT((CLASS!$E127:$P127="RES")*1,LIVE!$E127:$P127)+IF(SUMPRODUCT((CLASS!$E127:$P127="GAR")*1)&gt;=2,INPUTS!$B$20,1)*SUMPRODUCT((CLASS!$E127:$P127="GAR")*1,LIVE!$E127:$P127)+SUMPRODUCT((CLASS!$E127:$P127="NR")*1,LIVE!$E127:$P127))</f>
        <v>28.879</v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10" t="n">
        <f aca="false">INPUTS!$B$13*SUM(DEAD!$E128:$E128)+INPUTS!$B$14*(RED!E128*SUMPRODUCT((CLASS!$E128:$E128="RES")*1,LIVE!$E128:$E128)+IF(SUMPRODUCT((CLASS!$E128:$E128="GAR")*1)&gt;=2,INPUTS!$B$20,1)*SUMPRODUCT((CLASS!$E128:$E128="GAR")*1,LIVE!$E128:$E128)+SUMPRODUCT((CLASS!$E128:$E128="NR")*1,LIVE!$E128:$E128))</f>
        <v>0</v>
      </c>
      <c r="F128" s="10" t="n">
        <f aca="false">INPUTS!$B$13*SUM(DEAD!$E128:$F128)+INPUTS!$B$14*(RED!F128*SUMPRODUCT((CLASS!$E128:$F128="RES")*1,LIVE!$E128:$F128)+IF(SUMPRODUCT((CLASS!$E128:$F128="GAR")*1)&gt;=2,INPUTS!$B$20,1)*SUMPRODUCT((CLASS!$E128:$F128="GAR")*1,LIVE!$E128:$F128)+SUMPRODUCT((CLASS!$E128:$F128="NR")*1,LIVE!$E128:$F128))</f>
        <v>0</v>
      </c>
      <c r="G128" s="10" t="n">
        <f aca="false">INPUTS!$B$13*SUM(DEAD!$E128:$G128)+INPUTS!$B$14*(RED!G128*SUMPRODUCT((CLASS!$E128:$G128="RES")*1,LIVE!$E128:$G128)+IF(SUMPRODUCT((CLASS!$E128:$G128="GAR")*1)&gt;=2,INPUTS!$B$20,1)*SUMPRODUCT((CLASS!$E128:$G128="GAR")*1,LIVE!$E128:$G128)+SUMPRODUCT((CLASS!$E128:$G128="NR")*1,LIVE!$E128:$G128))</f>
        <v>0</v>
      </c>
      <c r="H128" s="10" t="n">
        <f aca="false">INPUTS!$B$13*SUM(DEAD!$E128:$H128)+INPUTS!$B$14*(RED!H128*SUMPRODUCT((CLASS!$E128:$H128="RES")*1,LIVE!$E128:$H128)+IF(SUMPRODUCT((CLASS!$E128:$H128="GAR")*1)&gt;=2,INPUTS!$B$20,1)*SUMPRODUCT((CLASS!$E128:$H128="GAR")*1,LIVE!$E128:$H128)+SUMPRODUCT((CLASS!$E128:$H128="NR")*1,LIVE!$E128:$H128))</f>
        <v>0</v>
      </c>
      <c r="I128" s="10" t="n">
        <f aca="false">INPUTS!$B$13*SUM(DEAD!$E128:$I128)+INPUTS!$B$14*(RED!I128*SUMPRODUCT((CLASS!$E128:$I128="RES")*1,LIVE!$E128:$I128)+IF(SUMPRODUCT((CLASS!$E128:$I128="GAR")*1)&gt;=2,INPUTS!$B$20,1)*SUMPRODUCT((CLASS!$E128:$I128="GAR")*1,LIVE!$E128:$I128)+SUMPRODUCT((CLASS!$E128:$I128="NR")*1,LIVE!$E128:$I128))</f>
        <v>0</v>
      </c>
      <c r="J128" s="10" t="n">
        <f aca="false">INPUTS!$B$13*SUM(DEAD!$E128:$J128)+INPUTS!$B$14*(RED!J128*SUMPRODUCT((CLASS!$E128:$J128="RES")*1,LIVE!$E128:$J128)+IF(SUMPRODUCT((CLASS!$E128:$J128="GAR")*1)&gt;=2,INPUTS!$B$20,1)*SUMPRODUCT((CLASS!$E128:$J128="GAR")*1,LIVE!$E128:$J128)+SUMPRODUCT((CLASS!$E128:$J128="NR")*1,LIVE!$E128:$J128))</f>
        <v>6.615</v>
      </c>
      <c r="K128" s="10" t="n">
        <f aca="false">INPUTS!$B$13*SUM(DEAD!$E128:$K128)+INPUTS!$B$14*(RED!K128*SUMPRODUCT((CLASS!$E128:$K128="RES")*1,LIVE!$E128:$K128)+IF(SUMPRODUCT((CLASS!$E128:$K128="GAR")*1)&gt;=2,INPUTS!$B$20,1)*SUMPRODUCT((CLASS!$E128:$K128="GAR")*1,LIVE!$E128:$K128)+SUMPRODUCT((CLASS!$E128:$K128="NR")*1,LIVE!$E128:$K128))</f>
        <v>6.615</v>
      </c>
      <c r="L128" s="10" t="n">
        <f aca="false">INPUTS!$B$13*SUM(DEAD!$E128:$L128)+INPUTS!$B$14*(RED!L128*SUMPRODUCT((CLASS!$E128:$L128="RES")*1,LIVE!$E128:$L128)+IF(SUMPRODUCT((CLASS!$E128:$L128="GAR")*1)&gt;=2,INPUTS!$B$20,1)*SUMPRODUCT((CLASS!$E128:$L128="GAR")*1,LIVE!$E128:$L128)+SUMPRODUCT((CLASS!$E128:$L128="NR")*1,LIVE!$E128:$L128))</f>
        <v>6.615</v>
      </c>
      <c r="M128" s="10" t="n">
        <f aca="false">INPUTS!$B$13*SUM(DEAD!$E128:$M128)+INPUTS!$B$14*(RED!M128*SUMPRODUCT((CLASS!$E128:$M128="RES")*1,LIVE!$E128:$M128)+IF(SUMPRODUCT((CLASS!$E128:$M128="GAR")*1)&gt;=2,INPUTS!$B$20,1)*SUMPRODUCT((CLASS!$E128:$M128="GAR")*1,LIVE!$E128:$M128)+SUMPRODUCT((CLASS!$E128:$M128="NR")*1,LIVE!$E128:$M128))</f>
        <v>6.615</v>
      </c>
      <c r="N128" s="10" t="n">
        <f aca="false">INPUTS!$B$13*SUM(DEAD!$E128:$N128)+INPUTS!$B$14*(RED!N128*SUMPRODUCT((CLASS!$E128:$N128="RES")*1,LIVE!$E128:$N128)+IF(SUMPRODUCT((CLASS!$E128:$N128="GAR")*1)&gt;=2,INPUTS!$B$20,1)*SUMPRODUCT((CLASS!$E128:$N128="GAR")*1,LIVE!$E128:$N128)+SUMPRODUCT((CLASS!$E128:$N128="NR")*1,LIVE!$E128:$N128))</f>
        <v>6.615</v>
      </c>
      <c r="O128" s="10" t="n">
        <f aca="false">INPUTS!$B$13*SUM(DEAD!$E128:$O128)+INPUTS!$B$14*(RED!O128*SUMPRODUCT((CLASS!$E128:$O128="RES")*1,LIVE!$E128:$O128)+IF(SUMPRODUCT((CLASS!$E128:$O128="GAR")*1)&gt;=2,INPUTS!$B$20,1)*SUMPRODUCT((CLASS!$E128:$O128="GAR")*1,LIVE!$E128:$O128)+SUMPRODUCT((CLASS!$E128:$O128="NR")*1,LIVE!$E128:$O128))</f>
        <v>6.615</v>
      </c>
      <c r="P128" s="10" t="n">
        <f aca="false">INPUTS!$B$13*SUM(DEAD!$E128:$P128)+INPUTS!$B$14*(RED!P128*SUMPRODUCT((CLASS!$E128:$P128="RES")*1,LIVE!$E128:$P128)+IF(SUMPRODUCT((CLASS!$E128:$P128="GAR")*1)&gt;=2,INPUTS!$B$20,1)*SUMPRODUCT((CLASS!$E128:$P128="GAR")*1,LIVE!$E128:$P128)+SUMPRODUCT((CLASS!$E128:$P128="NR")*1,LIVE!$E128:$P128))</f>
        <v>6.615</v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10" t="n">
        <f aca="false">INPUTS!$B$13*SUM(DEAD!$E129:$E129)+INPUTS!$B$14*(RED!E129*SUMPRODUCT((CLASS!$E129:$E129="RES")*1,LIVE!$E129:$E129)+IF(SUMPRODUCT((CLASS!$E129:$E129="GAR")*1)&gt;=2,INPUTS!$B$20,1)*SUMPRODUCT((CLASS!$E129:$E129="GAR")*1,LIVE!$E129:$E129)+SUMPRODUCT((CLASS!$E129:$E129="NR")*1,LIVE!$E129:$E129))</f>
        <v>0</v>
      </c>
      <c r="F129" s="10" t="n">
        <f aca="false">INPUTS!$B$13*SUM(DEAD!$E129:$F129)+INPUTS!$B$14*(RED!F129*SUMPRODUCT((CLASS!$E129:$F129="RES")*1,LIVE!$E129:$F129)+IF(SUMPRODUCT((CLASS!$E129:$F129="GAR")*1)&gt;=2,INPUTS!$B$20,1)*SUMPRODUCT((CLASS!$E129:$F129="GAR")*1,LIVE!$E129:$F129)+SUMPRODUCT((CLASS!$E129:$F129="NR")*1,LIVE!$E129:$F129))</f>
        <v>0</v>
      </c>
      <c r="G129" s="10" t="n">
        <f aca="false">INPUTS!$B$13*SUM(DEAD!$E129:$G129)+INPUTS!$B$14*(RED!G129*SUMPRODUCT((CLASS!$E129:$G129="RES")*1,LIVE!$E129:$G129)+IF(SUMPRODUCT((CLASS!$E129:$G129="GAR")*1)&gt;=2,INPUTS!$B$20,1)*SUMPRODUCT((CLASS!$E129:$G129="GAR")*1,LIVE!$E129:$G129)+SUMPRODUCT((CLASS!$E129:$G129="NR")*1,LIVE!$E129:$G129))</f>
        <v>0</v>
      </c>
      <c r="H129" s="10" t="n">
        <f aca="false">INPUTS!$B$13*SUM(DEAD!$E129:$H129)+INPUTS!$B$14*(RED!H129*SUMPRODUCT((CLASS!$E129:$H129="RES")*1,LIVE!$E129:$H129)+IF(SUMPRODUCT((CLASS!$E129:$H129="GAR")*1)&gt;=2,INPUTS!$B$20,1)*SUMPRODUCT((CLASS!$E129:$H129="GAR")*1,LIVE!$E129:$H129)+SUMPRODUCT((CLASS!$E129:$H129="NR")*1,LIVE!$E129:$H129))</f>
        <v>0</v>
      </c>
      <c r="I129" s="10" t="n">
        <f aca="false">INPUTS!$B$13*SUM(DEAD!$E129:$I129)+INPUTS!$B$14*(RED!I129*SUMPRODUCT((CLASS!$E129:$I129="RES")*1,LIVE!$E129:$I129)+IF(SUMPRODUCT((CLASS!$E129:$I129="GAR")*1)&gt;=2,INPUTS!$B$20,1)*SUMPRODUCT((CLASS!$E129:$I129="GAR")*1,LIVE!$E129:$I129)+SUMPRODUCT((CLASS!$E129:$I129="NR")*1,LIVE!$E129:$I129))</f>
        <v>0</v>
      </c>
      <c r="J129" s="10" t="n">
        <f aca="false">INPUTS!$B$13*SUM(DEAD!$E129:$J129)+INPUTS!$B$14*(RED!J129*SUMPRODUCT((CLASS!$E129:$J129="RES")*1,LIVE!$E129:$J129)+IF(SUMPRODUCT((CLASS!$E129:$J129="GAR")*1)&gt;=2,INPUTS!$B$20,1)*SUMPRODUCT((CLASS!$E129:$J129="GAR")*1,LIVE!$E129:$J129)+SUMPRODUCT((CLASS!$E129:$J129="NR")*1,LIVE!$E129:$J129))</f>
        <v>6.615</v>
      </c>
      <c r="K129" s="10" t="n">
        <f aca="false">INPUTS!$B$13*SUM(DEAD!$E129:$K129)+INPUTS!$B$14*(RED!K129*SUMPRODUCT((CLASS!$E129:$K129="RES")*1,LIVE!$E129:$K129)+IF(SUMPRODUCT((CLASS!$E129:$K129="GAR")*1)&gt;=2,INPUTS!$B$20,1)*SUMPRODUCT((CLASS!$E129:$K129="GAR")*1,LIVE!$E129:$K129)+SUMPRODUCT((CLASS!$E129:$K129="NR")*1,LIVE!$E129:$K129))</f>
        <v>6.615</v>
      </c>
      <c r="L129" s="10" t="n">
        <f aca="false">INPUTS!$B$13*SUM(DEAD!$E129:$L129)+INPUTS!$B$14*(RED!L129*SUMPRODUCT((CLASS!$E129:$L129="RES")*1,LIVE!$E129:$L129)+IF(SUMPRODUCT((CLASS!$E129:$L129="GAR")*1)&gt;=2,INPUTS!$B$20,1)*SUMPRODUCT((CLASS!$E129:$L129="GAR")*1,LIVE!$E129:$L129)+SUMPRODUCT((CLASS!$E129:$L129="NR")*1,LIVE!$E129:$L129))</f>
        <v>6.615</v>
      </c>
      <c r="M129" s="10" t="n">
        <f aca="false">INPUTS!$B$13*SUM(DEAD!$E129:$M129)+INPUTS!$B$14*(RED!M129*SUMPRODUCT((CLASS!$E129:$M129="RES")*1,LIVE!$E129:$M129)+IF(SUMPRODUCT((CLASS!$E129:$M129="GAR")*1)&gt;=2,INPUTS!$B$20,1)*SUMPRODUCT((CLASS!$E129:$M129="GAR")*1,LIVE!$E129:$M129)+SUMPRODUCT((CLASS!$E129:$M129="NR")*1,LIVE!$E129:$M129))</f>
        <v>6.615</v>
      </c>
      <c r="N129" s="10" t="n">
        <f aca="false">INPUTS!$B$13*SUM(DEAD!$E129:$N129)+INPUTS!$B$14*(RED!N129*SUMPRODUCT((CLASS!$E129:$N129="RES")*1,LIVE!$E129:$N129)+IF(SUMPRODUCT((CLASS!$E129:$N129="GAR")*1)&gt;=2,INPUTS!$B$20,1)*SUMPRODUCT((CLASS!$E129:$N129="GAR")*1,LIVE!$E129:$N129)+SUMPRODUCT((CLASS!$E129:$N129="NR")*1,LIVE!$E129:$N129))</f>
        <v>6.615</v>
      </c>
      <c r="O129" s="10" t="n">
        <f aca="false">INPUTS!$B$13*SUM(DEAD!$E129:$O129)+INPUTS!$B$14*(RED!O129*SUMPRODUCT((CLASS!$E129:$O129="RES")*1,LIVE!$E129:$O129)+IF(SUMPRODUCT((CLASS!$E129:$O129="GAR")*1)&gt;=2,INPUTS!$B$20,1)*SUMPRODUCT((CLASS!$E129:$O129="GAR")*1,LIVE!$E129:$O129)+SUMPRODUCT((CLASS!$E129:$O129="NR")*1,LIVE!$E129:$O129))</f>
        <v>6.615</v>
      </c>
      <c r="P129" s="10" t="n">
        <f aca="false">INPUTS!$B$13*SUM(DEAD!$E129:$P129)+INPUTS!$B$14*(RED!P129*SUMPRODUCT((CLASS!$E129:$P129="RES")*1,LIVE!$E129:$P129)+IF(SUMPRODUCT((CLASS!$E129:$P129="GAR")*1)&gt;=2,INPUTS!$B$20,1)*SUMPRODUCT((CLASS!$E129:$P129="GAR")*1,LIVE!$E129:$P129)+SUMPRODUCT((CLASS!$E129:$P129="NR")*1,LIVE!$E129:$P129))</f>
        <v>6.615</v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10" t="n">
        <f aca="false">INPUTS!$B$13*SUM(DEAD!$E130:$E130)+INPUTS!$B$14*(RED!E130*SUMPRODUCT((CLASS!$E130:$E130="RES")*1,LIVE!$E130:$E130)+IF(SUMPRODUCT((CLASS!$E130:$E130="GAR")*1)&gt;=2,INPUTS!$B$20,1)*SUMPRODUCT((CLASS!$E130:$E130="GAR")*1,LIVE!$E130:$E130)+SUMPRODUCT((CLASS!$E130:$E130="NR")*1,LIVE!$E130:$E130))</f>
        <v>0</v>
      </c>
      <c r="F130" s="10" t="n">
        <f aca="false">INPUTS!$B$13*SUM(DEAD!$E130:$F130)+INPUTS!$B$14*(RED!F130*SUMPRODUCT((CLASS!$E130:$F130="RES")*1,LIVE!$E130:$F130)+IF(SUMPRODUCT((CLASS!$E130:$F130="GAR")*1)&gt;=2,INPUTS!$B$20,1)*SUMPRODUCT((CLASS!$E130:$F130="GAR")*1,LIVE!$E130:$F130)+SUMPRODUCT((CLASS!$E130:$F130="NR")*1,LIVE!$E130:$F130))</f>
        <v>0</v>
      </c>
      <c r="G130" s="10" t="n">
        <f aca="false">INPUTS!$B$13*SUM(DEAD!$E130:$G130)+INPUTS!$B$14*(RED!G130*SUMPRODUCT((CLASS!$E130:$G130="RES")*1,LIVE!$E130:$G130)+IF(SUMPRODUCT((CLASS!$E130:$G130="GAR")*1)&gt;=2,INPUTS!$B$20,1)*SUMPRODUCT((CLASS!$E130:$G130="GAR")*1,LIVE!$E130:$G130)+SUMPRODUCT((CLASS!$E130:$G130="NR")*1,LIVE!$E130:$G130))</f>
        <v>0</v>
      </c>
      <c r="H130" s="10" t="n">
        <f aca="false">INPUTS!$B$13*SUM(DEAD!$E130:$H130)+INPUTS!$B$14*(RED!H130*SUMPRODUCT((CLASS!$E130:$H130="RES")*1,LIVE!$E130:$H130)+IF(SUMPRODUCT((CLASS!$E130:$H130="GAR")*1)&gt;=2,INPUTS!$B$20,1)*SUMPRODUCT((CLASS!$E130:$H130="GAR")*1,LIVE!$E130:$H130)+SUMPRODUCT((CLASS!$E130:$H130="NR")*1,LIVE!$E130:$H130))</f>
        <v>0</v>
      </c>
      <c r="I130" s="10" t="n">
        <f aca="false">INPUTS!$B$13*SUM(DEAD!$E130:$I130)+INPUTS!$B$14*(RED!I130*SUMPRODUCT((CLASS!$E130:$I130="RES")*1,LIVE!$E130:$I130)+IF(SUMPRODUCT((CLASS!$E130:$I130="GAR")*1)&gt;=2,INPUTS!$B$20,1)*SUMPRODUCT((CLASS!$E130:$I130="GAR")*1,LIVE!$E130:$I130)+SUMPRODUCT((CLASS!$E130:$I130="NR")*1,LIVE!$E130:$I130))</f>
        <v>0</v>
      </c>
      <c r="J130" s="10" t="n">
        <f aca="false">INPUTS!$B$13*SUM(DEAD!$E130:$J130)+INPUTS!$B$14*(RED!J130*SUMPRODUCT((CLASS!$E130:$J130="RES")*1,LIVE!$E130:$J130)+IF(SUMPRODUCT((CLASS!$E130:$J130="GAR")*1)&gt;=2,INPUTS!$B$20,1)*SUMPRODUCT((CLASS!$E130:$J130="GAR")*1,LIVE!$E130:$J130)+SUMPRODUCT((CLASS!$E130:$J130="NR")*1,LIVE!$E130:$J130))</f>
        <v>37.9184575230765</v>
      </c>
      <c r="K130" s="10" t="n">
        <f aca="false">INPUTS!$B$13*SUM(DEAD!$E130:$K130)+INPUTS!$B$14*(RED!K130*SUMPRODUCT((CLASS!$E130:$K130="RES")*1,LIVE!$E130:$K130)+IF(SUMPRODUCT((CLASS!$E130:$K130="GAR")*1)&gt;=2,INPUTS!$B$20,1)*SUMPRODUCT((CLASS!$E130:$K130="GAR")*1,LIVE!$E130:$K130)+SUMPRODUCT((CLASS!$E130:$K130="NR")*1,LIVE!$E130:$K130))</f>
        <v>37.9184575230765</v>
      </c>
      <c r="L130" s="10" t="n">
        <f aca="false">INPUTS!$B$13*SUM(DEAD!$E130:$L130)+INPUTS!$B$14*(RED!L130*SUMPRODUCT((CLASS!$E130:$L130="RES")*1,LIVE!$E130:$L130)+IF(SUMPRODUCT((CLASS!$E130:$L130="GAR")*1)&gt;=2,INPUTS!$B$20,1)*SUMPRODUCT((CLASS!$E130:$L130="GAR")*1,LIVE!$E130:$L130)+SUMPRODUCT((CLASS!$E130:$L130="NR")*1,LIVE!$E130:$L130))</f>
        <v>37.9184575230765</v>
      </c>
      <c r="M130" s="10" t="n">
        <f aca="false">INPUTS!$B$13*SUM(DEAD!$E130:$M130)+INPUTS!$B$14*(RED!M130*SUMPRODUCT((CLASS!$E130:$M130="RES")*1,LIVE!$E130:$M130)+IF(SUMPRODUCT((CLASS!$E130:$M130="GAR")*1)&gt;=2,INPUTS!$B$20,1)*SUMPRODUCT((CLASS!$E130:$M130="GAR")*1,LIVE!$E130:$M130)+SUMPRODUCT((CLASS!$E130:$M130="NR")*1,LIVE!$E130:$M130))</f>
        <v>37.9184575230765</v>
      </c>
      <c r="N130" s="10" t="n">
        <f aca="false">INPUTS!$B$13*SUM(DEAD!$E130:$N130)+INPUTS!$B$14*(RED!N130*SUMPRODUCT((CLASS!$E130:$N130="RES")*1,LIVE!$E130:$N130)+IF(SUMPRODUCT((CLASS!$E130:$N130="GAR")*1)&gt;=2,INPUTS!$B$20,1)*SUMPRODUCT((CLASS!$E130:$N130="GAR")*1,LIVE!$E130:$N130)+SUMPRODUCT((CLASS!$E130:$N130="NR")*1,LIVE!$E130:$N130))</f>
        <v>37.9184575230765</v>
      </c>
      <c r="O130" s="10" t="n">
        <f aca="false">INPUTS!$B$13*SUM(DEAD!$E130:$O130)+INPUTS!$B$14*(RED!O130*SUMPRODUCT((CLASS!$E130:$O130="RES")*1,LIVE!$E130:$O130)+IF(SUMPRODUCT((CLASS!$E130:$O130="GAR")*1)&gt;=2,INPUTS!$B$20,1)*SUMPRODUCT((CLASS!$E130:$O130="GAR")*1,LIVE!$E130:$O130)+SUMPRODUCT((CLASS!$E130:$O130="NR")*1,LIVE!$E130:$O130))</f>
        <v>37.9184575230765</v>
      </c>
      <c r="P130" s="10" t="n">
        <f aca="false">INPUTS!$B$13*SUM(DEAD!$E130:$P130)+INPUTS!$B$14*(RED!P130*SUMPRODUCT((CLASS!$E130:$P130="RES")*1,LIVE!$E130:$P130)+IF(SUMPRODUCT((CLASS!$E130:$P130="GAR")*1)&gt;=2,INPUTS!$B$20,1)*SUMPRODUCT((CLASS!$E130:$P130="GAR")*1,LIVE!$E130:$P130)+SUMPRODUCT((CLASS!$E130:$P130="NR")*1,LIVE!$E130:$P130))</f>
        <v>37.9184575230765</v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10" t="n">
        <f aca="false">INPUTS!$B$13*SUM(DEAD!$E131:$E131)+INPUTS!$B$14*(RED!E131*SUMPRODUCT((CLASS!$E131:$E131="RES")*1,LIVE!$E131:$E131)+IF(SUMPRODUCT((CLASS!$E131:$E131="GAR")*1)&gt;=2,INPUTS!$B$20,1)*SUMPRODUCT((CLASS!$E131:$E131="GAR")*1,LIVE!$E131:$E131)+SUMPRODUCT((CLASS!$E131:$E131="NR")*1,LIVE!$E131:$E131))</f>
        <v>0</v>
      </c>
      <c r="F131" s="10" t="n">
        <f aca="false">INPUTS!$B$13*SUM(DEAD!$E131:$F131)+INPUTS!$B$14*(RED!F131*SUMPRODUCT((CLASS!$E131:$F131="RES")*1,LIVE!$E131:$F131)+IF(SUMPRODUCT((CLASS!$E131:$F131="GAR")*1)&gt;=2,INPUTS!$B$20,1)*SUMPRODUCT((CLASS!$E131:$F131="GAR")*1,LIVE!$E131:$F131)+SUMPRODUCT((CLASS!$E131:$F131="NR")*1,LIVE!$E131:$F131))</f>
        <v>0</v>
      </c>
      <c r="G131" s="10" t="n">
        <f aca="false">INPUTS!$B$13*SUM(DEAD!$E131:$G131)+INPUTS!$B$14*(RED!G131*SUMPRODUCT((CLASS!$E131:$G131="RES")*1,LIVE!$E131:$G131)+IF(SUMPRODUCT((CLASS!$E131:$G131="GAR")*1)&gt;=2,INPUTS!$B$20,1)*SUMPRODUCT((CLASS!$E131:$G131="GAR")*1,LIVE!$E131:$G131)+SUMPRODUCT((CLASS!$E131:$G131="NR")*1,LIVE!$E131:$G131))</f>
        <v>0</v>
      </c>
      <c r="H131" s="10" t="n">
        <f aca="false">INPUTS!$B$13*SUM(DEAD!$E131:$H131)+INPUTS!$B$14*(RED!H131*SUMPRODUCT((CLASS!$E131:$H131="RES")*1,LIVE!$E131:$H131)+IF(SUMPRODUCT((CLASS!$E131:$H131="GAR")*1)&gt;=2,INPUTS!$B$20,1)*SUMPRODUCT((CLASS!$E131:$H131="GAR")*1,LIVE!$E131:$H131)+SUMPRODUCT((CLASS!$E131:$H131="NR")*1,LIVE!$E131:$H131))</f>
        <v>0</v>
      </c>
      <c r="I131" s="10" t="n">
        <f aca="false">INPUTS!$B$13*SUM(DEAD!$E131:$I131)+INPUTS!$B$14*(RED!I131*SUMPRODUCT((CLASS!$E131:$I131="RES")*1,LIVE!$E131:$I131)+IF(SUMPRODUCT((CLASS!$E131:$I131="GAR")*1)&gt;=2,INPUTS!$B$20,1)*SUMPRODUCT((CLASS!$E131:$I131="GAR")*1,LIVE!$E131:$I131)+SUMPRODUCT((CLASS!$E131:$I131="NR")*1,LIVE!$E131:$I131))</f>
        <v>0</v>
      </c>
      <c r="J131" s="10" t="n">
        <f aca="false">INPUTS!$B$13*SUM(DEAD!$E131:$J131)+INPUTS!$B$14*(RED!J131*SUMPRODUCT((CLASS!$E131:$J131="RES")*1,LIVE!$E131:$J131)+IF(SUMPRODUCT((CLASS!$E131:$J131="GAR")*1)&gt;=2,INPUTS!$B$20,1)*SUMPRODUCT((CLASS!$E131:$J131="GAR")*1,LIVE!$E131:$J131)+SUMPRODUCT((CLASS!$E131:$J131="NR")*1,LIVE!$E131:$J131))</f>
        <v>6.615</v>
      </c>
      <c r="K131" s="10" t="n">
        <f aca="false">INPUTS!$B$13*SUM(DEAD!$E131:$K131)+INPUTS!$B$14*(RED!K131*SUMPRODUCT((CLASS!$E131:$K131="RES")*1,LIVE!$E131:$K131)+IF(SUMPRODUCT((CLASS!$E131:$K131="GAR")*1)&gt;=2,INPUTS!$B$20,1)*SUMPRODUCT((CLASS!$E131:$K131="GAR")*1,LIVE!$E131:$K131)+SUMPRODUCT((CLASS!$E131:$K131="NR")*1,LIVE!$E131:$K131))</f>
        <v>6.615</v>
      </c>
      <c r="L131" s="10" t="n">
        <f aca="false">INPUTS!$B$13*SUM(DEAD!$E131:$L131)+INPUTS!$B$14*(RED!L131*SUMPRODUCT((CLASS!$E131:$L131="RES")*1,LIVE!$E131:$L131)+IF(SUMPRODUCT((CLASS!$E131:$L131="GAR")*1)&gt;=2,INPUTS!$B$20,1)*SUMPRODUCT((CLASS!$E131:$L131="GAR")*1,LIVE!$E131:$L131)+SUMPRODUCT((CLASS!$E131:$L131="NR")*1,LIVE!$E131:$L131))</f>
        <v>6.615</v>
      </c>
      <c r="M131" s="10" t="n">
        <f aca="false">INPUTS!$B$13*SUM(DEAD!$E131:$M131)+INPUTS!$B$14*(RED!M131*SUMPRODUCT((CLASS!$E131:$M131="RES")*1,LIVE!$E131:$M131)+IF(SUMPRODUCT((CLASS!$E131:$M131="GAR")*1)&gt;=2,INPUTS!$B$20,1)*SUMPRODUCT((CLASS!$E131:$M131="GAR")*1,LIVE!$E131:$M131)+SUMPRODUCT((CLASS!$E131:$M131="NR")*1,LIVE!$E131:$M131))</f>
        <v>6.615</v>
      </c>
      <c r="N131" s="10" t="n">
        <f aca="false">INPUTS!$B$13*SUM(DEAD!$E131:$N131)+INPUTS!$B$14*(RED!N131*SUMPRODUCT((CLASS!$E131:$N131="RES")*1,LIVE!$E131:$N131)+IF(SUMPRODUCT((CLASS!$E131:$N131="GAR")*1)&gt;=2,INPUTS!$B$20,1)*SUMPRODUCT((CLASS!$E131:$N131="GAR")*1,LIVE!$E131:$N131)+SUMPRODUCT((CLASS!$E131:$N131="NR")*1,LIVE!$E131:$N131))</f>
        <v>6.615</v>
      </c>
      <c r="O131" s="10" t="n">
        <f aca="false">INPUTS!$B$13*SUM(DEAD!$E131:$O131)+INPUTS!$B$14*(RED!O131*SUMPRODUCT((CLASS!$E131:$O131="RES")*1,LIVE!$E131:$O131)+IF(SUMPRODUCT((CLASS!$E131:$O131="GAR")*1)&gt;=2,INPUTS!$B$20,1)*SUMPRODUCT((CLASS!$E131:$O131="GAR")*1,LIVE!$E131:$O131)+SUMPRODUCT((CLASS!$E131:$O131="NR")*1,LIVE!$E131:$O131))</f>
        <v>6.615</v>
      </c>
      <c r="P131" s="10" t="n">
        <f aca="false">INPUTS!$B$13*SUM(DEAD!$E131:$P131)+INPUTS!$B$14*(RED!P131*SUMPRODUCT((CLASS!$E131:$P131="RES")*1,LIVE!$E131:$P131)+IF(SUMPRODUCT((CLASS!$E131:$P131="GAR")*1)&gt;=2,INPUTS!$B$20,1)*SUMPRODUCT((CLASS!$E131:$P131="GAR")*1,LIVE!$E131:$P131)+SUMPRODUCT((CLASS!$E131:$P131="NR")*1,LIVE!$E131:$P131))</f>
        <v>6.615</v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10" t="n">
        <f aca="false">INPUTS!$B$13*SUM(DEAD!$E132:$E132)+INPUTS!$B$14*(RED!E132*SUMPRODUCT((CLASS!$E132:$E132="RES")*1,LIVE!$E132:$E132)+IF(SUMPRODUCT((CLASS!$E132:$E132="GAR")*1)&gt;=2,INPUTS!$B$20,1)*SUMPRODUCT((CLASS!$E132:$E132="GAR")*1,LIVE!$E132:$E132)+SUMPRODUCT((CLASS!$E132:$E132="NR")*1,LIVE!$E132:$E132))</f>
        <v>0</v>
      </c>
      <c r="F132" s="10" t="n">
        <f aca="false">INPUTS!$B$13*SUM(DEAD!$E132:$F132)+INPUTS!$B$14*(RED!F132*SUMPRODUCT((CLASS!$E132:$F132="RES")*1,LIVE!$E132:$F132)+IF(SUMPRODUCT((CLASS!$E132:$F132="GAR")*1)&gt;=2,INPUTS!$B$20,1)*SUMPRODUCT((CLASS!$E132:$F132="GAR")*1,LIVE!$E132:$F132)+SUMPRODUCT((CLASS!$E132:$F132="NR")*1,LIVE!$E132:$F132))</f>
        <v>0</v>
      </c>
      <c r="G132" s="10" t="n">
        <f aca="false">INPUTS!$B$13*SUM(DEAD!$E132:$G132)+INPUTS!$B$14*(RED!G132*SUMPRODUCT((CLASS!$E132:$G132="RES")*1,LIVE!$E132:$G132)+IF(SUMPRODUCT((CLASS!$E132:$G132="GAR")*1)&gt;=2,INPUTS!$B$20,1)*SUMPRODUCT((CLASS!$E132:$G132="GAR")*1,LIVE!$E132:$G132)+SUMPRODUCT((CLASS!$E132:$G132="NR")*1,LIVE!$E132:$G132))</f>
        <v>0</v>
      </c>
      <c r="H132" s="10" t="n">
        <f aca="false">INPUTS!$B$13*SUM(DEAD!$E132:$H132)+INPUTS!$B$14*(RED!H132*SUMPRODUCT((CLASS!$E132:$H132="RES")*1,LIVE!$E132:$H132)+IF(SUMPRODUCT((CLASS!$E132:$H132="GAR")*1)&gt;=2,INPUTS!$B$20,1)*SUMPRODUCT((CLASS!$E132:$H132="GAR")*1,LIVE!$E132:$H132)+SUMPRODUCT((CLASS!$E132:$H132="NR")*1,LIVE!$E132:$H132))</f>
        <v>0</v>
      </c>
      <c r="I132" s="10" t="n">
        <f aca="false">INPUTS!$B$13*SUM(DEAD!$E132:$I132)+INPUTS!$B$14*(RED!I132*SUMPRODUCT((CLASS!$E132:$I132="RES")*1,LIVE!$E132:$I132)+IF(SUMPRODUCT((CLASS!$E132:$I132="GAR")*1)&gt;=2,INPUTS!$B$20,1)*SUMPRODUCT((CLASS!$E132:$I132="GAR")*1,LIVE!$E132:$I132)+SUMPRODUCT((CLASS!$E132:$I132="NR")*1,LIVE!$E132:$I132))</f>
        <v>0</v>
      </c>
      <c r="J132" s="10" t="n">
        <f aca="false">INPUTS!$B$13*SUM(DEAD!$E132:$J132)+INPUTS!$B$14*(RED!J132*SUMPRODUCT((CLASS!$E132:$J132="RES")*1,LIVE!$E132:$J132)+IF(SUMPRODUCT((CLASS!$E132:$J132="GAR")*1)&gt;=2,INPUTS!$B$20,1)*SUMPRODUCT((CLASS!$E132:$J132="GAR")*1,LIVE!$E132:$J132)+SUMPRODUCT((CLASS!$E132:$J132="NR")*1,LIVE!$E132:$J132))</f>
        <v>6.615</v>
      </c>
      <c r="K132" s="10" t="n">
        <f aca="false">INPUTS!$B$13*SUM(DEAD!$E132:$K132)+INPUTS!$B$14*(RED!K132*SUMPRODUCT((CLASS!$E132:$K132="RES")*1,LIVE!$E132:$K132)+IF(SUMPRODUCT((CLASS!$E132:$K132="GAR")*1)&gt;=2,INPUTS!$B$20,1)*SUMPRODUCT((CLASS!$E132:$K132="GAR")*1,LIVE!$E132:$K132)+SUMPRODUCT((CLASS!$E132:$K132="NR")*1,LIVE!$E132:$K132))</f>
        <v>6.615</v>
      </c>
      <c r="L132" s="10" t="n">
        <f aca="false">INPUTS!$B$13*SUM(DEAD!$E132:$L132)+INPUTS!$B$14*(RED!L132*SUMPRODUCT((CLASS!$E132:$L132="RES")*1,LIVE!$E132:$L132)+IF(SUMPRODUCT((CLASS!$E132:$L132="GAR")*1)&gt;=2,INPUTS!$B$20,1)*SUMPRODUCT((CLASS!$E132:$L132="GAR")*1,LIVE!$E132:$L132)+SUMPRODUCT((CLASS!$E132:$L132="NR")*1,LIVE!$E132:$L132))</f>
        <v>6.615</v>
      </c>
      <c r="M132" s="10" t="n">
        <f aca="false">INPUTS!$B$13*SUM(DEAD!$E132:$M132)+INPUTS!$B$14*(RED!M132*SUMPRODUCT((CLASS!$E132:$M132="RES")*1,LIVE!$E132:$M132)+IF(SUMPRODUCT((CLASS!$E132:$M132="GAR")*1)&gt;=2,INPUTS!$B$20,1)*SUMPRODUCT((CLASS!$E132:$M132="GAR")*1,LIVE!$E132:$M132)+SUMPRODUCT((CLASS!$E132:$M132="NR")*1,LIVE!$E132:$M132))</f>
        <v>6.615</v>
      </c>
      <c r="N132" s="10" t="n">
        <f aca="false">INPUTS!$B$13*SUM(DEAD!$E132:$N132)+INPUTS!$B$14*(RED!N132*SUMPRODUCT((CLASS!$E132:$N132="RES")*1,LIVE!$E132:$N132)+IF(SUMPRODUCT((CLASS!$E132:$N132="GAR")*1)&gt;=2,INPUTS!$B$20,1)*SUMPRODUCT((CLASS!$E132:$N132="GAR")*1,LIVE!$E132:$N132)+SUMPRODUCT((CLASS!$E132:$N132="NR")*1,LIVE!$E132:$N132))</f>
        <v>6.615</v>
      </c>
      <c r="O132" s="10" t="n">
        <f aca="false">INPUTS!$B$13*SUM(DEAD!$E132:$O132)+INPUTS!$B$14*(RED!O132*SUMPRODUCT((CLASS!$E132:$O132="RES")*1,LIVE!$E132:$O132)+IF(SUMPRODUCT((CLASS!$E132:$O132="GAR")*1)&gt;=2,INPUTS!$B$20,1)*SUMPRODUCT((CLASS!$E132:$O132="GAR")*1,LIVE!$E132:$O132)+SUMPRODUCT((CLASS!$E132:$O132="NR")*1,LIVE!$E132:$O132))</f>
        <v>6.615</v>
      </c>
      <c r="P132" s="10" t="n">
        <f aca="false">INPUTS!$B$13*SUM(DEAD!$E132:$P132)+INPUTS!$B$14*(RED!P132*SUMPRODUCT((CLASS!$E132:$P132="RES")*1,LIVE!$E132:$P132)+IF(SUMPRODUCT((CLASS!$E132:$P132="GAR")*1)&gt;=2,INPUTS!$B$20,1)*SUMPRODUCT((CLASS!$E132:$P132="GAR")*1,LIVE!$E132:$P132)+SUMPRODUCT((CLASS!$E132:$P132="NR")*1,LIVE!$E132:$P132))</f>
        <v>6.615</v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10" t="n">
        <f aca="false">INPUTS!$B$13*SUM(DEAD!$E133:$E133)+INPUTS!$B$14*(RED!E133*SUMPRODUCT((CLASS!$E133:$E133="RES")*1,LIVE!$E133:$E133)+IF(SUMPRODUCT((CLASS!$E133:$E133="GAR")*1)&gt;=2,INPUTS!$B$20,1)*SUMPRODUCT((CLASS!$E133:$E133="GAR")*1,LIVE!$E133:$E133)+SUMPRODUCT((CLASS!$E133:$E133="NR")*1,LIVE!$E133:$E133))</f>
        <v>0</v>
      </c>
      <c r="F133" s="10" t="n">
        <f aca="false">INPUTS!$B$13*SUM(DEAD!$E133:$F133)+INPUTS!$B$14*(RED!F133*SUMPRODUCT((CLASS!$E133:$F133="RES")*1,LIVE!$E133:$F133)+IF(SUMPRODUCT((CLASS!$E133:$F133="GAR")*1)&gt;=2,INPUTS!$B$20,1)*SUMPRODUCT((CLASS!$E133:$F133="GAR")*1,LIVE!$E133:$F133)+SUMPRODUCT((CLASS!$E133:$F133="NR")*1,LIVE!$E133:$F133))</f>
        <v>0</v>
      </c>
      <c r="G133" s="10" t="n">
        <f aca="false">INPUTS!$B$13*SUM(DEAD!$E133:$G133)+INPUTS!$B$14*(RED!G133*SUMPRODUCT((CLASS!$E133:$G133="RES")*1,LIVE!$E133:$G133)+IF(SUMPRODUCT((CLASS!$E133:$G133="GAR")*1)&gt;=2,INPUTS!$B$20,1)*SUMPRODUCT((CLASS!$E133:$G133="GAR")*1,LIVE!$E133:$G133)+SUMPRODUCT((CLASS!$E133:$G133="NR")*1,LIVE!$E133:$G133))</f>
        <v>0</v>
      </c>
      <c r="H133" s="10" t="n">
        <f aca="false">INPUTS!$B$13*SUM(DEAD!$E133:$H133)+INPUTS!$B$14*(RED!H133*SUMPRODUCT((CLASS!$E133:$H133="RES")*1,LIVE!$E133:$H133)+IF(SUMPRODUCT((CLASS!$E133:$H133="GAR")*1)&gt;=2,INPUTS!$B$20,1)*SUMPRODUCT((CLASS!$E133:$H133="GAR")*1,LIVE!$E133:$H133)+SUMPRODUCT((CLASS!$E133:$H133="NR")*1,LIVE!$E133:$H133))</f>
        <v>0</v>
      </c>
      <c r="I133" s="10" t="n">
        <f aca="false">INPUTS!$B$13*SUM(DEAD!$E133:$I133)+INPUTS!$B$14*(RED!I133*SUMPRODUCT((CLASS!$E133:$I133="RES")*1,LIVE!$E133:$I133)+IF(SUMPRODUCT((CLASS!$E133:$I133="GAR")*1)&gt;=2,INPUTS!$B$20,1)*SUMPRODUCT((CLASS!$E133:$I133="GAR")*1,LIVE!$E133:$I133)+SUMPRODUCT((CLASS!$E133:$I133="NR")*1,LIVE!$E133:$I133))</f>
        <v>31.607</v>
      </c>
      <c r="J133" s="10" t="n">
        <f aca="false">INPUTS!$B$13*SUM(DEAD!$E133:$J133)+INPUTS!$B$14*(RED!J133*SUMPRODUCT((CLASS!$E133:$J133="RES")*1,LIVE!$E133:$J133)+IF(SUMPRODUCT((CLASS!$E133:$J133="GAR")*1)&gt;=2,INPUTS!$B$20,1)*SUMPRODUCT((CLASS!$E133:$J133="GAR")*1,LIVE!$E133:$J133)+SUMPRODUCT((CLASS!$E133:$J133="NR")*1,LIVE!$E133:$J133))</f>
        <v>31.607</v>
      </c>
      <c r="K133" s="10" t="n">
        <f aca="false">INPUTS!$B$13*SUM(DEAD!$E133:$K133)+INPUTS!$B$14*(RED!K133*SUMPRODUCT((CLASS!$E133:$K133="RES")*1,LIVE!$E133:$K133)+IF(SUMPRODUCT((CLASS!$E133:$K133="GAR")*1)&gt;=2,INPUTS!$B$20,1)*SUMPRODUCT((CLASS!$E133:$K133="GAR")*1,LIVE!$E133:$K133)+SUMPRODUCT((CLASS!$E133:$K133="NR")*1,LIVE!$E133:$K133))</f>
        <v>31.607</v>
      </c>
      <c r="L133" s="10" t="n">
        <f aca="false">INPUTS!$B$13*SUM(DEAD!$E133:$L133)+INPUTS!$B$14*(RED!L133*SUMPRODUCT((CLASS!$E133:$L133="RES")*1,LIVE!$E133:$L133)+IF(SUMPRODUCT((CLASS!$E133:$L133="GAR")*1)&gt;=2,INPUTS!$B$20,1)*SUMPRODUCT((CLASS!$E133:$L133="GAR")*1,LIVE!$E133:$L133)+SUMPRODUCT((CLASS!$E133:$L133="NR")*1,LIVE!$E133:$L133))</f>
        <v>31.607</v>
      </c>
      <c r="M133" s="10" t="n">
        <f aca="false">INPUTS!$B$13*SUM(DEAD!$E133:$M133)+INPUTS!$B$14*(RED!M133*SUMPRODUCT((CLASS!$E133:$M133="RES")*1,LIVE!$E133:$M133)+IF(SUMPRODUCT((CLASS!$E133:$M133="GAR")*1)&gt;=2,INPUTS!$B$20,1)*SUMPRODUCT((CLASS!$E133:$M133="GAR")*1,LIVE!$E133:$M133)+SUMPRODUCT((CLASS!$E133:$M133="NR")*1,LIVE!$E133:$M133))</f>
        <v>31.607</v>
      </c>
      <c r="N133" s="10" t="n">
        <f aca="false">INPUTS!$B$13*SUM(DEAD!$E133:$N133)+INPUTS!$B$14*(RED!N133*SUMPRODUCT((CLASS!$E133:$N133="RES")*1,LIVE!$E133:$N133)+IF(SUMPRODUCT((CLASS!$E133:$N133="GAR")*1)&gt;=2,INPUTS!$B$20,1)*SUMPRODUCT((CLASS!$E133:$N133="GAR")*1,LIVE!$E133:$N133)+SUMPRODUCT((CLASS!$E133:$N133="NR")*1,LIVE!$E133:$N133))</f>
        <v>31.607</v>
      </c>
      <c r="O133" s="10" t="n">
        <f aca="false">INPUTS!$B$13*SUM(DEAD!$E133:$O133)+INPUTS!$B$14*(RED!O133*SUMPRODUCT((CLASS!$E133:$O133="RES")*1,LIVE!$E133:$O133)+IF(SUMPRODUCT((CLASS!$E133:$O133="GAR")*1)&gt;=2,INPUTS!$B$20,1)*SUMPRODUCT((CLASS!$E133:$O133="GAR")*1,LIVE!$E133:$O133)+SUMPRODUCT((CLASS!$E133:$O133="NR")*1,LIVE!$E133:$O133))</f>
        <v>31.607</v>
      </c>
      <c r="P133" s="10" t="n">
        <f aca="false">INPUTS!$B$13*SUM(DEAD!$E133:$P133)+INPUTS!$B$14*(RED!P133*SUMPRODUCT((CLASS!$E133:$P133="RES")*1,LIVE!$E133:$P133)+IF(SUMPRODUCT((CLASS!$E133:$P133="GAR")*1)&gt;=2,INPUTS!$B$20,1)*SUMPRODUCT((CLASS!$E133:$P133="GAR")*1,LIVE!$E133:$P133)+SUMPRODUCT((CLASS!$E133:$P133="NR")*1,LIVE!$E133:$P133))</f>
        <v>31.607</v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10" t="n">
        <f aca="false">INPUTS!$B$13*SUM(DEAD!$E134:$E134)+INPUTS!$B$14*(RED!E134*SUMPRODUCT((CLASS!$E134:$E134="RES")*1,LIVE!$E134:$E134)+IF(SUMPRODUCT((CLASS!$E134:$E134="GAR")*1)&gt;=2,INPUTS!$B$20,1)*SUMPRODUCT((CLASS!$E134:$E134="GAR")*1,LIVE!$E134:$E134)+SUMPRODUCT((CLASS!$E134:$E134="NR")*1,LIVE!$E134:$E134))</f>
        <v>0</v>
      </c>
      <c r="F134" s="10" t="n">
        <f aca="false">INPUTS!$B$13*SUM(DEAD!$E134:$F134)+INPUTS!$B$14*(RED!F134*SUMPRODUCT((CLASS!$E134:$F134="RES")*1,LIVE!$E134:$F134)+IF(SUMPRODUCT((CLASS!$E134:$F134="GAR")*1)&gt;=2,INPUTS!$B$20,1)*SUMPRODUCT((CLASS!$E134:$F134="GAR")*1,LIVE!$E134:$F134)+SUMPRODUCT((CLASS!$E134:$F134="NR")*1,LIVE!$E134:$F134))</f>
        <v>0</v>
      </c>
      <c r="G134" s="10" t="n">
        <f aca="false">INPUTS!$B$13*SUM(DEAD!$E134:$G134)+INPUTS!$B$14*(RED!G134*SUMPRODUCT((CLASS!$E134:$G134="RES")*1,LIVE!$E134:$G134)+IF(SUMPRODUCT((CLASS!$E134:$G134="GAR")*1)&gt;=2,INPUTS!$B$20,1)*SUMPRODUCT((CLASS!$E134:$G134="GAR")*1,LIVE!$E134:$G134)+SUMPRODUCT((CLASS!$E134:$G134="NR")*1,LIVE!$E134:$G134))</f>
        <v>0</v>
      </c>
      <c r="H134" s="10" t="n">
        <f aca="false">INPUTS!$B$13*SUM(DEAD!$E134:$H134)+INPUTS!$B$14*(RED!H134*SUMPRODUCT((CLASS!$E134:$H134="RES")*1,LIVE!$E134:$H134)+IF(SUMPRODUCT((CLASS!$E134:$H134="GAR")*1)&gt;=2,INPUTS!$B$20,1)*SUMPRODUCT((CLASS!$E134:$H134="GAR")*1,LIVE!$E134:$H134)+SUMPRODUCT((CLASS!$E134:$H134="NR")*1,LIVE!$E134:$H134))</f>
        <v>0</v>
      </c>
      <c r="I134" s="10" t="n">
        <f aca="false">INPUTS!$B$13*SUM(DEAD!$E134:$I134)+INPUTS!$B$14*(RED!I134*SUMPRODUCT((CLASS!$E134:$I134="RES")*1,LIVE!$E134:$I134)+IF(SUMPRODUCT((CLASS!$E134:$I134="GAR")*1)&gt;=2,INPUTS!$B$20,1)*SUMPRODUCT((CLASS!$E134:$I134="GAR")*1,LIVE!$E134:$I134)+SUMPRODUCT((CLASS!$E134:$I134="NR")*1,LIVE!$E134:$I134))</f>
        <v>31.787</v>
      </c>
      <c r="J134" s="10" t="n">
        <f aca="false">INPUTS!$B$13*SUM(DEAD!$E134:$J134)+INPUTS!$B$14*(RED!J134*SUMPRODUCT((CLASS!$E134:$J134="RES")*1,LIVE!$E134:$J134)+IF(SUMPRODUCT((CLASS!$E134:$J134="GAR")*1)&gt;=2,INPUTS!$B$20,1)*SUMPRODUCT((CLASS!$E134:$J134="GAR")*1,LIVE!$E134:$J134)+SUMPRODUCT((CLASS!$E134:$J134="NR")*1,LIVE!$E134:$J134))</f>
        <v>31.787</v>
      </c>
      <c r="K134" s="10" t="n">
        <f aca="false">INPUTS!$B$13*SUM(DEAD!$E134:$K134)+INPUTS!$B$14*(RED!K134*SUMPRODUCT((CLASS!$E134:$K134="RES")*1,LIVE!$E134:$K134)+IF(SUMPRODUCT((CLASS!$E134:$K134="GAR")*1)&gt;=2,INPUTS!$B$20,1)*SUMPRODUCT((CLASS!$E134:$K134="GAR")*1,LIVE!$E134:$K134)+SUMPRODUCT((CLASS!$E134:$K134="NR")*1,LIVE!$E134:$K134))</f>
        <v>31.787</v>
      </c>
      <c r="L134" s="10" t="n">
        <f aca="false">INPUTS!$B$13*SUM(DEAD!$E134:$L134)+INPUTS!$B$14*(RED!L134*SUMPRODUCT((CLASS!$E134:$L134="RES")*1,LIVE!$E134:$L134)+IF(SUMPRODUCT((CLASS!$E134:$L134="GAR")*1)&gt;=2,INPUTS!$B$20,1)*SUMPRODUCT((CLASS!$E134:$L134="GAR")*1,LIVE!$E134:$L134)+SUMPRODUCT((CLASS!$E134:$L134="NR")*1,LIVE!$E134:$L134))</f>
        <v>31.787</v>
      </c>
      <c r="M134" s="10" t="n">
        <f aca="false">INPUTS!$B$13*SUM(DEAD!$E134:$M134)+INPUTS!$B$14*(RED!M134*SUMPRODUCT((CLASS!$E134:$M134="RES")*1,LIVE!$E134:$M134)+IF(SUMPRODUCT((CLASS!$E134:$M134="GAR")*1)&gt;=2,INPUTS!$B$20,1)*SUMPRODUCT((CLASS!$E134:$M134="GAR")*1,LIVE!$E134:$M134)+SUMPRODUCT((CLASS!$E134:$M134="NR")*1,LIVE!$E134:$M134))</f>
        <v>31.787</v>
      </c>
      <c r="N134" s="10" t="n">
        <f aca="false">INPUTS!$B$13*SUM(DEAD!$E134:$N134)+INPUTS!$B$14*(RED!N134*SUMPRODUCT((CLASS!$E134:$N134="RES")*1,LIVE!$E134:$N134)+IF(SUMPRODUCT((CLASS!$E134:$N134="GAR")*1)&gt;=2,INPUTS!$B$20,1)*SUMPRODUCT((CLASS!$E134:$N134="GAR")*1,LIVE!$E134:$N134)+SUMPRODUCT((CLASS!$E134:$N134="NR")*1,LIVE!$E134:$N134))</f>
        <v>31.787</v>
      </c>
      <c r="O134" s="10" t="n">
        <f aca="false">INPUTS!$B$13*SUM(DEAD!$E134:$O134)+INPUTS!$B$14*(RED!O134*SUMPRODUCT((CLASS!$E134:$O134="RES")*1,LIVE!$E134:$O134)+IF(SUMPRODUCT((CLASS!$E134:$O134="GAR")*1)&gt;=2,INPUTS!$B$20,1)*SUMPRODUCT((CLASS!$E134:$O134="GAR")*1,LIVE!$E134:$O134)+SUMPRODUCT((CLASS!$E134:$O134="NR")*1,LIVE!$E134:$O134))</f>
        <v>31.787</v>
      </c>
      <c r="P134" s="10" t="n">
        <f aca="false">INPUTS!$B$13*SUM(DEAD!$E134:$P134)+INPUTS!$B$14*(RED!P134*SUMPRODUCT((CLASS!$E134:$P134="RES")*1,LIVE!$E134:$P134)+IF(SUMPRODUCT((CLASS!$E134:$P134="GAR")*1)&gt;=2,INPUTS!$B$20,1)*SUMPRODUCT((CLASS!$E134:$P134="GAR")*1,LIVE!$E134:$P134)+SUMPRODUCT((CLASS!$E134:$P134="NR")*1,LIVE!$E134:$P134))</f>
        <v>31.787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270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10" t="n">
        <f aca="false">PU!E2/(INPUTS!$B$8*INPUTS!$B$7*(0.85*INPUTS!$B$5*(1-INPUTS!$B$9)+INPUTS!$B$6*INPUTS!$B$9))</f>
        <v>0</v>
      </c>
      <c r="F2" s="10" t="n">
        <f aca="false">PU!F2/(INPUTS!$B$8*INPUTS!$B$7*(0.85*INPUTS!$B$5*(1-INPUTS!$B$9)+INPUTS!$B$6*INPUTS!$B$9))</f>
        <v>37.1438056941445</v>
      </c>
      <c r="G2" s="10" t="n">
        <f aca="false">PU!G2/(INPUTS!$B$8*INPUTS!$B$7*(0.85*INPUTS!$B$5*(1-INPUTS!$B$9)+INPUTS!$B$6*INPUTS!$B$9))</f>
        <v>51.4471169359843</v>
      </c>
      <c r="H2" s="10" t="n">
        <f aca="false">PU!H2/(INPUTS!$B$8*INPUTS!$B$7*(0.85*INPUTS!$B$5*(1-INPUTS!$B$9)+INPUTS!$B$6*INPUTS!$B$9))</f>
        <v>64.6984904661003</v>
      </c>
      <c r="I2" s="10" t="n">
        <f aca="false">PU!I2/(INPUTS!$B$8*INPUTS!$B$7*(0.85*INPUTS!$B$5*(1-INPUTS!$B$9)+INPUTS!$B$6*INPUTS!$B$9))</f>
        <v>77.4314006605587</v>
      </c>
      <c r="J2" s="10" t="n">
        <f aca="false">PU!J2/(INPUTS!$B$8*INPUTS!$B$7*(0.85*INPUTS!$B$5*(1-INPUTS!$B$9)+INPUTS!$B$6*INPUTS!$B$9))</f>
        <v>90.0847811087408</v>
      </c>
      <c r="K2" s="10" t="n">
        <f aca="false">PU!K2/(INPUTS!$B$8*INPUTS!$B$7*(0.85*INPUTS!$B$5*(1-INPUTS!$B$9)+INPUTS!$B$6*INPUTS!$B$9))</f>
        <v>102.00435008487</v>
      </c>
      <c r="L2" s="10" t="n">
        <f aca="false">PU!L2/(INPUTS!$B$8*INPUTS!$B$7*(0.85*INPUTS!$B$5*(1-INPUTS!$B$9)+INPUTS!$B$6*INPUTS!$B$9))</f>
        <v>113.868501589567</v>
      </c>
      <c r="M2" s="10" t="n">
        <f aca="false">PU!M2/(INPUTS!$B$8*INPUTS!$B$7*(0.85*INPUTS!$B$5*(1-INPUTS!$B$9)+INPUTS!$B$6*INPUTS!$B$9))</f>
        <v>125.690193534918</v>
      </c>
      <c r="N2" s="10" t="n">
        <f aca="false">PU!N2/(INPUTS!$B$8*INPUTS!$B$7*(0.85*INPUTS!$B$5*(1-INPUTS!$B$9)+INPUTS!$B$6*INPUTS!$B$9))</f>
        <v>137.478005188021</v>
      </c>
      <c r="O2" s="10" t="n">
        <f aca="false">PU!O2/(INPUTS!$B$8*INPUTS!$B$7*(0.85*INPUTS!$B$5*(1-INPUTS!$B$9)+INPUTS!$B$6*INPUTS!$B$9))</f>
        <v>149.237965156685</v>
      </c>
      <c r="P2" s="10" t="n">
        <f aca="false">PU!P2/(INPUTS!$B$8*INPUTS!$B$7*(0.85*INPUTS!$B$5*(1-INPUTS!$B$9)+INPUTS!$B$6*INPUTS!$B$9))</f>
        <v>161.267710262331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10" t="n">
        <f aca="false">PU!E3/(INPUTS!$B$8*INPUTS!$B$7*(0.85*INPUTS!$B$5*(1-INPUTS!$B$9)+INPUTS!$B$6*INPUTS!$B$9))</f>
        <v>0</v>
      </c>
      <c r="F3" s="10" t="n">
        <f aca="false">PU!F3/(INPUTS!$B$8*INPUTS!$B$7*(0.85*INPUTS!$B$5*(1-INPUTS!$B$9)+INPUTS!$B$6*INPUTS!$B$9))</f>
        <v>0</v>
      </c>
      <c r="G3" s="10" t="n">
        <f aca="false">PU!G3/(INPUTS!$B$8*INPUTS!$B$7*(0.85*INPUTS!$B$5*(1-INPUTS!$B$9)+INPUTS!$B$6*INPUTS!$B$9))</f>
        <v>22.003115422048</v>
      </c>
      <c r="H3" s="10" t="n">
        <f aca="false">PU!H3/(INPUTS!$B$8*INPUTS!$B$7*(0.85*INPUTS!$B$5*(1-INPUTS!$B$9)+INPUTS!$B$6*INPUTS!$B$9))</f>
        <v>41.8153020200223</v>
      </c>
      <c r="I3" s="10" t="n">
        <f aca="false">PU!I3/(INPUTS!$B$8*INPUTS!$B$7*(0.85*INPUTS!$B$5*(1-INPUTS!$B$9)+INPUTS!$B$6*INPUTS!$B$9))</f>
        <v>61.2774795970954</v>
      </c>
      <c r="J3" s="10" t="n">
        <f aca="false">PU!J3/(INPUTS!$B$8*INPUTS!$B$7*(0.85*INPUTS!$B$5*(1-INPUTS!$B$9)+INPUTS!$B$6*INPUTS!$B$9))</f>
        <v>80.5582848439854</v>
      </c>
      <c r="K3" s="10" t="n">
        <f aca="false">PU!K3/(INPUTS!$B$8*INPUTS!$B$7*(0.85*INPUTS!$B$5*(1-INPUTS!$B$9)+INPUTS!$B$6*INPUTS!$B$9))</f>
        <v>99.7231289535967</v>
      </c>
      <c r="L3" s="10" t="n">
        <f aca="false">PU!L3/(INPUTS!$B$8*INPUTS!$B$7*(0.85*INPUTS!$B$5*(1-INPUTS!$B$9)+INPUTS!$B$6*INPUTS!$B$9))</f>
        <v>118.805580235337</v>
      </c>
      <c r="M3" s="10" t="n">
        <f aca="false">PU!M3/(INPUTS!$B$8*INPUTS!$B$7*(0.85*INPUTS!$B$5*(1-INPUTS!$B$9)+INPUTS!$B$6*INPUTS!$B$9))</f>
        <v>137.825587350365</v>
      </c>
      <c r="N3" s="10" t="n">
        <f aca="false">PU!N3/(INPUTS!$B$8*INPUTS!$B$7*(0.85*INPUTS!$B$5*(1-INPUTS!$B$9)+INPUTS!$B$6*INPUTS!$B$9))</f>
        <v>156.796151236944</v>
      </c>
      <c r="O3" s="10" t="n">
        <f aca="false">PU!O3/(INPUTS!$B$8*INPUTS!$B$7*(0.85*INPUTS!$B$5*(1-INPUTS!$B$9)+INPUTS!$B$6*INPUTS!$B$9))</f>
        <v>175.72630401464</v>
      </c>
      <c r="P3" s="10" t="n">
        <f aca="false">PU!P3/(INPUTS!$B$8*INPUTS!$B$7*(0.85*INPUTS!$B$5*(1-INPUTS!$B$9)+INPUTS!$B$6*INPUTS!$B$9))</f>
        <v>194.885806352434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10" t="n">
        <f aca="false">PU!E4/(INPUTS!$B$8*INPUTS!$B$7*(0.85*INPUTS!$B$5*(1-INPUTS!$B$9)+INPUTS!$B$6*INPUTS!$B$9))</f>
        <v>0</v>
      </c>
      <c r="F4" s="10" t="n">
        <f aca="false">PU!F4/(INPUTS!$B$8*INPUTS!$B$7*(0.85*INPUTS!$B$5*(1-INPUTS!$B$9)+INPUTS!$B$6*INPUTS!$B$9))</f>
        <v>32.8607863578822</v>
      </c>
      <c r="G4" s="10" t="n">
        <f aca="false">PU!G4/(INPUTS!$B$8*INPUTS!$B$7*(0.85*INPUTS!$B$5*(1-INPUTS!$B$9)+INPUTS!$B$6*INPUTS!$B$9))</f>
        <v>54.0695455757076</v>
      </c>
      <c r="H4" s="10" t="n">
        <f aca="false">PU!H4/(INPUTS!$B$8*INPUTS!$B$7*(0.85*INPUTS!$B$5*(1-INPUTS!$B$9)+INPUTS!$B$6*INPUTS!$B$9))</f>
        <v>72.5952330868738</v>
      </c>
      <c r="I4" s="10" t="n">
        <f aca="false">PU!I4/(INPUTS!$B$8*INPUTS!$B$7*(0.85*INPUTS!$B$5*(1-INPUTS!$B$9)+INPUTS!$B$6*INPUTS!$B$9))</f>
        <v>90.7963430026</v>
      </c>
      <c r="J4" s="10" t="n">
        <f aca="false">PU!J4/(INPUTS!$B$8*INPUTS!$B$7*(0.85*INPUTS!$B$5*(1-INPUTS!$B$9)+INPUTS!$B$6*INPUTS!$B$9))</f>
        <v>108.827123561974</v>
      </c>
      <c r="K4" s="10" t="n">
        <f aca="false">PU!K4/(INPUTS!$B$8*INPUTS!$B$7*(0.85*INPUTS!$B$5*(1-INPUTS!$B$9)+INPUTS!$B$6*INPUTS!$B$9))</f>
        <v>125.308989370415</v>
      </c>
      <c r="L4" s="10" t="n">
        <f aca="false">PU!L4/(INPUTS!$B$8*INPUTS!$B$7*(0.85*INPUTS!$B$5*(1-INPUTS!$B$9)+INPUTS!$B$6*INPUTS!$B$9))</f>
        <v>143.119464038585</v>
      </c>
      <c r="M4" s="10" t="n">
        <f aca="false">PU!M4/(INPUTS!$B$8*INPUTS!$B$7*(0.85*INPUTS!$B$5*(1-INPUTS!$B$9)+INPUTS!$B$6*INPUTS!$B$9))</f>
        <v>160.880912855448</v>
      </c>
      <c r="N4" s="10" t="n">
        <f aca="false">PU!N4/(INPUTS!$B$8*INPUTS!$B$7*(0.85*INPUTS!$B$5*(1-INPUTS!$B$9)+INPUTS!$B$6*INPUTS!$B$9))</f>
        <v>178.603537522092</v>
      </c>
      <c r="O4" s="10" t="n">
        <f aca="false">PU!O4/(INPUTS!$B$8*INPUTS!$B$7*(0.85*INPUTS!$B$5*(1-INPUTS!$B$9)+INPUTS!$B$6*INPUTS!$B$9))</f>
        <v>196.294426936078</v>
      </c>
      <c r="P4" s="10" t="n">
        <f aca="false">PU!P4/(INPUTS!$B$8*INPUTS!$B$7*(0.85*INPUTS!$B$5*(1-INPUTS!$B$9)+INPUTS!$B$6*INPUTS!$B$9))</f>
        <v>214.251952731295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10" t="n">
        <f aca="false">PU!E5/(INPUTS!$B$8*INPUTS!$B$7*(0.85*INPUTS!$B$5*(1-INPUTS!$B$9)+INPUTS!$B$6*INPUTS!$B$9))</f>
        <v>0</v>
      </c>
      <c r="F5" s="10" t="n">
        <f aca="false">PU!F5/(INPUTS!$B$8*INPUTS!$B$7*(0.85*INPUTS!$B$5*(1-INPUTS!$B$9)+INPUTS!$B$6*INPUTS!$B$9))</f>
        <v>36.2480452751508</v>
      </c>
      <c r="G5" s="10" t="n">
        <f aca="false">PU!G5/(INPUTS!$B$8*INPUTS!$B$7*(0.85*INPUTS!$B$5*(1-INPUTS!$B$9)+INPUTS!$B$6*INPUTS!$B$9))</f>
        <v>55.4879267516682</v>
      </c>
      <c r="H5" s="10" t="n">
        <f aca="false">PU!H5/(INPUTS!$B$8*INPUTS!$B$7*(0.85*INPUTS!$B$5*(1-INPUTS!$B$9)+INPUTS!$B$6*INPUTS!$B$9))</f>
        <v>72.6559254222196</v>
      </c>
      <c r="I5" s="10" t="n">
        <f aca="false">PU!I5/(INPUTS!$B$8*INPUTS!$B$7*(0.85*INPUTS!$B$5*(1-INPUTS!$B$9)+INPUTS!$B$6*INPUTS!$B$9))</f>
        <v>89.4830482690306</v>
      </c>
      <c r="J5" s="10" t="n">
        <f aca="false">PU!J5/(INPUTS!$B$8*INPUTS!$B$7*(0.85*INPUTS!$B$5*(1-INPUTS!$B$9)+INPUTS!$B$6*INPUTS!$B$9))</f>
        <v>106.133720805444</v>
      </c>
      <c r="K5" s="10" t="n">
        <f aca="false">PU!K5/(INPUTS!$B$8*INPUTS!$B$7*(0.85*INPUTS!$B$5*(1-INPUTS!$B$9)+INPUTS!$B$6*INPUTS!$B$9))</f>
        <v>121.220339083678</v>
      </c>
      <c r="L5" s="10" t="n">
        <f aca="false">PU!L5/(INPUTS!$B$8*INPUTS!$B$7*(0.85*INPUTS!$B$5*(1-INPUTS!$B$9)+INPUTS!$B$6*INPUTS!$B$9))</f>
        <v>137.539633382702</v>
      </c>
      <c r="M5" s="10" t="n">
        <f aca="false">PU!M5/(INPUTS!$B$8*INPUTS!$B$7*(0.85*INPUTS!$B$5*(1-INPUTS!$B$9)+INPUTS!$B$6*INPUTS!$B$9))</f>
        <v>153.809370966345</v>
      </c>
      <c r="N5" s="10" t="n">
        <f aca="false">PU!N5/(INPUTS!$B$8*INPUTS!$B$7*(0.85*INPUTS!$B$5*(1-INPUTS!$B$9)+INPUTS!$B$6*INPUTS!$B$9))</f>
        <v>170.039874421507</v>
      </c>
      <c r="O5" s="10" t="n">
        <f aca="false">PU!O5/(INPUTS!$B$8*INPUTS!$B$7*(0.85*INPUTS!$B$5*(1-INPUTS!$B$9)+INPUTS!$B$6*INPUTS!$B$9))</f>
        <v>186.238313841536</v>
      </c>
      <c r="P5" s="10" t="n">
        <f aca="false">PU!P5/(INPUTS!$B$8*INPUTS!$B$7*(0.85*INPUTS!$B$5*(1-INPUTS!$B$9)+INPUTS!$B$6*INPUTS!$B$9))</f>
        <v>202.605382212678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10" t="n">
        <f aca="false">PU!E6/(INPUTS!$B$8*INPUTS!$B$7*(0.85*INPUTS!$B$5*(1-INPUTS!$B$9)+INPUTS!$B$6*INPUTS!$B$9))</f>
        <v>0</v>
      </c>
      <c r="F6" s="10" t="n">
        <f aca="false">PU!F6/(INPUTS!$B$8*INPUTS!$B$7*(0.85*INPUTS!$B$5*(1-INPUTS!$B$9)+INPUTS!$B$6*INPUTS!$B$9))</f>
        <v>11.8605257279023</v>
      </c>
      <c r="G6" s="10" t="n">
        <f aca="false">PU!G6/(INPUTS!$B$8*INPUTS!$B$7*(0.85*INPUTS!$B$5*(1-INPUTS!$B$9)+INPUTS!$B$6*INPUTS!$B$9))</f>
        <v>20.890113436096</v>
      </c>
      <c r="H6" s="10" t="n">
        <f aca="false">PU!H6/(INPUTS!$B$8*INPUTS!$B$7*(0.85*INPUTS!$B$5*(1-INPUTS!$B$9)+INPUTS!$B$6*INPUTS!$B$9))</f>
        <v>29.8595444765365</v>
      </c>
      <c r="I6" s="10" t="n">
        <f aca="false">PU!I6/(INPUTS!$B$8*INPUTS!$B$7*(0.85*INPUTS!$B$5*(1-INPUTS!$B$9)+INPUTS!$B$6*INPUTS!$B$9))</f>
        <v>38.0229342458252</v>
      </c>
      <c r="J6" s="10" t="n">
        <f aca="false">PU!J6/(INPUTS!$B$8*INPUTS!$B$7*(0.85*INPUTS!$B$5*(1-INPUTS!$B$9)+INPUTS!$B$6*INPUTS!$B$9))</f>
        <v>46.0791684965937</v>
      </c>
      <c r="K6" s="10" t="n">
        <f aca="false">PU!K6/(INPUTS!$B$8*INPUTS!$B$7*(0.85*INPUTS!$B$5*(1-INPUTS!$B$9)+INPUTS!$B$6*INPUTS!$B$9))</f>
        <v>52.9184588590927</v>
      </c>
      <c r="L6" s="10" t="n">
        <f aca="false">PU!L6/(INPUTS!$B$8*INPUTS!$B$7*(0.85*INPUTS!$B$5*(1-INPUTS!$B$9)+INPUTS!$B$6*INPUTS!$B$9))</f>
        <v>60.5095715707548</v>
      </c>
      <c r="M6" s="10" t="n">
        <f aca="false">PU!M6/(INPUTS!$B$8*INPUTS!$B$7*(0.85*INPUTS!$B$5*(1-INPUTS!$B$9)+INPUTS!$B$6*INPUTS!$B$9))</f>
        <v>68.0727603762393</v>
      </c>
      <c r="N6" s="10" t="n">
        <f aca="false">PU!N6/(INPUTS!$B$8*INPUTS!$B$7*(0.85*INPUTS!$B$5*(1-INPUTS!$B$9)+INPUTS!$B$6*INPUTS!$B$9))</f>
        <v>75.6136819040397</v>
      </c>
      <c r="O6" s="10" t="n">
        <f aca="false">PU!O6/(INPUTS!$B$8*INPUTS!$B$7*(0.85*INPUTS!$B$5*(1-INPUTS!$B$9)+INPUTS!$B$6*INPUTS!$B$9))</f>
        <v>83.1363072445633</v>
      </c>
      <c r="P6" s="10" t="n">
        <f aca="false">PU!P6/(INPUTS!$B$8*INPUTS!$B$7*(0.85*INPUTS!$B$5*(1-INPUTS!$B$9)+INPUTS!$B$6*INPUTS!$B$9))</f>
        <v>90.8390235835968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10" t="n">
        <f aca="false">PU!E7/(INPUTS!$B$8*INPUTS!$B$7*(0.85*INPUTS!$B$5*(1-INPUTS!$B$9)+INPUTS!$B$6*INPUTS!$B$9))</f>
        <v>0</v>
      </c>
      <c r="F7" s="10" t="n">
        <f aca="false">PU!F7/(INPUTS!$B$8*INPUTS!$B$7*(0.85*INPUTS!$B$5*(1-INPUTS!$B$9)+INPUTS!$B$6*INPUTS!$B$9))</f>
        <v>22.676669893514</v>
      </c>
      <c r="G7" s="10" t="n">
        <f aca="false">PU!G7/(INPUTS!$B$8*INPUTS!$B$7*(0.85*INPUTS!$B$5*(1-INPUTS!$B$9)+INPUTS!$B$6*INPUTS!$B$9))</f>
        <v>37.8635206926542</v>
      </c>
      <c r="H7" s="10" t="n">
        <f aca="false">PU!H7/(INPUTS!$B$8*INPUTS!$B$7*(0.85*INPUTS!$B$5*(1-INPUTS!$B$9)+INPUTS!$B$6*INPUTS!$B$9))</f>
        <v>51.2370804845332</v>
      </c>
      <c r="I7" s="10" t="n">
        <f aca="false">PU!I7/(INPUTS!$B$8*INPUTS!$B$7*(0.85*INPUTS!$B$5*(1-INPUTS!$B$9)+INPUTS!$B$6*INPUTS!$B$9))</f>
        <v>64.3123091816219</v>
      </c>
      <c r="J7" s="10" t="n">
        <f aca="false">PU!J7/(INPUTS!$B$8*INPUTS!$B$7*(0.85*INPUTS!$B$5*(1-INPUTS!$B$9)+INPUTS!$B$6*INPUTS!$B$9))</f>
        <v>77.2331103405545</v>
      </c>
      <c r="K7" s="10" t="n">
        <f aca="false">PU!K7/(INPUTS!$B$8*INPUTS!$B$7*(0.85*INPUTS!$B$5*(1-INPUTS!$B$9)+INPUTS!$B$6*INPUTS!$B$9))</f>
        <v>88.7328060631268</v>
      </c>
      <c r="L7" s="10" t="n">
        <f aca="false">PU!L7/(INPUTS!$B$8*INPUTS!$B$7*(0.85*INPUTS!$B$5*(1-INPUTS!$B$9)+INPUTS!$B$6*INPUTS!$B$9))</f>
        <v>101.311782756103</v>
      </c>
      <c r="M7" s="10" t="n">
        <f aca="false">PU!M7/(INPUTS!$B$8*INPUTS!$B$7*(0.85*INPUTS!$B$5*(1-INPUTS!$B$9)+INPUTS!$B$6*INPUTS!$B$9))</f>
        <v>113.847691262791</v>
      </c>
      <c r="N7" s="10" t="n">
        <f aca="false">PU!N7/(INPUTS!$B$8*INPUTS!$B$7*(0.85*INPUTS!$B$5*(1-INPUTS!$B$9)+INPUTS!$B$6*INPUTS!$B$9))</f>
        <v>126.349479324394</v>
      </c>
      <c r="O7" s="10" t="n">
        <f aca="false">PU!O7/(INPUTS!$B$8*INPUTS!$B$7*(0.85*INPUTS!$B$5*(1-INPUTS!$B$9)+INPUTS!$B$6*INPUTS!$B$9))</f>
        <v>138.823368318582</v>
      </c>
      <c r="P7" s="10" t="n">
        <f aca="false">PU!P7/(INPUTS!$B$8*INPUTS!$B$7*(0.85*INPUTS!$B$5*(1-INPUTS!$B$9)+INPUTS!$B$6*INPUTS!$B$9))</f>
        <v>151.469363918072</v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10" t="n">
        <f aca="false">PU!E8/(INPUTS!$B$8*INPUTS!$B$7*(0.85*INPUTS!$B$5*(1-INPUTS!$B$9)+INPUTS!$B$6*INPUTS!$B$9))</f>
        <v>0</v>
      </c>
      <c r="F8" s="10" t="n">
        <f aca="false">PU!F8/(INPUTS!$B$8*INPUTS!$B$7*(0.85*INPUTS!$B$5*(1-INPUTS!$B$9)+INPUTS!$B$6*INPUTS!$B$9))</f>
        <v>41.2232854270608</v>
      </c>
      <c r="G8" s="10" t="n">
        <f aca="false">PU!G8/(INPUTS!$B$8*INPUTS!$B$7*(0.85*INPUTS!$B$5*(1-INPUTS!$B$9)+INPUTS!$B$6*INPUTS!$B$9))</f>
        <v>68.6256420601497</v>
      </c>
      <c r="H8" s="10" t="n">
        <f aca="false">PU!H8/(INPUTS!$B$8*INPUTS!$B$7*(0.85*INPUTS!$B$5*(1-INPUTS!$B$9)+INPUTS!$B$6*INPUTS!$B$9))</f>
        <v>93.9956781495195</v>
      </c>
      <c r="I8" s="10" t="n">
        <f aca="false">PU!I8/(INPUTS!$B$8*INPUTS!$B$7*(0.85*INPUTS!$B$5*(1-INPUTS!$B$9)+INPUTS!$B$6*INPUTS!$B$9))</f>
        <v>119.031347383076</v>
      </c>
      <c r="J8" s="10" t="n">
        <f aca="false">PU!J8/(INPUTS!$B$8*INPUTS!$B$7*(0.85*INPUTS!$B$5*(1-INPUTS!$B$9)+INPUTS!$B$6*INPUTS!$B$9))</f>
        <v>143.838086314556</v>
      </c>
      <c r="K8" s="10" t="n">
        <f aca="false">PU!K8/(INPUTS!$B$8*INPUTS!$B$7*(0.85*INPUTS!$B$5*(1-INPUTS!$B$9)+INPUTS!$B$6*INPUTS!$B$9))</f>
        <v>168.590066217139</v>
      </c>
      <c r="L8" s="10" t="n">
        <f aca="false">PU!L8/(INPUTS!$B$8*INPUTS!$B$7*(0.85*INPUTS!$B$5*(1-INPUTS!$B$9)+INPUTS!$B$6*INPUTS!$B$9))</f>
        <v>193.263477618698</v>
      </c>
      <c r="M8" s="10" t="n">
        <f aca="false">PU!M8/(INPUTS!$B$8*INPUTS!$B$7*(0.85*INPUTS!$B$5*(1-INPUTS!$B$9)+INPUTS!$B$6*INPUTS!$B$9))</f>
        <v>217.877353635582</v>
      </c>
      <c r="N8" s="10" t="n">
        <f aca="false">PU!N8/(INPUTS!$B$8*INPUTS!$B$7*(0.85*INPUTS!$B$5*(1-INPUTS!$B$9)+INPUTS!$B$6*INPUTS!$B$9))</f>
        <v>242.444095396018</v>
      </c>
      <c r="O8" s="10" t="n">
        <f aca="false">PU!O8/(INPUTS!$B$8*INPUTS!$B$7*(0.85*INPUTS!$B$5*(1-INPUTS!$B$9)+INPUTS!$B$6*INPUTS!$B$9))</f>
        <v>267.474867823367</v>
      </c>
      <c r="P8" s="10" t="n">
        <f aca="false">PU!P8/(INPUTS!$B$8*INPUTS!$B$7*(0.85*INPUTS!$B$5*(1-INPUTS!$B$9)+INPUTS!$B$6*INPUTS!$B$9))</f>
        <v>292.913346737161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10" t="n">
        <f aca="false">PU!E9/(INPUTS!$B$8*INPUTS!$B$7*(0.85*INPUTS!$B$5*(1-INPUTS!$B$9)+INPUTS!$B$6*INPUTS!$B$9))</f>
        <v>0</v>
      </c>
      <c r="F9" s="10" t="n">
        <f aca="false">PU!F9/(INPUTS!$B$8*INPUTS!$B$7*(0.85*INPUTS!$B$5*(1-INPUTS!$B$9)+INPUTS!$B$6*INPUTS!$B$9))</f>
        <v>45.1923076923077</v>
      </c>
      <c r="G9" s="10" t="n">
        <f aca="false">PU!G9/(INPUTS!$B$8*INPUTS!$B$7*(0.85*INPUTS!$B$5*(1-INPUTS!$B$9)+INPUTS!$B$6*INPUTS!$B$9))</f>
        <v>72.5878459970495</v>
      </c>
      <c r="H9" s="10" t="n">
        <f aca="false">PU!H9/(INPUTS!$B$8*INPUTS!$B$7*(0.85*INPUTS!$B$5*(1-INPUTS!$B$9)+INPUTS!$B$6*INPUTS!$B$9))</f>
        <v>97.8750860051039</v>
      </c>
      <c r="I9" s="10" t="n">
        <f aca="false">PU!I9/(INPUTS!$B$8*INPUTS!$B$7*(0.85*INPUTS!$B$5*(1-INPUTS!$B$9)+INPUTS!$B$6*INPUTS!$B$9))</f>
        <v>122.815458943021</v>
      </c>
      <c r="J9" s="10" t="n">
        <f aca="false">PU!J9/(INPUTS!$B$8*INPUTS!$B$7*(0.85*INPUTS!$B$5*(1-INPUTS!$B$9)+INPUTS!$B$6*INPUTS!$B$9))</f>
        <v>147.576280273197</v>
      </c>
      <c r="K9" s="10" t="n">
        <f aca="false">PU!K9/(INPUTS!$B$8*INPUTS!$B$7*(0.85*INPUTS!$B$5*(1-INPUTS!$B$9)+INPUTS!$B$6*INPUTS!$B$9))</f>
        <v>171.144156054388</v>
      </c>
      <c r="L9" s="10" t="n">
        <f aca="false">PU!L9/(INPUTS!$B$8*INPUTS!$B$7*(0.85*INPUTS!$B$5*(1-INPUTS!$B$9)+INPUTS!$B$6*INPUTS!$B$9))</f>
        <v>195.798830888376</v>
      </c>
      <c r="M9" s="10" t="n">
        <f aca="false">PU!M9/(INPUTS!$B$8*INPUTS!$B$7*(0.85*INPUTS!$B$5*(1-INPUTS!$B$9)+INPUTS!$B$6*INPUTS!$B$9))</f>
        <v>220.899918087721</v>
      </c>
      <c r="N9" s="10" t="n">
        <f aca="false">PU!N9/(INPUTS!$B$8*INPUTS!$B$7*(0.85*INPUTS!$B$5*(1-INPUTS!$B$9)+INPUTS!$B$6*INPUTS!$B$9))</f>
        <v>246.001005287065</v>
      </c>
      <c r="O9" s="10" t="n">
        <f aca="false">PU!O9/(INPUTS!$B$8*INPUTS!$B$7*(0.85*INPUTS!$B$5*(1-INPUTS!$B$9)+INPUTS!$B$6*INPUTS!$B$9))</f>
        <v>271.10209248641</v>
      </c>
      <c r="P9" s="10" t="n">
        <f aca="false">PU!P9/(INPUTS!$B$8*INPUTS!$B$7*(0.85*INPUTS!$B$5*(1-INPUTS!$B$9)+INPUTS!$B$6*INPUTS!$B$9))</f>
        <v>296.496388413136</v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10" t="n">
        <f aca="false">PU!E10/(INPUTS!$B$8*INPUTS!$B$7*(0.85*INPUTS!$B$5*(1-INPUTS!$B$9)+INPUTS!$B$6*INPUTS!$B$9))</f>
        <v>0</v>
      </c>
      <c r="F10" s="10" t="n">
        <f aca="false">PU!F10/(INPUTS!$B$8*INPUTS!$B$7*(0.85*INPUTS!$B$5*(1-INPUTS!$B$9)+INPUTS!$B$6*INPUTS!$B$9))</f>
        <v>48.1337031796857</v>
      </c>
      <c r="G10" s="10" t="n">
        <f aca="false">PU!G10/(INPUTS!$B$8*INPUTS!$B$7*(0.85*INPUTS!$B$5*(1-INPUTS!$B$9)+INPUTS!$B$6*INPUTS!$B$9))</f>
        <v>77.1397709425264</v>
      </c>
      <c r="H10" s="10" t="n">
        <f aca="false">PU!H10/(INPUTS!$B$8*INPUTS!$B$7*(0.85*INPUTS!$B$5*(1-INPUTS!$B$9)+INPUTS!$B$6*INPUTS!$B$9))</f>
        <v>103.966534137361</v>
      </c>
      <c r="I10" s="10" t="n">
        <f aca="false">PU!I10/(INPUTS!$B$8*INPUTS!$B$7*(0.85*INPUTS!$B$5*(1-INPUTS!$B$9)+INPUTS!$B$6*INPUTS!$B$9))</f>
        <v>130.434747979085</v>
      </c>
      <c r="J10" s="10" t="n">
        <f aca="false">PU!J10/(INPUTS!$B$8*INPUTS!$B$7*(0.85*INPUTS!$B$5*(1-INPUTS!$B$9)+INPUTS!$B$6*INPUTS!$B$9))</f>
        <v>156.717363018421</v>
      </c>
      <c r="K10" s="10" t="n">
        <f aca="false">PU!K10/(INPUTS!$B$8*INPUTS!$B$7*(0.85*INPUTS!$B$5*(1-INPUTS!$B$9)+INPUTS!$B$6*INPUTS!$B$9))</f>
        <v>181.766854790348</v>
      </c>
      <c r="L10" s="10" t="n">
        <f aca="false">PU!L10/(INPUTS!$B$8*INPUTS!$B$7*(0.85*INPUTS!$B$5*(1-INPUTS!$B$9)+INPUTS!$B$6*INPUTS!$B$9))</f>
        <v>208.212264502197</v>
      </c>
      <c r="M10" s="10" t="n">
        <f aca="false">PU!M10/(INPUTS!$B$8*INPUTS!$B$7*(0.85*INPUTS!$B$5*(1-INPUTS!$B$9)+INPUTS!$B$6*INPUTS!$B$9))</f>
        <v>234.892024722615</v>
      </c>
      <c r="N10" s="10" t="n">
        <f aca="false">PU!N10/(INPUTS!$B$8*INPUTS!$B$7*(0.85*INPUTS!$B$5*(1-INPUTS!$B$9)+INPUTS!$B$6*INPUTS!$B$9))</f>
        <v>261.571784943034</v>
      </c>
      <c r="O10" s="10" t="n">
        <f aca="false">PU!O10/(INPUTS!$B$8*INPUTS!$B$7*(0.85*INPUTS!$B$5*(1-INPUTS!$B$9)+INPUTS!$B$6*INPUTS!$B$9))</f>
        <v>288.251545163452</v>
      </c>
      <c r="P10" s="10" t="n">
        <f aca="false">PU!P10/(INPUTS!$B$8*INPUTS!$B$7*(0.85*INPUTS!$B$5*(1-INPUTS!$B$9)+INPUTS!$B$6*INPUTS!$B$9))</f>
        <v>315.224514111252</v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10" t="n">
        <f aca="false">PU!E11/(INPUTS!$B$8*INPUTS!$B$7*(0.85*INPUTS!$B$5*(1-INPUTS!$B$9)+INPUTS!$B$6*INPUTS!$B$9))</f>
        <v>0</v>
      </c>
      <c r="F11" s="10" t="n">
        <f aca="false">PU!F11/(INPUTS!$B$8*INPUTS!$B$7*(0.85*INPUTS!$B$5*(1-INPUTS!$B$9)+INPUTS!$B$6*INPUTS!$B$9))</f>
        <v>42.2174026360861</v>
      </c>
      <c r="G11" s="10" t="n">
        <f aca="false">PU!G11/(INPUTS!$B$8*INPUTS!$B$7*(0.85*INPUTS!$B$5*(1-INPUTS!$B$9)+INPUTS!$B$6*INPUTS!$B$9))</f>
        <v>70.1565629030954</v>
      </c>
      <c r="H11" s="10" t="n">
        <f aca="false">PU!H11/(INPUTS!$B$8*INPUTS!$B$7*(0.85*INPUTS!$B$5*(1-INPUTS!$B$9)+INPUTS!$B$6*INPUTS!$B$9))</f>
        <v>96.0361219353335</v>
      </c>
      <c r="I11" s="10" t="n">
        <f aca="false">PU!I11/(INPUTS!$B$8*INPUTS!$B$7*(0.85*INPUTS!$B$5*(1-INPUTS!$B$9)+INPUTS!$B$6*INPUTS!$B$9))</f>
        <v>121.576825765213</v>
      </c>
      <c r="J11" s="10" t="n">
        <f aca="false">PU!J11/(INPUTS!$B$8*INPUTS!$B$7*(0.85*INPUTS!$B$5*(1-INPUTS!$B$9)+INPUTS!$B$6*INPUTS!$B$9))</f>
        <v>146.942125235287</v>
      </c>
      <c r="K11" s="10" t="n">
        <f aca="false">PU!K11/(INPUTS!$B$8*INPUTS!$B$7*(0.85*INPUTS!$B$5*(1-INPUTS!$B$9)+INPUTS!$B$6*INPUTS!$B$9))</f>
        <v>172.195331653319</v>
      </c>
      <c r="L11" s="10" t="n">
        <f aca="false">PU!L11/(INPUTS!$B$8*INPUTS!$B$7*(0.85*INPUTS!$B$5*(1-INPUTS!$B$9)+INPUTS!$B$6*INPUTS!$B$9))</f>
        <v>197.368914912384</v>
      </c>
      <c r="M11" s="10" t="n">
        <f aca="false">PU!M11/(INPUTS!$B$8*INPUTS!$B$7*(0.85*INPUTS!$B$5*(1-INPUTS!$B$9)+INPUTS!$B$6*INPUTS!$B$9))</f>
        <v>222.482163618336</v>
      </c>
      <c r="N11" s="10" t="n">
        <f aca="false">PU!N11/(INPUTS!$B$8*INPUTS!$B$7*(0.85*INPUTS!$B$5*(1-INPUTS!$B$9)+INPUTS!$B$6*INPUTS!$B$9))</f>
        <v>247.563544071288</v>
      </c>
      <c r="O11" s="10" t="n">
        <f aca="false">PU!O11/(INPUTS!$B$8*INPUTS!$B$7*(0.85*INPUTS!$B$5*(1-INPUTS!$B$9)+INPUTS!$B$6*INPUTS!$B$9))</f>
        <v>273.231811750689</v>
      </c>
      <c r="P11" s="10" t="n">
        <f aca="false">PU!P11/(INPUTS!$B$8*INPUTS!$B$7*(0.85*INPUTS!$B$5*(1-INPUTS!$B$9)+INPUTS!$B$6*INPUTS!$B$9))</f>
        <v>299.19328815747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10" t="n">
        <f aca="false">PU!E12/(INPUTS!$B$8*INPUTS!$B$7*(0.85*INPUTS!$B$5*(1-INPUTS!$B$9)+INPUTS!$B$6*INPUTS!$B$9))</f>
        <v>0</v>
      </c>
      <c r="F12" s="10" t="n">
        <f aca="false">PU!F12/(INPUTS!$B$8*INPUTS!$B$7*(0.85*INPUTS!$B$5*(1-INPUTS!$B$9)+INPUTS!$B$6*INPUTS!$B$9))</f>
        <v>13.6675602551692</v>
      </c>
      <c r="G12" s="10" t="n">
        <f aca="false">PU!G12/(INPUTS!$B$8*INPUTS!$B$7*(0.85*INPUTS!$B$5*(1-INPUTS!$B$9)+INPUTS!$B$6*INPUTS!$B$9))</f>
        <v>23.3512051033832</v>
      </c>
      <c r="H12" s="10" t="n">
        <f aca="false">PU!H12/(INPUTS!$B$8*INPUTS!$B$7*(0.85*INPUTS!$B$5*(1-INPUTS!$B$9)+INPUTS!$B$6*INPUTS!$B$9))</f>
        <v>32.1616502666495</v>
      </c>
      <c r="I12" s="10" t="n">
        <f aca="false">PU!I12/(INPUTS!$B$8*INPUTS!$B$7*(0.85*INPUTS!$B$5*(1-INPUTS!$B$9)+INPUTS!$B$6*INPUTS!$B$9))</f>
        <v>40.6628853857861</v>
      </c>
      <c r="J12" s="10" t="n">
        <f aca="false">PU!J12/(INPUTS!$B$8*INPUTS!$B$7*(0.85*INPUTS!$B$5*(1-INPUTS!$B$9)+INPUTS!$B$6*INPUTS!$B$9))</f>
        <v>49.0721176798484</v>
      </c>
      <c r="K12" s="10" t="n">
        <f aca="false">PU!K12/(INPUTS!$B$8*INPUTS!$B$7*(0.85*INPUTS!$B$5*(1-INPUTS!$B$9)+INPUTS!$B$6*INPUTS!$B$9))</f>
        <v>56.836838444402</v>
      </c>
      <c r="L12" s="10" t="n">
        <f aca="false">PU!L12/(INPUTS!$B$8*INPUTS!$B$7*(0.85*INPUTS!$B$5*(1-INPUTS!$B$9)+INPUTS!$B$6*INPUTS!$B$9))</f>
        <v>64.5664664602675</v>
      </c>
      <c r="M12" s="10" t="n">
        <f aca="false">PU!M12/(INPUTS!$B$8*INPUTS!$B$7*(0.85*INPUTS!$B$5*(1-INPUTS!$B$9)+INPUTS!$B$6*INPUTS!$B$9))</f>
        <v>72.268954021105</v>
      </c>
      <c r="N12" s="10" t="n">
        <f aca="false">PU!N12/(INPUTS!$B$8*INPUTS!$B$7*(0.85*INPUTS!$B$5*(1-INPUTS!$B$9)+INPUTS!$B$6*INPUTS!$B$9))</f>
        <v>79.9496385903051</v>
      </c>
      <c r="O12" s="10" t="n">
        <f aca="false">PU!O12/(INPUTS!$B$8*INPUTS!$B$7*(0.85*INPUTS!$B$5*(1-INPUTS!$B$9)+INPUTS!$B$6*INPUTS!$B$9))</f>
        <v>87.6123083721204</v>
      </c>
      <c r="P12" s="10" t="n">
        <f aca="false">PU!P12/(INPUTS!$B$8*INPUTS!$B$7*(0.85*INPUTS!$B$5*(1-INPUTS!$B$9)+INPUTS!$B$6*INPUTS!$B$9))</f>
        <v>95.4552396274265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10" t="n">
        <f aca="false">PU!E13/(INPUTS!$B$8*INPUTS!$B$7*(0.85*INPUTS!$B$5*(1-INPUTS!$B$9)+INPUTS!$B$6*INPUTS!$B$9))</f>
        <v>0</v>
      </c>
      <c r="F13" s="10" t="n">
        <f aca="false">PU!F13/(INPUTS!$B$8*INPUTS!$B$7*(0.85*INPUTS!$B$5*(1-INPUTS!$B$9)+INPUTS!$B$6*INPUTS!$B$9))</f>
        <v>48.7219822771614</v>
      </c>
      <c r="G13" s="10" t="n">
        <f aca="false">PU!G13/(INPUTS!$B$8*INPUTS!$B$7*(0.85*INPUTS!$B$5*(1-INPUTS!$B$9)+INPUTS!$B$6*INPUTS!$B$9))</f>
        <v>78.0496850368535</v>
      </c>
      <c r="H13" s="10" t="n">
        <f aca="false">PU!H13/(INPUTS!$B$8*INPUTS!$B$7*(0.85*INPUTS!$B$5*(1-INPUTS!$B$9)+INPUTS!$B$6*INPUTS!$B$9))</f>
        <v>105.184157818045</v>
      </c>
      <c r="I13" s="10" t="n">
        <f aca="false">PU!I13/(INPUTS!$B$8*INPUTS!$B$7*(0.85*INPUTS!$B$5*(1-INPUTS!$B$9)+INPUTS!$B$6*INPUTS!$B$9))</f>
        <v>131.957790172635</v>
      </c>
      <c r="J13" s="10" t="n">
        <f aca="false">PU!J13/(INPUTS!$B$8*INPUTS!$B$7*(0.85*INPUTS!$B$5*(1-INPUTS!$B$9)+INPUTS!$B$6*INPUTS!$B$9))</f>
        <v>158.544637777929</v>
      </c>
      <c r="K13" s="10" t="n">
        <f aca="false">PU!K13/(INPUTS!$B$8*INPUTS!$B$7*(0.85*INPUTS!$B$5*(1-INPUTS!$B$9)+INPUTS!$B$6*INPUTS!$B$9))</f>
        <v>183.890482653742</v>
      </c>
      <c r="L13" s="10" t="n">
        <f aca="false">PU!L13/(INPUTS!$B$8*INPUTS!$B$7*(0.85*INPUTS!$B$5*(1-INPUTS!$B$9)+INPUTS!$B$6*INPUTS!$B$9))</f>
        <v>210.694951224961</v>
      </c>
      <c r="M13" s="10" t="n">
        <f aca="false">PU!M13/(INPUTS!$B$8*INPUTS!$B$7*(0.85*INPUTS!$B$5*(1-INPUTS!$B$9)+INPUTS!$B$6*INPUTS!$B$9))</f>
        <v>237.690446049594</v>
      </c>
      <c r="N13" s="10" t="n">
        <f aca="false">PU!N13/(INPUTS!$B$8*INPUTS!$B$7*(0.85*INPUTS!$B$5*(1-INPUTS!$B$9)+INPUTS!$B$6*INPUTS!$B$9))</f>
        <v>264.685940874227</v>
      </c>
      <c r="O13" s="10" t="n">
        <f aca="false">PU!O13/(INPUTS!$B$8*INPUTS!$B$7*(0.85*INPUTS!$B$5*(1-INPUTS!$B$9)+INPUTS!$B$6*INPUTS!$B$9))</f>
        <v>291.681435698861</v>
      </c>
      <c r="P13" s="10" t="n">
        <f aca="false">PU!P13/(INPUTS!$B$8*INPUTS!$B$7*(0.85*INPUTS!$B$5*(1-INPUTS!$B$9)+INPUTS!$B$6*INPUTS!$B$9))</f>
        <v>318.970139250875</v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10" t="n">
        <f aca="false">PU!E14/(INPUTS!$B$8*INPUTS!$B$7*(0.85*INPUTS!$B$5*(1-INPUTS!$B$9)+INPUTS!$B$6*INPUTS!$B$9))</f>
        <v>0</v>
      </c>
      <c r="F14" s="10" t="n">
        <f aca="false">PU!F14/(INPUTS!$B$8*INPUTS!$B$7*(0.85*INPUTS!$B$5*(1-INPUTS!$B$9)+INPUTS!$B$6*INPUTS!$B$9))</f>
        <v>31.7711048228957</v>
      </c>
      <c r="G14" s="10" t="n">
        <f aca="false">PU!G14/(INPUTS!$B$8*INPUTS!$B$7*(0.85*INPUTS!$B$5*(1-INPUTS!$B$9)+INPUTS!$B$6*INPUTS!$B$9))</f>
        <v>52.1517906196934</v>
      </c>
      <c r="H14" s="10" t="n">
        <f aca="false">PU!H14/(INPUTS!$B$8*INPUTS!$B$7*(0.85*INPUTS!$B$5*(1-INPUTS!$B$9)+INPUTS!$B$6*INPUTS!$B$9))</f>
        <v>70.8110580656701</v>
      </c>
      <c r="I14" s="10" t="n">
        <f aca="false">PU!I14/(INPUTS!$B$8*INPUTS!$B$7*(0.85*INPUTS!$B$5*(1-INPUTS!$B$9)+INPUTS!$B$6*INPUTS!$B$9))</f>
        <v>89.187109734843</v>
      </c>
      <c r="J14" s="10" t="n">
        <f aca="false">PU!J14/(INPUTS!$B$8*INPUTS!$B$7*(0.85*INPUTS!$B$5*(1-INPUTS!$B$9)+INPUTS!$B$6*INPUTS!$B$9))</f>
        <v>107.416558130195</v>
      </c>
      <c r="K14" s="10" t="n">
        <f aca="false">PU!K14/(INPUTS!$B$8*INPUTS!$B$7*(0.85*INPUTS!$B$5*(1-INPUTS!$B$9)+INPUTS!$B$6*INPUTS!$B$9))</f>
        <v>125.145037336249</v>
      </c>
      <c r="L14" s="10" t="n">
        <f aca="false">PU!L14/(INPUTS!$B$8*INPUTS!$B$7*(0.85*INPUTS!$B$5*(1-INPUTS!$B$9)+INPUTS!$B$6*INPUTS!$B$9))</f>
        <v>142.81084818068</v>
      </c>
      <c r="M14" s="10" t="n">
        <f aca="false">PU!M14/(INPUTS!$B$8*INPUTS!$B$7*(0.85*INPUTS!$B$5*(1-INPUTS!$B$9)+INPUTS!$B$6*INPUTS!$B$9))</f>
        <v>160.428828452973</v>
      </c>
      <c r="N14" s="10" t="n">
        <f aca="false">PU!N14/(INPUTS!$B$8*INPUTS!$B$7*(0.85*INPUTS!$B$5*(1-INPUTS!$B$9)+INPUTS!$B$6*INPUTS!$B$9))</f>
        <v>178.008747306574</v>
      </c>
      <c r="O14" s="10" t="n">
        <f aca="false">PU!O14/(INPUTS!$B$8*INPUTS!$B$7*(0.85*INPUTS!$B$5*(1-INPUTS!$B$9)+INPUTS!$B$6*INPUTS!$B$9))</f>
        <v>195.557441702155</v>
      </c>
      <c r="P14" s="10" t="n">
        <f aca="false">PU!P14/(INPUTS!$B$8*INPUTS!$B$7*(0.85*INPUTS!$B$5*(1-INPUTS!$B$9)+INPUTS!$B$6*INPUTS!$B$9))</f>
        <v>213.373126757046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10" t="n">
        <f aca="false">PU!E15/(INPUTS!$B$8*INPUTS!$B$7*(0.85*INPUTS!$B$5*(1-INPUTS!$B$9)+INPUTS!$B$6*INPUTS!$B$9))</f>
        <v>0</v>
      </c>
      <c r="F15" s="10" t="n">
        <f aca="false">PU!F15/(INPUTS!$B$8*INPUTS!$B$7*(0.85*INPUTS!$B$5*(1-INPUTS!$B$9)+INPUTS!$B$6*INPUTS!$B$9))</f>
        <v>30.4608186263559</v>
      </c>
      <c r="G15" s="10" t="n">
        <f aca="false">PU!G15/(INPUTS!$B$8*INPUTS!$B$7*(0.85*INPUTS!$B$5*(1-INPUTS!$B$9)+INPUTS!$B$6*INPUTS!$B$9))</f>
        <v>48.7913365413534</v>
      </c>
      <c r="H15" s="10" t="n">
        <f aca="false">PU!H15/(INPUTS!$B$8*INPUTS!$B$7*(0.85*INPUTS!$B$5*(1-INPUTS!$B$9)+INPUTS!$B$6*INPUTS!$B$9))</f>
        <v>65.48815232031</v>
      </c>
      <c r="I15" s="10" t="n">
        <f aca="false">PU!I15/(INPUTS!$B$8*INPUTS!$B$7*(0.85*INPUTS!$B$5*(1-INPUTS!$B$9)+INPUTS!$B$6*INPUTS!$B$9))</f>
        <v>81.9161838032795</v>
      </c>
      <c r="J15" s="10" t="n">
        <f aca="false">PU!J15/(INPUTS!$B$8*INPUTS!$B$7*(0.85*INPUTS!$B$5*(1-INPUTS!$B$9)+INPUTS!$B$6*INPUTS!$B$9))</f>
        <v>98.2050822965972</v>
      </c>
      <c r="K15" s="10" t="n">
        <f aca="false">PU!K15/(INPUTS!$B$8*INPUTS!$B$7*(0.85*INPUTS!$B$5*(1-INPUTS!$B$9)+INPUTS!$B$6*INPUTS!$B$9))</f>
        <v>114.405067142231</v>
      </c>
      <c r="L15" s="10" t="n">
        <f aca="false">PU!L15/(INPUTS!$B$8*INPUTS!$B$7*(0.85*INPUTS!$B$5*(1-INPUTS!$B$9)+INPUTS!$B$6*INPUTS!$B$9))</f>
        <v>130.541893876146</v>
      </c>
      <c r="M15" s="10" t="n">
        <f aca="false">PU!M15/(INPUTS!$B$8*INPUTS!$B$7*(0.85*INPUTS!$B$5*(1-INPUTS!$B$9)+INPUTS!$B$6*INPUTS!$B$9))</f>
        <v>146.63086246809</v>
      </c>
      <c r="N15" s="10" t="n">
        <f aca="false">PU!N15/(INPUTS!$B$8*INPUTS!$B$7*(0.85*INPUTS!$B$5*(1-INPUTS!$B$9)+INPUTS!$B$6*INPUTS!$B$9))</f>
        <v>162.681941694757</v>
      </c>
      <c r="O15" s="10" t="n">
        <f aca="false">PU!O15/(INPUTS!$B$8*INPUTS!$B$7*(0.85*INPUTS!$B$5*(1-INPUTS!$B$9)+INPUTS!$B$6*INPUTS!$B$9))</f>
        <v>178.702055892087</v>
      </c>
      <c r="P15" s="10" t="n">
        <f aca="false">PU!P15/(INPUTS!$B$8*INPUTS!$B$7*(0.85*INPUTS!$B$5*(1-INPUTS!$B$9)+INPUTS!$B$6*INPUTS!$B$9))</f>
        <v>194.891719111853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10" t="n">
        <f aca="false">PU!E16/(INPUTS!$B$8*INPUTS!$B$7*(0.85*INPUTS!$B$5*(1-INPUTS!$B$9)+INPUTS!$B$6*INPUTS!$B$9))</f>
        <v>0</v>
      </c>
      <c r="F16" s="10" t="n">
        <f aca="false">PU!F16/(INPUTS!$B$8*INPUTS!$B$7*(0.85*INPUTS!$B$5*(1-INPUTS!$B$9)+INPUTS!$B$6*INPUTS!$B$9))</f>
        <v>36.3051356516991</v>
      </c>
      <c r="G16" s="10" t="n">
        <f aca="false">PU!G16/(INPUTS!$B$8*INPUTS!$B$7*(0.85*INPUTS!$B$5*(1-INPUTS!$B$9)+INPUTS!$B$6*INPUTS!$B$9))</f>
        <v>58.5371795114217</v>
      </c>
      <c r="H16" s="10" t="n">
        <f aca="false">PU!H16/(INPUTS!$B$8*INPUTS!$B$7*(0.85*INPUTS!$B$5*(1-INPUTS!$B$9)+INPUTS!$B$6*INPUTS!$B$9))</f>
        <v>78.8711666827371</v>
      </c>
      <c r="I16" s="10" t="n">
        <f aca="false">PU!I16/(INPUTS!$B$8*INPUTS!$B$7*(0.85*INPUTS!$B$5*(1-INPUTS!$B$9)+INPUTS!$B$6*INPUTS!$B$9))</f>
        <v>98.8928767140021</v>
      </c>
      <c r="J16" s="10" t="n">
        <f aca="false">PU!J16/(INPUTS!$B$8*INPUTS!$B$7*(0.85*INPUTS!$B$5*(1-INPUTS!$B$9)+INPUTS!$B$6*INPUTS!$B$9))</f>
        <v>118.752940202877</v>
      </c>
      <c r="K16" s="10" t="n">
        <f aca="false">PU!K16/(INPUTS!$B$8*INPUTS!$B$7*(0.85*INPUTS!$B$5*(1-INPUTS!$B$9)+INPUTS!$B$6*INPUTS!$B$9))</f>
        <v>137.53901986237</v>
      </c>
      <c r="L16" s="10" t="n">
        <f aca="false">PU!L16/(INPUTS!$B$8*INPUTS!$B$7*(0.85*INPUTS!$B$5*(1-INPUTS!$B$9)+INPUTS!$B$6*INPUTS!$B$9))</f>
        <v>157.129757445855</v>
      </c>
      <c r="M16" s="10" t="n">
        <f aca="false">PU!M16/(INPUTS!$B$8*INPUTS!$B$7*(0.85*INPUTS!$B$5*(1-INPUTS!$B$9)+INPUTS!$B$6*INPUTS!$B$9))</f>
        <v>176.672342093845</v>
      </c>
      <c r="N16" s="10" t="n">
        <f aca="false">PU!N16/(INPUTS!$B$8*INPUTS!$B$7*(0.85*INPUTS!$B$5*(1-INPUTS!$B$9)+INPUTS!$B$6*INPUTS!$B$9))</f>
        <v>196.699307468911</v>
      </c>
      <c r="O16" s="10" t="n">
        <f aca="false">PU!O16/(INPUTS!$B$8*INPUTS!$B$7*(0.85*INPUTS!$B$5*(1-INPUTS!$B$9)+INPUTS!$B$6*INPUTS!$B$9))</f>
        <v>216.748578946062</v>
      </c>
      <c r="P16" s="10" t="n">
        <f aca="false">PU!P16/(INPUTS!$B$8*INPUTS!$B$7*(0.85*INPUTS!$B$5*(1-INPUTS!$B$9)+INPUTS!$B$6*INPUTS!$B$9))</f>
        <v>236.993322908134</v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10" t="n">
        <f aca="false">PU!E17/(INPUTS!$B$8*INPUTS!$B$7*(0.85*INPUTS!$B$5*(1-INPUTS!$B$9)+INPUTS!$B$6*INPUTS!$B$9))</f>
        <v>0</v>
      </c>
      <c r="F17" s="10" t="n">
        <f aca="false">PU!F17/(INPUTS!$B$8*INPUTS!$B$7*(0.85*INPUTS!$B$5*(1-INPUTS!$B$9)+INPUTS!$B$6*INPUTS!$B$9))</f>
        <v>28.4499342219575</v>
      </c>
      <c r="G17" s="10" t="n">
        <f aca="false">PU!G17/(INPUTS!$B$8*INPUTS!$B$7*(0.85*INPUTS!$B$5*(1-INPUTS!$B$9)+INPUTS!$B$6*INPUTS!$B$9))</f>
        <v>49.9277551872456</v>
      </c>
      <c r="H17" s="10" t="n">
        <f aca="false">PU!H17/(INPUTS!$B$8*INPUTS!$B$7*(0.85*INPUTS!$B$5*(1-INPUTS!$B$9)+INPUTS!$B$6*INPUTS!$B$9))</f>
        <v>69.6376245955677</v>
      </c>
      <c r="I17" s="10" t="n">
        <f aca="false">PU!I17/(INPUTS!$B$8*INPUTS!$B$7*(0.85*INPUTS!$B$5*(1-INPUTS!$B$9)+INPUTS!$B$6*INPUTS!$B$9))</f>
        <v>89.0566223669524</v>
      </c>
      <c r="J17" s="10" t="n">
        <f aca="false">PU!J17/(INPUTS!$B$8*INPUTS!$B$7*(0.85*INPUTS!$B$5*(1-INPUTS!$B$9)+INPUTS!$B$6*INPUTS!$B$9))</f>
        <v>108.325053899698</v>
      </c>
      <c r="K17" s="10" t="n">
        <f aca="false">PU!K17/(INPUTS!$B$8*INPUTS!$B$7*(0.85*INPUTS!$B$5*(1-INPUTS!$B$9)+INPUTS!$B$6*INPUTS!$B$9))</f>
        <v>127.497265308597</v>
      </c>
      <c r="L17" s="10" t="n">
        <f aca="false">PU!L17/(INPUTS!$B$8*INPUTS!$B$7*(0.85*INPUTS!$B$5*(1-INPUTS!$B$9)+INPUTS!$B$6*INPUTS!$B$9))</f>
        <v>146.601128589962</v>
      </c>
      <c r="M17" s="10" t="n">
        <f aca="false">PU!M17/(INPUTS!$B$8*INPUTS!$B$7*(0.85*INPUTS!$B$5*(1-INPUTS!$B$9)+INPUTS!$B$6*INPUTS!$B$9))</f>
        <v>165.653200988064</v>
      </c>
      <c r="N17" s="10" t="n">
        <f aca="false">PU!N17/(INPUTS!$B$8*INPUTS!$B$7*(0.85*INPUTS!$B$5*(1-INPUTS!$B$9)+INPUTS!$B$6*INPUTS!$B$9))</f>
        <v>184.664270463506</v>
      </c>
      <c r="O17" s="10" t="n">
        <f aca="false">PU!O17/(INPUTS!$B$8*INPUTS!$B$7*(0.85*INPUTS!$B$5*(1-INPUTS!$B$9)+INPUTS!$B$6*INPUTS!$B$9))</f>
        <v>203.641830359314</v>
      </c>
      <c r="P17" s="10" t="n">
        <f aca="false">PU!P17/(INPUTS!$B$8*INPUTS!$B$7*(0.85*INPUTS!$B$5*(1-INPUTS!$B$9)+INPUTS!$B$6*INPUTS!$B$9))</f>
        <v>222.884545260316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10" t="n">
        <f aca="false">PU!E18/(INPUTS!$B$8*INPUTS!$B$7*(0.85*INPUTS!$B$5*(1-INPUTS!$B$9)+INPUTS!$B$6*INPUTS!$B$9))</f>
        <v>0</v>
      </c>
      <c r="F18" s="10" t="n">
        <f aca="false">PU!F18/(INPUTS!$B$8*INPUTS!$B$7*(0.85*INPUTS!$B$5*(1-INPUTS!$B$9)+INPUTS!$B$6*INPUTS!$B$9))</f>
        <v>38.3290515550922</v>
      </c>
      <c r="G18" s="10" t="n">
        <f aca="false">PU!G18/(INPUTS!$B$8*INPUTS!$B$7*(0.85*INPUTS!$B$5*(1-INPUTS!$B$9)+INPUTS!$B$6*INPUTS!$B$9))</f>
        <v>61.9494125104051</v>
      </c>
      <c r="H18" s="10" t="n">
        <f aca="false">PU!H18/(INPUTS!$B$8*INPUTS!$B$7*(0.85*INPUTS!$B$5*(1-INPUTS!$B$9)+INPUTS!$B$6*INPUTS!$B$9))</f>
        <v>83.6372760938152</v>
      </c>
      <c r="I18" s="10" t="n">
        <f aca="false">PU!I18/(INPUTS!$B$8*INPUTS!$B$7*(0.85*INPUTS!$B$5*(1-INPUTS!$B$9)+INPUTS!$B$6*INPUTS!$B$9))</f>
        <v>105.007196195274</v>
      </c>
      <c r="J18" s="10" t="n">
        <f aca="false">PU!J18/(INPUTS!$B$8*INPUTS!$B$7*(0.85*INPUTS!$B$5*(1-INPUTS!$B$9)+INPUTS!$B$6*INPUTS!$B$9))</f>
        <v>126.212536639943</v>
      </c>
      <c r="K18" s="10" t="n">
        <f aca="false">PU!K18/(INPUTS!$B$8*INPUTS!$B$7*(0.85*INPUTS!$B$5*(1-INPUTS!$B$9)+INPUTS!$B$6*INPUTS!$B$9))</f>
        <v>146.324405566916</v>
      </c>
      <c r="L18" s="10" t="n">
        <f aca="false">PU!L18/(INPUTS!$B$8*INPUTS!$B$7*(0.85*INPUTS!$B$5*(1-INPUTS!$B$9)+INPUTS!$B$6*INPUTS!$B$9))</f>
        <v>167.255533124514</v>
      </c>
      <c r="M18" s="10" t="n">
        <f aca="false">PU!M18/(INPUTS!$B$8*INPUTS!$B$7*(0.85*INPUTS!$B$5*(1-INPUTS!$B$9)+INPUTS!$B$6*INPUTS!$B$9))</f>
        <v>188.251669272966</v>
      </c>
      <c r="N18" s="10" t="n">
        <f aca="false">PU!N18/(INPUTS!$B$8*INPUTS!$B$7*(0.85*INPUTS!$B$5*(1-INPUTS!$B$9)+INPUTS!$B$6*INPUTS!$B$9))</f>
        <v>209.669186089806</v>
      </c>
      <c r="O18" s="10" t="n">
        <f aca="false">PU!O18/(INPUTS!$B$8*INPUTS!$B$7*(0.85*INPUTS!$B$5*(1-INPUTS!$B$9)+INPUTS!$B$6*INPUTS!$B$9))</f>
        <v>231.086702906645</v>
      </c>
      <c r="P18" s="10" t="n">
        <f aca="false">PU!P18/(INPUTS!$B$8*INPUTS!$B$7*(0.85*INPUTS!$B$5*(1-INPUTS!$B$9)+INPUTS!$B$6*INPUTS!$B$9))</f>
        <v>252.797428450865</v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10" t="n">
        <f aca="false">PU!E19/(INPUTS!$B$8*INPUTS!$B$7*(0.85*INPUTS!$B$5*(1-INPUTS!$B$9)+INPUTS!$B$6*INPUTS!$B$9))</f>
        <v>0</v>
      </c>
      <c r="F19" s="10" t="n">
        <f aca="false">PU!F19/(INPUTS!$B$8*INPUTS!$B$7*(0.85*INPUTS!$B$5*(1-INPUTS!$B$9)+INPUTS!$B$6*INPUTS!$B$9))</f>
        <v>57.3500757068037</v>
      </c>
      <c r="G19" s="10" t="n">
        <f aca="false">PU!G19/(INPUTS!$B$8*INPUTS!$B$7*(0.85*INPUTS!$B$5*(1-INPUTS!$B$9)+INPUTS!$B$6*INPUTS!$B$9))</f>
        <v>91.3791972929526</v>
      </c>
      <c r="H19" s="10" t="n">
        <f aca="false">PU!H19/(INPUTS!$B$8*INPUTS!$B$7*(0.85*INPUTS!$B$5*(1-INPUTS!$B$9)+INPUTS!$B$6*INPUTS!$B$9))</f>
        <v>123.020160306186</v>
      </c>
      <c r="I19" s="10" t="n">
        <f aca="false">PU!I19/(INPUTS!$B$8*INPUTS!$B$7*(0.85*INPUTS!$B$5*(1-INPUTS!$B$9)+INPUTS!$B$6*INPUTS!$B$9))</f>
        <v>154.268212331201</v>
      </c>
      <c r="J19" s="10" t="n">
        <f aca="false">PU!J19/(INPUTS!$B$8*INPUTS!$B$7*(0.85*INPUTS!$B$5*(1-INPUTS!$B$9)+INPUTS!$B$6*INPUTS!$B$9))</f>
        <v>185.312878662655</v>
      </c>
      <c r="K19" s="10" t="n">
        <f aca="false">PU!K19/(INPUTS!$B$8*INPUTS!$B$7*(0.85*INPUTS!$B$5*(1-INPUTS!$B$9)+INPUTS!$B$6*INPUTS!$B$9))</f>
        <v>215.481420805719</v>
      </c>
      <c r="L19" s="10" t="n">
        <f aca="false">PU!L19/(INPUTS!$B$8*INPUTS!$B$7*(0.85*INPUTS!$B$5*(1-INPUTS!$B$9)+INPUTS!$B$6*INPUTS!$B$9))</f>
        <v>247.107689825502</v>
      </c>
      <c r="M19" s="10" t="n">
        <f aca="false">PU!M19/(INPUTS!$B$8*INPUTS!$B$7*(0.85*INPUTS!$B$5*(1-INPUTS!$B$9)+INPUTS!$B$6*INPUTS!$B$9))</f>
        <v>278.733958845285</v>
      </c>
      <c r="N19" s="10" t="n">
        <f aca="false">PU!N19/(INPUTS!$B$8*INPUTS!$B$7*(0.85*INPUTS!$B$5*(1-INPUTS!$B$9)+INPUTS!$B$6*INPUTS!$B$9))</f>
        <v>310.360227865068</v>
      </c>
      <c r="O19" s="10" t="n">
        <f aca="false">PU!O19/(INPUTS!$B$8*INPUTS!$B$7*(0.85*INPUTS!$B$5*(1-INPUTS!$B$9)+INPUTS!$B$6*INPUTS!$B$9))</f>
        <v>341.986496884851</v>
      </c>
      <c r="P19" s="10" t="n">
        <f aca="false">PU!P19/(INPUTS!$B$8*INPUTS!$B$7*(0.85*INPUTS!$B$5*(1-INPUTS!$B$9)+INPUTS!$B$6*INPUTS!$B$9))</f>
        <v>373.905974632015</v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10" t="n">
        <f aca="false">PU!E20/(INPUTS!$B$8*INPUTS!$B$7*(0.85*INPUTS!$B$5*(1-INPUTS!$B$9)+INPUTS!$B$6*INPUTS!$B$9))</f>
        <v>0</v>
      </c>
      <c r="F20" s="10" t="n">
        <f aca="false">PU!F20/(INPUTS!$B$8*INPUTS!$B$7*(0.85*INPUTS!$B$5*(1-INPUTS!$B$9)+INPUTS!$B$6*INPUTS!$B$9))</f>
        <v>14.897175267456</v>
      </c>
      <c r="G20" s="10" t="n">
        <f aca="false">PU!G20/(INPUTS!$B$8*INPUTS!$B$7*(0.85*INPUTS!$B$5*(1-INPUTS!$B$9)+INPUTS!$B$6*INPUTS!$B$9))</f>
        <v>25.712211264299</v>
      </c>
      <c r="H20" s="10" t="n">
        <f aca="false">PU!H20/(INPUTS!$B$8*INPUTS!$B$7*(0.85*INPUTS!$B$5*(1-INPUTS!$B$9)+INPUTS!$B$6*INPUTS!$B$9))</f>
        <v>35.3310451653881</v>
      </c>
      <c r="I20" s="10" t="n">
        <f aca="false">PU!I20/(INPUTS!$B$8*INPUTS!$B$7*(0.85*INPUTS!$B$5*(1-INPUTS!$B$9)+INPUTS!$B$6*INPUTS!$B$9))</f>
        <v>44.7530743178806</v>
      </c>
      <c r="J20" s="10" t="n">
        <f aca="false">PU!J20/(INPUTS!$B$8*INPUTS!$B$7*(0.85*INPUTS!$B$5*(1-INPUTS!$B$9)+INPUTS!$B$6*INPUTS!$B$9))</f>
        <v>54.0732298361661</v>
      </c>
      <c r="K20" s="10" t="n">
        <f aca="false">PU!K20/(INPUTS!$B$8*INPUTS!$B$7*(0.85*INPUTS!$B$5*(1-INPUTS!$B$9)+INPUTS!$B$6*INPUTS!$B$9))</f>
        <v>63.0109477069448</v>
      </c>
      <c r="L20" s="10" t="n">
        <f aca="false">PU!L20/(INPUTS!$B$8*INPUTS!$B$7*(0.85*INPUTS!$B$5*(1-INPUTS!$B$9)+INPUTS!$B$6*INPUTS!$B$9))</f>
        <v>71.9057632488494</v>
      </c>
      <c r="M20" s="10" t="n">
        <f aca="false">PU!M20/(INPUTS!$B$8*INPUTS!$B$7*(0.85*INPUTS!$B$5*(1-INPUTS!$B$9)+INPUTS!$B$6*INPUTS!$B$9))</f>
        <v>80.7677764307925</v>
      </c>
      <c r="N20" s="10" t="n">
        <f aca="false">PU!N20/(INPUTS!$B$8*INPUTS!$B$7*(0.85*INPUTS!$B$5*(1-INPUTS!$B$9)+INPUTS!$B$6*INPUTS!$B$9))</f>
        <v>89.6036541097379</v>
      </c>
      <c r="O20" s="10" t="n">
        <f aca="false">PU!O20/(INPUTS!$B$8*INPUTS!$B$7*(0.85*INPUTS!$B$5*(1-INPUTS!$B$9)+INPUTS!$B$6*INPUTS!$B$9))</f>
        <v>98.4180707720808</v>
      </c>
      <c r="P20" s="10" t="n">
        <f aca="false">PU!P20/(INPUTS!$B$8*INPUTS!$B$7*(0.85*INPUTS!$B$5*(1-INPUTS!$B$9)+INPUTS!$B$6*INPUTS!$B$9))</f>
        <v>107.340115042281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10" t="n">
        <f aca="false">PU!E21/(INPUTS!$B$8*INPUTS!$B$7*(0.85*INPUTS!$B$5*(1-INPUTS!$B$9)+INPUTS!$B$6*INPUTS!$B$9))</f>
        <v>0</v>
      </c>
      <c r="F21" s="10" t="n">
        <f aca="false">PU!F21/(INPUTS!$B$8*INPUTS!$B$7*(0.85*INPUTS!$B$5*(1-INPUTS!$B$9)+INPUTS!$B$6*INPUTS!$B$9))</f>
        <v>44.0827686350436</v>
      </c>
      <c r="G21" s="10" t="n">
        <f aca="false">PU!G21/(INPUTS!$B$8*INPUTS!$B$7*(0.85*INPUTS!$B$5*(1-INPUTS!$B$9)+INPUTS!$B$6*INPUTS!$B$9))</f>
        <v>71.4594264848311</v>
      </c>
      <c r="H21" s="10" t="n">
        <f aca="false">PU!H21/(INPUTS!$B$8*INPUTS!$B$7*(0.85*INPUTS!$B$5*(1-INPUTS!$B$9)+INPUTS!$B$6*INPUTS!$B$9))</f>
        <v>96.7715617039784</v>
      </c>
      <c r="I21" s="10" t="n">
        <f aca="false">PU!I21/(INPUTS!$B$8*INPUTS!$B$7*(0.85*INPUTS!$B$5*(1-INPUTS!$B$9)+INPUTS!$B$6*INPUTS!$B$9))</f>
        <v>121.744032029762</v>
      </c>
      <c r="J21" s="10" t="n">
        <f aca="false">PU!J21/(INPUTS!$B$8*INPUTS!$B$7*(0.85*INPUTS!$B$5*(1-INPUTS!$B$9)+INPUTS!$B$6*INPUTS!$B$9))</f>
        <v>146.48482958743</v>
      </c>
      <c r="K21" s="10" t="n">
        <f aca="false">PU!K21/(INPUTS!$B$8*INPUTS!$B$7*(0.85*INPUTS!$B$5*(1-INPUTS!$B$9)+INPUTS!$B$6*INPUTS!$B$9))</f>
        <v>171.018880572532</v>
      </c>
      <c r="L21" s="10" t="n">
        <f aca="false">PU!L21/(INPUTS!$B$8*INPUTS!$B$7*(0.85*INPUTS!$B$5*(1-INPUTS!$B$9)+INPUTS!$B$6*INPUTS!$B$9))</f>
        <v>195.474422285784</v>
      </c>
      <c r="M21" s="10" t="n">
        <f aca="false">PU!M21/(INPUTS!$B$8*INPUTS!$B$7*(0.85*INPUTS!$B$5*(1-INPUTS!$B$9)+INPUTS!$B$6*INPUTS!$B$9))</f>
        <v>219.870354815288</v>
      </c>
      <c r="N21" s="10" t="n">
        <f aca="false">PU!N21/(INPUTS!$B$8*INPUTS!$B$7*(0.85*INPUTS!$B$5*(1-INPUTS!$B$9)+INPUTS!$B$6*INPUTS!$B$9))</f>
        <v>244.234926899496</v>
      </c>
      <c r="O21" s="10" t="n">
        <f aca="false">PU!O21/(INPUTS!$B$8*INPUTS!$B$7*(0.85*INPUTS!$B$5*(1-INPUTS!$B$9)+INPUTS!$B$6*INPUTS!$B$9))</f>
        <v>269.18360761536</v>
      </c>
      <c r="P21" s="10" t="n">
        <f aca="false">PU!P21/(INPUTS!$B$8*INPUTS!$B$7*(0.85*INPUTS!$B$5*(1-INPUTS!$B$9)+INPUTS!$B$6*INPUTS!$B$9))</f>
        <v>294.425497058605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10" t="n">
        <f aca="false">PU!E22/(INPUTS!$B$8*INPUTS!$B$7*(0.85*INPUTS!$B$5*(1-INPUTS!$B$9)+INPUTS!$B$6*INPUTS!$B$9))</f>
        <v>0</v>
      </c>
      <c r="F22" s="10" t="n">
        <f aca="false">PU!F22/(INPUTS!$B$8*INPUTS!$B$7*(0.85*INPUTS!$B$5*(1-INPUTS!$B$9)+INPUTS!$B$6*INPUTS!$B$9))</f>
        <v>40.886948643483</v>
      </c>
      <c r="G22" s="10" t="n">
        <f aca="false">PU!G22/(INPUTS!$B$8*INPUTS!$B$7*(0.85*INPUTS!$B$5*(1-INPUTS!$B$9)+INPUTS!$B$6*INPUTS!$B$9))</f>
        <v>68.8779485887356</v>
      </c>
      <c r="H22" s="10" t="n">
        <f aca="false">PU!H22/(INPUTS!$B$8*INPUTS!$B$7*(0.85*INPUTS!$B$5*(1-INPUTS!$B$9)+INPUTS!$B$6*INPUTS!$B$9))</f>
        <v>94.8044259033479</v>
      </c>
      <c r="I22" s="10" t="n">
        <f aca="false">PU!I22/(INPUTS!$B$8*INPUTS!$B$7*(0.85*INPUTS!$B$5*(1-INPUTS!$B$9)+INPUTS!$B$6*INPUTS!$B$9))</f>
        <v>120.391238324597</v>
      </c>
      <c r="J22" s="10" t="n">
        <f aca="false">PU!J22/(INPUTS!$B$8*INPUTS!$B$7*(0.85*INPUTS!$B$5*(1-INPUTS!$B$9)+INPUTS!$B$6*INPUTS!$B$9))</f>
        <v>145.802227259135</v>
      </c>
      <c r="K22" s="10" t="n">
        <f aca="false">PU!K22/(INPUTS!$B$8*INPUTS!$B$7*(0.85*INPUTS!$B$5*(1-INPUTS!$B$9)+INPUTS!$B$6*INPUTS!$B$9))</f>
        <v>171.100855296442</v>
      </c>
      <c r="L22" s="10" t="n">
        <f aca="false">PU!L22/(INPUTS!$B$8*INPUTS!$B$7*(0.85*INPUTS!$B$5*(1-INPUTS!$B$9)+INPUTS!$B$6*INPUTS!$B$9))</f>
        <v>196.319669916066</v>
      </c>
      <c r="M22" s="10" t="n">
        <f aca="false">PU!M22/(INPUTS!$B$8*INPUTS!$B$7*(0.85*INPUTS!$B$5*(1-INPUTS!$B$9)+INPUTS!$B$6*INPUTS!$B$9))</f>
        <v>221.478005813785</v>
      </c>
      <c r="N22" s="10" t="n">
        <f aca="false">PU!N22/(INPUTS!$B$8*INPUTS!$B$7*(0.85*INPUTS!$B$5*(1-INPUTS!$B$9)+INPUTS!$B$6*INPUTS!$B$9))</f>
        <v>246.628254772011</v>
      </c>
      <c r="O22" s="10" t="n">
        <f aca="false">PU!O22/(INPUTS!$B$8*INPUTS!$B$7*(0.85*INPUTS!$B$5*(1-INPUTS!$B$9)+INPUTS!$B$6*INPUTS!$B$9))</f>
        <v>272.345918038077</v>
      </c>
      <c r="P22" s="10" t="n">
        <f aca="false">PU!P22/(INPUTS!$B$8*INPUTS!$B$7*(0.85*INPUTS!$B$5*(1-INPUTS!$B$9)+INPUTS!$B$6*INPUTS!$B$9))</f>
        <v>298.356790031524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10" t="n">
        <f aca="false">PU!E23/(INPUTS!$B$8*INPUTS!$B$7*(0.85*INPUTS!$B$5*(1-INPUTS!$B$9)+INPUTS!$B$6*INPUTS!$B$9))</f>
        <v>0</v>
      </c>
      <c r="F23" s="10" t="n">
        <f aca="false">PU!F23/(INPUTS!$B$8*INPUTS!$B$7*(0.85*INPUTS!$B$5*(1-INPUTS!$B$9)+INPUTS!$B$6*INPUTS!$B$9))</f>
        <v>46.270819371013</v>
      </c>
      <c r="G23" s="10" t="n">
        <f aca="false">PU!G23/(INPUTS!$B$8*INPUTS!$B$7*(0.85*INPUTS!$B$5*(1-INPUTS!$B$9)+INPUTS!$B$6*INPUTS!$B$9))</f>
        <v>74.2573533504113</v>
      </c>
      <c r="H23" s="10" t="n">
        <f aca="false">PU!H23/(INPUTS!$B$8*INPUTS!$B$7*(0.85*INPUTS!$B$5*(1-INPUTS!$B$9)+INPUTS!$B$6*INPUTS!$B$9))</f>
        <v>100.109279131178</v>
      </c>
      <c r="I23" s="10" t="n">
        <f aca="false">PU!I23/(INPUTS!$B$8*INPUTS!$B$7*(0.85*INPUTS!$B$5*(1-INPUTS!$B$9)+INPUTS!$B$6*INPUTS!$B$9))</f>
        <v>125.610009214015</v>
      </c>
      <c r="J23" s="10" t="n">
        <f aca="false">PU!J23/(INPUTS!$B$8*INPUTS!$B$7*(0.85*INPUTS!$B$5*(1-INPUTS!$B$9)+INPUTS!$B$6*INPUTS!$B$9))</f>
        <v>150.928947026486</v>
      </c>
      <c r="K23" s="10" t="n">
        <f aca="false">PU!K23/(INPUTS!$B$8*INPUTS!$B$7*(0.85*INPUTS!$B$5*(1-INPUTS!$B$9)+INPUTS!$B$6*INPUTS!$B$9))</f>
        <v>175.040052269257</v>
      </c>
      <c r="L23" s="10" t="n">
        <f aca="false">PU!L23/(INPUTS!$B$8*INPUTS!$B$7*(0.85*INPUTS!$B$5*(1-INPUTS!$B$9)+INPUTS!$B$6*INPUTS!$B$9))</f>
        <v>200.350423213444</v>
      </c>
      <c r="M23" s="10" t="n">
        <f aca="false">PU!M23/(INPUTS!$B$8*INPUTS!$B$7*(0.85*INPUTS!$B$5*(1-INPUTS!$B$9)+INPUTS!$B$6*INPUTS!$B$9))</f>
        <v>226.030357187182</v>
      </c>
      <c r="N23" s="10" t="n">
        <f aca="false">PU!N23/(INPUTS!$B$8*INPUTS!$B$7*(0.85*INPUTS!$B$5*(1-INPUTS!$B$9)+INPUTS!$B$6*INPUTS!$B$9))</f>
        <v>251.71029116092</v>
      </c>
      <c r="O23" s="10" t="n">
        <f aca="false">PU!O23/(INPUTS!$B$8*INPUTS!$B$7*(0.85*INPUTS!$B$5*(1-INPUTS!$B$9)+INPUTS!$B$6*INPUTS!$B$9))</f>
        <v>277.390225134659</v>
      </c>
      <c r="P23" s="10" t="n">
        <f aca="false">PU!P23/(INPUTS!$B$8*INPUTS!$B$7*(0.85*INPUTS!$B$5*(1-INPUTS!$B$9)+INPUTS!$B$6*INPUTS!$B$9))</f>
        <v>303.363367835778</v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10" t="n">
        <f aca="false">PU!E24/(INPUTS!$B$8*INPUTS!$B$7*(0.85*INPUTS!$B$5*(1-INPUTS!$B$9)+INPUTS!$B$6*INPUTS!$B$9))</f>
        <v>0</v>
      </c>
      <c r="F24" s="10" t="n">
        <f aca="false">PU!F24/(INPUTS!$B$8*INPUTS!$B$7*(0.85*INPUTS!$B$5*(1-INPUTS!$B$9)+INPUTS!$B$6*INPUTS!$B$9))</f>
        <v>34.1481122942885</v>
      </c>
      <c r="G24" s="10" t="n">
        <f aca="false">PU!G24/(INPUTS!$B$8*INPUTS!$B$7*(0.85*INPUTS!$B$5*(1-INPUTS!$B$9)+INPUTS!$B$6*INPUTS!$B$9))</f>
        <v>55.1859866714879</v>
      </c>
      <c r="H24" s="10" t="n">
        <f aca="false">PU!H24/(INPUTS!$B$8*INPUTS!$B$7*(0.85*INPUTS!$B$5*(1-INPUTS!$B$9)+INPUTS!$B$6*INPUTS!$B$9))</f>
        <v>74.3855579494382</v>
      </c>
      <c r="I24" s="10" t="n">
        <f aca="false">PU!I24/(INPUTS!$B$8*INPUTS!$B$7*(0.85*INPUTS!$B$5*(1-INPUTS!$B$9)+INPUTS!$B$6*INPUTS!$B$9))</f>
        <v>93.2826830265529</v>
      </c>
      <c r="J24" s="10" t="n">
        <f aca="false">PU!J24/(INPUTS!$B$8*INPUTS!$B$7*(0.85*INPUTS!$B$5*(1-INPUTS!$B$9)+INPUTS!$B$6*INPUTS!$B$9))</f>
        <v>112.023250429877</v>
      </c>
      <c r="K24" s="10" t="n">
        <f aca="false">PU!K24/(INPUTS!$B$8*INPUTS!$B$7*(0.85*INPUTS!$B$5*(1-INPUTS!$B$9)+INPUTS!$B$6*INPUTS!$B$9))</f>
        <v>129.723644579076</v>
      </c>
      <c r="L24" s="10" t="n">
        <f aca="false">PU!L24/(INPUTS!$B$8*INPUTS!$B$7*(0.85*INPUTS!$B$5*(1-INPUTS!$B$9)+INPUTS!$B$6*INPUTS!$B$9))</f>
        <v>148.203364848798</v>
      </c>
      <c r="M24" s="10" t="n">
        <f aca="false">PU!M24/(INPUTS!$B$8*INPUTS!$B$7*(0.85*INPUTS!$B$5*(1-INPUTS!$B$9)+INPUTS!$B$6*INPUTS!$B$9))</f>
        <v>166.636448107572</v>
      </c>
      <c r="N24" s="10" t="n">
        <f aca="false">PU!N24/(INPUTS!$B$8*INPUTS!$B$7*(0.85*INPUTS!$B$5*(1-INPUTS!$B$9)+INPUTS!$B$6*INPUTS!$B$9))</f>
        <v>185.2807357212</v>
      </c>
      <c r="O24" s="10" t="n">
        <f aca="false">PU!O24/(INPUTS!$B$8*INPUTS!$B$7*(0.85*INPUTS!$B$5*(1-INPUTS!$B$9)+INPUTS!$B$6*INPUTS!$B$9))</f>
        <v>204.172313649564</v>
      </c>
      <c r="P24" s="10" t="n">
        <f aca="false">PU!P24/(INPUTS!$B$8*INPUTS!$B$7*(0.85*INPUTS!$B$5*(1-INPUTS!$B$9)+INPUTS!$B$6*INPUTS!$B$9))</f>
        <v>223.259364062849</v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10" t="n">
        <f aca="false">PU!E25/(INPUTS!$B$8*INPUTS!$B$7*(0.85*INPUTS!$B$5*(1-INPUTS!$B$9)+INPUTS!$B$6*INPUTS!$B$9))</f>
        <v>0</v>
      </c>
      <c r="F25" s="10" t="n">
        <f aca="false">PU!F25/(INPUTS!$B$8*INPUTS!$B$7*(0.85*INPUTS!$B$5*(1-INPUTS!$B$9)+INPUTS!$B$6*INPUTS!$B$9))</f>
        <v>31.794995904386</v>
      </c>
      <c r="G25" s="10" t="n">
        <f aca="false">PU!G25/(INPUTS!$B$8*INPUTS!$B$7*(0.85*INPUTS!$B$5*(1-INPUTS!$B$9)+INPUTS!$B$6*INPUTS!$B$9))</f>
        <v>51.5262168635318</v>
      </c>
      <c r="H25" s="10" t="n">
        <f aca="false">PU!H25/(INPUTS!$B$8*INPUTS!$B$7*(0.85*INPUTS!$B$5*(1-INPUTS!$B$9)+INPUTS!$B$6*INPUTS!$B$9))</f>
        <v>69.4866185402956</v>
      </c>
      <c r="I25" s="10" t="n">
        <f aca="false">PU!I25/(INPUTS!$B$8*INPUTS!$B$7*(0.85*INPUTS!$B$5*(1-INPUTS!$B$9)+INPUTS!$B$6*INPUTS!$B$9))</f>
        <v>87.1556767685597</v>
      </c>
      <c r="J25" s="10" t="n">
        <f aca="false">PU!J25/(INPUTS!$B$8*INPUTS!$B$7*(0.85*INPUTS!$B$5*(1-INPUTS!$B$9)+INPUTS!$B$6*INPUTS!$B$9))</f>
        <v>104.673924530549</v>
      </c>
      <c r="K25" s="10" t="n">
        <f aca="false">PU!K25/(INPUTS!$B$8*INPUTS!$B$7*(0.85*INPUTS!$B$5*(1-INPUTS!$B$9)+INPUTS!$B$6*INPUTS!$B$9))</f>
        <v>122.095796093773</v>
      </c>
      <c r="L25" s="10" t="n">
        <f aca="false">PU!L25/(INPUTS!$B$8*INPUTS!$B$7*(0.85*INPUTS!$B$5*(1-INPUTS!$B$9)+INPUTS!$B$6*INPUTS!$B$9))</f>
        <v>139.449208664625</v>
      </c>
      <c r="M25" s="10" t="n">
        <f aca="false">PU!M25/(INPUTS!$B$8*INPUTS!$B$7*(0.85*INPUTS!$B$5*(1-INPUTS!$B$9)+INPUTS!$B$6*INPUTS!$B$9))</f>
        <v>156.750746344239</v>
      </c>
      <c r="N25" s="10" t="n">
        <f aca="false">PU!N25/(INPUTS!$B$8*INPUTS!$B$7*(0.85*INPUTS!$B$5*(1-INPUTS!$B$9)+INPUTS!$B$6*INPUTS!$B$9))</f>
        <v>174.011214591947</v>
      </c>
      <c r="O25" s="10" t="n">
        <f aca="false">PU!O25/(INPUTS!$B$8*INPUTS!$B$7*(0.85*INPUTS!$B$5*(1-INPUTS!$B$9)+INPUTS!$B$6*INPUTS!$B$9))</f>
        <v>191.238118905436</v>
      </c>
      <c r="P25" s="10" t="n">
        <f aca="false">PU!P25/(INPUTS!$B$8*INPUTS!$B$7*(0.85*INPUTS!$B$5*(1-INPUTS!$B$9)+INPUTS!$B$6*INPUTS!$B$9))</f>
        <v>208.632396476808</v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10" t="n">
        <f aca="false">PU!E26/(INPUTS!$B$8*INPUTS!$B$7*(0.85*INPUTS!$B$5*(1-INPUTS!$B$9)+INPUTS!$B$6*INPUTS!$B$9))</f>
        <v>0</v>
      </c>
      <c r="F26" s="10" t="n">
        <f aca="false">PU!F26/(INPUTS!$B$8*INPUTS!$B$7*(0.85*INPUTS!$B$5*(1-INPUTS!$B$9)+INPUTS!$B$6*INPUTS!$B$9))</f>
        <v>39.2474619604339</v>
      </c>
      <c r="G26" s="10" t="n">
        <f aca="false">PU!G26/(INPUTS!$B$8*INPUTS!$B$7*(0.85*INPUTS!$B$5*(1-INPUTS!$B$9)+INPUTS!$B$6*INPUTS!$B$9))</f>
        <v>67.1826126242806</v>
      </c>
      <c r="H26" s="10" t="n">
        <f aca="false">PU!H26/(INPUTS!$B$8*INPUTS!$B$7*(0.85*INPUTS!$B$5*(1-INPUTS!$B$9)+INPUTS!$B$6*INPUTS!$B$9))</f>
        <v>93.053240657487</v>
      </c>
      <c r="I26" s="10" t="n">
        <f aca="false">PU!I26/(INPUTS!$B$8*INPUTS!$B$7*(0.85*INPUTS!$B$5*(1-INPUTS!$B$9)+INPUTS!$B$6*INPUTS!$B$9))</f>
        <v>118.58420379733</v>
      </c>
      <c r="J26" s="10" t="n">
        <f aca="false">PU!J26/(INPUTS!$B$8*INPUTS!$B$7*(0.85*INPUTS!$B$5*(1-INPUTS!$B$9)+INPUTS!$B$6*INPUTS!$B$9))</f>
        <v>143.939343450462</v>
      </c>
      <c r="K26" s="10" t="n">
        <f aca="false">PU!K26/(INPUTS!$B$8*INPUTS!$B$7*(0.85*INPUTS!$B$5*(1-INPUTS!$B$9)+INPUTS!$B$6*INPUTS!$B$9))</f>
        <v>169.182122206363</v>
      </c>
      <c r="L26" s="10" t="n">
        <f aca="false">PU!L26/(INPUTS!$B$8*INPUTS!$B$7*(0.85*INPUTS!$B$5*(1-INPUTS!$B$9)+INPUTS!$B$6*INPUTS!$B$9))</f>
        <v>194.345087544581</v>
      </c>
      <c r="M26" s="10" t="n">
        <f aca="false">PU!M26/(INPUTS!$B$8*INPUTS!$B$7*(0.85*INPUTS!$B$5*(1-INPUTS!$B$9)+INPUTS!$B$6*INPUTS!$B$9))</f>
        <v>219.447574160895</v>
      </c>
      <c r="N26" s="10" t="n">
        <f aca="false">PU!N26/(INPUTS!$B$8*INPUTS!$B$7*(0.85*INPUTS!$B$5*(1-INPUTS!$B$9)+INPUTS!$B$6*INPUTS!$B$9))</f>
        <v>244.541973837714</v>
      </c>
      <c r="O26" s="10" t="n">
        <f aca="false">PU!O26/(INPUTS!$B$8*INPUTS!$B$7*(0.85*INPUTS!$B$5*(1-INPUTS!$B$9)+INPUTS!$B$6*INPUTS!$B$9))</f>
        <v>270.203787822374</v>
      </c>
      <c r="P26" s="10" t="n">
        <f aca="false">PU!P26/(INPUTS!$B$8*INPUTS!$B$7*(0.85*INPUTS!$B$5*(1-INPUTS!$B$9)+INPUTS!$B$6*INPUTS!$B$9))</f>
        <v>296.158810534416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10" t="n">
        <f aca="false">PU!E27/(INPUTS!$B$8*INPUTS!$B$7*(0.85*INPUTS!$B$5*(1-INPUTS!$B$9)+INPUTS!$B$6*INPUTS!$B$9))</f>
        <v>0</v>
      </c>
      <c r="F27" s="10" t="n">
        <f aca="false">PU!F27/(INPUTS!$B$8*INPUTS!$B$7*(0.85*INPUTS!$B$5*(1-INPUTS!$B$9)+INPUTS!$B$6*INPUTS!$B$9))</f>
        <v>21.0483530667461</v>
      </c>
      <c r="G27" s="10" t="n">
        <f aca="false">PU!G27/(INPUTS!$B$8*INPUTS!$B$7*(0.85*INPUTS!$B$5*(1-INPUTS!$B$9)+INPUTS!$B$6*INPUTS!$B$9))</f>
        <v>35.2246316850672</v>
      </c>
      <c r="H27" s="10" t="n">
        <f aca="false">PU!H27/(INPUTS!$B$8*INPUTS!$B$7*(0.85*INPUTS!$B$5*(1-INPUTS!$B$9)+INPUTS!$B$6*INPUTS!$B$9))</f>
        <v>48.0196550994111</v>
      </c>
      <c r="I27" s="10" t="n">
        <f aca="false">PU!I27/(INPUTS!$B$8*INPUTS!$B$7*(0.85*INPUTS!$B$5*(1-INPUTS!$B$9)+INPUTS!$B$6*INPUTS!$B$9))</f>
        <v>60.5874279645947</v>
      </c>
      <c r="J27" s="10" t="n">
        <f aca="false">PU!J27/(INPUTS!$B$8*INPUTS!$B$7*(0.85*INPUTS!$B$5*(1-INPUTS!$B$9)+INPUTS!$B$6*INPUTS!$B$9))</f>
        <v>73.0375672895129</v>
      </c>
      <c r="K27" s="10" t="n">
        <f aca="false">PU!K27/(INPUTS!$B$8*INPUTS!$B$7*(0.85*INPUTS!$B$5*(1-INPUTS!$B$9)+INPUTS!$B$6*INPUTS!$B$9))</f>
        <v>84.6256379243194</v>
      </c>
      <c r="L27" s="10" t="n">
        <f aca="false">PU!L27/(INPUTS!$B$8*INPUTS!$B$7*(0.85*INPUTS!$B$5*(1-INPUTS!$B$9)+INPUTS!$B$6*INPUTS!$B$9))</f>
        <v>96.1674614053295</v>
      </c>
      <c r="M27" s="10" t="n">
        <f aca="false">PU!M27/(INPUTS!$B$8*INPUTS!$B$7*(0.85*INPUTS!$B$5*(1-INPUTS!$B$9)+INPUTS!$B$6*INPUTS!$B$9))</f>
        <v>107.6736410182</v>
      </c>
      <c r="N27" s="10" t="n">
        <f aca="false">PU!N27/(INPUTS!$B$8*INPUTS!$B$7*(0.85*INPUTS!$B$5*(1-INPUTS!$B$9)+INPUTS!$B$6*INPUTS!$B$9))</f>
        <v>119.151257794089</v>
      </c>
      <c r="O27" s="10" t="n">
        <f aca="false">PU!O27/(INPUTS!$B$8*INPUTS!$B$7*(0.85*INPUTS!$B$5*(1-INPUTS!$B$9)+INPUTS!$B$6*INPUTS!$B$9))</f>
        <v>130.605318896663</v>
      </c>
      <c r="P27" s="10" t="n">
        <f aca="false">PU!P27/(INPUTS!$B$8*INPUTS!$B$7*(0.85*INPUTS!$B$5*(1-INPUTS!$B$9)+INPUTS!$B$6*INPUTS!$B$9))</f>
        <v>142.234992314369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10" t="n">
        <f aca="false">PU!E28/(INPUTS!$B$8*INPUTS!$B$7*(0.85*INPUTS!$B$5*(1-INPUTS!$B$9)+INPUTS!$B$6*INPUTS!$B$9))</f>
        <v>0</v>
      </c>
      <c r="F28" s="10" t="n">
        <f aca="false">PU!F28/(INPUTS!$B$8*INPUTS!$B$7*(0.85*INPUTS!$B$5*(1-INPUTS!$B$9)+INPUTS!$B$6*INPUTS!$B$9))</f>
        <v>33.8189118077792</v>
      </c>
      <c r="G28" s="10" t="n">
        <f aca="false">PU!G28/(INPUTS!$B$8*INPUTS!$B$7*(0.85*INPUTS!$B$5*(1-INPUTS!$B$9)+INPUTS!$B$6*INPUTS!$B$9))</f>
        <v>54.9425909634215</v>
      </c>
      <c r="H28" s="10" t="n">
        <f aca="false">PU!H28/(INPUTS!$B$8*INPUTS!$B$7*(0.85*INPUTS!$B$5*(1-INPUTS!$B$9)+INPUTS!$B$6*INPUTS!$B$9))</f>
        <v>74.2585843524384</v>
      </c>
      <c r="I28" s="10" t="n">
        <f aca="false">PU!I28/(INPUTS!$B$8*INPUTS!$B$7*(0.85*INPUTS!$B$5*(1-INPUTS!$B$9)+INPUTS!$B$6*INPUTS!$B$9))</f>
        <v>93.2771688470007</v>
      </c>
      <c r="J28" s="10" t="n">
        <f aca="false">PU!J28/(INPUTS!$B$8*INPUTS!$B$7*(0.85*INPUTS!$B$5*(1-INPUTS!$B$9)+INPUTS!$B$6*INPUTS!$B$9))</f>
        <v>112.141803169427</v>
      </c>
      <c r="K28" s="10" t="n">
        <f aca="false">PU!K28/(INPUTS!$B$8*INPUTS!$B$7*(0.85*INPUTS!$B$5*(1-INPUTS!$B$9)+INPUTS!$B$6*INPUTS!$B$9))</f>
        <v>129.983588546501</v>
      </c>
      <c r="L28" s="10" t="n">
        <f aca="false">PU!L28/(INPUTS!$B$8*INPUTS!$B$7*(0.85*INPUTS!$B$5*(1-INPUTS!$B$9)+INPUTS!$B$6*INPUTS!$B$9))</f>
        <v>148.591720200314</v>
      </c>
      <c r="M28" s="10" t="n">
        <f aca="false">PU!M28/(INPUTS!$B$8*INPUTS!$B$7*(0.85*INPUTS!$B$5*(1-INPUTS!$B$9)+INPUTS!$B$6*INPUTS!$B$9))</f>
        <v>167.153991592605</v>
      </c>
      <c r="N28" s="10" t="n">
        <f aca="false">PU!N28/(INPUTS!$B$8*INPUTS!$B$7*(0.85*INPUTS!$B$5*(1-INPUTS!$B$9)+INPUTS!$B$6*INPUTS!$B$9))</f>
        <v>185.793990617321</v>
      </c>
      <c r="O28" s="10" t="n">
        <f aca="false">PU!O28/(INPUTS!$B$8*INPUTS!$B$7*(0.85*INPUTS!$B$5*(1-INPUTS!$B$9)+INPUTS!$B$6*INPUTS!$B$9))</f>
        <v>204.790875468513</v>
      </c>
      <c r="P28" s="10" t="n">
        <f aca="false">PU!P28/(INPUTS!$B$8*INPUTS!$B$7*(0.85*INPUTS!$B$5*(1-INPUTS!$B$9)+INPUTS!$B$6*INPUTS!$B$9))</f>
        <v>224.080969047087</v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10" t="n">
        <f aca="false">PU!E29/(INPUTS!$B$8*INPUTS!$B$7*(0.85*INPUTS!$B$5*(1-INPUTS!$B$9)+INPUTS!$B$6*INPUTS!$B$9))</f>
        <v>0</v>
      </c>
      <c r="F29" s="10" t="n">
        <f aca="false">PU!F29/(INPUTS!$B$8*INPUTS!$B$7*(0.85*INPUTS!$B$5*(1-INPUTS!$B$9)+INPUTS!$B$6*INPUTS!$B$9))</f>
        <v>47.9376101471939</v>
      </c>
      <c r="G29" s="10" t="n">
        <f aca="false">PU!G29/(INPUTS!$B$8*INPUTS!$B$7*(0.85*INPUTS!$B$5*(1-INPUTS!$B$9)+INPUTS!$B$6*INPUTS!$B$9))</f>
        <v>77.0509064175577</v>
      </c>
      <c r="H29" s="10" t="n">
        <f aca="false">PU!H29/(INPUTS!$B$8*INPUTS!$B$7*(0.85*INPUTS!$B$5*(1-INPUTS!$B$9)+INPUTS!$B$6*INPUTS!$B$9))</f>
        <v>103.980246450657</v>
      </c>
      <c r="I29" s="10" t="n">
        <f aca="false">PU!I29/(INPUTS!$B$8*INPUTS!$B$7*(0.85*INPUTS!$B$5*(1-INPUTS!$B$9)+INPUTS!$B$6*INPUTS!$B$9))</f>
        <v>130.550271816322</v>
      </c>
      <c r="J29" s="10" t="n">
        <f aca="false">PU!J29/(INPUTS!$B$8*INPUTS!$B$7*(0.85*INPUTS!$B$5*(1-INPUTS!$B$9)+INPUTS!$B$6*INPUTS!$B$9))</f>
        <v>156.934302223752</v>
      </c>
      <c r="K29" s="10" t="n">
        <f aca="false">PU!K29/(INPUTS!$B$8*INPUTS!$B$7*(0.85*INPUTS!$B$5*(1-INPUTS!$B$9)+INPUTS!$B$6*INPUTS!$B$9))</f>
        <v>182.08257729404</v>
      </c>
      <c r="L29" s="10" t="n">
        <f aca="false">PU!L29/(INPUTS!$B$8*INPUTS!$B$7*(0.85*INPUTS!$B$5*(1-INPUTS!$B$9)+INPUTS!$B$6*INPUTS!$B$9))</f>
        <v>208.647640678134</v>
      </c>
      <c r="M29" s="10" t="n">
        <f aca="false">PU!M29/(INPUTS!$B$8*INPUTS!$B$7*(0.85*INPUTS!$B$5*(1-INPUTS!$B$9)+INPUTS!$B$6*INPUTS!$B$9))</f>
        <v>235.432645766624</v>
      </c>
      <c r="N29" s="10" t="n">
        <f aca="false">PU!N29/(INPUTS!$B$8*INPUTS!$B$7*(0.85*INPUTS!$B$5*(1-INPUTS!$B$9)+INPUTS!$B$6*INPUTS!$B$9))</f>
        <v>262.217650855115</v>
      </c>
      <c r="O29" s="10" t="n">
        <f aca="false">PU!O29/(INPUTS!$B$8*INPUTS!$B$7*(0.85*INPUTS!$B$5*(1-INPUTS!$B$9)+INPUTS!$B$6*INPUTS!$B$9))</f>
        <v>289.002655943605</v>
      </c>
      <c r="P29" s="10" t="n">
        <f aca="false">PU!P29/(INPUTS!$B$8*INPUTS!$B$7*(0.85*INPUTS!$B$5*(1-INPUTS!$B$9)+INPUTS!$B$6*INPUTS!$B$9))</f>
        <v>316.080869759476</v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10" t="n">
        <f aca="false">PU!E30/(INPUTS!$B$8*INPUTS!$B$7*(0.85*INPUTS!$B$5*(1-INPUTS!$B$9)+INPUTS!$B$6*INPUTS!$B$9))</f>
        <v>0</v>
      </c>
      <c r="F30" s="10" t="n">
        <f aca="false">PU!F30/(INPUTS!$B$8*INPUTS!$B$7*(0.85*INPUTS!$B$5*(1-INPUTS!$B$9)+INPUTS!$B$6*INPUTS!$B$9))</f>
        <v>28.3633678357783</v>
      </c>
      <c r="G30" s="10" t="n">
        <f aca="false">PU!G30/(INPUTS!$B$8*INPUTS!$B$7*(0.85*INPUTS!$B$5*(1-INPUTS!$B$9)+INPUTS!$B$6*INPUTS!$B$9))</f>
        <v>46.1807076599065</v>
      </c>
      <c r="H30" s="10" t="n">
        <f aca="false">PU!H30/(INPUTS!$B$8*INPUTS!$B$7*(0.85*INPUTS!$B$5*(1-INPUTS!$B$9)+INPUTS!$B$6*INPUTS!$B$9))</f>
        <v>62.3305304307024</v>
      </c>
      <c r="I30" s="10" t="n">
        <f aca="false">PU!I30/(INPUTS!$B$8*INPUTS!$B$7*(0.85*INPUTS!$B$5*(1-INPUTS!$B$9)+INPUTS!$B$6*INPUTS!$B$9))</f>
        <v>78.2060055175854</v>
      </c>
      <c r="J30" s="10" t="n">
        <f aca="false">PU!J30/(INPUTS!$B$8*INPUTS!$B$7*(0.85*INPUTS!$B$5*(1-INPUTS!$B$9)+INPUTS!$B$6*INPUTS!$B$9))</f>
        <v>93.9394677933155</v>
      </c>
      <c r="K30" s="10" t="n">
        <f aca="false">PU!K30/(INPUTS!$B$8*INPUTS!$B$7*(0.85*INPUTS!$B$5*(1-INPUTS!$B$9)+INPUTS!$B$6*INPUTS!$B$9))</f>
        <v>109.582176056723</v>
      </c>
      <c r="L30" s="10" t="n">
        <f aca="false">PU!L30/(INPUTS!$B$8*INPUTS!$B$7*(0.85*INPUTS!$B$5*(1-INPUTS!$B$9)+INPUTS!$B$6*INPUTS!$B$9))</f>
        <v>125.160418940533</v>
      </c>
      <c r="M30" s="10" t="n">
        <f aca="false">PU!M30/(INPUTS!$B$8*INPUTS!$B$7*(0.85*INPUTS!$B$5*(1-INPUTS!$B$9)+INPUTS!$B$6*INPUTS!$B$9))</f>
        <v>140.689813098424</v>
      </c>
      <c r="N30" s="10" t="n">
        <f aca="false">PU!N30/(INPUTS!$B$8*INPUTS!$B$7*(0.85*INPUTS!$B$5*(1-INPUTS!$B$9)+INPUTS!$B$6*INPUTS!$B$9))</f>
        <v>156.180533644188</v>
      </c>
      <c r="O30" s="10" t="n">
        <f aca="false">PU!O30/(INPUTS!$B$8*INPUTS!$B$7*(0.85*INPUTS!$B$5*(1-INPUTS!$B$9)+INPUTS!$B$6*INPUTS!$B$9))</f>
        <v>171.639648236006</v>
      </c>
      <c r="P30" s="10" t="n">
        <f aca="false">PU!P30/(INPUTS!$B$8*INPUTS!$B$7*(0.85*INPUTS!$B$5*(1-INPUTS!$B$9)+INPUTS!$B$6*INPUTS!$B$9))</f>
        <v>187.267775277697</v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10" t="n">
        <f aca="false">PU!E31/(INPUTS!$B$8*INPUTS!$B$7*(0.85*INPUTS!$B$5*(1-INPUTS!$B$9)+INPUTS!$B$6*INPUTS!$B$9))</f>
        <v>0</v>
      </c>
      <c r="F31" s="10" t="n">
        <f aca="false">PU!F31/(INPUTS!$B$8*INPUTS!$B$7*(0.85*INPUTS!$B$5*(1-INPUTS!$B$9)+INPUTS!$B$6*INPUTS!$B$9))</f>
        <v>20.2711172338471</v>
      </c>
      <c r="G31" s="10" t="n">
        <f aca="false">PU!G31/(INPUTS!$B$8*INPUTS!$B$7*(0.85*INPUTS!$B$5*(1-INPUTS!$B$9)+INPUTS!$B$6*INPUTS!$B$9))</f>
        <v>34.2350208751993</v>
      </c>
      <c r="H31" s="10" t="n">
        <f aca="false">PU!H31/(INPUTS!$B$8*INPUTS!$B$7*(0.85*INPUTS!$B$5*(1-INPUTS!$B$9)+INPUTS!$B$6*INPUTS!$B$9))</f>
        <v>46.8739178779432</v>
      </c>
      <c r="I31" s="10" t="n">
        <f aca="false">PU!I31/(INPUTS!$B$8*INPUTS!$B$7*(0.85*INPUTS!$B$5*(1-INPUTS!$B$9)+INPUTS!$B$6*INPUTS!$B$9))</f>
        <v>59.2948186078783</v>
      </c>
      <c r="J31" s="10" t="n">
        <f aca="false">PU!J31/(INPUTS!$B$8*INPUTS!$B$7*(0.85*INPUTS!$B$5*(1-INPUTS!$B$9)+INPUTS!$B$6*INPUTS!$B$9))</f>
        <v>71.6028761634848</v>
      </c>
      <c r="K31" s="10" t="n">
        <f aca="false">PU!K31/(INPUTS!$B$8*INPUTS!$B$7*(0.85*INPUTS!$B$5*(1-INPUTS!$B$9)+INPUTS!$B$6*INPUTS!$B$9))</f>
        <v>83.1027100937413</v>
      </c>
      <c r="L31" s="10" t="n">
        <f aca="false">PU!L31/(INPUTS!$B$8*INPUTS!$B$7*(0.85*INPUTS!$B$5*(1-INPUTS!$B$9)+INPUTS!$B$6*INPUTS!$B$9))</f>
        <v>94.558275451445</v>
      </c>
      <c r="M31" s="10" t="n">
        <f aca="false">PU!M31/(INPUTS!$B$8*INPUTS!$B$7*(0.85*INPUTS!$B$5*(1-INPUTS!$B$9)+INPUTS!$B$6*INPUTS!$B$9))</f>
        <v>105.979713463695</v>
      </c>
      <c r="N31" s="10" t="n">
        <f aca="false">PU!N31/(INPUTS!$B$8*INPUTS!$B$7*(0.85*INPUTS!$B$5*(1-INPUTS!$B$9)+INPUTS!$B$6*INPUTS!$B$9))</f>
        <v>117.373799027204</v>
      </c>
      <c r="O31" s="10" t="n">
        <f aca="false">PU!O31/(INPUTS!$B$8*INPUTS!$B$7*(0.85*INPUTS!$B$5*(1-INPUTS!$B$9)+INPUTS!$B$6*INPUTS!$B$9))</f>
        <v>128.745324091443</v>
      </c>
      <c r="P31" s="10" t="n">
        <f aca="false">PU!P31/(INPUTS!$B$8*INPUTS!$B$7*(0.85*INPUTS!$B$5*(1-INPUTS!$B$9)+INPUTS!$B$6*INPUTS!$B$9))</f>
        <v>140.391034761888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10" t="n">
        <f aca="false">PU!E32/(INPUTS!$B$8*INPUTS!$B$7*(0.85*INPUTS!$B$5*(1-INPUTS!$B$9)+INPUTS!$B$6*INPUTS!$B$9))</f>
        <v>0</v>
      </c>
      <c r="F32" s="10" t="n">
        <f aca="false">PU!F32/(INPUTS!$B$8*INPUTS!$B$7*(0.85*INPUTS!$B$5*(1-INPUTS!$B$9)+INPUTS!$B$6*INPUTS!$B$9))</f>
        <v>28.1409015315114</v>
      </c>
      <c r="G32" s="10" t="n">
        <f aca="false">PU!G32/(INPUTS!$B$8*INPUTS!$B$7*(0.85*INPUTS!$B$5*(1-INPUTS!$B$9)+INPUTS!$B$6*INPUTS!$B$9))</f>
        <v>56.9389414686005</v>
      </c>
      <c r="H32" s="10" t="n">
        <f aca="false">PU!H32/(INPUTS!$B$8*INPUTS!$B$7*(0.85*INPUTS!$B$5*(1-INPUTS!$B$9)+INPUTS!$B$6*INPUTS!$B$9))</f>
        <v>83.6359157145262</v>
      </c>
      <c r="I32" s="10" t="n">
        <f aca="false">PU!I32/(INPUTS!$B$8*INPUTS!$B$7*(0.85*INPUTS!$B$5*(1-INPUTS!$B$9)+INPUTS!$B$6*INPUTS!$B$9))</f>
        <v>109.987212832312</v>
      </c>
      <c r="J32" s="10" t="n">
        <f aca="false">PU!J32/(INPUTS!$B$8*INPUTS!$B$7*(0.85*INPUTS!$B$5*(1-INPUTS!$B$9)+INPUTS!$B$6*INPUTS!$B$9))</f>
        <v>136.159574301661</v>
      </c>
      <c r="K32" s="10" t="n">
        <f aca="false">PU!K32/(INPUTS!$B$8*INPUTS!$B$7*(0.85*INPUTS!$B$5*(1-INPUTS!$B$9)+INPUTS!$B$6*INPUTS!$B$9))</f>
        <v>162.21758603093</v>
      </c>
      <c r="L32" s="10" t="n">
        <f aca="false">PU!L32/(INPUTS!$B$8*INPUTS!$B$7*(0.85*INPUTS!$B$5*(1-INPUTS!$B$9)+INPUTS!$B$6*INPUTS!$B$9))</f>
        <v>188.194371605979</v>
      </c>
      <c r="M32" s="10" t="n">
        <f aca="false">PU!M32/(INPUTS!$B$8*INPUTS!$B$7*(0.85*INPUTS!$B$5*(1-INPUTS!$B$9)+INPUTS!$B$6*INPUTS!$B$9))</f>
        <v>214.109607956159</v>
      </c>
      <c r="N32" s="10" t="n">
        <f aca="false">PU!N32/(INPUTS!$B$8*INPUTS!$B$7*(0.85*INPUTS!$B$5*(1-INPUTS!$B$9)+INPUTS!$B$6*INPUTS!$B$9))</f>
        <v>240.196899744334</v>
      </c>
      <c r="O32" s="10" t="n">
        <f aca="false">PU!O32/(INPUTS!$B$8*INPUTS!$B$7*(0.85*INPUTS!$B$5*(1-INPUTS!$B$9)+INPUTS!$B$6*INPUTS!$B$9))</f>
        <v>266.703899520937</v>
      </c>
      <c r="P32" s="10" t="n">
        <f aca="false">PU!P32/(INPUTS!$B$8*INPUTS!$B$7*(0.85*INPUTS!$B$5*(1-INPUTS!$B$9)+INPUTS!$B$6*INPUTS!$B$9))</f>
        <v>293.504108024921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10" t="n">
        <f aca="false">PU!E33/(INPUTS!$B$8*INPUTS!$B$7*(0.85*INPUTS!$B$5*(1-INPUTS!$B$9)+INPUTS!$B$6*INPUTS!$B$9))</f>
        <v>0</v>
      </c>
      <c r="F33" s="10" t="n">
        <f aca="false">PU!F33/(INPUTS!$B$8*INPUTS!$B$7*(0.85*INPUTS!$B$5*(1-INPUTS!$B$9)+INPUTS!$B$6*INPUTS!$B$9))</f>
        <v>24.1473676372031</v>
      </c>
      <c r="G33" s="10" t="n">
        <f aca="false">PU!G33/(INPUTS!$B$8*INPUTS!$B$7*(0.85*INPUTS!$B$5*(1-INPUTS!$B$9)+INPUTS!$B$6*INPUTS!$B$9))</f>
        <v>51.8653362307235</v>
      </c>
      <c r="H33" s="10" t="n">
        <f aca="false">PU!H33/(INPUTS!$B$8*INPUTS!$B$7*(0.85*INPUTS!$B$5*(1-INPUTS!$B$9)+INPUTS!$B$6*INPUTS!$B$9))</f>
        <v>77.4606152458367</v>
      </c>
      <c r="I33" s="10" t="n">
        <f aca="false">PU!I33/(INPUTS!$B$8*INPUTS!$B$7*(0.85*INPUTS!$B$5*(1-INPUTS!$B$9)+INPUTS!$B$6*INPUTS!$B$9))</f>
        <v>102.706659470014</v>
      </c>
      <c r="J33" s="10" t="n">
        <f aca="false">PU!J33/(INPUTS!$B$8*INPUTS!$B$7*(0.85*INPUTS!$B$5*(1-INPUTS!$B$9)+INPUTS!$B$6*INPUTS!$B$9))</f>
        <v>127.771926463979</v>
      </c>
      <c r="K33" s="10" t="n">
        <f aca="false">PU!K33/(INPUTS!$B$8*INPUTS!$B$7*(0.85*INPUTS!$B$5*(1-INPUTS!$B$9)+INPUTS!$B$6*INPUTS!$B$9))</f>
        <v>151.636104841397</v>
      </c>
      <c r="L33" s="10" t="n">
        <f aca="false">PU!L33/(INPUTS!$B$8*INPUTS!$B$7*(0.85*INPUTS!$B$5*(1-INPUTS!$B$9)+INPUTS!$B$6*INPUTS!$B$9))</f>
        <v>176.64829845856</v>
      </c>
      <c r="M33" s="10" t="n">
        <f aca="false">PU!M33/(INPUTS!$B$8*INPUTS!$B$7*(0.85*INPUTS!$B$5*(1-INPUTS!$B$9)+INPUTS!$B$6*INPUTS!$B$9))</f>
        <v>202.065120262119</v>
      </c>
      <c r="N33" s="10" t="n">
        <f aca="false">PU!N33/(INPUTS!$B$8*INPUTS!$B$7*(0.85*INPUTS!$B$5*(1-INPUTS!$B$9)+INPUTS!$B$6*INPUTS!$B$9))</f>
        <v>227.481942065679</v>
      </c>
      <c r="O33" s="10" t="n">
        <f aca="false">PU!O33/(INPUTS!$B$8*INPUTS!$B$7*(0.85*INPUTS!$B$5*(1-INPUTS!$B$9)+INPUTS!$B$6*INPUTS!$B$9))</f>
        <v>252.898763869238</v>
      </c>
      <c r="P33" s="10" t="n">
        <f aca="false">PU!P33/(INPUTS!$B$8*INPUTS!$B$7*(0.85*INPUTS!$B$5*(1-INPUTS!$B$9)+INPUTS!$B$6*INPUTS!$B$9))</f>
        <v>278.608794400179</v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10" t="n">
        <f aca="false">PU!E34/(INPUTS!$B$8*INPUTS!$B$7*(0.85*INPUTS!$B$5*(1-INPUTS!$B$9)+INPUTS!$B$6*INPUTS!$B$9))</f>
        <v>0</v>
      </c>
      <c r="F34" s="10" t="n">
        <f aca="false">PU!F34/(INPUTS!$B$8*INPUTS!$B$7*(0.85*INPUTS!$B$5*(1-INPUTS!$B$9)+INPUTS!$B$6*INPUTS!$B$9))</f>
        <v>22.8203266562415</v>
      </c>
      <c r="G34" s="10" t="n">
        <f aca="false">PU!G34/(INPUTS!$B$8*INPUTS!$B$7*(0.85*INPUTS!$B$5*(1-INPUTS!$B$9)+INPUTS!$B$6*INPUTS!$B$9))</f>
        <v>44.2981476215297</v>
      </c>
      <c r="H34" s="10" t="n">
        <f aca="false">PU!H34/(INPUTS!$B$8*INPUTS!$B$7*(0.85*INPUTS!$B$5*(1-INPUTS!$B$9)+INPUTS!$B$6*INPUTS!$B$9))</f>
        <v>62.320272739926</v>
      </c>
      <c r="I34" s="10" t="n">
        <f aca="false">PU!I34/(INPUTS!$B$8*INPUTS!$B$7*(0.85*INPUTS!$B$5*(1-INPUTS!$B$9)+INPUTS!$B$6*INPUTS!$B$9))</f>
        <v>80.0981730773511</v>
      </c>
      <c r="J34" s="10" t="n">
        <f aca="false">PU!J34/(INPUTS!$B$8*INPUTS!$B$7*(0.85*INPUTS!$B$5*(1-INPUTS!$B$9)+INPUTS!$B$6*INPUTS!$B$9))</f>
        <v>97.7443844088259</v>
      </c>
      <c r="K34" s="10" t="n">
        <f aca="false">PU!K34/(INPUTS!$B$8*INPUTS!$B$7*(0.85*INPUTS!$B$5*(1-INPUTS!$B$9)+INPUTS!$B$6*INPUTS!$B$9))</f>
        <v>115.304885217129</v>
      </c>
      <c r="L34" s="10" t="n">
        <f aca="false">PU!L34/(INPUTS!$B$8*INPUTS!$B$7*(0.85*INPUTS!$B$5*(1-INPUTS!$B$9)+INPUTS!$B$6*INPUTS!$B$9))</f>
        <v>132.80385519355</v>
      </c>
      <c r="M34" s="10" t="n">
        <f aca="false">PU!M34/(INPUTS!$B$8*INPUTS!$B$7*(0.85*INPUTS!$B$5*(1-INPUTS!$B$9)+INPUTS!$B$6*INPUTS!$B$9))</f>
        <v>150.255875152796</v>
      </c>
      <c r="N34" s="10" t="n">
        <f aca="false">PU!N34/(INPUTS!$B$8*INPUTS!$B$7*(0.85*INPUTS!$B$5*(1-INPUTS!$B$9)+INPUTS!$B$6*INPUTS!$B$9))</f>
        <v>167.670541392544</v>
      </c>
      <c r="O34" s="10" t="n">
        <f aca="false">PU!O34/(INPUTS!$B$8*INPUTS!$B$7*(0.85*INPUTS!$B$5*(1-INPUTS!$B$9)+INPUTS!$B$6*INPUTS!$B$9))</f>
        <v>185.054568044844</v>
      </c>
      <c r="P34" s="10" t="n">
        <f aca="false">PU!P34/(INPUTS!$B$8*INPUTS!$B$7*(0.85*INPUTS!$B$5*(1-INPUTS!$B$9)+INPUTS!$B$6*INPUTS!$B$9))</f>
        <v>202.706079254776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10" t="n">
        <f aca="false">PU!E35/(INPUTS!$B$8*INPUTS!$B$7*(0.85*INPUTS!$B$5*(1-INPUTS!$B$9)+INPUTS!$B$6*INPUTS!$B$9))</f>
        <v>0</v>
      </c>
      <c r="F35" s="10" t="n">
        <f aca="false">PU!F35/(INPUTS!$B$8*INPUTS!$B$7*(0.85*INPUTS!$B$5*(1-INPUTS!$B$9)+INPUTS!$B$6*INPUTS!$B$9))</f>
        <v>0</v>
      </c>
      <c r="G35" s="10" t="n">
        <f aca="false">PU!G35/(INPUTS!$B$8*INPUTS!$B$7*(0.85*INPUTS!$B$5*(1-INPUTS!$B$9)+INPUTS!$B$6*INPUTS!$B$9))</f>
        <v>26.15795989066</v>
      </c>
      <c r="H35" s="10" t="n">
        <f aca="false">PU!H35/(INPUTS!$B$8*INPUTS!$B$7*(0.85*INPUTS!$B$5*(1-INPUTS!$B$9)+INPUTS!$B$6*INPUTS!$B$9))</f>
        <v>50.2637227690817</v>
      </c>
      <c r="I35" s="10" t="n">
        <f aca="false">PU!I35/(INPUTS!$B$8*INPUTS!$B$7*(0.85*INPUTS!$B$5*(1-INPUTS!$B$9)+INPUTS!$B$6*INPUTS!$B$9))</f>
        <v>74.0318486223735</v>
      </c>
      <c r="J35" s="10" t="n">
        <f aca="false">PU!J35/(INPUTS!$B$8*INPUTS!$B$7*(0.85*INPUTS!$B$5*(1-INPUTS!$B$9)+INPUTS!$B$6*INPUTS!$B$9))</f>
        <v>97.6252006907945</v>
      </c>
      <c r="K35" s="10" t="n">
        <f aca="false">PU!K35/(INPUTS!$B$8*INPUTS!$B$7*(0.85*INPUTS!$B$5*(1-INPUTS!$B$9)+INPUTS!$B$6*INPUTS!$B$9))</f>
        <v>120.057351189573</v>
      </c>
      <c r="L35" s="10" t="n">
        <f aca="false">PU!L35/(INPUTS!$B$8*INPUTS!$B$7*(0.85*INPUTS!$B$5*(1-INPUTS!$B$9)+INPUTS!$B$6*INPUTS!$B$9))</f>
        <v>143.359505517834</v>
      </c>
      <c r="M35" s="10" t="n">
        <f aca="false">PU!M35/(INPUTS!$B$8*INPUTS!$B$7*(0.85*INPUTS!$B$5*(1-INPUTS!$B$9)+INPUTS!$B$6*INPUTS!$B$9))</f>
        <v>167.23539851565</v>
      </c>
      <c r="N35" s="10" t="n">
        <f aca="false">PU!N35/(INPUTS!$B$8*INPUTS!$B$7*(0.85*INPUTS!$B$5*(1-INPUTS!$B$9)+INPUTS!$B$6*INPUTS!$B$9))</f>
        <v>191.126169732172</v>
      </c>
      <c r="O35" s="10" t="n">
        <f aca="false">PU!O35/(INPUTS!$B$8*INPUTS!$B$7*(0.85*INPUTS!$B$5*(1-INPUTS!$B$9)+INPUTS!$B$6*INPUTS!$B$9))</f>
        <v>215.016940948693</v>
      </c>
      <c r="P35" s="10" t="n">
        <f aca="false">PU!P35/(INPUTS!$B$8*INPUTS!$B$7*(0.85*INPUTS!$B$5*(1-INPUTS!$B$9)+INPUTS!$B$6*INPUTS!$B$9))</f>
        <v>239.200920892596</v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10" t="n">
        <f aca="false">PU!E36/(INPUTS!$B$8*INPUTS!$B$7*(0.85*INPUTS!$B$5*(1-INPUTS!$B$9)+INPUTS!$B$6*INPUTS!$B$9))</f>
        <v>0</v>
      </c>
      <c r="F36" s="10" t="n">
        <f aca="false">PU!F36/(INPUTS!$B$8*INPUTS!$B$7*(0.85*INPUTS!$B$5*(1-INPUTS!$B$9)+INPUTS!$B$6*INPUTS!$B$9))</f>
        <v>62.2524015191005</v>
      </c>
      <c r="G36" s="10" t="n">
        <f aca="false">PU!G36/(INPUTS!$B$8*INPUTS!$B$7*(0.85*INPUTS!$B$5*(1-INPUTS!$B$9)+INPUTS!$B$6*INPUTS!$B$9))</f>
        <v>98.8349590957296</v>
      </c>
      <c r="H36" s="10" t="n">
        <f aca="false">PU!H36/(INPUTS!$B$8*INPUTS!$B$7*(0.85*INPUTS!$B$5*(1-INPUTS!$B$9)+INPUTS!$B$6*INPUTS!$B$9))</f>
        <v>132.929461995087</v>
      </c>
      <c r="I36" s="10" t="n">
        <f aca="false">PU!I36/(INPUTS!$B$8*INPUTS!$B$7*(0.85*INPUTS!$B$5*(1-INPUTS!$B$9)+INPUTS!$B$6*INPUTS!$B$9))</f>
        <v>166.614618533162</v>
      </c>
      <c r="J36" s="10" t="n">
        <f aca="false">PU!J36/(INPUTS!$B$8*INPUTS!$B$7*(0.85*INPUTS!$B$5*(1-INPUTS!$B$9)+INPUTS!$B$6*INPUTS!$B$9))</f>
        <v>200.08788180255</v>
      </c>
      <c r="K36" s="10" t="n">
        <f aca="false">PU!K36/(INPUTS!$B$8*INPUTS!$B$7*(0.85*INPUTS!$B$5*(1-INPUTS!$B$9)+INPUTS!$B$6*INPUTS!$B$9))</f>
        <v>233.013130786606</v>
      </c>
      <c r="L36" s="10" t="n">
        <f aca="false">PU!L36/(INPUTS!$B$8*INPUTS!$B$7*(0.85*INPUTS!$B$5*(1-INPUTS!$B$9)+INPUTS!$B$6*INPUTS!$B$9))</f>
        <v>267.165276640107</v>
      </c>
      <c r="M36" s="10" t="n">
        <f aca="false">PU!M36/(INPUTS!$B$8*INPUTS!$B$7*(0.85*INPUTS!$B$5*(1-INPUTS!$B$9)+INPUTS!$B$6*INPUTS!$B$9))</f>
        <v>301.317422493608</v>
      </c>
      <c r="N36" s="10" t="n">
        <f aca="false">PU!N36/(INPUTS!$B$8*INPUTS!$B$7*(0.85*INPUTS!$B$5*(1-INPUTS!$B$9)+INPUTS!$B$6*INPUTS!$B$9))</f>
        <v>335.46956834711</v>
      </c>
      <c r="O36" s="10" t="n">
        <f aca="false">PU!O36/(INPUTS!$B$8*INPUTS!$B$7*(0.85*INPUTS!$B$5*(1-INPUTS!$B$9)+INPUTS!$B$6*INPUTS!$B$9))</f>
        <v>369.621714200611</v>
      </c>
      <c r="P36" s="10" t="n">
        <f aca="false">PU!P36/(INPUTS!$B$8*INPUTS!$B$7*(0.85*INPUTS!$B$5*(1-INPUTS!$B$9)+INPUTS!$B$6*INPUTS!$B$9))</f>
        <v>404.067068781493</v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10" t="n">
        <f aca="false">PU!E37/(INPUTS!$B$8*INPUTS!$B$7*(0.85*INPUTS!$B$5*(1-INPUTS!$B$9)+INPUTS!$B$6*INPUTS!$B$9))</f>
        <v>0</v>
      </c>
      <c r="F37" s="10" t="n">
        <f aca="false">PU!F37/(INPUTS!$B$8*INPUTS!$B$7*(0.85*INPUTS!$B$5*(1-INPUTS!$B$9)+INPUTS!$B$6*INPUTS!$B$9))</f>
        <v>30.5374562513962</v>
      </c>
      <c r="G37" s="10" t="n">
        <f aca="false">PU!G37/(INPUTS!$B$8*INPUTS!$B$7*(0.85*INPUTS!$B$5*(1-INPUTS!$B$9)+INPUTS!$B$6*INPUTS!$B$9))</f>
        <v>50.8702939443917</v>
      </c>
      <c r="H37" s="10" t="n">
        <f aca="false">PU!H37/(INPUTS!$B$8*INPUTS!$B$7*(0.85*INPUTS!$B$5*(1-INPUTS!$B$9)+INPUTS!$B$6*INPUTS!$B$9))</f>
        <v>69.5024718898176</v>
      </c>
      <c r="I37" s="10" t="n">
        <f aca="false">PU!I37/(INPUTS!$B$8*INPUTS!$B$7*(0.85*INPUTS!$B$5*(1-INPUTS!$B$9)+INPUTS!$B$6*INPUTS!$B$9))</f>
        <v>87.8548493606774</v>
      </c>
      <c r="J37" s="10" t="n">
        <f aca="false">PU!J37/(INPUTS!$B$8*INPUTS!$B$7*(0.85*INPUTS!$B$5*(1-INPUTS!$B$9)+INPUTS!$B$6*INPUTS!$B$9))</f>
        <v>106.062391448244</v>
      </c>
      <c r="K37" s="10" t="n">
        <f aca="false">PU!K37/(INPUTS!$B$8*INPUTS!$B$7*(0.85*INPUTS!$B$5*(1-INPUTS!$B$9)+INPUTS!$B$6*INPUTS!$B$9))</f>
        <v>123.710048695331</v>
      </c>
      <c r="L37" s="10" t="n">
        <f aca="false">PU!L37/(INPUTS!$B$8*INPUTS!$B$7*(0.85*INPUTS!$B$5*(1-INPUTS!$B$9)+INPUTS!$B$6*INPUTS!$B$9))</f>
        <v>141.29549755725</v>
      </c>
      <c r="M37" s="10" t="n">
        <f aca="false">PU!M37/(INPUTS!$B$8*INPUTS!$B$7*(0.85*INPUTS!$B$5*(1-INPUTS!$B$9)+INPUTS!$B$6*INPUTS!$B$9))</f>
        <v>158.83349376714</v>
      </c>
      <c r="N37" s="10" t="n">
        <f aca="false">PU!N37/(INPUTS!$B$8*INPUTS!$B$7*(0.85*INPUTS!$B$5*(1-INPUTS!$B$9)+INPUTS!$B$6*INPUTS!$B$9))</f>
        <v>176.333744482048</v>
      </c>
      <c r="O37" s="10" t="n">
        <f aca="false">PU!O37/(INPUTS!$B$8*INPUTS!$B$7*(0.85*INPUTS!$B$5*(1-INPUTS!$B$9)+INPUTS!$B$6*INPUTS!$B$9))</f>
        <v>193.803039241158</v>
      </c>
      <c r="P37" s="10" t="n">
        <f aca="false">PU!P37/(INPUTS!$B$8*INPUTS!$B$7*(0.85*INPUTS!$B$5*(1-INPUTS!$B$9)+INPUTS!$B$6*INPUTS!$B$9))</f>
        <v>211.539556197765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10" t="n">
        <f aca="false">PU!E38/(INPUTS!$B$8*INPUTS!$B$7*(0.85*INPUTS!$B$5*(1-INPUTS!$B$9)+INPUTS!$B$6*INPUTS!$B$9))</f>
        <v>0</v>
      </c>
      <c r="F38" s="10" t="n">
        <f aca="false">PU!F38/(INPUTS!$B$8*INPUTS!$B$7*(0.85*INPUTS!$B$5*(1-INPUTS!$B$9)+INPUTS!$B$6*INPUTS!$B$9))</f>
        <v>18.0511082979621</v>
      </c>
      <c r="G38" s="10" t="n">
        <f aca="false">PU!G38/(INPUTS!$B$8*INPUTS!$B$7*(0.85*INPUTS!$B$5*(1-INPUTS!$B$9)+INPUTS!$B$6*INPUTS!$B$9))</f>
        <v>36.3807178056386</v>
      </c>
      <c r="H38" s="10" t="n">
        <f aca="false">PU!H38/(INPUTS!$B$8*INPUTS!$B$7*(0.85*INPUTS!$B$5*(1-INPUTS!$B$9)+INPUTS!$B$6*INPUTS!$B$9))</f>
        <v>51.8565376882939</v>
      </c>
      <c r="I38" s="10" t="n">
        <f aca="false">PU!I38/(INPUTS!$B$8*INPUTS!$B$7*(0.85*INPUTS!$B$5*(1-INPUTS!$B$9)+INPUTS!$B$6*INPUTS!$B$9))</f>
        <v>67.1012346908812</v>
      </c>
      <c r="J38" s="10" t="n">
        <f aca="false">PU!J38/(INPUTS!$B$8*INPUTS!$B$7*(0.85*INPUTS!$B$5*(1-INPUTS!$B$9)+INPUTS!$B$6*INPUTS!$B$9))</f>
        <v>82.2219326333557</v>
      </c>
      <c r="K38" s="10" t="n">
        <f aca="false">PU!K38/(INPUTS!$B$8*INPUTS!$B$7*(0.85*INPUTS!$B$5*(1-INPUTS!$B$9)+INPUTS!$B$6*INPUTS!$B$9))</f>
        <v>97.2621111299595</v>
      </c>
      <c r="L38" s="10" t="n">
        <f aca="false">PU!L38/(INPUTS!$B$8*INPUTS!$B$7*(0.85*INPUTS!$B$5*(1-INPUTS!$B$9)+INPUTS!$B$6*INPUTS!$B$9))</f>
        <v>112.244563326891</v>
      </c>
      <c r="M38" s="10" t="n">
        <f aca="false">PU!M38/(INPUTS!$B$8*INPUTS!$B$7*(0.85*INPUTS!$B$5*(1-INPUTS!$B$9)+INPUTS!$B$6*INPUTS!$B$9))</f>
        <v>127.183007659761</v>
      </c>
      <c r="N38" s="10" t="n">
        <f aca="false">PU!N38/(INPUTS!$B$8*INPUTS!$B$7*(0.85*INPUTS!$B$5*(1-INPUTS!$B$9)+INPUTS!$B$6*INPUTS!$B$9))</f>
        <v>142.086461209234</v>
      </c>
      <c r="O38" s="10" t="n">
        <f aca="false">PU!O38/(INPUTS!$B$8*INPUTS!$B$7*(0.85*INPUTS!$B$5*(1-INPUTS!$B$9)+INPUTS!$B$6*INPUTS!$B$9))</f>
        <v>156.961226967151</v>
      </c>
      <c r="P38" s="10" t="n">
        <f aca="false">PU!P38/(INPUTS!$B$8*INPUTS!$B$7*(0.85*INPUTS!$B$5*(1-INPUTS!$B$9)+INPUTS!$B$6*INPUTS!$B$9))</f>
        <v>172.007388574776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10" t="n">
        <f aca="false">PU!E39/(INPUTS!$B$8*INPUTS!$B$7*(0.85*INPUTS!$B$5*(1-INPUTS!$B$9)+INPUTS!$B$6*INPUTS!$B$9))</f>
        <v>0</v>
      </c>
      <c r="F39" s="10" t="n">
        <f aca="false">PU!F39/(INPUTS!$B$8*INPUTS!$B$7*(0.85*INPUTS!$B$5*(1-INPUTS!$B$9)+INPUTS!$B$6*INPUTS!$B$9))</f>
        <v>36.5012286841909</v>
      </c>
      <c r="G39" s="10" t="n">
        <f aca="false">PU!G39/(INPUTS!$B$8*INPUTS!$B$7*(0.85*INPUTS!$B$5*(1-INPUTS!$B$9)+INPUTS!$B$6*INPUTS!$B$9))</f>
        <v>59.0042299948182</v>
      </c>
      <c r="H39" s="10" t="n">
        <f aca="false">PU!H39/(INPUTS!$B$8*INPUTS!$B$7*(0.85*INPUTS!$B$5*(1-INPUTS!$B$9)+INPUTS!$B$6*INPUTS!$B$9))</f>
        <v>79.5958547575634</v>
      </c>
      <c r="I39" s="10" t="n">
        <f aca="false">PU!I39/(INPUTS!$B$8*INPUTS!$B$7*(0.85*INPUTS!$B$5*(1-INPUTS!$B$9)+INPUTS!$B$6*INPUTS!$B$9))</f>
        <v>99.8730109348456</v>
      </c>
      <c r="J39" s="10" t="n">
        <f aca="false">PU!J39/(INPUTS!$B$8*INPUTS!$B$7*(0.85*INPUTS!$B$5*(1-INPUTS!$B$9)+INPUTS!$B$6*INPUTS!$B$9))</f>
        <v>119.987386194119</v>
      </c>
      <c r="K39" s="10" t="n">
        <f aca="false">PU!K39/(INPUTS!$B$8*INPUTS!$B$7*(0.85*INPUTS!$B$5*(1-INPUTS!$B$9)+INPUTS!$B$6*INPUTS!$B$9))</f>
        <v>139.997735476307</v>
      </c>
      <c r="L39" s="10" t="n">
        <f aca="false">PU!L39/(INPUTS!$B$8*INPUTS!$B$7*(0.85*INPUTS!$B$5*(1-INPUTS!$B$9)+INPUTS!$B$6*INPUTS!$B$9))</f>
        <v>159.934191892173</v>
      </c>
      <c r="M39" s="10" t="n">
        <f aca="false">PU!M39/(INPUTS!$B$8*INPUTS!$B$7*(0.85*INPUTS!$B$5*(1-INPUTS!$B$9)+INPUTS!$B$6*INPUTS!$B$9))</f>
        <v>179.814655891691</v>
      </c>
      <c r="N39" s="10" t="n">
        <f aca="false">PU!N39/(INPUTS!$B$8*INPUTS!$B$7*(0.85*INPUTS!$B$5*(1-INPUTS!$B$9)+INPUTS!$B$6*INPUTS!$B$9))</f>
        <v>199.650790608283</v>
      </c>
      <c r="O39" s="10" t="n">
        <f aca="false">PU!O39/(INPUTS!$B$8*INPUTS!$B$7*(0.85*INPUTS!$B$5*(1-INPUTS!$B$9)+INPUTS!$B$6*INPUTS!$B$9))</f>
        <v>219.450697282094</v>
      </c>
      <c r="P39" s="10" t="n">
        <f aca="false">PU!P39/(INPUTS!$B$8*INPUTS!$B$7*(0.85*INPUTS!$B$5*(1-INPUTS!$B$9)+INPUTS!$B$6*INPUTS!$B$9))</f>
        <v>239.820537642416</v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10" t="n">
        <f aca="false">PU!E40/(INPUTS!$B$8*INPUTS!$B$7*(0.85*INPUTS!$B$5*(1-INPUTS!$B$9)+INPUTS!$B$6*INPUTS!$B$9))</f>
        <v>0</v>
      </c>
      <c r="F40" s="10" t="n">
        <f aca="false">PU!F40/(INPUTS!$B$8*INPUTS!$B$7*(0.85*INPUTS!$B$5*(1-INPUTS!$B$9)+INPUTS!$B$6*INPUTS!$B$9))</f>
        <v>14.4578275870628</v>
      </c>
      <c r="G40" s="10" t="n">
        <f aca="false">PU!G40/(INPUTS!$B$8*INPUTS!$B$7*(0.85*INPUTS!$B$5*(1-INPUTS!$B$9)+INPUTS!$B$6*INPUTS!$B$9))</f>
        <v>25.926477523767</v>
      </c>
      <c r="H40" s="10" t="n">
        <f aca="false">PU!H40/(INPUTS!$B$8*INPUTS!$B$7*(0.85*INPUTS!$B$5*(1-INPUTS!$B$9)+INPUTS!$B$6*INPUTS!$B$9))</f>
        <v>36.372013718543</v>
      </c>
      <c r="I40" s="10" t="n">
        <f aca="false">PU!I40/(INPUTS!$B$8*INPUTS!$B$7*(0.85*INPUTS!$B$5*(1-INPUTS!$B$9)+INPUTS!$B$6*INPUTS!$B$9))</f>
        <v>46.5776718525545</v>
      </c>
      <c r="J40" s="10" t="n">
        <f aca="false">PU!J40/(INPUTS!$B$8*INPUTS!$B$7*(0.85*INPUTS!$B$5*(1-INPUTS!$B$9)+INPUTS!$B$6*INPUTS!$B$9))</f>
        <v>56.6870274967555</v>
      </c>
      <c r="K40" s="10" t="n">
        <f aca="false">PU!K40/(INPUTS!$B$8*INPUTS!$B$7*(0.85*INPUTS!$B$5*(1-INPUTS!$B$9)+INPUTS!$B$6*INPUTS!$B$9))</f>
        <v>65.9357480597125</v>
      </c>
      <c r="L40" s="10" t="n">
        <f aca="false">PU!L40/(INPUTS!$B$8*INPUTS!$B$7*(0.85*INPUTS!$B$5*(1-INPUTS!$B$9)+INPUTS!$B$6*INPUTS!$B$9))</f>
        <v>75.0959915322901</v>
      </c>
      <c r="M40" s="10" t="n">
        <f aca="false">PU!M40/(INPUTS!$B$8*INPUTS!$B$7*(0.85*INPUTS!$B$5*(1-INPUTS!$B$9)+INPUTS!$B$6*INPUTS!$B$9))</f>
        <v>84.2290122914972</v>
      </c>
      <c r="N40" s="10" t="n">
        <f aca="false">PU!N40/(INPUTS!$B$8*INPUTS!$B$7*(0.85*INPUTS!$B$5*(1-INPUTS!$B$9)+INPUTS!$B$6*INPUTS!$B$9))</f>
        <v>93.3400760828869</v>
      </c>
      <c r="O40" s="10" t="n">
        <f aca="false">PU!O40/(INPUTS!$B$8*INPUTS!$B$7*(0.85*INPUTS!$B$5*(1-INPUTS!$B$9)+INPUTS!$B$6*INPUTS!$B$9))</f>
        <v>102.432942509443</v>
      </c>
      <c r="P40" s="10" t="n">
        <f aca="false">PU!P40/(INPUTS!$B$8*INPUTS!$B$7*(0.85*INPUTS!$B$5*(1-INPUTS!$B$9)+INPUTS!$B$6*INPUTS!$B$9))</f>
        <v>111.803615662715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10" t="n">
        <f aca="false">PU!E41/(INPUTS!$B$8*INPUTS!$B$7*(0.85*INPUTS!$B$5*(1-INPUTS!$B$9)+INPUTS!$B$6*INPUTS!$B$9))</f>
        <v>0</v>
      </c>
      <c r="F41" s="10" t="n">
        <f aca="false">PU!F41/(INPUTS!$B$8*INPUTS!$B$7*(0.85*INPUTS!$B$5*(1-INPUTS!$B$9)+INPUTS!$B$6*INPUTS!$B$9))</f>
        <v>14.8500136520466</v>
      </c>
      <c r="G41" s="10" t="n">
        <f aca="false">PU!G41/(INPUTS!$B$8*INPUTS!$B$7*(0.85*INPUTS!$B$5*(1-INPUTS!$B$9)+INPUTS!$B$6*INPUTS!$B$9))</f>
        <v>26.5681237123638</v>
      </c>
      <c r="H41" s="10" t="n">
        <f aca="false">PU!H41/(INPUTS!$B$8*INPUTS!$B$7*(0.85*INPUTS!$B$5*(1-INPUTS!$B$9)+INPUTS!$B$6*INPUTS!$B$9))</f>
        <v>54.0915099862628</v>
      </c>
      <c r="I41" s="10" t="n">
        <f aca="false">PU!I41/(INPUTS!$B$8*INPUTS!$B$7*(0.85*INPUTS!$B$5*(1-INPUTS!$B$9)+INPUTS!$B$6*INPUTS!$B$9))</f>
        <v>64.4511599059792</v>
      </c>
      <c r="J41" s="10" t="n">
        <f aca="false">PU!J41/(INPUTS!$B$8*INPUTS!$B$7*(0.85*INPUTS!$B$5*(1-INPUTS!$B$9)+INPUTS!$B$6*INPUTS!$B$9))</f>
        <v>74.6579897361008</v>
      </c>
      <c r="K41" s="10" t="n">
        <f aca="false">PU!K41/(INPUTS!$B$8*INPUTS!$B$7*(0.85*INPUTS!$B$5*(1-INPUTS!$B$9)+INPUTS!$B$6*INPUTS!$B$9))</f>
        <v>83.9359324064398</v>
      </c>
      <c r="L41" s="10" t="n">
        <f aca="false">PU!L41/(INPUTS!$B$8*INPUTS!$B$7*(0.85*INPUTS!$B$5*(1-INPUTS!$B$9)+INPUTS!$B$6*INPUTS!$B$9))</f>
        <v>93.3013362045887</v>
      </c>
      <c r="M41" s="10" t="n">
        <f aca="false">PU!M41/(INPUTS!$B$8*INPUTS!$B$7*(0.85*INPUTS!$B$5*(1-INPUTS!$B$9)+INPUTS!$B$6*INPUTS!$B$9))</f>
        <v>102.6491383461</v>
      </c>
      <c r="N41" s="10" t="n">
        <f aca="false">PU!N41/(INPUTS!$B$8*INPUTS!$B$7*(0.85*INPUTS!$B$5*(1-INPUTS!$B$9)+INPUTS!$B$6*INPUTS!$B$9))</f>
        <v>111.981963386054</v>
      </c>
      <c r="O41" s="10" t="n">
        <f aca="false">PU!O41/(INPUTS!$B$8*INPUTS!$B$7*(0.85*INPUTS!$B$5*(1-INPUTS!$B$9)+INPUTS!$B$6*INPUTS!$B$9))</f>
        <v>121.301842009381</v>
      </c>
      <c r="P41" s="10" t="n">
        <f aca="false">PU!P41/(INPUTS!$B$8*INPUTS!$B$7*(0.85*INPUTS!$B$5*(1-INPUTS!$B$9)+INPUTS!$B$6*INPUTS!$B$9))</f>
        <v>130.903592420639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10" t="n">
        <f aca="false">PU!E42/(INPUTS!$B$8*INPUTS!$B$7*(0.85*INPUTS!$B$5*(1-INPUTS!$B$9)+INPUTS!$B$6*INPUTS!$B$9))</f>
        <v>0</v>
      </c>
      <c r="F42" s="10" t="n">
        <f aca="false">PU!F42/(INPUTS!$B$8*INPUTS!$B$7*(0.85*INPUTS!$B$5*(1-INPUTS!$B$9)+INPUTS!$B$6*INPUTS!$B$9))</f>
        <v>21.1612927247003</v>
      </c>
      <c r="G42" s="10" t="n">
        <f aca="false">PU!G42/(INPUTS!$B$8*INPUTS!$B$7*(0.85*INPUTS!$B$5*(1-INPUTS!$B$9)+INPUTS!$B$6*INPUTS!$B$9))</f>
        <v>35.2818527068285</v>
      </c>
      <c r="H42" s="10" t="n">
        <f aca="false">PU!H42/(INPUTS!$B$8*INPUTS!$B$7*(0.85*INPUTS!$B$5*(1-INPUTS!$B$9)+INPUTS!$B$6*INPUTS!$B$9))</f>
        <v>48.0065406207416</v>
      </c>
      <c r="I42" s="10" t="n">
        <f aca="false">PU!I42/(INPUTS!$B$8*INPUTS!$B$7*(0.85*INPUTS!$B$5*(1-INPUTS!$B$9)+INPUTS!$B$6*INPUTS!$B$9))</f>
        <v>60.5015731508083</v>
      </c>
      <c r="J42" s="10" t="n">
        <f aca="false">PU!J42/(INPUTS!$B$8*INPUTS!$B$7*(0.85*INPUTS!$B$5*(1-INPUTS!$B$9)+INPUTS!$B$6*INPUTS!$B$9))</f>
        <v>72.8777273065753</v>
      </c>
      <c r="K42" s="10" t="n">
        <f aca="false">PU!K42/(INPUTS!$B$8*INPUTS!$B$7*(0.85*INPUTS!$B$5*(1-INPUTS!$B$9)+INPUTS!$B$6*INPUTS!$B$9))</f>
        <v>85.2303298865277</v>
      </c>
      <c r="L42" s="10" t="n">
        <f aca="false">PU!L42/(INPUTS!$B$8*INPUTS!$B$7*(0.85*INPUTS!$B$5*(1-INPUTS!$B$9)+INPUTS!$B$6*INPUTS!$B$9))</f>
        <v>97.5284843977881</v>
      </c>
      <c r="M42" s="10" t="n">
        <f aca="false">PU!M42/(INPUTS!$B$8*INPUTS!$B$7*(0.85*INPUTS!$B$5*(1-INPUTS!$B$9)+INPUTS!$B$6*INPUTS!$B$9))</f>
        <v>109.785425601435</v>
      </c>
      <c r="N42" s="10" t="n">
        <f aca="false">PU!N42/(INPUTS!$B$8*INPUTS!$B$7*(0.85*INPUTS!$B$5*(1-INPUTS!$B$9)+INPUTS!$B$6*INPUTS!$B$9))</f>
        <v>122.009763136681</v>
      </c>
      <c r="O42" s="10" t="n">
        <f aca="false">PU!O42/(INPUTS!$B$8*INPUTS!$B$7*(0.85*INPUTS!$B$5*(1-INPUTS!$B$9)+INPUTS!$B$6*INPUTS!$B$9))</f>
        <v>134.207470541211</v>
      </c>
      <c r="P42" s="10" t="n">
        <f aca="false">PU!P42/(INPUTS!$B$8*INPUTS!$B$7*(0.85*INPUTS!$B$5*(1-INPUTS!$B$9)+INPUTS!$B$6*INPUTS!$B$9))</f>
        <v>146.578365900258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10" t="n">
        <f aca="false">PU!E43/(INPUTS!$B$8*INPUTS!$B$7*(0.85*INPUTS!$B$5*(1-INPUTS!$B$9)+INPUTS!$B$6*INPUTS!$B$9))</f>
        <v>0</v>
      </c>
      <c r="F43" s="10" t="n">
        <f aca="false">PU!F43/(INPUTS!$B$8*INPUTS!$B$7*(0.85*INPUTS!$B$5*(1-INPUTS!$B$9)+INPUTS!$B$6*INPUTS!$B$9))</f>
        <v>19.7672326060516</v>
      </c>
      <c r="G43" s="10" t="n">
        <f aca="false">PU!G43/(INPUTS!$B$8*INPUTS!$B$7*(0.85*INPUTS!$B$5*(1-INPUTS!$B$9)+INPUTS!$B$6*INPUTS!$B$9))</f>
        <v>33.6759131704797</v>
      </c>
      <c r="H43" s="10" t="n">
        <f aca="false">PU!H43/(INPUTS!$B$8*INPUTS!$B$7*(0.85*INPUTS!$B$5*(1-INPUTS!$B$9)+INPUTS!$B$6*INPUTS!$B$9))</f>
        <v>46.2519501071849</v>
      </c>
      <c r="I43" s="10" t="n">
        <f aca="false">PU!I43/(INPUTS!$B$8*INPUTS!$B$7*(0.85*INPUTS!$B$5*(1-INPUTS!$B$9)+INPUTS!$B$6*INPUTS!$B$9))</f>
        <v>58.6087342980087</v>
      </c>
      <c r="J43" s="10" t="n">
        <f aca="false">PU!J43/(INPUTS!$B$8*INPUTS!$B$7*(0.85*INPUTS!$B$5*(1-INPUTS!$B$9)+INPUTS!$B$6*INPUTS!$B$9))</f>
        <v>70.8520249161822</v>
      </c>
      <c r="K43" s="10" t="n">
        <f aca="false">PU!K43/(INPUTS!$B$8*INPUTS!$B$7*(0.85*INPUTS!$B$5*(1-INPUTS!$B$9)+INPUTS!$B$6*INPUTS!$B$9))</f>
        <v>82.7107407638883</v>
      </c>
      <c r="L43" s="10" t="n">
        <f aca="false">PU!L43/(INPUTS!$B$8*INPUTS!$B$7*(0.85*INPUTS!$B$5*(1-INPUTS!$B$9)+INPUTS!$B$6*INPUTS!$B$9))</f>
        <v>94.4655908316892</v>
      </c>
      <c r="M43" s="10" t="n">
        <f aca="false">PU!M43/(INPUTS!$B$8*INPUTS!$B$7*(0.85*INPUTS!$B$5*(1-INPUTS!$B$9)+INPUTS!$B$6*INPUTS!$B$9))</f>
        <v>106.183748286571</v>
      </c>
      <c r="N43" s="10" t="n">
        <f aca="false">PU!N43/(INPUTS!$B$8*INPUTS!$B$7*(0.85*INPUTS!$B$5*(1-INPUTS!$B$9)+INPUTS!$B$6*INPUTS!$B$9))</f>
        <v>117.872681979734</v>
      </c>
      <c r="O43" s="10" t="n">
        <f aca="false">PU!O43/(INPUTS!$B$8*INPUTS!$B$7*(0.85*INPUTS!$B$5*(1-INPUTS!$B$9)+INPUTS!$B$6*INPUTS!$B$9))</f>
        <v>129.537625722627</v>
      </c>
      <c r="P43" s="10" t="n">
        <f aca="false">PU!P43/(INPUTS!$B$8*INPUTS!$B$7*(0.85*INPUTS!$B$5*(1-INPUTS!$B$9)+INPUTS!$B$6*INPUTS!$B$9))</f>
        <v>141.475624461756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10" t="n">
        <f aca="false">PU!E44/(INPUTS!$B$8*INPUTS!$B$7*(0.85*INPUTS!$B$5*(1-INPUTS!$B$9)+INPUTS!$B$6*INPUTS!$B$9))</f>
        <v>0</v>
      </c>
      <c r="F44" s="10" t="n">
        <f aca="false">PU!F44/(INPUTS!$B$8*INPUTS!$B$7*(0.85*INPUTS!$B$5*(1-INPUTS!$B$9)+INPUTS!$B$6*INPUTS!$B$9))</f>
        <v>49.0511827636707</v>
      </c>
      <c r="G44" s="10" t="n">
        <f aca="false">PU!G44/(INPUTS!$B$8*INPUTS!$B$7*(0.85*INPUTS!$B$5*(1-INPUTS!$B$9)+INPUTS!$B$6*INPUTS!$B$9))</f>
        <v>78.2840084638242</v>
      </c>
      <c r="H44" s="10" t="n">
        <f aca="false">PU!H44/(INPUTS!$B$8*INPUTS!$B$7*(0.85*INPUTS!$B$5*(1-INPUTS!$B$9)+INPUTS!$B$6*INPUTS!$B$9))</f>
        <v>105.298301272077</v>
      </c>
      <c r="I44" s="10" t="n">
        <f aca="false">PU!I44/(INPUTS!$B$8*INPUTS!$B$7*(0.85*INPUTS!$B$5*(1-INPUTS!$B$9)+INPUTS!$B$6*INPUTS!$B$9))</f>
        <v>131.947590700388</v>
      </c>
      <c r="J44" s="10" t="n">
        <f aca="false">PU!J44/(INPUTS!$B$8*INPUTS!$B$7*(0.85*INPUTS!$B$5*(1-INPUTS!$B$9)+INPUTS!$B$6*INPUTS!$B$9))</f>
        <v>158.459536232716</v>
      </c>
      <c r="K44" s="10" t="n">
        <f aca="false">PU!K44/(INPUTS!$B$8*INPUTS!$B$7*(0.85*INPUTS!$B$5*(1-INPUTS!$B$9)+INPUTS!$B$6*INPUTS!$B$9))</f>
        <v>183.715281616454</v>
      </c>
      <c r="L44" s="10" t="n">
        <f aca="false">PU!L44/(INPUTS!$B$8*INPUTS!$B$7*(0.85*INPUTS!$B$5*(1-INPUTS!$B$9)+INPUTS!$B$6*INPUTS!$B$9))</f>
        <v>210.550177476605</v>
      </c>
      <c r="M44" s="10" t="n">
        <f aca="false">PU!M44/(INPUTS!$B$8*INPUTS!$B$7*(0.85*INPUTS!$B$5*(1-INPUTS!$B$9)+INPUTS!$B$6*INPUTS!$B$9))</f>
        <v>237.492987812446</v>
      </c>
      <c r="N44" s="10" t="n">
        <f aca="false">PU!N44/(INPUTS!$B$8*INPUTS!$B$7*(0.85*INPUTS!$B$5*(1-INPUTS!$B$9)+INPUTS!$B$6*INPUTS!$B$9))</f>
        <v>264.435798148286</v>
      </c>
      <c r="O44" s="10" t="n">
        <f aca="false">PU!O44/(INPUTS!$B$8*INPUTS!$B$7*(0.85*INPUTS!$B$5*(1-INPUTS!$B$9)+INPUTS!$B$6*INPUTS!$B$9))</f>
        <v>291.378608484126</v>
      </c>
      <c r="P44" s="10" t="n">
        <f aca="false">PU!P44/(INPUTS!$B$8*INPUTS!$B$7*(0.85*INPUTS!$B$5*(1-INPUTS!$B$9)+INPUTS!$B$6*INPUTS!$B$9))</f>
        <v>318.516891304887</v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10" t="n">
        <f aca="false">PU!E45/(INPUTS!$B$8*INPUTS!$B$7*(0.85*INPUTS!$B$5*(1-INPUTS!$B$9)+INPUTS!$B$6*INPUTS!$B$9))</f>
        <v>0</v>
      </c>
      <c r="F45" s="10" t="n">
        <f aca="false">PU!F45/(INPUTS!$B$8*INPUTS!$B$7*(0.85*INPUTS!$B$5*(1-INPUTS!$B$9)+INPUTS!$B$6*INPUTS!$B$9))</f>
        <v>23.4610420234815</v>
      </c>
      <c r="G45" s="10" t="n">
        <f aca="false">PU!G45/(INPUTS!$B$8*INPUTS!$B$7*(0.85*INPUTS!$B$5*(1-INPUTS!$B$9)+INPUTS!$B$6*INPUTS!$B$9))</f>
        <v>38.5233909493019</v>
      </c>
      <c r="H45" s="10" t="n">
        <f aca="false">PU!H45/(INPUTS!$B$8*INPUTS!$B$7*(0.85*INPUTS!$B$5*(1-INPUTS!$B$9)+INPUTS!$B$6*INPUTS!$B$9))</f>
        <v>52.0780257214135</v>
      </c>
      <c r="I45" s="10" t="n">
        <f aca="false">PU!I45/(INPUTS!$B$8*INPUTS!$B$7*(0.85*INPUTS!$B$5*(1-INPUTS!$B$9)+INPUTS!$B$6*INPUTS!$B$9))</f>
        <v>65.3846043280748</v>
      </c>
      <c r="J45" s="10" t="n">
        <f aca="false">PU!J45/(INPUTS!$B$8*INPUTS!$B$7*(0.85*INPUTS!$B$5*(1-INPUTS!$B$9)+INPUTS!$B$6*INPUTS!$B$9))</f>
        <v>78.5627796149887</v>
      </c>
      <c r="K45" s="10" t="n">
        <f aca="false">PU!K45/(INPUTS!$B$8*INPUTS!$B$7*(0.85*INPUTS!$B$5*(1-INPUTS!$B$9)+INPUTS!$B$6*INPUTS!$B$9))</f>
        <v>91.6588981045755</v>
      </c>
      <c r="L45" s="10" t="n">
        <f aca="false">PU!L45/(INPUTS!$B$8*INPUTS!$B$7*(0.85*INPUTS!$B$5*(1-INPUTS!$B$9)+INPUTS!$B$6*INPUTS!$B$9))</f>
        <v>104.696729115154</v>
      </c>
      <c r="M45" s="10" t="n">
        <f aca="false">PU!M45/(INPUTS!$B$8*INPUTS!$B$7*(0.85*INPUTS!$B$5*(1-INPUTS!$B$9)+INPUTS!$B$6*INPUTS!$B$9))</f>
        <v>117.690392712084</v>
      </c>
      <c r="N45" s="10" t="n">
        <f aca="false">PU!N45/(INPUTS!$B$8*INPUTS!$B$7*(0.85*INPUTS!$B$5*(1-INPUTS!$B$9)+INPUTS!$B$6*INPUTS!$B$9))</f>
        <v>130.649088899078</v>
      </c>
      <c r="O45" s="10" t="n">
        <f aca="false">PU!O45/(INPUTS!$B$8*INPUTS!$B$7*(0.85*INPUTS!$B$5*(1-INPUTS!$B$9)+INPUTS!$B$6*INPUTS!$B$9))</f>
        <v>143.579208020542</v>
      </c>
      <c r="P45" s="10" t="n">
        <f aca="false">PU!P45/(INPUTS!$B$8*INPUTS!$B$7*(0.85*INPUTS!$B$5*(1-INPUTS!$B$9)+INPUTS!$B$6*INPUTS!$B$9))</f>
        <v>156.680875332259</v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10" t="n">
        <f aca="false">PU!E46/(INPUTS!$B$8*INPUTS!$B$7*(0.85*INPUTS!$B$5*(1-INPUTS!$B$9)+INPUTS!$B$6*INPUTS!$B$9))</f>
        <v>0</v>
      </c>
      <c r="F46" s="10" t="n">
        <f aca="false">PU!F46/(INPUTS!$B$8*INPUTS!$B$7*(0.85*INPUTS!$B$5*(1-INPUTS!$B$9)+INPUTS!$B$6*INPUTS!$B$9))</f>
        <v>17.0492342442972</v>
      </c>
      <c r="G46" s="10" t="n">
        <f aca="false">PU!G46/(INPUTS!$B$8*INPUTS!$B$7*(0.85*INPUTS!$B$5*(1-INPUTS!$B$9)+INPUTS!$B$6*INPUTS!$B$9))</f>
        <v>35.1848867797008</v>
      </c>
      <c r="H46" s="10" t="n">
        <f aca="false">PU!H46/(INPUTS!$B$8*INPUTS!$B$7*(0.85*INPUTS!$B$5*(1-INPUTS!$B$9)+INPUTS!$B$6*INPUTS!$B$9))</f>
        <v>51.690203887548</v>
      </c>
      <c r="I46" s="10" t="n">
        <f aca="false">PU!I46/(INPUTS!$B$8*INPUTS!$B$7*(0.85*INPUTS!$B$5*(1-INPUTS!$B$9)+INPUTS!$B$6*INPUTS!$B$9))</f>
        <v>67.9375229082109</v>
      </c>
      <c r="J46" s="10" t="n">
        <f aca="false">PU!J46/(INPUTS!$B$8*INPUTS!$B$7*(0.85*INPUTS!$B$5*(1-INPUTS!$B$9)+INPUTS!$B$6*INPUTS!$B$9))</f>
        <v>84.0511168103415</v>
      </c>
      <c r="K46" s="10" t="n">
        <f aca="false">PU!K46/(INPUTS!$B$8*INPUTS!$B$7*(0.85*INPUTS!$B$5*(1-INPUTS!$B$9)+INPUTS!$B$6*INPUTS!$B$9))</f>
        <v>100.079204011765</v>
      </c>
      <c r="L46" s="10" t="n">
        <f aca="false">PU!L46/(INPUTS!$B$8*INPUTS!$B$7*(0.85*INPUTS!$B$5*(1-INPUTS!$B$9)+INPUTS!$B$6*INPUTS!$B$9))</f>
        <v>116.046533241579</v>
      </c>
      <c r="M46" s="10" t="n">
        <f aca="false">PU!M46/(INPUTS!$B$8*INPUTS!$B$7*(0.85*INPUTS!$B$5*(1-INPUTS!$B$9)+INPUTS!$B$6*INPUTS!$B$9))</f>
        <v>131.967813196294</v>
      </c>
      <c r="N46" s="10" t="n">
        <f aca="false">PU!N46/(INPUTS!$B$8*INPUTS!$B$7*(0.85*INPUTS!$B$5*(1-INPUTS!$B$9)+INPUTS!$B$6*INPUTS!$B$9))</f>
        <v>147.852630370396</v>
      </c>
      <c r="O46" s="10" t="n">
        <f aca="false">PU!O46/(INPUTS!$B$8*INPUTS!$B$7*(0.85*INPUTS!$B$5*(1-INPUTS!$B$9)+INPUTS!$B$6*INPUTS!$B$9))</f>
        <v>163.707645044722</v>
      </c>
      <c r="P46" s="10" t="n">
        <f aca="false">PU!P46/(INPUTS!$B$8*INPUTS!$B$7*(0.85*INPUTS!$B$5*(1-INPUTS!$B$9)+INPUTS!$B$6*INPUTS!$B$9))</f>
        <v>179.830916069273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10" t="n">
        <f aca="false">PU!E47/(INPUTS!$B$8*INPUTS!$B$7*(0.85*INPUTS!$B$5*(1-INPUTS!$B$9)+INPUTS!$B$6*INPUTS!$B$9))</f>
        <v>0</v>
      </c>
      <c r="F47" s="10" t="n">
        <f aca="false">PU!F47/(INPUTS!$B$8*INPUTS!$B$7*(0.85*INPUTS!$B$5*(1-INPUTS!$B$9)+INPUTS!$B$6*INPUTS!$B$9))</f>
        <v>48.7219822771614</v>
      </c>
      <c r="G47" s="10" t="n">
        <f aca="false">PU!G47/(INPUTS!$B$8*INPUTS!$B$7*(0.85*INPUTS!$B$5*(1-INPUTS!$B$9)+INPUTS!$B$6*INPUTS!$B$9))</f>
        <v>78.0496850368535</v>
      </c>
      <c r="H47" s="10" t="n">
        <f aca="false">PU!H47/(INPUTS!$B$8*INPUTS!$B$7*(0.85*INPUTS!$B$5*(1-INPUTS!$B$9)+INPUTS!$B$6*INPUTS!$B$9))</f>
        <v>105.184157818045</v>
      </c>
      <c r="I47" s="10" t="n">
        <f aca="false">PU!I47/(INPUTS!$B$8*INPUTS!$B$7*(0.85*INPUTS!$B$5*(1-INPUTS!$B$9)+INPUTS!$B$6*INPUTS!$B$9))</f>
        <v>131.957790172635</v>
      </c>
      <c r="J47" s="10" t="n">
        <f aca="false">PU!J47/(INPUTS!$B$8*INPUTS!$B$7*(0.85*INPUTS!$B$5*(1-INPUTS!$B$9)+INPUTS!$B$6*INPUTS!$B$9))</f>
        <v>158.596256047873</v>
      </c>
      <c r="K47" s="10" t="n">
        <f aca="false">PU!K47/(INPUTS!$B$8*INPUTS!$B$7*(0.85*INPUTS!$B$5*(1-INPUTS!$B$9)+INPUTS!$B$6*INPUTS!$B$9))</f>
        <v>183.992828850132</v>
      </c>
      <c r="L47" s="10" t="n">
        <f aca="false">PU!L47/(INPUTS!$B$8*INPUTS!$B$7*(0.85*INPUTS!$B$5*(1-INPUTS!$B$9)+INPUTS!$B$6*INPUTS!$B$9))</f>
        <v>210.852818527068</v>
      </c>
      <c r="M47" s="10" t="n">
        <f aca="false">PU!M47/(INPUTS!$B$8*INPUTS!$B$7*(0.85*INPUTS!$B$5*(1-INPUTS!$B$9)+INPUTS!$B$6*INPUTS!$B$9))</f>
        <v>237.900935785737</v>
      </c>
      <c r="N47" s="10" t="n">
        <f aca="false">PU!N47/(INPUTS!$B$8*INPUTS!$B$7*(0.85*INPUTS!$B$5*(1-INPUTS!$B$9)+INPUTS!$B$6*INPUTS!$B$9))</f>
        <v>264.949053044406</v>
      </c>
      <c r="O47" s="10" t="n">
        <f aca="false">PU!O47/(INPUTS!$B$8*INPUTS!$B$7*(0.85*INPUTS!$B$5*(1-INPUTS!$B$9)+INPUTS!$B$6*INPUTS!$B$9))</f>
        <v>291.997170303075</v>
      </c>
      <c r="P47" s="10" t="n">
        <f aca="false">PU!P47/(INPUTS!$B$8*INPUTS!$B$7*(0.85*INPUTS!$B$5*(1-INPUTS!$B$9)+INPUTS!$B$6*INPUTS!$B$9))</f>
        <v>319.338496289126</v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10" t="n">
        <f aca="false">PU!E48/(INPUTS!$B$8*INPUTS!$B$7*(0.85*INPUTS!$B$5*(1-INPUTS!$B$9)+INPUTS!$B$6*INPUTS!$B$9))</f>
        <v>0</v>
      </c>
      <c r="F48" s="10" t="n">
        <f aca="false">PU!F48/(INPUTS!$B$8*INPUTS!$B$7*(0.85*INPUTS!$B$5*(1-INPUTS!$B$9)+INPUTS!$B$6*INPUTS!$B$9))</f>
        <v>21.8922977635466</v>
      </c>
      <c r="G48" s="10" t="n">
        <f aca="false">PU!G48/(INPUTS!$B$8*INPUTS!$B$7*(0.85*INPUTS!$B$5*(1-INPUTS!$B$9)+INPUTS!$B$6*INPUTS!$B$9))</f>
        <v>36.066720479916</v>
      </c>
      <c r="H48" s="10" t="n">
        <f aca="false">PU!H48/(INPUTS!$B$8*INPUTS!$B$7*(0.85*INPUTS!$B$5*(1-INPUTS!$B$9)+INPUTS!$B$6*INPUTS!$B$9))</f>
        <v>48.7882734842814</v>
      </c>
      <c r="I48" s="10" t="n">
        <f aca="false">PU!I48/(INPUTS!$B$8*INPUTS!$B$7*(0.85*INPUTS!$B$5*(1-INPUTS!$B$9)+INPUTS!$B$6*INPUTS!$B$9))</f>
        <v>61.2707935865731</v>
      </c>
      <c r="J48" s="10" t="n">
        <f aca="false">PU!J48/(INPUTS!$B$8*INPUTS!$B$7*(0.85*INPUTS!$B$5*(1-INPUTS!$B$9)+INPUTS!$B$6*INPUTS!$B$9))</f>
        <v>73.6295811539392</v>
      </c>
      <c r="K48" s="10" t="n">
        <f aca="false">PU!K48/(INPUTS!$B$8*INPUTS!$B$7*(0.85*INPUTS!$B$5*(1-INPUTS!$B$9)+INPUTS!$B$6*INPUTS!$B$9))</f>
        <v>85.9092968128752</v>
      </c>
      <c r="L48" s="10" t="n">
        <f aca="false">PU!L48/(INPUTS!$B$8*INPUTS!$B$7*(0.85*INPUTS!$B$5*(1-INPUTS!$B$9)+INPUTS!$B$6*INPUTS!$B$9))</f>
        <v>98.1328452516309</v>
      </c>
      <c r="M48" s="10" t="n">
        <f aca="false">PU!M48/(INPUTS!$B$8*INPUTS!$B$7*(0.85*INPUTS!$B$5*(1-INPUTS!$B$9)+INPUTS!$B$6*INPUTS!$B$9))</f>
        <v>110.313832905645</v>
      </c>
      <c r="N48" s="10" t="n">
        <f aca="false">PU!N48/(INPUTS!$B$8*INPUTS!$B$7*(0.85*INPUTS!$B$5*(1-INPUTS!$B$9)+INPUTS!$B$6*INPUTS!$B$9))</f>
        <v>122.461125120324</v>
      </c>
      <c r="O48" s="10" t="n">
        <f aca="false">PU!O48/(INPUTS!$B$8*INPUTS!$B$7*(0.85*INPUTS!$B$5*(1-INPUTS!$B$9)+INPUTS!$B$6*INPUTS!$B$9))</f>
        <v>134.580879785616</v>
      </c>
      <c r="P48" s="10" t="n">
        <f aca="false">PU!P48/(INPUTS!$B$8*INPUTS!$B$7*(0.85*INPUTS!$B$5*(1-INPUTS!$B$9)+INPUTS!$B$6*INPUTS!$B$9))</f>
        <v>146.873052908633</v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10" t="n">
        <f aca="false">PU!E49/(INPUTS!$B$8*INPUTS!$B$7*(0.85*INPUTS!$B$5*(1-INPUTS!$B$9)+INPUTS!$B$6*INPUTS!$B$9))</f>
        <v>0</v>
      </c>
      <c r="F49" s="10" t="n">
        <f aca="false">PU!F49/(INPUTS!$B$8*INPUTS!$B$7*(0.85*INPUTS!$B$5*(1-INPUTS!$B$9)+INPUTS!$B$6*INPUTS!$B$9))</f>
        <v>28.2653213195324</v>
      </c>
      <c r="G49" s="10" t="n">
        <f aca="false">PU!G49/(INPUTS!$B$8*INPUTS!$B$7*(0.85*INPUTS!$B$5*(1-INPUTS!$B$9)+INPUTS!$B$6*INPUTS!$B$9))</f>
        <v>46.0278180100289</v>
      </c>
      <c r="H49" s="10" t="n">
        <f aca="false">PU!H49/(INPUTS!$B$8*INPUTS!$B$7*(0.85*INPUTS!$B$5*(1-INPUTS!$B$9)+INPUTS!$B$6*INPUTS!$B$9))</f>
        <v>62.1258433429837</v>
      </c>
      <c r="I49" s="10" t="n">
        <f aca="false">PU!I49/(INPUTS!$B$8*INPUTS!$B$7*(0.85*INPUTS!$B$5*(1-INPUTS!$B$9)+INPUTS!$B$6*INPUTS!$B$9))</f>
        <v>77.950022084104</v>
      </c>
      <c r="J49" s="10" t="n">
        <f aca="false">PU!J49/(INPUTS!$B$8*INPUTS!$B$7*(0.85*INPUTS!$B$5*(1-INPUTS!$B$9)+INPUTS!$B$6*INPUTS!$B$9))</f>
        <v>93.6846926511164</v>
      </c>
      <c r="K49" s="10" t="n">
        <f aca="false">PU!K49/(INPUTS!$B$8*INPUTS!$B$7*(0.85*INPUTS!$B$5*(1-INPUTS!$B$9)+INPUTS!$B$6*INPUTS!$B$9))</f>
        <v>109.328225043944</v>
      </c>
      <c r="L49" s="10" t="n">
        <f aca="false">PU!L49/(INPUTS!$B$8*INPUTS!$B$7*(0.85*INPUTS!$B$5*(1-INPUTS!$B$9)+INPUTS!$B$6*INPUTS!$B$9))</f>
        <v>124.907076067333</v>
      </c>
      <c r="M49" s="10" t="n">
        <f aca="false">PU!M49/(INPUTS!$B$8*INPUTS!$B$7*(0.85*INPUTS!$B$5*(1-INPUTS!$B$9)+INPUTS!$B$6*INPUTS!$B$9))</f>
        <v>140.436942760349</v>
      </c>
      <c r="N49" s="10" t="n">
        <f aca="false">PU!N49/(INPUTS!$B$8*INPUTS!$B$7*(0.85*INPUTS!$B$5*(1-INPUTS!$B$9)+INPUTS!$B$6*INPUTS!$B$9))</f>
        <v>155.928044140627</v>
      </c>
      <c r="O49" s="10" t="n">
        <f aca="false">PU!O49/(INPUTS!$B$8*INPUTS!$B$7*(0.85*INPUTS!$B$5*(1-INPUTS!$B$9)+INPUTS!$B$6*INPUTS!$B$9))</f>
        <v>171.387474142167</v>
      </c>
      <c r="P49" s="10" t="n">
        <f aca="false">PU!P49/(INPUTS!$B$8*INPUTS!$B$7*(0.85*INPUTS!$B$5*(1-INPUTS!$B$9)+INPUTS!$B$6*INPUTS!$B$9))</f>
        <v>187.01586798373</v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10" t="n">
        <f aca="false">PU!E50/(INPUTS!$B$8*INPUTS!$B$7*(0.85*INPUTS!$B$5*(1-INPUTS!$B$9)+INPUTS!$B$6*INPUTS!$B$9))</f>
        <v>0</v>
      </c>
      <c r="F50" s="10" t="n">
        <f aca="false">PU!F50/(INPUTS!$B$8*INPUTS!$B$7*(0.85*INPUTS!$B$5*(1-INPUTS!$B$9)+INPUTS!$B$6*INPUTS!$B$9))</f>
        <v>20.7120162831683</v>
      </c>
      <c r="G50" s="10" t="n">
        <f aca="false">PU!G50/(INPUTS!$B$8*INPUTS!$B$7*(0.85*INPUTS!$B$5*(1-INPUTS!$B$9)+INPUTS!$B$6*INPUTS!$B$9))</f>
        <v>34.6083493822916</v>
      </c>
      <c r="H50" s="10" t="n">
        <f aca="false">PU!H50/(INPUTS!$B$8*INPUTS!$B$7*(0.85*INPUTS!$B$5*(1-INPUTS!$B$9)+INPUTS!$B$6*INPUTS!$B$9))</f>
        <v>79.7558403490239</v>
      </c>
      <c r="I50" s="10" t="n">
        <f aca="false">PU!I50/(INPUTS!$B$8*INPUTS!$B$7*(0.85*INPUTS!$B$5*(1-INPUTS!$B$9)+INPUTS!$B$6*INPUTS!$B$9))</f>
        <v>91.7539950578437</v>
      </c>
      <c r="J50" s="10" t="n">
        <f aca="false">PU!J50/(INPUTS!$B$8*INPUTS!$B$7*(0.85*INPUTS!$B$5*(1-INPUTS!$B$9)+INPUTS!$B$6*INPUTS!$B$9))</f>
        <v>103.665259488965</v>
      </c>
      <c r="K50" s="10" t="n">
        <f aca="false">PU!K50/(INPUTS!$B$8*INPUTS!$B$7*(0.85*INPUTS!$B$5*(1-INPUTS!$B$9)+INPUTS!$B$6*INPUTS!$B$9))</f>
        <v>115.393155103873</v>
      </c>
      <c r="L50" s="10" t="n">
        <f aca="false">PU!L50/(INPUTS!$B$8*INPUTS!$B$7*(0.85*INPUTS!$B$5*(1-INPUTS!$B$9)+INPUTS!$B$6*INPUTS!$B$9))</f>
        <v>127.202086467912</v>
      </c>
      <c r="M50" s="10" t="n">
        <f aca="false">PU!M50/(INPUTS!$B$8*INPUTS!$B$7*(0.85*INPUTS!$B$5*(1-INPUTS!$B$9)+INPUTS!$B$6*INPUTS!$B$9))</f>
        <v>138.99160690547</v>
      </c>
      <c r="N50" s="10" t="n">
        <f aca="false">PU!N50/(INPUTS!$B$8*INPUTS!$B$7*(0.85*INPUTS!$B$5*(1-INPUTS!$B$9)+INPUTS!$B$6*INPUTS!$B$9))</f>
        <v>150.764408233703</v>
      </c>
      <c r="O50" s="10" t="n">
        <f aca="false">PU!O50/(INPUTS!$B$8*INPUTS!$B$7*(0.85*INPUTS!$B$5*(1-INPUTS!$B$9)+INPUTS!$B$6*INPUTS!$B$9))</f>
        <v>162.522612263004</v>
      </c>
      <c r="P50" s="10" t="n">
        <f aca="false">PU!P50/(INPUTS!$B$8*INPUTS!$B$7*(0.85*INPUTS!$B$5*(1-INPUTS!$B$9)+INPUTS!$B$6*INPUTS!$B$9))</f>
        <v>174.463399187465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10" t="n">
        <f aca="false">PU!E51/(INPUTS!$B$8*INPUTS!$B$7*(0.85*INPUTS!$B$5*(1-INPUTS!$B$9)+INPUTS!$B$6*INPUTS!$B$9))</f>
        <v>0</v>
      </c>
      <c r="F51" s="10" t="n">
        <f aca="false">PU!F51/(INPUTS!$B$8*INPUTS!$B$7*(0.85*INPUTS!$B$5*(1-INPUTS!$B$9)+INPUTS!$B$6*INPUTS!$B$9))</f>
        <v>10.1267158140343</v>
      </c>
      <c r="G51" s="10" t="n">
        <f aca="false">PU!G51/(INPUTS!$B$8*INPUTS!$B$7*(0.85*INPUTS!$B$5*(1-INPUTS!$B$9)+INPUTS!$B$6*INPUTS!$B$9))</f>
        <v>17.1742745798893</v>
      </c>
      <c r="H51" s="10" t="n">
        <f aca="false">PU!H51/(INPUTS!$B$8*INPUTS!$B$7*(0.85*INPUTS!$B$5*(1-INPUTS!$B$9)+INPUTS!$B$6*INPUTS!$B$9))</f>
        <v>23.882096019674</v>
      </c>
      <c r="I51" s="10" t="n">
        <f aca="false">PU!I51/(INPUTS!$B$8*INPUTS!$B$7*(0.85*INPUTS!$B$5*(1-INPUTS!$B$9)+INPUTS!$B$6*INPUTS!$B$9))</f>
        <v>30.1318037638882</v>
      </c>
      <c r="J51" s="10" t="n">
        <f aca="false">PU!J51/(INPUTS!$B$8*INPUTS!$B$7*(0.85*INPUTS!$B$5*(1-INPUTS!$B$9)+INPUTS!$B$6*INPUTS!$B$9))</f>
        <v>36.1383204879715</v>
      </c>
      <c r="K51" s="10" t="n">
        <f aca="false">PU!K51/(INPUTS!$B$8*INPUTS!$B$7*(0.85*INPUTS!$B$5*(1-INPUTS!$B$9)+INPUTS!$B$6*INPUTS!$B$9))</f>
        <v>41.6163030242013</v>
      </c>
      <c r="L51" s="10" t="n">
        <f aca="false">PU!L51/(INPUTS!$B$8*INPUTS!$B$7*(0.85*INPUTS!$B$5*(1-INPUTS!$B$9)+INPUTS!$B$6*INPUTS!$B$9))</f>
        <v>47.4945870627928</v>
      </c>
      <c r="M51" s="10" t="n">
        <f aca="false">PU!M51/(INPUTS!$B$8*INPUTS!$B$7*(0.85*INPUTS!$B$5*(1-INPUTS!$B$9)+INPUTS!$B$6*INPUTS!$B$9))</f>
        <v>53.3499259991892</v>
      </c>
      <c r="N51" s="10" t="n">
        <f aca="false">PU!N51/(INPUTS!$B$8*INPUTS!$B$7*(0.85*INPUTS!$B$5*(1-INPUTS!$B$9)+INPUTS!$B$6*INPUTS!$B$9))</f>
        <v>59.187029487946</v>
      </c>
      <c r="O51" s="10" t="n">
        <f aca="false">PU!O51/(INPUTS!$B$8*INPUTS!$B$7*(0.85*INPUTS!$B$5*(1-INPUTS!$B$9)+INPUTS!$B$6*INPUTS!$B$9))</f>
        <v>65.009187403354</v>
      </c>
      <c r="P51" s="10" t="n">
        <f aca="false">PU!P51/(INPUTS!$B$8*INPUTS!$B$7*(0.85*INPUTS!$B$5*(1-INPUTS!$B$9)+INPUTS!$B$6*INPUTS!$B$9))</f>
        <v>71.0142778235419</v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10" t="n">
        <f aca="false">PU!E52/(INPUTS!$B$8*INPUTS!$B$7*(0.85*INPUTS!$B$5*(1-INPUTS!$B$9)+INPUTS!$B$6*INPUTS!$B$9))</f>
        <v>0</v>
      </c>
      <c r="F52" s="10" t="n">
        <f aca="false">PU!F52/(INPUTS!$B$8*INPUTS!$B$7*(0.85*INPUTS!$B$5*(1-INPUTS!$B$9)+INPUTS!$B$6*INPUTS!$B$9))</f>
        <v>17.5757688584407</v>
      </c>
      <c r="G52" s="10" t="n">
        <f aca="false">PU!G52/(INPUTS!$B$8*INPUTS!$B$7*(0.85*INPUTS!$B$5*(1-INPUTS!$B$9)+INPUTS!$B$6*INPUTS!$B$9))</f>
        <v>34.0843781959147</v>
      </c>
      <c r="H52" s="10" t="n">
        <f aca="false">PU!H52/(INPUTS!$B$8*INPUTS!$B$7*(0.85*INPUTS!$B$5*(1-INPUTS!$B$9)+INPUTS!$B$6*INPUTS!$B$9))</f>
        <v>48.9928479867984</v>
      </c>
      <c r="I52" s="10" t="n">
        <f aca="false">PU!I52/(INPUTS!$B$8*INPUTS!$B$7*(0.85*INPUTS!$B$5*(1-INPUTS!$B$9)+INPUTS!$B$6*INPUTS!$B$9))</f>
        <v>63.7030932211649</v>
      </c>
      <c r="J52" s="10" t="n">
        <f aca="false">PU!J52/(INPUTS!$B$8*INPUTS!$B$7*(0.85*INPUTS!$B$5*(1-INPUTS!$B$9)+INPUTS!$B$6*INPUTS!$B$9))</f>
        <v>78.2259708778918</v>
      </c>
      <c r="K52" s="10" t="n">
        <f aca="false">PU!K52/(INPUTS!$B$8*INPUTS!$B$7*(0.85*INPUTS!$B$5*(1-INPUTS!$B$9)+INPUTS!$B$6*INPUTS!$B$9))</f>
        <v>92.6648010956576</v>
      </c>
      <c r="L52" s="10" t="n">
        <f aca="false">PU!L52/(INPUTS!$B$8*INPUTS!$B$7*(0.85*INPUTS!$B$5*(1-INPUTS!$B$9)+INPUTS!$B$6*INPUTS!$B$9))</f>
        <v>107.09977910155</v>
      </c>
      <c r="M52" s="10" t="n">
        <f aca="false">PU!M52/(INPUTS!$B$8*INPUTS!$B$7*(0.85*INPUTS!$B$5*(1-INPUTS!$B$9)+INPUTS!$B$6*INPUTS!$B$9))</f>
        <v>121.489518222626</v>
      </c>
      <c r="N52" s="10" t="n">
        <f aca="false">PU!N52/(INPUTS!$B$8*INPUTS!$B$7*(0.85*INPUTS!$B$5*(1-INPUTS!$B$9)+INPUTS!$B$6*INPUTS!$B$9))</f>
        <v>135.84344164838</v>
      </c>
      <c r="O52" s="10" t="n">
        <f aca="false">PU!O52/(INPUTS!$B$8*INPUTS!$B$7*(0.85*INPUTS!$B$5*(1-INPUTS!$B$9)+INPUTS!$B$6*INPUTS!$B$9))</f>
        <v>150.16809474859</v>
      </c>
      <c r="P52" s="10" t="n">
        <f aca="false">PU!P52/(INPUTS!$B$8*INPUTS!$B$7*(0.85*INPUTS!$B$5*(1-INPUTS!$B$9)+INPUTS!$B$6*INPUTS!$B$9))</f>
        <v>164.66371565207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10" t="n">
        <f aca="false">PU!E53/(INPUTS!$B$8*INPUTS!$B$7*(0.85*INPUTS!$B$5*(1-INPUTS!$B$9)+INPUTS!$B$6*INPUTS!$B$9))</f>
        <v>34.0401370169037</v>
      </c>
      <c r="F53" s="10" t="n">
        <f aca="false">PU!F53/(INPUTS!$B$8*INPUTS!$B$7*(0.85*INPUTS!$B$5*(1-INPUTS!$B$9)+INPUTS!$B$6*INPUTS!$B$9))</f>
        <v>83.8483878174101</v>
      </c>
      <c r="G53" s="10" t="n">
        <f aca="false">PU!G53/(INPUTS!$B$8*INPUTS!$B$7*(0.85*INPUTS!$B$5*(1-INPUTS!$B$9)+INPUTS!$B$6*INPUTS!$B$9))</f>
        <v>122.627646635391</v>
      </c>
      <c r="H53" s="10" t="n">
        <f aca="false">PU!H53/(INPUTS!$B$8*INPUTS!$B$7*(0.85*INPUTS!$B$5*(1-INPUTS!$B$9)+INPUTS!$B$6*INPUTS!$B$9))</f>
        <v>148.637898081267</v>
      </c>
      <c r="I53" s="10" t="n">
        <f aca="false">PU!I53/(INPUTS!$B$8*INPUTS!$B$7*(0.85*INPUTS!$B$5*(1-INPUTS!$B$9)+INPUTS!$B$6*INPUTS!$B$9))</f>
        <v>171.780723310249</v>
      </c>
      <c r="J53" s="10" t="n">
        <f aca="false">PU!J53/(INPUTS!$B$8*INPUTS!$B$7*(0.85*INPUTS!$B$5*(1-INPUTS!$B$9)+INPUTS!$B$6*INPUTS!$B$9))</f>
        <v>195.971529277434</v>
      </c>
      <c r="K53" s="10" t="n">
        <f aca="false">PU!K53/(INPUTS!$B$8*INPUTS!$B$7*(0.85*INPUTS!$B$5*(1-INPUTS!$B$9)+INPUTS!$B$6*INPUTS!$B$9))</f>
        <v>217.769470600653</v>
      </c>
      <c r="L53" s="10" t="n">
        <f aca="false">PU!L53/(INPUTS!$B$8*INPUTS!$B$7*(0.85*INPUTS!$B$5*(1-INPUTS!$B$9)+INPUTS!$B$6*INPUTS!$B$9))</f>
        <v>237.923646613888</v>
      </c>
      <c r="M53" s="10" t="n">
        <f aca="false">PU!M53/(INPUTS!$B$8*INPUTS!$B$7*(0.85*INPUTS!$B$5*(1-INPUTS!$B$9)+INPUTS!$B$6*INPUTS!$B$9))</f>
        <v>257.807382690818</v>
      </c>
      <c r="N53" s="10" t="n">
        <f aca="false">PU!N53/(INPUTS!$B$8*INPUTS!$B$7*(0.85*INPUTS!$B$5*(1-INPUTS!$B$9)+INPUTS!$B$6*INPUTS!$B$9))</f>
        <v>277.551128755604</v>
      </c>
      <c r="O53" s="10" t="n">
        <f aca="false">PU!O53/(INPUTS!$B$8*INPUTS!$B$7*(0.85*INPUTS!$B$5*(1-INPUTS!$B$9)+INPUTS!$B$6*INPUTS!$B$9))</f>
        <v>297.205413488105</v>
      </c>
      <c r="P53" s="10" t="n">
        <f aca="false">PU!P53/(INPUTS!$B$8*INPUTS!$B$7*(0.85*INPUTS!$B$5*(1-INPUTS!$B$9)+INPUTS!$B$6*INPUTS!$B$9))</f>
        <v>316.991623556511</v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10" t="n">
        <f aca="false">PU!E54/(INPUTS!$B$8*INPUTS!$B$7*(0.85*INPUTS!$B$5*(1-INPUTS!$B$9)+INPUTS!$B$6*INPUTS!$B$9))</f>
        <v>10.1533993595949</v>
      </c>
      <c r="F54" s="10" t="n">
        <f aca="false">PU!F54/(INPUTS!$B$8*INPUTS!$B$7*(0.85*INPUTS!$B$5*(1-INPUTS!$B$9)+INPUTS!$B$6*INPUTS!$B$9))</f>
        <v>25.4238339911138</v>
      </c>
      <c r="G54" s="10" t="n">
        <f aca="false">PU!G54/(INPUTS!$B$8*INPUTS!$B$7*(0.85*INPUTS!$B$5*(1-INPUTS!$B$9)+INPUTS!$B$6*INPUTS!$B$9))</f>
        <v>48.1966887581602</v>
      </c>
      <c r="H54" s="10" t="n">
        <f aca="false">PU!H54/(INPUTS!$B$8*INPUTS!$B$7*(0.85*INPUTS!$B$5*(1-INPUTS!$B$9)+INPUTS!$B$6*INPUTS!$B$9))</f>
        <v>63.986521706754</v>
      </c>
      <c r="I54" s="10" t="n">
        <f aca="false">PU!I54/(INPUTS!$B$8*INPUTS!$B$7*(0.85*INPUTS!$B$5*(1-INPUTS!$B$9)+INPUTS!$B$6*INPUTS!$B$9))</f>
        <v>78.1398466006404</v>
      </c>
      <c r="J54" s="10" t="n">
        <f aca="false">PU!J54/(INPUTS!$B$8*INPUTS!$B$7*(0.85*INPUTS!$B$5*(1-INPUTS!$B$9)+INPUTS!$B$6*INPUTS!$B$9))</f>
        <v>93.0835008811776</v>
      </c>
      <c r="K54" s="10" t="n">
        <f aca="false">PU!K54/(INPUTS!$B$8*INPUTS!$B$7*(0.85*INPUTS!$B$5*(1-INPUTS!$B$9)+INPUTS!$B$6*INPUTS!$B$9))</f>
        <v>107.59461696783</v>
      </c>
      <c r="L54" s="10" t="n">
        <f aca="false">PU!L54/(INPUTS!$B$8*INPUTS!$B$7*(0.85*INPUTS!$B$5*(1-INPUTS!$B$9)+INPUTS!$B$6*INPUTS!$B$9))</f>
        <v>120.628793912313</v>
      </c>
      <c r="M54" s="10" t="n">
        <f aca="false">PU!M54/(INPUTS!$B$8*INPUTS!$B$7*(0.85*INPUTS!$B$5*(1-INPUTS!$B$9)+INPUTS!$B$6*INPUTS!$B$9))</f>
        <v>133.429166524089</v>
      </c>
      <c r="N54" s="10" t="n">
        <f aca="false">PU!N54/(INPUTS!$B$8*INPUTS!$B$7*(0.85*INPUTS!$B$5*(1-INPUTS!$B$9)+INPUTS!$B$6*INPUTS!$B$9))</f>
        <v>146.108513107601</v>
      </c>
      <c r="O54" s="10" t="n">
        <f aca="false">PU!O54/(INPUTS!$B$8*INPUTS!$B$7*(0.85*INPUTS!$B$5*(1-INPUTS!$B$9)+INPUTS!$B$6*INPUTS!$B$9))</f>
        <v>158.710517389589</v>
      </c>
      <c r="P54" s="10" t="n">
        <f aca="false">PU!P54/(INPUTS!$B$8*INPUTS!$B$7*(0.85*INPUTS!$B$5*(1-INPUTS!$B$9)+INPUTS!$B$6*INPUTS!$B$9))</f>
        <v>171.453055529553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10" t="n">
        <f aca="false">PU!E55/(INPUTS!$B$8*INPUTS!$B$7*(0.85*INPUTS!$B$5*(1-INPUTS!$B$9)+INPUTS!$B$6*INPUTS!$B$9))</f>
        <v>31.5715987787624</v>
      </c>
      <c r="F55" s="10" t="n">
        <f aca="false">PU!F55/(INPUTS!$B$8*INPUTS!$B$7*(0.85*INPUTS!$B$5*(1-INPUTS!$B$9)+INPUTS!$B$6*INPUTS!$B$9))</f>
        <v>77.7297887656068</v>
      </c>
      <c r="G55" s="10" t="n">
        <f aca="false">PU!G55/(INPUTS!$B$8*INPUTS!$B$7*(0.85*INPUTS!$B$5*(1-INPUTS!$B$9)+INPUTS!$B$6*INPUTS!$B$9))</f>
        <v>122.001514136074</v>
      </c>
      <c r="H55" s="10" t="n">
        <f aca="false">PU!H55/(INPUTS!$B$8*INPUTS!$B$7*(0.85*INPUTS!$B$5*(1-INPUTS!$B$9)+INPUTS!$B$6*INPUTS!$B$9))</f>
        <v>151.62955792191</v>
      </c>
      <c r="I55" s="10" t="n">
        <f aca="false">PU!I55/(INPUTS!$B$8*INPUTS!$B$7*(0.85*INPUTS!$B$5*(1-INPUTS!$B$9)+INPUTS!$B$6*INPUTS!$B$9))</f>
        <v>177.969196018567</v>
      </c>
      <c r="J55" s="10" t="n">
        <f aca="false">PU!J55/(INPUTS!$B$8*INPUTS!$B$7*(0.85*INPUTS!$B$5*(1-INPUTS!$B$9)+INPUTS!$B$6*INPUTS!$B$9))</f>
        <v>205.953036959813</v>
      </c>
      <c r="K55" s="10" t="n">
        <f aca="false">PU!K55/(INPUTS!$B$8*INPUTS!$B$7*(0.85*INPUTS!$B$5*(1-INPUTS!$B$9)+INPUTS!$B$6*INPUTS!$B$9))</f>
        <v>230.904185958157</v>
      </c>
      <c r="L55" s="10" t="n">
        <f aca="false">PU!L55/(INPUTS!$B$8*INPUTS!$B$7*(0.85*INPUTS!$B$5*(1-INPUTS!$B$9)+INPUTS!$B$6*INPUTS!$B$9))</f>
        <v>254.080222772588</v>
      </c>
      <c r="M55" s="10" t="n">
        <f aca="false">PU!M55/(INPUTS!$B$8*INPUTS!$B$7*(0.85*INPUTS!$B$5*(1-INPUTS!$B$9)+INPUTS!$B$6*INPUTS!$B$9))</f>
        <v>276.964209850336</v>
      </c>
      <c r="N55" s="10" t="n">
        <f aca="false">PU!N55/(INPUTS!$B$8*INPUTS!$B$7*(0.85*INPUTS!$B$5*(1-INPUTS!$B$9)+INPUTS!$B$6*INPUTS!$B$9))</f>
        <v>299.697020860141</v>
      </c>
      <c r="O55" s="10" t="n">
        <f aca="false">PU!O55/(INPUTS!$B$8*INPUTS!$B$7*(0.85*INPUTS!$B$5*(1-INPUTS!$B$9)+INPUTS!$B$6*INPUTS!$B$9))</f>
        <v>322.33322203157</v>
      </c>
      <c r="P55" s="10" t="n">
        <f aca="false">PU!P55/(INPUTS!$B$8*INPUTS!$B$7*(0.85*INPUTS!$B$5*(1-INPUTS!$B$9)+INPUTS!$B$6*INPUTS!$B$9))</f>
        <v>345.096270734109</v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10" t="n">
        <f aca="false">PU!E56/(INPUTS!$B$8*INPUTS!$B$7*(0.85*INPUTS!$B$5*(1-INPUTS!$B$9)+INPUTS!$B$6*INPUTS!$B$9))</f>
        <v>18.4609799687244</v>
      </c>
      <c r="F56" s="10" t="n">
        <f aca="false">PU!F56/(INPUTS!$B$8*INPUTS!$B$7*(0.85*INPUTS!$B$5*(1-INPUTS!$B$9)+INPUTS!$B$6*INPUTS!$B$9))</f>
        <v>45.8088217042719</v>
      </c>
      <c r="G56" s="10" t="n">
        <f aca="false">PU!G56/(INPUTS!$B$8*INPUTS!$B$7*(0.85*INPUTS!$B$5*(1-INPUTS!$B$9)+INPUTS!$B$6*INPUTS!$B$9))</f>
        <v>66.9381562290565</v>
      </c>
      <c r="H56" s="10" t="n">
        <f aca="false">PU!H56/(INPUTS!$B$8*INPUTS!$B$7*(0.85*INPUTS!$B$5*(1-INPUTS!$B$9)+INPUTS!$B$6*INPUTS!$B$9))</f>
        <v>84.2809094745203</v>
      </c>
      <c r="I56" s="10" t="n">
        <f aca="false">PU!I56/(INPUTS!$B$8*INPUTS!$B$7*(0.85*INPUTS!$B$5*(1-INPUTS!$B$9)+INPUTS!$B$6*INPUTS!$B$9))</f>
        <v>91.2960136024028</v>
      </c>
      <c r="J56" s="10" t="n">
        <f aca="false">PU!J56/(INPUTS!$B$8*INPUTS!$B$7*(0.85*INPUTS!$B$5*(1-INPUTS!$B$9)+INPUTS!$B$6*INPUTS!$B$9))</f>
        <v>99.1364459999504</v>
      </c>
      <c r="K56" s="10" t="n">
        <f aca="false">PU!K56/(INPUTS!$B$8*INPUTS!$B$7*(0.85*INPUTS!$B$5*(1-INPUTS!$B$9)+INPUTS!$B$6*INPUTS!$B$9))</f>
        <v>106.608769578276</v>
      </c>
      <c r="L56" s="10" t="n">
        <f aca="false">PU!L56/(INPUTS!$B$8*INPUTS!$B$7*(0.85*INPUTS!$B$5*(1-INPUTS!$B$9)+INPUTS!$B$6*INPUTS!$B$9))</f>
        <v>114.210167051406</v>
      </c>
      <c r="M56" s="10" t="n">
        <f aca="false">PU!M56/(INPUTS!$B$8*INPUTS!$B$7*(0.85*INPUTS!$B$5*(1-INPUTS!$B$9)+INPUTS!$B$6*INPUTS!$B$9))</f>
        <v>121.682391340532</v>
      </c>
      <c r="N56" s="10" t="n">
        <f aca="false">PU!N56/(INPUTS!$B$8*INPUTS!$B$7*(0.85*INPUTS!$B$5*(1-INPUTS!$B$9)+INPUTS!$B$6*INPUTS!$B$9))</f>
        <v>128.68069439138</v>
      </c>
      <c r="O56" s="10" t="n">
        <f aca="false">PU!O56/(INPUTS!$B$8*INPUTS!$B$7*(0.85*INPUTS!$B$5*(1-INPUTS!$B$9)+INPUTS!$B$6*INPUTS!$B$9))</f>
        <v>135.621014794442</v>
      </c>
      <c r="P56" s="10" t="n">
        <f aca="false">PU!P56/(INPUTS!$B$8*INPUTS!$B$7*(0.85*INPUTS!$B$5*(1-INPUTS!$B$9)+INPUTS!$B$6*INPUTS!$B$9))</f>
        <v>142.813447929178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10" t="n">
        <f aca="false">PU!E57/(INPUTS!$B$8*INPUTS!$B$7*(0.85*INPUTS!$B$5*(1-INPUTS!$B$9)+INPUTS!$B$6*INPUTS!$B$9))</f>
        <v>24.7468165909599</v>
      </c>
      <c r="F57" s="10" t="n">
        <f aca="false">PU!F57/(INPUTS!$B$8*INPUTS!$B$7*(0.85*INPUTS!$B$5*(1-INPUTS!$B$9)+INPUTS!$B$6*INPUTS!$B$9))</f>
        <v>60.813661975327</v>
      </c>
      <c r="G57" s="10" t="n">
        <f aca="false">PU!G57/(INPUTS!$B$8*INPUTS!$B$7*(0.85*INPUTS!$B$5*(1-INPUTS!$B$9)+INPUTS!$B$6*INPUTS!$B$9))</f>
        <v>64.772755479435</v>
      </c>
      <c r="H57" s="10" t="n">
        <f aca="false">PU!H57/(INPUTS!$B$8*INPUTS!$B$7*(0.85*INPUTS!$B$5*(1-INPUTS!$B$9)+INPUTS!$B$6*INPUTS!$B$9))</f>
        <v>67.7793084617867</v>
      </c>
      <c r="I57" s="10" t="n">
        <f aca="false">PU!I57/(INPUTS!$B$8*INPUTS!$B$7*(0.85*INPUTS!$B$5*(1-INPUTS!$B$9)+INPUTS!$B$6*INPUTS!$B$9))</f>
        <v>70.5952292302728</v>
      </c>
      <c r="J57" s="10" t="n">
        <f aca="false">PU!J57/(INPUTS!$B$8*INPUTS!$B$7*(0.85*INPUTS!$B$5*(1-INPUTS!$B$9)+INPUTS!$B$6*INPUTS!$B$9))</f>
        <v>81.0523245712016</v>
      </c>
      <c r="K57" s="10" t="n">
        <f aca="false">PU!K57/(INPUTS!$B$8*INPUTS!$B$7*(0.85*INPUTS!$B$5*(1-INPUTS!$B$9)+INPUTS!$B$6*INPUTS!$B$9))</f>
        <v>84.472162235957</v>
      </c>
      <c r="L57" s="10" t="n">
        <f aca="false">PU!L57/(INPUTS!$B$8*INPUTS!$B$7*(0.85*INPUTS!$B$5*(1-INPUTS!$B$9)+INPUTS!$B$6*INPUTS!$B$9))</f>
        <v>87.8919999007124</v>
      </c>
      <c r="M57" s="10" t="n">
        <f aca="false">PU!M57/(INPUTS!$B$8*INPUTS!$B$7*(0.85*INPUTS!$B$5*(1-INPUTS!$B$9)+INPUTS!$B$6*INPUTS!$B$9))</f>
        <v>91.3118375654678</v>
      </c>
      <c r="N57" s="10" t="n">
        <f aca="false">PU!N57/(INPUTS!$B$8*INPUTS!$B$7*(0.85*INPUTS!$B$5*(1-INPUTS!$B$9)+INPUTS!$B$6*INPUTS!$B$9))</f>
        <v>94.7316752302232</v>
      </c>
      <c r="O57" s="10" t="n">
        <f aca="false">PU!O57/(INPUTS!$B$8*INPUTS!$B$7*(0.85*INPUTS!$B$5*(1-INPUTS!$B$9)+INPUTS!$B$6*INPUTS!$B$9))</f>
        <v>98.1515128949785</v>
      </c>
      <c r="P57" s="10" t="n">
        <f aca="false">PU!P57/(INPUTS!$B$8*INPUTS!$B$7*(0.85*INPUTS!$B$5*(1-INPUTS!$B$9)+INPUTS!$B$6*INPUTS!$B$9))</f>
        <v>101.766823044655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10" t="n">
        <f aca="false">PU!E58/(INPUTS!$B$8*INPUTS!$B$7*(0.85*INPUTS!$B$5*(1-INPUTS!$B$9)+INPUTS!$B$6*INPUTS!$B$9))</f>
        <v>19.1870206270013</v>
      </c>
      <c r="F58" s="10" t="n">
        <f aca="false">PU!F58/(INPUTS!$B$8*INPUTS!$B$7*(0.85*INPUTS!$B$5*(1-INPUTS!$B$9)+INPUTS!$B$6*INPUTS!$B$9))</f>
        <v>47.6642589420905</v>
      </c>
      <c r="G58" s="10" t="n">
        <f aca="false">PU!G58/(INPUTS!$B$8*INPUTS!$B$7*(0.85*INPUTS!$B$5*(1-INPUTS!$B$9)+INPUTS!$B$6*INPUTS!$B$9))</f>
        <v>77.2119418174597</v>
      </c>
      <c r="H58" s="10" t="n">
        <f aca="false">PU!H58/(INPUTS!$B$8*INPUTS!$B$7*(0.85*INPUTS!$B$5*(1-INPUTS!$B$9)+INPUTS!$B$6*INPUTS!$B$9))</f>
        <v>101.45518405441</v>
      </c>
      <c r="I58" s="10" t="n">
        <f aca="false">PU!I58/(INPUTS!$B$8*INPUTS!$B$7*(0.85*INPUTS!$B$5*(1-INPUTS!$B$9)+INPUTS!$B$6*INPUTS!$B$9))</f>
        <v>123.220207511108</v>
      </c>
      <c r="J58" s="10" t="n">
        <f aca="false">PU!J58/(INPUTS!$B$8*INPUTS!$B$7*(0.85*INPUTS!$B$5*(1-INPUTS!$B$9)+INPUTS!$B$6*INPUTS!$B$9))</f>
        <v>146.160051629558</v>
      </c>
      <c r="K58" s="10" t="n">
        <f aca="false">PU!K58/(INPUTS!$B$8*INPUTS!$B$7*(0.85*INPUTS!$B$5*(1-INPUTS!$B$9)+INPUTS!$B$6*INPUTS!$B$9))</f>
        <v>167.578069719622</v>
      </c>
      <c r="L58" s="10" t="n">
        <f aca="false">PU!L58/(INPUTS!$B$8*INPUTS!$B$7*(0.85*INPUTS!$B$5*(1-INPUTS!$B$9)+INPUTS!$B$6*INPUTS!$B$9))</f>
        <v>187.219546963826</v>
      </c>
      <c r="M58" s="10" t="n">
        <f aca="false">PU!M58/(INPUTS!$B$8*INPUTS!$B$7*(0.85*INPUTS!$B$5*(1-INPUTS!$B$9)+INPUTS!$B$6*INPUTS!$B$9))</f>
        <v>206.568739421217</v>
      </c>
      <c r="N58" s="10" t="n">
        <f aca="false">PU!N58/(INPUTS!$B$8*INPUTS!$B$7*(0.85*INPUTS!$B$5*(1-INPUTS!$B$9)+INPUTS!$B$6*INPUTS!$B$9))</f>
        <v>225.766634139768</v>
      </c>
      <c r="O58" s="10" t="n">
        <f aca="false">PU!O58/(INPUTS!$B$8*INPUTS!$B$7*(0.85*INPUTS!$B$5*(1-INPUTS!$B$9)+INPUTS!$B$6*INPUTS!$B$9))</f>
        <v>244.867841265532</v>
      </c>
      <c r="P58" s="10" t="n">
        <f aca="false">PU!P58/(INPUTS!$B$8*INPUTS!$B$7*(0.85*INPUTS!$B$5*(1-INPUTS!$B$9)+INPUTS!$B$6*INPUTS!$B$9))</f>
        <v>264.193576933506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10" t="n">
        <f aca="false">PU!E59/(INPUTS!$B$8*INPUTS!$B$7*(0.85*INPUTS!$B$5*(1-INPUTS!$B$9)+INPUTS!$B$6*INPUTS!$B$9))</f>
        <v>27.6816963288406</v>
      </c>
      <c r="F59" s="10" t="n">
        <f aca="false">PU!F59/(INPUTS!$B$8*INPUTS!$B$7*(0.85*INPUTS!$B$5*(1-INPUTS!$B$9)+INPUTS!$B$6*INPUTS!$B$9))</f>
        <v>67.825849529625</v>
      </c>
      <c r="G59" s="10" t="n">
        <f aca="false">PU!G59/(INPUTS!$B$8*INPUTS!$B$7*(0.85*INPUTS!$B$5*(1-INPUTS!$B$9)+INPUTS!$B$6*INPUTS!$B$9))</f>
        <v>89.3610221659592</v>
      </c>
      <c r="H59" s="10" t="n">
        <f aca="false">PU!H59/(INPUTS!$B$8*INPUTS!$B$7*(0.85*INPUTS!$B$5*(1-INPUTS!$B$9)+INPUTS!$B$6*INPUTS!$B$9))</f>
        <v>104.246407029563</v>
      </c>
      <c r="I59" s="10" t="n">
        <f aca="false">PU!I59/(INPUTS!$B$8*INPUTS!$B$7*(0.85*INPUTS!$B$5*(1-INPUTS!$B$9)+INPUTS!$B$6*INPUTS!$B$9))</f>
        <v>117.638506217887</v>
      </c>
      <c r="J59" s="10" t="n">
        <f aca="false">PU!J59/(INPUTS!$B$8*INPUTS!$B$7*(0.85*INPUTS!$B$5*(1-INPUTS!$B$9)+INPUTS!$B$6*INPUTS!$B$9))</f>
        <v>131.327227145233</v>
      </c>
      <c r="K59" s="10" t="n">
        <f aca="false">PU!K59/(INPUTS!$B$8*INPUTS!$B$7*(0.85*INPUTS!$B$5*(1-INPUTS!$B$9)+INPUTS!$B$6*INPUTS!$B$9))</f>
        <v>144.678852770915</v>
      </c>
      <c r="L59" s="10" t="n">
        <f aca="false">PU!L59/(INPUTS!$B$8*INPUTS!$B$7*(0.85*INPUTS!$B$5*(1-INPUTS!$B$9)+INPUTS!$B$6*INPUTS!$B$9))</f>
        <v>156.675181979951</v>
      </c>
      <c r="M59" s="10" t="n">
        <f aca="false">PU!M59/(INPUTS!$B$8*INPUTS!$B$7*(0.85*INPUTS!$B$5*(1-INPUTS!$B$9)+INPUTS!$B$6*INPUTS!$B$9))</f>
        <v>168.448531500605</v>
      </c>
      <c r="N59" s="10" t="n">
        <f aca="false">PU!N59/(INPUTS!$B$8*INPUTS!$B$7*(0.85*INPUTS!$B$5*(1-INPUTS!$B$9)+INPUTS!$B$6*INPUTS!$B$9))</f>
        <v>180.106458241212</v>
      </c>
      <c r="O59" s="10" t="n">
        <f aca="false">PU!O59/(INPUTS!$B$8*INPUTS!$B$7*(0.85*INPUTS!$B$5*(1-INPUTS!$B$9)+INPUTS!$B$6*INPUTS!$B$9))</f>
        <v>191.690623464686</v>
      </c>
      <c r="P59" s="10" t="n">
        <f aca="false">PU!P59/(INPUTS!$B$8*INPUTS!$B$7*(0.85*INPUTS!$B$5*(1-INPUTS!$B$9)+INPUTS!$B$6*INPUTS!$B$9))</f>
        <v>203.515602330411</v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10" t="n">
        <f aca="false">PU!E60/(INPUTS!$B$8*INPUTS!$B$7*(0.85*INPUTS!$B$5*(1-INPUTS!$B$9)+INPUTS!$B$6*INPUTS!$B$9))</f>
        <v>27.5057710924119</v>
      </c>
      <c r="F60" s="10" t="n">
        <f aca="false">PU!F60/(INPUTS!$B$8*INPUTS!$B$7*(0.85*INPUTS!$B$5*(1-INPUTS!$B$9)+INPUTS!$B$6*INPUTS!$B$9))</f>
        <v>67.6520962096954</v>
      </c>
      <c r="G60" s="10" t="n">
        <f aca="false">PU!G60/(INPUTS!$B$8*INPUTS!$B$7*(0.85*INPUTS!$B$5*(1-INPUTS!$B$9)+INPUTS!$B$6*INPUTS!$B$9))</f>
        <v>70.8857696030978</v>
      </c>
      <c r="H60" s="10" t="n">
        <f aca="false">PU!H60/(INPUTS!$B$8*INPUTS!$B$7*(0.85*INPUTS!$B$5*(1-INPUTS!$B$9)+INPUTS!$B$6*INPUTS!$B$9))</f>
        <v>73.4827611884727</v>
      </c>
      <c r="I60" s="10" t="n">
        <f aca="false">PU!I60/(INPUTS!$B$8*INPUTS!$B$7*(0.85*INPUTS!$B$5*(1-INPUTS!$B$9)+INPUTS!$B$6*INPUTS!$B$9))</f>
        <v>75.9367786134485</v>
      </c>
      <c r="J60" s="10" t="n">
        <f aca="false">PU!J60/(INPUTS!$B$8*INPUTS!$B$7*(0.85*INPUTS!$B$5*(1-INPUTS!$B$9)+INPUTS!$B$6*INPUTS!$B$9))</f>
        <v>78.1408394767543</v>
      </c>
      <c r="K60" s="10" t="n">
        <f aca="false">PU!K60/(INPUTS!$B$8*INPUTS!$B$7*(0.85*INPUTS!$B$5*(1-INPUTS!$B$9)+INPUTS!$B$6*INPUTS!$B$9))</f>
        <v>80.3952888028396</v>
      </c>
      <c r="L60" s="10" t="n">
        <f aca="false">PU!L60/(INPUTS!$B$8*INPUTS!$B$7*(0.85*INPUTS!$B$5*(1-INPUTS!$B$9)+INPUTS!$B$6*INPUTS!$B$9))</f>
        <v>82.649738128925</v>
      </c>
      <c r="M60" s="10" t="n">
        <f aca="false">PU!M60/(INPUTS!$B$8*INPUTS!$B$7*(0.85*INPUTS!$B$5*(1-INPUTS!$B$9)+INPUTS!$B$6*INPUTS!$B$9))</f>
        <v>84.9041874550103</v>
      </c>
      <c r="N60" s="10" t="n">
        <f aca="false">PU!N60/(INPUTS!$B$8*INPUTS!$B$7*(0.85*INPUTS!$B$5*(1-INPUTS!$B$9)+INPUTS!$B$6*INPUTS!$B$9))</f>
        <v>87.1586367810956</v>
      </c>
      <c r="O60" s="10" t="n">
        <f aca="false">PU!O60/(INPUTS!$B$8*INPUTS!$B$7*(0.85*INPUTS!$B$5*(1-INPUTS!$B$9)+INPUTS!$B$6*INPUTS!$B$9))</f>
        <v>89.413086107181</v>
      </c>
      <c r="P60" s="10" t="n">
        <f aca="false">PU!P60/(INPUTS!$B$8*INPUTS!$B$7*(0.85*INPUTS!$B$5*(1-INPUTS!$B$9)+INPUTS!$B$6*INPUTS!$B$9))</f>
        <v>91.863007918187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10" t="n">
        <f aca="false">PU!E61/(INPUTS!$B$8*INPUTS!$B$7*(0.85*INPUTS!$B$5*(1-INPUTS!$B$9)+INPUTS!$B$6*INPUTS!$B$9))</f>
        <v>28.7707573162559</v>
      </c>
      <c r="F61" s="10" t="n">
        <f aca="false">PU!F61/(INPUTS!$B$8*INPUTS!$B$7*(0.85*INPUTS!$B$5*(1-INPUTS!$B$9)+INPUTS!$B$6*INPUTS!$B$9))</f>
        <v>71.865614217986</v>
      </c>
      <c r="G61" s="10" t="n">
        <f aca="false">PU!G61/(INPUTS!$B$8*INPUTS!$B$7*(0.85*INPUTS!$B$5*(1-INPUTS!$B$9)+INPUTS!$B$6*INPUTS!$B$9))</f>
        <v>110.963524213766</v>
      </c>
      <c r="H61" s="10" t="n">
        <f aca="false">PU!H61/(INPUTS!$B$8*INPUTS!$B$7*(0.85*INPUTS!$B$5*(1-INPUTS!$B$9)+INPUTS!$B$6*INPUTS!$B$9))</f>
        <v>142.336858043538</v>
      </c>
      <c r="I61" s="10" t="n">
        <f aca="false">PU!I61/(INPUTS!$B$8*INPUTS!$B$7*(0.85*INPUTS!$B$5*(1-INPUTS!$B$9)+INPUTS!$B$6*INPUTS!$B$9))</f>
        <v>170.493273264328</v>
      </c>
      <c r="J61" s="10" t="n">
        <f aca="false">PU!J61/(INPUTS!$B$8*INPUTS!$B$7*(0.85*INPUTS!$B$5*(1-INPUTS!$B$9)+INPUTS!$B$6*INPUTS!$B$9))</f>
        <v>200.25814778961</v>
      </c>
      <c r="K61" s="10" t="n">
        <f aca="false">PU!K61/(INPUTS!$B$8*INPUTS!$B$7*(0.85*INPUTS!$B$5*(1-INPUTS!$B$9)+INPUTS!$B$6*INPUTS!$B$9))</f>
        <v>227.552682018107</v>
      </c>
      <c r="L61" s="10" t="n">
        <f aca="false">PU!L61/(INPUTS!$B$8*INPUTS!$B$7*(0.85*INPUTS!$B$5*(1-INPUTS!$B$9)+INPUTS!$B$6*INPUTS!$B$9))</f>
        <v>252.819895268991</v>
      </c>
      <c r="M61" s="10" t="n">
        <f aca="false">PU!M61/(INPUTS!$B$8*INPUTS!$B$7*(0.85*INPUTS!$B$5*(1-INPUTS!$B$9)+INPUTS!$B$6*INPUTS!$B$9))</f>
        <v>277.753564216</v>
      </c>
      <c r="N61" s="10" t="n">
        <f aca="false">PU!N61/(INPUTS!$B$8*INPUTS!$B$7*(0.85*INPUTS!$B$5*(1-INPUTS!$B$9)+INPUTS!$B$6*INPUTS!$B$9))</f>
        <v>302.51457792655</v>
      </c>
      <c r="O61" s="10" t="n">
        <f aca="false">PU!O61/(INPUTS!$B$8*INPUTS!$B$7*(0.85*INPUTS!$B$5*(1-INPUTS!$B$9)+INPUTS!$B$6*INPUTS!$B$9))</f>
        <v>327.165255426376</v>
      </c>
      <c r="P61" s="10" t="n">
        <f aca="false">PU!P61/(INPUTS!$B$8*INPUTS!$B$7*(0.85*INPUTS!$B$5*(1-INPUTS!$B$9)+INPUTS!$B$6*INPUTS!$B$9))</f>
        <v>352.030766433296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10" t="n">
        <f aca="false">PU!E62/(INPUTS!$B$8*INPUTS!$B$7*(0.85*INPUTS!$B$5*(1-INPUTS!$B$9)+INPUTS!$B$6*INPUTS!$B$9))</f>
        <v>29.1337776453943</v>
      </c>
      <c r="F62" s="10" t="n">
        <f aca="false">PU!F62/(INPUTS!$B$8*INPUTS!$B$7*(0.85*INPUTS!$B$5*(1-INPUTS!$B$9)+INPUTS!$B$6*INPUTS!$B$9))</f>
        <v>72.8212574775982</v>
      </c>
      <c r="G62" s="10" t="n">
        <f aca="false">PU!G62/(INPUTS!$B$8*INPUTS!$B$7*(0.85*INPUTS!$B$5*(1-INPUTS!$B$9)+INPUTS!$B$6*INPUTS!$B$9))</f>
        <v>112.381475413905</v>
      </c>
      <c r="H62" s="10" t="n">
        <f aca="false">PU!H62/(INPUTS!$B$8*INPUTS!$B$7*(0.85*INPUTS!$B$5*(1-INPUTS!$B$9)+INPUTS!$B$6*INPUTS!$B$9))</f>
        <v>143.891329709336</v>
      </c>
      <c r="I62" s="10" t="n">
        <f aca="false">PU!I62/(INPUTS!$B$8*INPUTS!$B$7*(0.85*INPUTS!$B$5*(1-INPUTS!$B$9)+INPUTS!$B$6*INPUTS!$B$9))</f>
        <v>172.168379377963</v>
      </c>
      <c r="J62" s="10" t="n">
        <f aca="false">PU!J62/(INPUTS!$B$8*INPUTS!$B$7*(0.85*INPUTS!$B$5*(1-INPUTS!$B$9)+INPUTS!$B$6*INPUTS!$B$9))</f>
        <v>202.061831359992</v>
      </c>
      <c r="K62" s="10" t="n">
        <f aca="false">PU!K62/(INPUTS!$B$8*INPUTS!$B$7*(0.85*INPUTS!$B$5*(1-INPUTS!$B$9)+INPUTS!$B$6*INPUTS!$B$9))</f>
        <v>229.086716921228</v>
      </c>
      <c r="L62" s="10" t="n">
        <f aca="false">PU!L62/(INPUTS!$B$8*INPUTS!$B$7*(0.85*INPUTS!$B$5*(1-INPUTS!$B$9)+INPUTS!$B$6*INPUTS!$B$9))</f>
        <v>258.095566557143</v>
      </c>
      <c r="M62" s="10" t="n">
        <f aca="false">PU!M62/(INPUTS!$B$8*INPUTS!$B$7*(0.85*INPUTS!$B$5*(1-INPUTS!$B$9)+INPUTS!$B$6*INPUTS!$B$9))</f>
        <v>286.687378887717</v>
      </c>
      <c r="N62" s="10" t="n">
        <f aca="false">PU!N62/(INPUTS!$B$8*INPUTS!$B$7*(0.85*INPUTS!$B$5*(1-INPUTS!$B$9)+INPUTS!$B$6*INPUTS!$B$9))</f>
        <v>315.075114486191</v>
      </c>
      <c r="O62" s="10" t="n">
        <f aca="false">PU!O62/(INPUTS!$B$8*INPUTS!$B$7*(0.85*INPUTS!$B$5*(1-INPUTS!$B$9)+INPUTS!$B$6*INPUTS!$B$9))</f>
        <v>343.335474347885</v>
      </c>
      <c r="P62" s="10" t="n">
        <f aca="false">PU!P62/(INPUTS!$B$8*INPUTS!$B$7*(0.85*INPUTS!$B$5*(1-INPUTS!$B$9)+INPUTS!$B$6*INPUTS!$B$9))</f>
        <v>371.799759272683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10" t="n">
        <f aca="false">PU!E63/(INPUTS!$B$8*INPUTS!$B$7*(0.85*INPUTS!$B$5*(1-INPUTS!$B$9)+INPUTS!$B$6*INPUTS!$B$9))</f>
        <v>20.7117060093827</v>
      </c>
      <c r="F63" s="10" t="n">
        <f aca="false">PU!F63/(INPUTS!$B$8*INPUTS!$B$7*(0.85*INPUTS!$B$5*(1-INPUTS!$B$9)+INPUTS!$B$6*INPUTS!$B$9))</f>
        <v>51.4992429319632</v>
      </c>
      <c r="G63" s="10" t="n">
        <f aca="false">PU!G63/(INPUTS!$B$8*INPUTS!$B$7*(0.85*INPUTS!$B$5*(1-INPUTS!$B$9)+INPUTS!$B$6*INPUTS!$B$9))</f>
        <v>80.0981085710031</v>
      </c>
      <c r="H63" s="10" t="n">
        <f aca="false">PU!H63/(INPUTS!$B$8*INPUTS!$B$7*(0.85*INPUTS!$B$5*(1-INPUTS!$B$9)+INPUTS!$B$6*INPUTS!$B$9))</f>
        <v>106.445007074242</v>
      </c>
      <c r="I63" s="10" t="n">
        <f aca="false">PU!I63/(INPUTS!$B$8*INPUTS!$B$7*(0.85*INPUTS!$B$5*(1-INPUTS!$B$9)+INPUTS!$B$6*INPUTS!$B$9))</f>
        <v>130.075396529898</v>
      </c>
      <c r="J63" s="10" t="n">
        <f aca="false">PU!J63/(INPUTS!$B$8*INPUTS!$B$7*(0.85*INPUTS!$B$5*(1-INPUTS!$B$9)+INPUTS!$B$6*INPUTS!$B$9))</f>
        <v>155.064040509345</v>
      </c>
      <c r="K63" s="10" t="n">
        <f aca="false">PU!K63/(INPUTS!$B$8*INPUTS!$B$7*(0.85*INPUTS!$B$5*(1-INPUTS!$B$9)+INPUTS!$B$6*INPUTS!$B$9))</f>
        <v>179.322254115741</v>
      </c>
      <c r="L63" s="10" t="n">
        <f aca="false">PU!L63/(INPUTS!$B$8*INPUTS!$B$7*(0.85*INPUTS!$B$5*(1-INPUTS!$B$9)+INPUTS!$B$6*INPUTS!$B$9))</f>
        <v>188.147881008397</v>
      </c>
      <c r="M63" s="10" t="n">
        <f aca="false">PU!M63/(INPUTS!$B$8*INPUTS!$B$7*(0.85*INPUTS!$B$5*(1-INPUTS!$B$9)+INPUTS!$B$6*INPUTS!$B$9))</f>
        <v>196.233601227955</v>
      </c>
      <c r="N63" s="10" t="n">
        <f aca="false">PU!N63/(INPUTS!$B$8*INPUTS!$B$7*(0.85*INPUTS!$B$5*(1-INPUTS!$B$9)+INPUTS!$B$6*INPUTS!$B$9))</f>
        <v>204.281060637119</v>
      </c>
      <c r="O63" s="10" t="n">
        <f aca="false">PU!O63/(INPUTS!$B$8*INPUTS!$B$7*(0.85*INPUTS!$B$5*(1-INPUTS!$B$9)+INPUTS!$B$6*INPUTS!$B$9))</f>
        <v>212.29874986805</v>
      </c>
      <c r="P63" s="10" t="n">
        <f aca="false">PU!P63/(INPUTS!$B$8*INPUTS!$B$7*(0.85*INPUTS!$B$5*(1-INPUTS!$B$9)+INPUTS!$B$6*INPUTS!$B$9))</f>
        <v>220.585627014951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10" t="n">
        <f aca="false">PU!E64/(INPUTS!$B$8*INPUTS!$B$7*(0.85*INPUTS!$B$5*(1-INPUTS!$B$9)+INPUTS!$B$6*INPUTS!$B$9))</f>
        <v>57.9575917789858</v>
      </c>
      <c r="F64" s="10" t="n">
        <f aca="false">PU!F64/(INPUTS!$B$8*INPUTS!$B$7*(0.85*INPUTS!$B$5*(1-INPUTS!$B$9)+INPUTS!$B$6*INPUTS!$B$9))</f>
        <v>142.868667312036</v>
      </c>
      <c r="G64" s="10" t="n">
        <f aca="false">PU!G64/(INPUTS!$B$8*INPUTS!$B$7*(0.85*INPUTS!$B$5*(1-INPUTS!$B$9)+INPUTS!$B$6*INPUTS!$B$9))</f>
        <v>200.778476928041</v>
      </c>
      <c r="H64" s="10" t="n">
        <f aca="false">PU!H64/(INPUTS!$B$8*INPUTS!$B$7*(0.85*INPUTS!$B$5*(1-INPUTS!$B$9)+INPUTS!$B$6*INPUTS!$B$9))</f>
        <v>239.623203514781</v>
      </c>
      <c r="I64" s="10" t="n">
        <f aca="false">PU!I64/(INPUTS!$B$8*INPUTS!$B$7*(0.85*INPUTS!$B$5*(1-INPUTS!$B$9)+INPUTS!$B$6*INPUTS!$B$9))</f>
        <v>274.186648298459</v>
      </c>
      <c r="J64" s="10" t="n">
        <f aca="false">PU!J64/(INPUTS!$B$8*INPUTS!$B$7*(0.85*INPUTS!$B$5*(1-INPUTS!$B$9)+INPUTS!$B$6*INPUTS!$B$9))</f>
        <v>311.790776180902</v>
      </c>
      <c r="K64" s="10" t="n">
        <f aca="false">PU!K64/(INPUTS!$B$8*INPUTS!$B$7*(0.85*INPUTS!$B$5*(1-INPUTS!$B$9)+INPUTS!$B$6*INPUTS!$B$9))</f>
        <v>311.790776180902</v>
      </c>
      <c r="L64" s="10" t="n">
        <f aca="false">PU!L64/(INPUTS!$B$8*INPUTS!$B$7*(0.85*INPUTS!$B$5*(1-INPUTS!$B$9)+INPUTS!$B$6*INPUTS!$B$9))</f>
        <v>311.790776180902</v>
      </c>
      <c r="M64" s="10" t="n">
        <f aca="false">PU!M64/(INPUTS!$B$8*INPUTS!$B$7*(0.85*INPUTS!$B$5*(1-INPUTS!$B$9)+INPUTS!$B$6*INPUTS!$B$9))</f>
        <v>311.790776180902</v>
      </c>
      <c r="N64" s="10" t="n">
        <f aca="false">PU!N64/(INPUTS!$B$8*INPUTS!$B$7*(0.85*INPUTS!$B$5*(1-INPUTS!$B$9)+INPUTS!$B$6*INPUTS!$B$9))</f>
        <v>311.790776180902</v>
      </c>
      <c r="O64" s="10" t="n">
        <f aca="false">PU!O64/(INPUTS!$B$8*INPUTS!$B$7*(0.85*INPUTS!$B$5*(1-INPUTS!$B$9)+INPUTS!$B$6*INPUTS!$B$9))</f>
        <v>311.790776180902</v>
      </c>
      <c r="P64" s="10" t="n">
        <f aca="false">PU!P64/(INPUTS!$B$8*INPUTS!$B$7*(0.85*INPUTS!$B$5*(1-INPUTS!$B$9)+INPUTS!$B$6*INPUTS!$B$9))</f>
        <v>311.790776180902</v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10" t="n">
        <f aca="false">PU!E65/(INPUTS!$B$8*INPUTS!$B$7*(0.85*INPUTS!$B$5*(1-INPUTS!$B$9)+INPUTS!$B$6*INPUTS!$B$9))</f>
        <v>46.4135453123837</v>
      </c>
      <c r="F65" s="10" t="n">
        <f aca="false">PU!F65/(INPUTS!$B$8*INPUTS!$B$7*(0.85*INPUTS!$B$5*(1-INPUTS!$B$9)+INPUTS!$B$6*INPUTS!$B$9))</f>
        <v>114.255218805074</v>
      </c>
      <c r="G65" s="10" t="n">
        <f aca="false">PU!G65/(INPUTS!$B$8*INPUTS!$B$7*(0.85*INPUTS!$B$5*(1-INPUTS!$B$9)+INPUTS!$B$6*INPUTS!$B$9))</f>
        <v>173.304974309331</v>
      </c>
      <c r="H65" s="10" t="n">
        <f aca="false">PU!H65/(INPUTS!$B$8*INPUTS!$B$7*(0.85*INPUTS!$B$5*(1-INPUTS!$B$9)+INPUTS!$B$6*INPUTS!$B$9))</f>
        <v>212.968823690024</v>
      </c>
      <c r="I65" s="10" t="n">
        <f aca="false">PU!I65/(INPUTS!$B$8*INPUTS!$B$7*(0.85*INPUTS!$B$5*(1-INPUTS!$B$9)+INPUTS!$B$6*INPUTS!$B$9))</f>
        <v>248.256075160722</v>
      </c>
      <c r="J65" s="10" t="n">
        <f aca="false">PU!J65/(INPUTS!$B$8*INPUTS!$B$7*(0.85*INPUTS!$B$5*(1-INPUTS!$B$9)+INPUTS!$B$6*INPUTS!$B$9))</f>
        <v>286.888822697148</v>
      </c>
      <c r="K65" s="10" t="n">
        <f aca="false">PU!K65/(INPUTS!$B$8*INPUTS!$B$7*(0.85*INPUTS!$B$5*(1-INPUTS!$B$9)+INPUTS!$B$6*INPUTS!$B$9))</f>
        <v>286.888822697148</v>
      </c>
      <c r="L65" s="10" t="n">
        <f aca="false">PU!L65/(INPUTS!$B$8*INPUTS!$B$7*(0.85*INPUTS!$B$5*(1-INPUTS!$B$9)+INPUTS!$B$6*INPUTS!$B$9))</f>
        <v>286.888822697148</v>
      </c>
      <c r="M65" s="10" t="n">
        <f aca="false">PU!M65/(INPUTS!$B$8*INPUTS!$B$7*(0.85*INPUTS!$B$5*(1-INPUTS!$B$9)+INPUTS!$B$6*INPUTS!$B$9))</f>
        <v>286.888822697148</v>
      </c>
      <c r="N65" s="10" t="n">
        <f aca="false">PU!N65/(INPUTS!$B$8*INPUTS!$B$7*(0.85*INPUTS!$B$5*(1-INPUTS!$B$9)+INPUTS!$B$6*INPUTS!$B$9))</f>
        <v>286.888822697148</v>
      </c>
      <c r="O65" s="10" t="n">
        <f aca="false">PU!O65/(INPUTS!$B$8*INPUTS!$B$7*(0.85*INPUTS!$B$5*(1-INPUTS!$B$9)+INPUTS!$B$6*INPUTS!$B$9))</f>
        <v>286.888822697148</v>
      </c>
      <c r="P65" s="10" t="n">
        <f aca="false">PU!P65/(INPUTS!$B$8*INPUTS!$B$7*(0.85*INPUTS!$B$5*(1-INPUTS!$B$9)+INPUTS!$B$6*INPUTS!$B$9))</f>
        <v>286.888822697148</v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10" t="n">
        <f aca="false">PU!E66/(INPUTS!$B$8*INPUTS!$B$7*(0.85*INPUTS!$B$5*(1-INPUTS!$B$9)+INPUTS!$B$6*INPUTS!$B$9))</f>
        <v>31.0214833569141</v>
      </c>
      <c r="F66" s="10" t="n">
        <f aca="false">PU!F66/(INPUTS!$B$8*INPUTS!$B$7*(0.85*INPUTS!$B$5*(1-INPUTS!$B$9)+INPUTS!$B$6*INPUTS!$B$9))</f>
        <v>76.1039541291236</v>
      </c>
      <c r="G66" s="10" t="n">
        <f aca="false">PU!G66/(INPUTS!$B$8*INPUTS!$B$7*(0.85*INPUTS!$B$5*(1-INPUTS!$B$9)+INPUTS!$B$6*INPUTS!$B$9))</f>
        <v>113.287474867823</v>
      </c>
      <c r="H66" s="10" t="n">
        <f aca="false">PU!H66/(INPUTS!$B$8*INPUTS!$B$7*(0.85*INPUTS!$B$5*(1-INPUTS!$B$9)+INPUTS!$B$6*INPUTS!$B$9))</f>
        <v>139.026236751309</v>
      </c>
      <c r="I66" s="10" t="n">
        <f aca="false">PU!I66/(INPUTS!$B$8*INPUTS!$B$7*(0.85*INPUTS!$B$5*(1-INPUTS!$B$9)+INPUTS!$B$6*INPUTS!$B$9))</f>
        <v>162.008774542656</v>
      </c>
      <c r="J66" s="10" t="n">
        <f aca="false">PU!J66/(INPUTS!$B$8*INPUTS!$B$7*(0.85*INPUTS!$B$5*(1-INPUTS!$B$9)+INPUTS!$B$6*INPUTS!$B$9))</f>
        <v>211.769429344454</v>
      </c>
      <c r="K66" s="10" t="n">
        <f aca="false">PU!K66/(INPUTS!$B$8*INPUTS!$B$7*(0.85*INPUTS!$B$5*(1-INPUTS!$B$9)+INPUTS!$B$6*INPUTS!$B$9))</f>
        <v>211.769429344454</v>
      </c>
      <c r="L66" s="10" t="n">
        <f aca="false">PU!L66/(INPUTS!$B$8*INPUTS!$B$7*(0.85*INPUTS!$B$5*(1-INPUTS!$B$9)+INPUTS!$B$6*INPUTS!$B$9))</f>
        <v>211.769429344454</v>
      </c>
      <c r="M66" s="10" t="n">
        <f aca="false">PU!M66/(INPUTS!$B$8*INPUTS!$B$7*(0.85*INPUTS!$B$5*(1-INPUTS!$B$9)+INPUTS!$B$6*INPUTS!$B$9))</f>
        <v>211.769429344454</v>
      </c>
      <c r="N66" s="10" t="n">
        <f aca="false">PU!N66/(INPUTS!$B$8*INPUTS!$B$7*(0.85*INPUTS!$B$5*(1-INPUTS!$B$9)+INPUTS!$B$6*INPUTS!$B$9))</f>
        <v>211.769429344454</v>
      </c>
      <c r="O66" s="10" t="n">
        <f aca="false">PU!O66/(INPUTS!$B$8*INPUTS!$B$7*(0.85*INPUTS!$B$5*(1-INPUTS!$B$9)+INPUTS!$B$6*INPUTS!$B$9))</f>
        <v>211.769429344454</v>
      </c>
      <c r="P66" s="10" t="n">
        <f aca="false">PU!P66/(INPUTS!$B$8*INPUTS!$B$7*(0.85*INPUTS!$B$5*(1-INPUTS!$B$9)+INPUTS!$B$6*INPUTS!$B$9))</f>
        <v>211.769429344454</v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10" t="n">
        <f aca="false">PU!E67/(INPUTS!$B$8*INPUTS!$B$7*(0.85*INPUTS!$B$5*(1-INPUTS!$B$9)+INPUTS!$B$6*INPUTS!$B$9))</f>
        <v>43.2189664159655</v>
      </c>
      <c r="F67" s="10" t="n">
        <f aca="false">PU!F67/(INPUTS!$B$8*INPUTS!$B$7*(0.85*INPUTS!$B$5*(1-INPUTS!$B$9)+INPUTS!$B$6*INPUTS!$B$9))</f>
        <v>106.337031796858</v>
      </c>
      <c r="G67" s="10" t="n">
        <f aca="false">PU!G67/(INPUTS!$B$8*INPUTS!$B$7*(0.85*INPUTS!$B$5*(1-INPUTS!$B$9)+INPUTS!$B$6*INPUTS!$B$9))</f>
        <v>150.049333531909</v>
      </c>
      <c r="H67" s="10" t="n">
        <f aca="false">PU!H67/(INPUTS!$B$8*INPUTS!$B$7*(0.85*INPUTS!$B$5*(1-INPUTS!$B$9)+INPUTS!$B$6*INPUTS!$B$9))</f>
        <v>179.542408221014</v>
      </c>
      <c r="I67" s="10" t="n">
        <f aca="false">PU!I67/(INPUTS!$B$8*INPUTS!$B$7*(0.85*INPUTS!$B$5*(1-INPUTS!$B$9)+INPUTS!$B$6*INPUTS!$B$9))</f>
        <v>205.842393327873</v>
      </c>
      <c r="J67" s="10" t="n">
        <f aca="false">PU!J67/(INPUTS!$B$8*INPUTS!$B$7*(0.85*INPUTS!$B$5*(1-INPUTS!$B$9)+INPUTS!$B$6*INPUTS!$B$9))</f>
        <v>233.353190855611</v>
      </c>
      <c r="K67" s="10" t="n">
        <f aca="false">PU!K67/(INPUTS!$B$8*INPUTS!$B$7*(0.85*INPUTS!$B$5*(1-INPUTS!$B$9)+INPUTS!$B$6*INPUTS!$B$9))</f>
        <v>233.353190855611</v>
      </c>
      <c r="L67" s="10" t="n">
        <f aca="false">PU!L67/(INPUTS!$B$8*INPUTS!$B$7*(0.85*INPUTS!$B$5*(1-INPUTS!$B$9)+INPUTS!$B$6*INPUTS!$B$9))</f>
        <v>233.353190855611</v>
      </c>
      <c r="M67" s="10" t="n">
        <f aca="false">PU!M67/(INPUTS!$B$8*INPUTS!$B$7*(0.85*INPUTS!$B$5*(1-INPUTS!$B$9)+INPUTS!$B$6*INPUTS!$B$9))</f>
        <v>233.353190855611</v>
      </c>
      <c r="N67" s="10" t="n">
        <f aca="false">PU!N67/(INPUTS!$B$8*INPUTS!$B$7*(0.85*INPUTS!$B$5*(1-INPUTS!$B$9)+INPUTS!$B$6*INPUTS!$B$9))</f>
        <v>233.353190855611</v>
      </c>
      <c r="O67" s="10" t="n">
        <f aca="false">PU!O67/(INPUTS!$B$8*INPUTS!$B$7*(0.85*INPUTS!$B$5*(1-INPUTS!$B$9)+INPUTS!$B$6*INPUTS!$B$9))</f>
        <v>233.353190855611</v>
      </c>
      <c r="P67" s="10" t="n">
        <f aca="false">PU!P67/(INPUTS!$B$8*INPUTS!$B$7*(0.85*INPUTS!$B$5*(1-INPUTS!$B$9)+INPUTS!$B$6*INPUTS!$B$9))</f>
        <v>233.353190855611</v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10" t="n">
        <f aca="false">PU!E68/(INPUTS!$B$8*INPUTS!$B$7*(0.85*INPUTS!$B$5*(1-INPUTS!$B$9)+INPUTS!$B$6*INPUTS!$B$9))</f>
        <v>55.6342616724998</v>
      </c>
      <c r="F68" s="10" t="n">
        <f aca="false">PU!F68/(INPUTS!$B$8*INPUTS!$B$7*(0.85*INPUTS!$B$5*(1-INPUTS!$B$9)+INPUTS!$B$6*INPUTS!$B$9))</f>
        <v>137.109985851515</v>
      </c>
      <c r="G68" s="10" t="n">
        <f aca="false">PU!G68/(INPUTS!$B$8*INPUTS!$B$7*(0.85*INPUTS!$B$5*(1-INPUTS!$B$9)+INPUTS!$B$6*INPUTS!$B$9))</f>
        <v>193.050798024177</v>
      </c>
      <c r="H68" s="10" t="n">
        <f aca="false">PU!H68/(INPUTS!$B$8*INPUTS!$B$7*(0.85*INPUTS!$B$5*(1-INPUTS!$B$9)+INPUTS!$B$6*INPUTS!$B$9))</f>
        <v>230.598580187157</v>
      </c>
      <c r="I68" s="10" t="n">
        <f aca="false">PU!I68/(INPUTS!$B$8*INPUTS!$B$7*(0.85*INPUTS!$B$5*(1-INPUTS!$B$9)+INPUTS!$B$6*INPUTS!$B$9))</f>
        <v>264.015997716385</v>
      </c>
      <c r="J68" s="10" t="n">
        <f aca="false">PU!J68/(INPUTS!$B$8*INPUTS!$B$7*(0.85*INPUTS!$B$5*(1-INPUTS!$B$9)+INPUTS!$B$6*INPUTS!$B$9))</f>
        <v>315.570779655968</v>
      </c>
      <c r="K68" s="10" t="n">
        <f aca="false">PU!K68/(INPUTS!$B$8*INPUTS!$B$7*(0.85*INPUTS!$B$5*(1-INPUTS!$B$9)+INPUTS!$B$6*INPUTS!$B$9))</f>
        <v>315.570779655968</v>
      </c>
      <c r="L68" s="10" t="n">
        <f aca="false">PU!L68/(INPUTS!$B$8*INPUTS!$B$7*(0.85*INPUTS!$B$5*(1-INPUTS!$B$9)+INPUTS!$B$6*INPUTS!$B$9))</f>
        <v>315.570779655968</v>
      </c>
      <c r="M68" s="10" t="n">
        <f aca="false">PU!M68/(INPUTS!$B$8*INPUTS!$B$7*(0.85*INPUTS!$B$5*(1-INPUTS!$B$9)+INPUTS!$B$6*INPUTS!$B$9))</f>
        <v>315.570779655968</v>
      </c>
      <c r="N68" s="10" t="n">
        <f aca="false">PU!N68/(INPUTS!$B$8*INPUTS!$B$7*(0.85*INPUTS!$B$5*(1-INPUTS!$B$9)+INPUTS!$B$6*INPUTS!$B$9))</f>
        <v>315.570779655968</v>
      </c>
      <c r="O68" s="10" t="n">
        <f aca="false">PU!O68/(INPUTS!$B$8*INPUTS!$B$7*(0.85*INPUTS!$B$5*(1-INPUTS!$B$9)+INPUTS!$B$6*INPUTS!$B$9))</f>
        <v>315.570779655968</v>
      </c>
      <c r="P68" s="10" t="n">
        <f aca="false">PU!P68/(INPUTS!$B$8*INPUTS!$B$7*(0.85*INPUTS!$B$5*(1-INPUTS!$B$9)+INPUTS!$B$6*INPUTS!$B$9))</f>
        <v>315.570779655968</v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10" t="n">
        <f aca="false">PU!E69/(INPUTS!$B$8*INPUTS!$B$7*(0.85*INPUTS!$B$5*(1-INPUTS!$B$9)+INPUTS!$B$6*INPUTS!$B$9))</f>
        <v>56.5055104624321</v>
      </c>
      <c r="F69" s="10" t="n">
        <f aca="false">PU!F69/(INPUTS!$B$8*INPUTS!$B$7*(0.85*INPUTS!$B$5*(1-INPUTS!$B$9)+INPUTS!$B$6*INPUTS!$B$9))</f>
        <v>139.269491399211</v>
      </c>
      <c r="G69" s="10" t="n">
        <f aca="false">PU!G69/(INPUTS!$B$8*INPUTS!$B$7*(0.85*INPUTS!$B$5*(1-INPUTS!$B$9)+INPUTS!$B$6*INPUTS!$B$9))</f>
        <v>198.8374041254</v>
      </c>
      <c r="H69" s="10" t="n">
        <f aca="false">PU!H69/(INPUTS!$B$8*INPUTS!$B$7*(0.85*INPUTS!$B$5*(1-INPUTS!$B$9)+INPUTS!$B$6*INPUTS!$B$9))</f>
        <v>238.774294437412</v>
      </c>
      <c r="I69" s="10" t="n">
        <f aca="false">PU!I69/(INPUTS!$B$8*INPUTS!$B$7*(0.85*INPUTS!$B$5*(1-INPUTS!$B$9)+INPUTS!$B$6*INPUTS!$B$9))</f>
        <v>274.302814803783</v>
      </c>
      <c r="J69" s="10" t="n">
        <f aca="false">PU!J69/(INPUTS!$B$8*INPUTS!$B$7*(0.85*INPUTS!$B$5*(1-INPUTS!$B$9)+INPUTS!$B$6*INPUTS!$B$9))</f>
        <v>325.021843274505</v>
      </c>
      <c r="K69" s="10" t="n">
        <f aca="false">PU!K69/(INPUTS!$B$8*INPUTS!$B$7*(0.85*INPUTS!$B$5*(1-INPUTS!$B$9)+INPUTS!$B$6*INPUTS!$B$9))</f>
        <v>325.021843274505</v>
      </c>
      <c r="L69" s="10" t="n">
        <f aca="false">PU!L69/(INPUTS!$B$8*INPUTS!$B$7*(0.85*INPUTS!$B$5*(1-INPUTS!$B$9)+INPUTS!$B$6*INPUTS!$B$9))</f>
        <v>325.021843274505</v>
      </c>
      <c r="M69" s="10" t="n">
        <f aca="false">PU!M69/(INPUTS!$B$8*INPUTS!$B$7*(0.85*INPUTS!$B$5*(1-INPUTS!$B$9)+INPUTS!$B$6*INPUTS!$B$9))</f>
        <v>325.021843274505</v>
      </c>
      <c r="N69" s="10" t="n">
        <f aca="false">PU!N69/(INPUTS!$B$8*INPUTS!$B$7*(0.85*INPUTS!$B$5*(1-INPUTS!$B$9)+INPUTS!$B$6*INPUTS!$B$9))</f>
        <v>325.021843274505</v>
      </c>
      <c r="O69" s="10" t="n">
        <f aca="false">PU!O69/(INPUTS!$B$8*INPUTS!$B$7*(0.85*INPUTS!$B$5*(1-INPUTS!$B$9)+INPUTS!$B$6*INPUTS!$B$9))</f>
        <v>325.021843274505</v>
      </c>
      <c r="P69" s="10" t="n">
        <f aca="false">PU!P69/(INPUTS!$B$8*INPUTS!$B$7*(0.85*INPUTS!$B$5*(1-INPUTS!$B$9)+INPUTS!$B$6*INPUTS!$B$9))</f>
        <v>325.021843274505</v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10" t="n">
        <f aca="false">PU!E70/(INPUTS!$B$8*INPUTS!$B$7*(0.85*INPUTS!$B$5*(1-INPUTS!$B$9)+INPUTS!$B$6*INPUTS!$B$9))</f>
        <v>29.1337776453943</v>
      </c>
      <c r="F70" s="10" t="n">
        <f aca="false">PU!F70/(INPUTS!$B$8*INPUTS!$B$7*(0.85*INPUTS!$B$5*(1-INPUTS!$B$9)+INPUTS!$B$6*INPUTS!$B$9))</f>
        <v>71.4250254424504</v>
      </c>
      <c r="G70" s="10" t="n">
        <f aca="false">PU!G70/(INPUTS!$B$8*INPUTS!$B$7*(0.85*INPUTS!$B$5*(1-INPUTS!$B$9)+INPUTS!$B$6*INPUTS!$B$9))</f>
        <v>112.132015290292</v>
      </c>
      <c r="H70" s="10" t="n">
        <f aca="false">PU!H70/(INPUTS!$B$8*INPUTS!$B$7*(0.85*INPUTS!$B$5*(1-INPUTS!$B$9)+INPUTS!$B$6*INPUTS!$B$9))</f>
        <v>139.645543227344</v>
      </c>
      <c r="I70" s="10" t="n">
        <f aca="false">PU!I70/(INPUTS!$B$8*INPUTS!$B$7*(0.85*INPUTS!$B$5*(1-INPUTS!$B$9)+INPUTS!$B$6*INPUTS!$B$9))</f>
        <v>164.196328840569</v>
      </c>
      <c r="J70" s="10" t="n">
        <f aca="false">PU!J70/(INPUTS!$B$8*INPUTS!$B$7*(0.85*INPUTS!$B$5*(1-INPUTS!$B$9)+INPUTS!$B$6*INPUTS!$B$9))</f>
        <v>211.293841685904</v>
      </c>
      <c r="K70" s="10" t="n">
        <f aca="false">PU!K70/(INPUTS!$B$8*INPUTS!$B$7*(0.85*INPUTS!$B$5*(1-INPUTS!$B$9)+INPUTS!$B$6*INPUTS!$B$9))</f>
        <v>211.293841685904</v>
      </c>
      <c r="L70" s="10" t="n">
        <f aca="false">PU!L70/(INPUTS!$B$8*INPUTS!$B$7*(0.85*INPUTS!$B$5*(1-INPUTS!$B$9)+INPUTS!$B$6*INPUTS!$B$9))</f>
        <v>211.293841685904</v>
      </c>
      <c r="M70" s="10" t="n">
        <f aca="false">PU!M70/(INPUTS!$B$8*INPUTS!$B$7*(0.85*INPUTS!$B$5*(1-INPUTS!$B$9)+INPUTS!$B$6*INPUTS!$B$9))</f>
        <v>211.293841685904</v>
      </c>
      <c r="N70" s="10" t="n">
        <f aca="false">PU!N70/(INPUTS!$B$8*INPUTS!$B$7*(0.85*INPUTS!$B$5*(1-INPUTS!$B$9)+INPUTS!$B$6*INPUTS!$B$9))</f>
        <v>211.293841685904</v>
      </c>
      <c r="O70" s="10" t="n">
        <f aca="false">PU!O70/(INPUTS!$B$8*INPUTS!$B$7*(0.85*INPUTS!$B$5*(1-INPUTS!$B$9)+INPUTS!$B$6*INPUTS!$B$9))</f>
        <v>211.293841685904</v>
      </c>
      <c r="P70" s="10" t="n">
        <f aca="false">PU!P70/(INPUTS!$B$8*INPUTS!$B$7*(0.85*INPUTS!$B$5*(1-INPUTS!$B$9)+INPUTS!$B$6*INPUTS!$B$9))</f>
        <v>211.293841685904</v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10" t="n">
        <f aca="false">PU!E71/(INPUTS!$B$8*INPUTS!$B$7*(0.85*INPUTS!$B$5*(1-INPUTS!$B$9)+INPUTS!$B$6*INPUTS!$B$9))</f>
        <v>41.8394891652394</v>
      </c>
      <c r="F71" s="10" t="n">
        <f aca="false">PU!F71/(INPUTS!$B$8*INPUTS!$B$7*(0.85*INPUTS!$B$5*(1-INPUTS!$B$9)+INPUTS!$B$6*INPUTS!$B$9))</f>
        <v>102.917814679673</v>
      </c>
      <c r="G71" s="10" t="n">
        <f aca="false">PU!G71/(INPUTS!$B$8*INPUTS!$B$7*(0.85*INPUTS!$B$5*(1-INPUTS!$B$9)+INPUTS!$B$6*INPUTS!$B$9))</f>
        <v>157.615049519696</v>
      </c>
      <c r="H71" s="10" t="n">
        <f aca="false">PU!H71/(INPUTS!$B$8*INPUTS!$B$7*(0.85*INPUTS!$B$5*(1-INPUTS!$B$9)+INPUTS!$B$6*INPUTS!$B$9))</f>
        <v>194.343708888723</v>
      </c>
      <c r="I71" s="10" t="n">
        <f aca="false">PU!I71/(INPUTS!$B$8*INPUTS!$B$7*(0.85*INPUTS!$B$5*(1-INPUTS!$B$9)+INPUTS!$B$6*INPUTS!$B$9))</f>
        <v>227.037319730931</v>
      </c>
      <c r="J71" s="10" t="n">
        <f aca="false">PU!J71/(INPUTS!$B$8*INPUTS!$B$7*(0.85*INPUTS!$B$5*(1-INPUTS!$B$9)+INPUTS!$B$6*INPUTS!$B$9))</f>
        <v>261.427011194678</v>
      </c>
      <c r="K71" s="10" t="n">
        <f aca="false">PU!K71/(INPUTS!$B$8*INPUTS!$B$7*(0.85*INPUTS!$B$5*(1-INPUTS!$B$9)+INPUTS!$B$6*INPUTS!$B$9))</f>
        <v>261.427011194678</v>
      </c>
      <c r="L71" s="10" t="n">
        <f aca="false">PU!L71/(INPUTS!$B$8*INPUTS!$B$7*(0.85*INPUTS!$B$5*(1-INPUTS!$B$9)+INPUTS!$B$6*INPUTS!$B$9))</f>
        <v>261.427011194678</v>
      </c>
      <c r="M71" s="10" t="n">
        <f aca="false">PU!M71/(INPUTS!$B$8*INPUTS!$B$7*(0.85*INPUTS!$B$5*(1-INPUTS!$B$9)+INPUTS!$B$6*INPUTS!$B$9))</f>
        <v>261.427011194678</v>
      </c>
      <c r="N71" s="10" t="n">
        <f aca="false">PU!N71/(INPUTS!$B$8*INPUTS!$B$7*(0.85*INPUTS!$B$5*(1-INPUTS!$B$9)+INPUTS!$B$6*INPUTS!$B$9))</f>
        <v>261.427011194678</v>
      </c>
      <c r="O71" s="10" t="n">
        <f aca="false">PU!O71/(INPUTS!$B$8*INPUTS!$B$7*(0.85*INPUTS!$B$5*(1-INPUTS!$B$9)+INPUTS!$B$6*INPUTS!$B$9))</f>
        <v>261.427011194678</v>
      </c>
      <c r="P71" s="10" t="n">
        <f aca="false">PU!P71/(INPUTS!$B$8*INPUTS!$B$7*(0.85*INPUTS!$B$5*(1-INPUTS!$B$9)+INPUTS!$B$6*INPUTS!$B$9))</f>
        <v>261.427011194678</v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10" t="n">
        <f aca="false">PU!E72/(INPUTS!$B$8*INPUTS!$B$7*(0.85*INPUTS!$B$5*(1-INPUTS!$B$9)+INPUTS!$B$6*INPUTS!$B$9))</f>
        <v>39.4435549929258</v>
      </c>
      <c r="F72" s="10" t="n">
        <f aca="false">PU!F72/(INPUTS!$B$8*INPUTS!$B$7*(0.85*INPUTS!$B$5*(1-INPUTS!$B$9)+INPUTS!$B$6*INPUTS!$B$9))</f>
        <v>96.9791744235113</v>
      </c>
      <c r="G72" s="10" t="n">
        <f aca="false">PU!G72/(INPUTS!$B$8*INPUTS!$B$7*(0.85*INPUTS!$B$5*(1-INPUTS!$B$9)+INPUTS!$B$6*INPUTS!$B$9))</f>
        <v>151.469146374761</v>
      </c>
      <c r="H72" s="10" t="n">
        <f aca="false">PU!H72/(INPUTS!$B$8*INPUTS!$B$7*(0.85*INPUTS!$B$5*(1-INPUTS!$B$9)+INPUTS!$B$6*INPUTS!$B$9))</f>
        <v>188.061285278129</v>
      </c>
      <c r="I72" s="10" t="n">
        <f aca="false">PU!I72/(INPUTS!$B$8*INPUTS!$B$7*(0.85*INPUTS!$B$5*(1-INPUTS!$B$9)+INPUTS!$B$6*INPUTS!$B$9))</f>
        <v>220.6342616725</v>
      </c>
      <c r="J72" s="10" t="n">
        <f aca="false">PU!J72/(INPUTS!$B$8*INPUTS!$B$7*(0.85*INPUTS!$B$5*(1-INPUTS!$B$9)+INPUTS!$B$6*INPUTS!$B$9))</f>
        <v>254.831086951126</v>
      </c>
      <c r="K72" s="10" t="n">
        <f aca="false">PU!K72/(INPUTS!$B$8*INPUTS!$B$7*(0.85*INPUTS!$B$5*(1-INPUTS!$B$9)+INPUTS!$B$6*INPUTS!$B$9))</f>
        <v>254.831086951126</v>
      </c>
      <c r="L72" s="10" t="n">
        <f aca="false">PU!L72/(INPUTS!$B$8*INPUTS!$B$7*(0.85*INPUTS!$B$5*(1-INPUTS!$B$9)+INPUTS!$B$6*INPUTS!$B$9))</f>
        <v>254.831086951126</v>
      </c>
      <c r="M72" s="10" t="n">
        <f aca="false">PU!M72/(INPUTS!$B$8*INPUTS!$B$7*(0.85*INPUTS!$B$5*(1-INPUTS!$B$9)+INPUTS!$B$6*INPUTS!$B$9))</f>
        <v>254.831086951126</v>
      </c>
      <c r="N72" s="10" t="n">
        <f aca="false">PU!N72/(INPUTS!$B$8*INPUTS!$B$7*(0.85*INPUTS!$B$5*(1-INPUTS!$B$9)+INPUTS!$B$6*INPUTS!$B$9))</f>
        <v>254.831086951126</v>
      </c>
      <c r="O72" s="10" t="n">
        <f aca="false">PU!O72/(INPUTS!$B$8*INPUTS!$B$7*(0.85*INPUTS!$B$5*(1-INPUTS!$B$9)+INPUTS!$B$6*INPUTS!$B$9))</f>
        <v>254.831086951126</v>
      </c>
      <c r="P72" s="10" t="n">
        <f aca="false">PU!P72/(INPUTS!$B$8*INPUTS!$B$7*(0.85*INPUTS!$B$5*(1-INPUTS!$B$9)+INPUTS!$B$6*INPUTS!$B$9))</f>
        <v>254.831086951126</v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10" t="n">
        <f aca="false">PU!E73/(INPUTS!$B$8*INPUTS!$B$7*(0.85*INPUTS!$B$5*(1-INPUTS!$B$9)+INPUTS!$B$6*INPUTS!$B$9))</f>
        <v>7.49776602874376</v>
      </c>
      <c r="F73" s="10" t="n">
        <f aca="false">PU!F73/(INPUTS!$B$8*INPUTS!$B$7*(0.85*INPUTS!$B$5*(1-INPUTS!$B$9)+INPUTS!$B$6*INPUTS!$B$9))</f>
        <v>17.7973043413508</v>
      </c>
      <c r="G73" s="10" t="n">
        <f aca="false">PU!G73/(INPUTS!$B$8*INPUTS!$B$7*(0.85*INPUTS!$B$5*(1-INPUTS!$B$9)+INPUTS!$B$6*INPUTS!$B$9))</f>
        <v>71.7691190706679</v>
      </c>
      <c r="H73" s="10" t="n">
        <f aca="false">PU!H73/(INPUTS!$B$8*INPUTS!$B$7*(0.85*INPUTS!$B$5*(1-INPUTS!$B$9)+INPUTS!$B$6*INPUTS!$B$9))</f>
        <v>108.019956809889</v>
      </c>
      <c r="I73" s="10" t="n">
        <f aca="false">PU!I73/(INPUTS!$B$8*INPUTS!$B$7*(0.85*INPUTS!$B$5*(1-INPUTS!$B$9)+INPUTS!$B$6*INPUTS!$B$9))</f>
        <v>140.291347084668</v>
      </c>
      <c r="J73" s="10" t="n">
        <f aca="false">PU!J73/(INPUTS!$B$8*INPUTS!$B$7*(0.85*INPUTS!$B$5*(1-INPUTS!$B$9)+INPUTS!$B$6*INPUTS!$B$9))</f>
        <v>178.216918608981</v>
      </c>
      <c r="K73" s="10" t="n">
        <f aca="false">PU!K73/(INPUTS!$B$8*INPUTS!$B$7*(0.85*INPUTS!$B$5*(1-INPUTS!$B$9)+INPUTS!$B$6*INPUTS!$B$9))</f>
        <v>178.216918608981</v>
      </c>
      <c r="L73" s="10" t="n">
        <f aca="false">PU!L73/(INPUTS!$B$8*INPUTS!$B$7*(0.85*INPUTS!$B$5*(1-INPUTS!$B$9)+INPUTS!$B$6*INPUTS!$B$9))</f>
        <v>178.216918608981</v>
      </c>
      <c r="M73" s="10" t="n">
        <f aca="false">PU!M73/(INPUTS!$B$8*INPUTS!$B$7*(0.85*INPUTS!$B$5*(1-INPUTS!$B$9)+INPUTS!$B$6*INPUTS!$B$9))</f>
        <v>178.216918608981</v>
      </c>
      <c r="N73" s="10" t="n">
        <f aca="false">PU!N73/(INPUTS!$B$8*INPUTS!$B$7*(0.85*INPUTS!$B$5*(1-INPUTS!$B$9)+INPUTS!$B$6*INPUTS!$B$9))</f>
        <v>178.216918608981</v>
      </c>
      <c r="O73" s="10" t="n">
        <f aca="false">PU!O73/(INPUTS!$B$8*INPUTS!$B$7*(0.85*INPUTS!$B$5*(1-INPUTS!$B$9)+INPUTS!$B$6*INPUTS!$B$9))</f>
        <v>178.216918608981</v>
      </c>
      <c r="P73" s="10" t="n">
        <f aca="false">PU!P73/(INPUTS!$B$8*INPUTS!$B$7*(0.85*INPUTS!$B$5*(1-INPUTS!$B$9)+INPUTS!$B$6*INPUTS!$B$9))</f>
        <v>178.216918608981</v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10" t="n">
        <f aca="false">PU!E74/(INPUTS!$B$8*INPUTS!$B$7*(0.85*INPUTS!$B$5*(1-INPUTS!$B$9)+INPUTS!$B$6*INPUTS!$B$9))</f>
        <v>42.7833420209993</v>
      </c>
      <c r="F74" s="10" t="n">
        <f aca="false">PU!F74/(INPUTS!$B$8*INPUTS!$B$7*(0.85*INPUTS!$B$5*(1-INPUTS!$B$9)+INPUTS!$B$6*INPUTS!$B$9))</f>
        <v>105.25727902301</v>
      </c>
      <c r="G74" s="10" t="n">
        <f aca="false">PU!G74/(INPUTS!$B$8*INPUTS!$B$7*(0.85*INPUTS!$B$5*(1-INPUTS!$B$9)+INPUTS!$B$6*INPUTS!$B$9))</f>
        <v>162.545299972696</v>
      </c>
      <c r="H74" s="10" t="n">
        <f aca="false">PU!H74/(INPUTS!$B$8*INPUTS!$B$7*(0.85*INPUTS!$B$5*(1-INPUTS!$B$9)+INPUTS!$B$6*INPUTS!$B$9))</f>
        <v>200.980465162459</v>
      </c>
      <c r="I74" s="10" t="n">
        <f aca="false">PU!I74/(INPUTS!$B$8*INPUTS!$B$7*(0.85*INPUTS!$B$5*(1-INPUTS!$B$9)+INPUTS!$B$6*INPUTS!$B$9))</f>
        <v>235.182006602626</v>
      </c>
      <c r="J74" s="10" t="n">
        <f aca="false">PU!J74/(INPUTS!$B$8*INPUTS!$B$7*(0.85*INPUTS!$B$5*(1-INPUTS!$B$9)+INPUTS!$B$6*INPUTS!$B$9))</f>
        <v>275.036239978157</v>
      </c>
      <c r="K74" s="10" t="n">
        <f aca="false">PU!K74/(INPUTS!$B$8*INPUTS!$B$7*(0.85*INPUTS!$B$5*(1-INPUTS!$B$9)+INPUTS!$B$6*INPUTS!$B$9))</f>
        <v>275.036239978157</v>
      </c>
      <c r="L74" s="10" t="n">
        <f aca="false">PU!L74/(INPUTS!$B$8*INPUTS!$B$7*(0.85*INPUTS!$B$5*(1-INPUTS!$B$9)+INPUTS!$B$6*INPUTS!$B$9))</f>
        <v>275.036239978157</v>
      </c>
      <c r="M74" s="10" t="n">
        <f aca="false">PU!M74/(INPUTS!$B$8*INPUTS!$B$7*(0.85*INPUTS!$B$5*(1-INPUTS!$B$9)+INPUTS!$B$6*INPUTS!$B$9))</f>
        <v>275.036239978157</v>
      </c>
      <c r="N74" s="10" t="n">
        <f aca="false">PU!N74/(INPUTS!$B$8*INPUTS!$B$7*(0.85*INPUTS!$B$5*(1-INPUTS!$B$9)+INPUTS!$B$6*INPUTS!$B$9))</f>
        <v>275.036239978157</v>
      </c>
      <c r="O74" s="10" t="n">
        <f aca="false">PU!O74/(INPUTS!$B$8*INPUTS!$B$7*(0.85*INPUTS!$B$5*(1-INPUTS!$B$9)+INPUTS!$B$6*INPUTS!$B$9))</f>
        <v>275.036239978157</v>
      </c>
      <c r="P74" s="10" t="n">
        <f aca="false">PU!P74/(INPUTS!$B$8*INPUTS!$B$7*(0.85*INPUTS!$B$5*(1-INPUTS!$B$9)+INPUTS!$B$6*INPUTS!$B$9))</f>
        <v>275.036239978157</v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10" t="n">
        <f aca="false">PU!E75/(INPUTS!$B$8*INPUTS!$B$7*(0.85*INPUTS!$B$5*(1-INPUTS!$B$9)+INPUTS!$B$6*INPUTS!$B$9))</f>
        <v>39.2257427954427</v>
      </c>
      <c r="F75" s="10" t="n">
        <f aca="false">PU!F75/(INPUTS!$B$8*INPUTS!$B$7*(0.85*INPUTS!$B$5*(1-INPUTS!$B$9)+INPUTS!$B$6*INPUTS!$B$9))</f>
        <v>96.4392980365875</v>
      </c>
      <c r="G75" s="10" t="n">
        <f aca="false">PU!G75/(INPUTS!$B$8*INPUTS!$B$7*(0.85*INPUTS!$B$5*(1-INPUTS!$B$9)+INPUTS!$B$6*INPUTS!$B$9))</f>
        <v>151.551058654156</v>
      </c>
      <c r="H75" s="10" t="n">
        <f aca="false">PU!H75/(INPUTS!$B$8*INPUTS!$B$7*(0.85*INPUTS!$B$5*(1-INPUTS!$B$9)+INPUTS!$B$6*INPUTS!$B$9))</f>
        <v>188.552758954501</v>
      </c>
      <c r="I75" s="10" t="n">
        <f aca="false">PU!I75/(INPUTS!$B$8*INPUTS!$B$7*(0.85*INPUTS!$B$5*(1-INPUTS!$B$9)+INPUTS!$B$6*INPUTS!$B$9))</f>
        <v>221.487638692382</v>
      </c>
      <c r="J75" s="10" t="n">
        <f aca="false">PU!J75/(INPUTS!$B$8*INPUTS!$B$7*(0.85*INPUTS!$B$5*(1-INPUTS!$B$9)+INPUTS!$B$6*INPUTS!$B$9))</f>
        <v>277.893365105369</v>
      </c>
      <c r="K75" s="10" t="n">
        <f aca="false">PU!K75/(INPUTS!$B$8*INPUTS!$B$7*(0.85*INPUTS!$B$5*(1-INPUTS!$B$9)+INPUTS!$B$6*INPUTS!$B$9))</f>
        <v>277.893365105369</v>
      </c>
      <c r="L75" s="10" t="n">
        <f aca="false">PU!L75/(INPUTS!$B$8*INPUTS!$B$7*(0.85*INPUTS!$B$5*(1-INPUTS!$B$9)+INPUTS!$B$6*INPUTS!$B$9))</f>
        <v>277.893365105369</v>
      </c>
      <c r="M75" s="10" t="n">
        <f aca="false">PU!M75/(INPUTS!$B$8*INPUTS!$B$7*(0.85*INPUTS!$B$5*(1-INPUTS!$B$9)+INPUTS!$B$6*INPUTS!$B$9))</f>
        <v>277.893365105369</v>
      </c>
      <c r="N75" s="10" t="n">
        <f aca="false">PU!N75/(INPUTS!$B$8*INPUTS!$B$7*(0.85*INPUTS!$B$5*(1-INPUTS!$B$9)+INPUTS!$B$6*INPUTS!$B$9))</f>
        <v>277.893365105369</v>
      </c>
      <c r="O75" s="10" t="n">
        <f aca="false">PU!O75/(INPUTS!$B$8*INPUTS!$B$7*(0.85*INPUTS!$B$5*(1-INPUTS!$B$9)+INPUTS!$B$6*INPUTS!$B$9))</f>
        <v>277.893365105369</v>
      </c>
      <c r="P75" s="10" t="n">
        <f aca="false">PU!P75/(INPUTS!$B$8*INPUTS!$B$7*(0.85*INPUTS!$B$5*(1-INPUTS!$B$9)+INPUTS!$B$6*INPUTS!$B$9))</f>
        <v>277.893365105369</v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10" t="n">
        <f aca="false">PU!E76/(INPUTS!$B$8*INPUTS!$B$7*(0.85*INPUTS!$B$5*(1-INPUTS!$B$9)+INPUTS!$B$6*INPUTS!$B$9))</f>
        <v>4.88401965894706</v>
      </c>
      <c r="F76" s="10" t="n">
        <f aca="false">PU!F76/(INPUTS!$B$8*INPUTS!$B$7*(0.85*INPUTS!$B$5*(1-INPUTS!$B$9)+INPUTS!$B$6*INPUTS!$B$9))</f>
        <v>11.3187876982649</v>
      </c>
      <c r="G76" s="10" t="n">
        <f aca="false">PU!G76/(INPUTS!$B$8*INPUTS!$B$7*(0.85*INPUTS!$B$5*(1-INPUTS!$B$9)+INPUTS!$B$6*INPUTS!$B$9))</f>
        <v>15.9620348995954</v>
      </c>
      <c r="H76" s="10" t="n">
        <f aca="false">PU!H76/(INPUTS!$B$8*INPUTS!$B$7*(0.85*INPUTS!$B$5*(1-INPUTS!$B$9)+INPUTS!$B$6*INPUTS!$B$9))</f>
        <v>19.7210018119989</v>
      </c>
      <c r="I76" s="10" t="n">
        <f aca="false">PU!I76/(INPUTS!$B$8*INPUTS!$B$7*(0.85*INPUTS!$B$5*(1-INPUTS!$B$9)+INPUTS!$B$6*INPUTS!$B$9))</f>
        <v>23.2813935016258</v>
      </c>
      <c r="J76" s="10" t="n">
        <f aca="false">PU!J76/(INPUTS!$B$8*INPUTS!$B$7*(0.85*INPUTS!$B$5*(1-INPUTS!$B$9)+INPUTS!$B$6*INPUTS!$B$9))</f>
        <v>54.4566485466776</v>
      </c>
      <c r="K76" s="10" t="n">
        <f aca="false">PU!K76/(INPUTS!$B$8*INPUTS!$B$7*(0.85*INPUTS!$B$5*(1-INPUTS!$B$9)+INPUTS!$B$6*INPUTS!$B$9))</f>
        <v>54.4566485466776</v>
      </c>
      <c r="L76" s="10" t="n">
        <f aca="false">PU!L76/(INPUTS!$B$8*INPUTS!$B$7*(0.85*INPUTS!$B$5*(1-INPUTS!$B$9)+INPUTS!$B$6*INPUTS!$B$9))</f>
        <v>54.4566485466776</v>
      </c>
      <c r="M76" s="10" t="n">
        <f aca="false">PU!M76/(INPUTS!$B$8*INPUTS!$B$7*(0.85*INPUTS!$B$5*(1-INPUTS!$B$9)+INPUTS!$B$6*INPUTS!$B$9))</f>
        <v>54.4566485466776</v>
      </c>
      <c r="N76" s="10" t="n">
        <f aca="false">PU!N76/(INPUTS!$B$8*INPUTS!$B$7*(0.85*INPUTS!$B$5*(1-INPUTS!$B$9)+INPUTS!$B$6*INPUTS!$B$9))</f>
        <v>54.4566485466776</v>
      </c>
      <c r="O76" s="10" t="n">
        <f aca="false">PU!O76/(INPUTS!$B$8*INPUTS!$B$7*(0.85*INPUTS!$B$5*(1-INPUTS!$B$9)+INPUTS!$B$6*INPUTS!$B$9))</f>
        <v>54.4566485466776</v>
      </c>
      <c r="P76" s="10" t="n">
        <f aca="false">PU!P76/(INPUTS!$B$8*INPUTS!$B$7*(0.85*INPUTS!$B$5*(1-INPUTS!$B$9)+INPUTS!$B$6*INPUTS!$B$9))</f>
        <v>54.4566485466776</v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10" t="n">
        <f aca="false">PU!E77/(INPUTS!$B$8*INPUTS!$B$7*(0.85*INPUTS!$B$5*(1-INPUTS!$B$9)+INPUTS!$B$6*INPUTS!$B$9))</f>
        <v>24.2693052349393</v>
      </c>
      <c r="F77" s="10" t="n">
        <f aca="false">PU!F77/(INPUTS!$B$8*INPUTS!$B$7*(0.85*INPUTS!$B$5*(1-INPUTS!$B$9)+INPUTS!$B$6*INPUTS!$B$9))</f>
        <v>60.3172239183856</v>
      </c>
      <c r="G77" s="10" t="n">
        <f aca="false">PU!G77/(INPUTS!$B$8*INPUTS!$B$7*(0.85*INPUTS!$B$5*(1-INPUTS!$B$9)+INPUTS!$B$6*INPUTS!$B$9))</f>
        <v>89.490096060764</v>
      </c>
      <c r="H77" s="10" t="n">
        <f aca="false">PU!H77/(INPUTS!$B$8*INPUTS!$B$7*(0.85*INPUTS!$B$5*(1-INPUTS!$B$9)+INPUTS!$B$6*INPUTS!$B$9))</f>
        <v>116.314816193809</v>
      </c>
      <c r="I77" s="10" t="n">
        <f aca="false">PU!I77/(INPUTS!$B$8*INPUTS!$B$7*(0.85*INPUTS!$B$5*(1-INPUTS!$B$9)+INPUTS!$B$6*INPUTS!$B$9))</f>
        <v>140.367426216894</v>
      </c>
      <c r="J77" s="10" t="n">
        <f aca="false">PU!J77/(INPUTS!$B$8*INPUTS!$B$7*(0.85*INPUTS!$B$5*(1-INPUTS!$B$9)+INPUTS!$B$6*INPUTS!$B$9))</f>
        <v>165.797651847991</v>
      </c>
      <c r="K77" s="10" t="n">
        <f aca="false">PU!K77/(INPUTS!$B$8*INPUTS!$B$7*(0.85*INPUTS!$B$5*(1-INPUTS!$B$9)+INPUTS!$B$6*INPUTS!$B$9))</f>
        <v>165.797651847991</v>
      </c>
      <c r="L77" s="10" t="n">
        <f aca="false">PU!L77/(INPUTS!$B$8*INPUTS!$B$7*(0.85*INPUTS!$B$5*(1-INPUTS!$B$9)+INPUTS!$B$6*INPUTS!$B$9))</f>
        <v>165.797651847991</v>
      </c>
      <c r="M77" s="10" t="n">
        <f aca="false">PU!M77/(INPUTS!$B$8*INPUTS!$B$7*(0.85*INPUTS!$B$5*(1-INPUTS!$B$9)+INPUTS!$B$6*INPUTS!$B$9))</f>
        <v>165.797651847991</v>
      </c>
      <c r="N77" s="10" t="n">
        <f aca="false">PU!N77/(INPUTS!$B$8*INPUTS!$B$7*(0.85*INPUTS!$B$5*(1-INPUTS!$B$9)+INPUTS!$B$6*INPUTS!$B$9))</f>
        <v>165.797651847991</v>
      </c>
      <c r="O77" s="10" t="n">
        <f aca="false">PU!O77/(INPUTS!$B$8*INPUTS!$B$7*(0.85*INPUTS!$B$5*(1-INPUTS!$B$9)+INPUTS!$B$6*INPUTS!$B$9))</f>
        <v>165.797651847991</v>
      </c>
      <c r="P77" s="10" t="n">
        <f aca="false">PU!P77/(INPUTS!$B$8*INPUTS!$B$7*(0.85*INPUTS!$B$5*(1-INPUTS!$B$9)+INPUTS!$B$6*INPUTS!$B$9))</f>
        <v>165.797651847991</v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10" t="n">
        <f aca="false">PU!E78/(INPUTS!$B$8*INPUTS!$B$7*(0.85*INPUTS!$B$5*(1-INPUTS!$B$9)+INPUTS!$B$6*INPUTS!$B$9))</f>
        <v>47.720418497282</v>
      </c>
      <c r="F78" s="10" t="n">
        <f aca="false">PU!F78/(INPUTS!$B$8*INPUTS!$B$7*(0.85*INPUTS!$B$5*(1-INPUTS!$B$9)+INPUTS!$B$6*INPUTS!$B$9))</f>
        <v>117.494477126617</v>
      </c>
      <c r="G78" s="10" t="n">
        <f aca="false">PU!G78/(INPUTS!$B$8*INPUTS!$B$7*(0.85*INPUTS!$B$5*(1-INPUTS!$B$9)+INPUTS!$B$6*INPUTS!$B$9))</f>
        <v>176.026075408941</v>
      </c>
      <c r="H78" s="10" t="n">
        <f aca="false">PU!H78/(INPUTS!$B$8*INPUTS!$B$7*(0.85*INPUTS!$B$5*(1-INPUTS!$B$9)+INPUTS!$B$6*INPUTS!$B$9))</f>
        <v>215.280363392658</v>
      </c>
      <c r="I78" s="10" t="n">
        <f aca="false">PU!I78/(INPUTS!$B$8*INPUTS!$B$7*(0.85*INPUTS!$B$5*(1-INPUTS!$B$9)+INPUTS!$B$6*INPUTS!$B$9))</f>
        <v>250.205711519845</v>
      </c>
      <c r="J78" s="10" t="n">
        <f aca="false">PU!J78/(INPUTS!$B$8*INPUTS!$B$7*(0.85*INPUTS!$B$5*(1-INPUTS!$B$9)+INPUTS!$B$6*INPUTS!$B$9))</f>
        <v>286.909797205054</v>
      </c>
      <c r="K78" s="10" t="n">
        <f aca="false">PU!K78/(INPUTS!$B$8*INPUTS!$B$7*(0.85*INPUTS!$B$5*(1-INPUTS!$B$9)+INPUTS!$B$6*INPUTS!$B$9))</f>
        <v>286.909797205054</v>
      </c>
      <c r="L78" s="10" t="n">
        <f aca="false">PU!L78/(INPUTS!$B$8*INPUTS!$B$7*(0.85*INPUTS!$B$5*(1-INPUTS!$B$9)+INPUTS!$B$6*INPUTS!$B$9))</f>
        <v>286.909797205054</v>
      </c>
      <c r="M78" s="10" t="n">
        <f aca="false">PU!M78/(INPUTS!$B$8*INPUTS!$B$7*(0.85*INPUTS!$B$5*(1-INPUTS!$B$9)+INPUTS!$B$6*INPUTS!$B$9))</f>
        <v>286.909797205054</v>
      </c>
      <c r="N78" s="10" t="n">
        <f aca="false">PU!N78/(INPUTS!$B$8*INPUTS!$B$7*(0.85*INPUTS!$B$5*(1-INPUTS!$B$9)+INPUTS!$B$6*INPUTS!$B$9))</f>
        <v>286.909797205054</v>
      </c>
      <c r="O78" s="10" t="n">
        <f aca="false">PU!O78/(INPUTS!$B$8*INPUTS!$B$7*(0.85*INPUTS!$B$5*(1-INPUTS!$B$9)+INPUTS!$B$6*INPUTS!$B$9))</f>
        <v>286.909797205054</v>
      </c>
      <c r="P78" s="10" t="n">
        <f aca="false">PU!P78/(INPUTS!$B$8*INPUTS!$B$7*(0.85*INPUTS!$B$5*(1-INPUTS!$B$9)+INPUTS!$B$6*INPUTS!$B$9))</f>
        <v>286.909797205054</v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10" t="n">
        <f aca="false">PU!E79/(INPUTS!$B$8*INPUTS!$B$7*(0.85*INPUTS!$B$5*(1-INPUTS!$B$9)+INPUTS!$B$6*INPUTS!$B$9))</f>
        <v>38.7901184004766</v>
      </c>
      <c r="F79" s="10" t="n">
        <f aca="false">PU!F79/(INPUTS!$B$8*INPUTS!$B$7*(0.85*INPUTS!$B$5*(1-INPUTS!$B$9)+INPUTS!$B$6*INPUTS!$B$9))</f>
        <v>95.3595452627399</v>
      </c>
      <c r="G79" s="10" t="n">
        <f aca="false">PU!G79/(INPUTS!$B$8*INPUTS!$B$7*(0.85*INPUTS!$B$5*(1-INPUTS!$B$9)+INPUTS!$B$6*INPUTS!$B$9))</f>
        <v>150.367674435922</v>
      </c>
      <c r="H79" s="10" t="n">
        <f aca="false">PU!H79/(INPUTS!$B$8*INPUTS!$B$7*(0.85*INPUTS!$B$5*(1-INPUTS!$B$9)+INPUTS!$B$6*INPUTS!$B$9))</f>
        <v>187.301114503438</v>
      </c>
      <c r="I79" s="10" t="n">
        <f aca="false">PU!I79/(INPUTS!$B$8*INPUTS!$B$7*(0.85*INPUTS!$B$5*(1-INPUTS!$B$9)+INPUTS!$B$6*INPUTS!$B$9))</f>
        <v>220.1756770174</v>
      </c>
      <c r="J79" s="10" t="n">
        <f aca="false">PU!J79/(INPUTS!$B$8*INPUTS!$B$7*(0.85*INPUTS!$B$5*(1-INPUTS!$B$9)+INPUTS!$B$6*INPUTS!$B$9))</f>
        <v>258.101248541713</v>
      </c>
      <c r="K79" s="10" t="n">
        <f aca="false">PU!K79/(INPUTS!$B$8*INPUTS!$B$7*(0.85*INPUTS!$B$5*(1-INPUTS!$B$9)+INPUTS!$B$6*INPUTS!$B$9))</f>
        <v>258.101248541713</v>
      </c>
      <c r="L79" s="10" t="n">
        <f aca="false">PU!L79/(INPUTS!$B$8*INPUTS!$B$7*(0.85*INPUTS!$B$5*(1-INPUTS!$B$9)+INPUTS!$B$6*INPUTS!$B$9))</f>
        <v>258.101248541713</v>
      </c>
      <c r="M79" s="10" t="n">
        <f aca="false">PU!M79/(INPUTS!$B$8*INPUTS!$B$7*(0.85*INPUTS!$B$5*(1-INPUTS!$B$9)+INPUTS!$B$6*INPUTS!$B$9))</f>
        <v>258.101248541713</v>
      </c>
      <c r="N79" s="10" t="n">
        <f aca="false">PU!N79/(INPUTS!$B$8*INPUTS!$B$7*(0.85*INPUTS!$B$5*(1-INPUTS!$B$9)+INPUTS!$B$6*INPUTS!$B$9))</f>
        <v>258.101248541713</v>
      </c>
      <c r="O79" s="10" t="n">
        <f aca="false">PU!O79/(INPUTS!$B$8*INPUTS!$B$7*(0.85*INPUTS!$B$5*(1-INPUTS!$B$9)+INPUTS!$B$6*INPUTS!$B$9))</f>
        <v>258.101248541713</v>
      </c>
      <c r="P79" s="10" t="n">
        <f aca="false">PU!P79/(INPUTS!$B$8*INPUTS!$B$7*(0.85*INPUTS!$B$5*(1-INPUTS!$B$9)+INPUTS!$B$6*INPUTS!$B$9))</f>
        <v>258.101248541713</v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10" t="n">
        <f aca="false">PU!E80/(INPUTS!$B$8*INPUTS!$B$7*(0.85*INPUTS!$B$5*(1-INPUTS!$B$9)+INPUTS!$B$6*INPUTS!$B$9))</f>
        <v>40.6778241119964</v>
      </c>
      <c r="F80" s="10" t="n">
        <f aca="false">PU!F80/(INPUTS!$B$8*INPUTS!$B$7*(0.85*INPUTS!$B$5*(1-INPUTS!$B$9)+INPUTS!$B$6*INPUTS!$B$9))</f>
        <v>100.038473949413</v>
      </c>
      <c r="G80" s="10" t="n">
        <f aca="false">PU!G80/(INPUTS!$B$8*INPUTS!$B$7*(0.85*INPUTS!$B$5*(1-INPUTS!$B$9)+INPUTS!$B$6*INPUTS!$B$9))</f>
        <v>157.222863454712</v>
      </c>
      <c r="H80" s="10" t="n">
        <f aca="false">PU!H80/(INPUTS!$B$8*INPUTS!$B$7*(0.85*INPUTS!$B$5*(1-INPUTS!$B$9)+INPUTS!$B$6*INPUTS!$B$9))</f>
        <v>195.589768411646</v>
      </c>
      <c r="I80" s="10" t="n">
        <f aca="false">PU!I80/(INPUTS!$B$8*INPUTS!$B$7*(0.85*INPUTS!$B$5*(1-INPUTS!$B$9)+INPUTS!$B$6*INPUTS!$B$9))</f>
        <v>229.730992627895</v>
      </c>
      <c r="J80" s="10" t="n">
        <f aca="false">PU!J80/(INPUTS!$B$8*INPUTS!$B$7*(0.85*INPUTS!$B$5*(1-INPUTS!$B$9)+INPUTS!$B$6*INPUTS!$B$9))</f>
        <v>269.520937275052</v>
      </c>
      <c r="K80" s="10" t="n">
        <f aca="false">PU!K80/(INPUTS!$B$8*INPUTS!$B$7*(0.85*INPUTS!$B$5*(1-INPUTS!$B$9)+INPUTS!$B$6*INPUTS!$B$9))</f>
        <v>269.520937275052</v>
      </c>
      <c r="L80" s="10" t="n">
        <f aca="false">PU!L80/(INPUTS!$B$8*INPUTS!$B$7*(0.85*INPUTS!$B$5*(1-INPUTS!$B$9)+INPUTS!$B$6*INPUTS!$B$9))</f>
        <v>269.520937275052</v>
      </c>
      <c r="M80" s="10" t="n">
        <f aca="false">PU!M80/(INPUTS!$B$8*INPUTS!$B$7*(0.85*INPUTS!$B$5*(1-INPUTS!$B$9)+INPUTS!$B$6*INPUTS!$B$9))</f>
        <v>269.520937275052</v>
      </c>
      <c r="N80" s="10" t="n">
        <f aca="false">PU!N80/(INPUTS!$B$8*INPUTS!$B$7*(0.85*INPUTS!$B$5*(1-INPUTS!$B$9)+INPUTS!$B$6*INPUTS!$B$9))</f>
        <v>269.520937275052</v>
      </c>
      <c r="O80" s="10" t="n">
        <f aca="false">PU!O80/(INPUTS!$B$8*INPUTS!$B$7*(0.85*INPUTS!$B$5*(1-INPUTS!$B$9)+INPUTS!$B$6*INPUTS!$B$9))</f>
        <v>269.520937275052</v>
      </c>
      <c r="P80" s="10" t="n">
        <f aca="false">PU!P80/(INPUTS!$B$8*INPUTS!$B$7*(0.85*INPUTS!$B$5*(1-INPUTS!$B$9)+INPUTS!$B$6*INPUTS!$B$9))</f>
        <v>269.520937275052</v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10" t="n">
        <f aca="false">PU!E81/(INPUTS!$B$8*INPUTS!$B$7*(0.85*INPUTS!$B$5*(1-INPUTS!$B$9)+INPUTS!$B$6*INPUTS!$B$9))</f>
        <v>40.6778241119964</v>
      </c>
      <c r="F81" s="10" t="n">
        <f aca="false">PU!F81/(INPUTS!$B$8*INPUTS!$B$7*(0.85*INPUTS!$B$5*(1-INPUTS!$B$9)+INPUTS!$B$6*INPUTS!$B$9))</f>
        <v>100.038473949413</v>
      </c>
      <c r="G81" s="10" t="n">
        <f aca="false">PU!G81/(INPUTS!$B$8*INPUTS!$B$7*(0.85*INPUTS!$B$5*(1-INPUTS!$B$9)+INPUTS!$B$6*INPUTS!$B$9))</f>
        <v>157.222863454712</v>
      </c>
      <c r="H81" s="10" t="n">
        <f aca="false">PU!H81/(INPUTS!$B$8*INPUTS!$B$7*(0.85*INPUTS!$B$5*(1-INPUTS!$B$9)+INPUTS!$B$6*INPUTS!$B$9))</f>
        <v>195.589768411646</v>
      </c>
      <c r="I81" s="10" t="n">
        <f aca="false">PU!I81/(INPUTS!$B$8*INPUTS!$B$7*(0.85*INPUTS!$B$5*(1-INPUTS!$B$9)+INPUTS!$B$6*INPUTS!$B$9))</f>
        <v>229.730992627895</v>
      </c>
      <c r="J81" s="10" t="n">
        <f aca="false">PU!J81/(INPUTS!$B$8*INPUTS!$B$7*(0.85*INPUTS!$B$5*(1-INPUTS!$B$9)+INPUTS!$B$6*INPUTS!$B$9))</f>
        <v>286.072430312508</v>
      </c>
      <c r="K81" s="10" t="n">
        <f aca="false">PU!K81/(INPUTS!$B$8*INPUTS!$B$7*(0.85*INPUTS!$B$5*(1-INPUTS!$B$9)+INPUTS!$B$6*INPUTS!$B$9))</f>
        <v>286.072430312508</v>
      </c>
      <c r="L81" s="10" t="n">
        <f aca="false">PU!L81/(INPUTS!$B$8*INPUTS!$B$7*(0.85*INPUTS!$B$5*(1-INPUTS!$B$9)+INPUTS!$B$6*INPUTS!$B$9))</f>
        <v>286.072430312508</v>
      </c>
      <c r="M81" s="10" t="n">
        <f aca="false">PU!M81/(INPUTS!$B$8*INPUTS!$B$7*(0.85*INPUTS!$B$5*(1-INPUTS!$B$9)+INPUTS!$B$6*INPUTS!$B$9))</f>
        <v>286.072430312508</v>
      </c>
      <c r="N81" s="10" t="n">
        <f aca="false">PU!N81/(INPUTS!$B$8*INPUTS!$B$7*(0.85*INPUTS!$B$5*(1-INPUTS!$B$9)+INPUTS!$B$6*INPUTS!$B$9))</f>
        <v>286.072430312508</v>
      </c>
      <c r="O81" s="10" t="n">
        <f aca="false">PU!O81/(INPUTS!$B$8*INPUTS!$B$7*(0.85*INPUTS!$B$5*(1-INPUTS!$B$9)+INPUTS!$B$6*INPUTS!$B$9))</f>
        <v>286.072430312508</v>
      </c>
      <c r="P81" s="10" t="n">
        <f aca="false">PU!P81/(INPUTS!$B$8*INPUTS!$B$7*(0.85*INPUTS!$B$5*(1-INPUTS!$B$9)+INPUTS!$B$6*INPUTS!$B$9))</f>
        <v>286.072430312508</v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10" t="n">
        <f aca="false">PU!E82/(INPUTS!$B$8*INPUTS!$B$7*(0.85*INPUTS!$B$5*(1-INPUTS!$B$9)+INPUTS!$B$6*INPUTS!$B$9))</f>
        <v>4.666207461464</v>
      </c>
      <c r="F82" s="10" t="n">
        <f aca="false">PU!F82/(INPUTS!$B$8*INPUTS!$B$7*(0.85*INPUTS!$B$5*(1-INPUTS!$B$9)+INPUTS!$B$6*INPUTS!$B$9))</f>
        <v>10.7789113113411</v>
      </c>
      <c r="G82" s="10" t="n">
        <f aca="false">PU!G82/(INPUTS!$B$8*INPUTS!$B$7*(0.85*INPUTS!$B$5*(1-INPUTS!$B$9)+INPUTS!$B$6*INPUTS!$B$9))</f>
        <v>16.5621044009234</v>
      </c>
      <c r="H82" s="10" t="n">
        <f aca="false">PU!H82/(INPUTS!$B$8*INPUTS!$B$7*(0.85*INPUTS!$B$5*(1-INPUTS!$B$9)+INPUTS!$B$6*INPUTS!$B$9))</f>
        <v>21.0719338744508</v>
      </c>
      <c r="I82" s="10" t="n">
        <f aca="false">PU!I82/(INPUTS!$B$8*INPUTS!$B$7*(0.85*INPUTS!$B$5*(1-INPUTS!$B$9)+INPUTS!$B$6*INPUTS!$B$9))</f>
        <v>25.29581502718</v>
      </c>
      <c r="J82" s="10" t="n">
        <f aca="false">PU!J82/(INPUTS!$B$8*INPUTS!$B$7*(0.85*INPUTS!$B$5*(1-INPUTS!$B$9)+INPUTS!$B$6*INPUTS!$B$9))</f>
        <v>53.4494998386576</v>
      </c>
      <c r="K82" s="10" t="n">
        <f aca="false">PU!K82/(INPUTS!$B$8*INPUTS!$B$7*(0.85*INPUTS!$B$5*(1-INPUTS!$B$9)+INPUTS!$B$6*INPUTS!$B$9))</f>
        <v>53.4494998386576</v>
      </c>
      <c r="L82" s="10" t="n">
        <f aca="false">PU!L82/(INPUTS!$B$8*INPUTS!$B$7*(0.85*INPUTS!$B$5*(1-INPUTS!$B$9)+INPUTS!$B$6*INPUTS!$B$9))</f>
        <v>53.4494998386576</v>
      </c>
      <c r="M82" s="10" t="n">
        <f aca="false">PU!M82/(INPUTS!$B$8*INPUTS!$B$7*(0.85*INPUTS!$B$5*(1-INPUTS!$B$9)+INPUTS!$B$6*INPUTS!$B$9))</f>
        <v>53.4494998386576</v>
      </c>
      <c r="N82" s="10" t="n">
        <f aca="false">PU!N82/(INPUTS!$B$8*INPUTS!$B$7*(0.85*INPUTS!$B$5*(1-INPUTS!$B$9)+INPUTS!$B$6*INPUTS!$B$9))</f>
        <v>53.4494998386576</v>
      </c>
      <c r="O82" s="10" t="n">
        <f aca="false">PU!O82/(INPUTS!$B$8*INPUTS!$B$7*(0.85*INPUTS!$B$5*(1-INPUTS!$B$9)+INPUTS!$B$6*INPUTS!$B$9))</f>
        <v>53.4494998386576</v>
      </c>
      <c r="P82" s="10" t="n">
        <f aca="false">PU!P82/(INPUTS!$B$8*INPUTS!$B$7*(0.85*INPUTS!$B$5*(1-INPUTS!$B$9)+INPUTS!$B$6*INPUTS!$B$9))</f>
        <v>53.4494998386576</v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10" t="n">
        <f aca="false">PU!E83/(INPUTS!$B$8*INPUTS!$B$7*(0.85*INPUTS!$B$5*(1-INPUTS!$B$9)+INPUTS!$B$6*INPUTS!$B$9))</f>
        <v>30.2228386328096</v>
      </c>
      <c r="F83" s="10" t="n">
        <f aca="false">PU!F83/(INPUTS!$B$8*INPUTS!$B$7*(0.85*INPUTS!$B$5*(1-INPUTS!$B$9)+INPUTS!$B$6*INPUTS!$B$9))</f>
        <v>75.9674336634647</v>
      </c>
      <c r="G83" s="10" t="n">
        <f aca="false">PU!G83/(INPUTS!$B$8*INPUTS!$B$7*(0.85*INPUTS!$B$5*(1-INPUTS!$B$9)+INPUTS!$B$6*INPUTS!$B$9))</f>
        <v>116.308920991883</v>
      </c>
      <c r="H83" s="10" t="n">
        <f aca="false">PU!H83/(INPUTS!$B$8*INPUTS!$B$7*(0.85*INPUTS!$B$5*(1-INPUTS!$B$9)+INPUTS!$B$6*INPUTS!$B$9))</f>
        <v>148.898528061161</v>
      </c>
      <c r="I83" s="10" t="n">
        <f aca="false">PU!I83/(INPUTS!$B$8*INPUTS!$B$7*(0.85*INPUTS!$B$5*(1-INPUTS!$B$9)+INPUTS!$B$6*INPUTS!$B$9))</f>
        <v>178.13618536997</v>
      </c>
      <c r="J83" s="10" t="n">
        <f aca="false">PU!J83/(INPUTS!$B$8*INPUTS!$B$7*(0.85*INPUTS!$B$5*(1-INPUTS!$B$9)+INPUTS!$B$6*INPUTS!$B$9))</f>
        <v>202.610519522427</v>
      </c>
      <c r="K83" s="10" t="n">
        <f aca="false">PU!K83/(INPUTS!$B$8*INPUTS!$B$7*(0.85*INPUTS!$B$5*(1-INPUTS!$B$9)+INPUTS!$B$6*INPUTS!$B$9))</f>
        <v>202.610519522427</v>
      </c>
      <c r="L83" s="10" t="n">
        <f aca="false">PU!L83/(INPUTS!$B$8*INPUTS!$B$7*(0.85*INPUTS!$B$5*(1-INPUTS!$B$9)+INPUTS!$B$6*INPUTS!$B$9))</f>
        <v>202.610519522427</v>
      </c>
      <c r="M83" s="10" t="n">
        <f aca="false">PU!M83/(INPUTS!$B$8*INPUTS!$B$7*(0.85*INPUTS!$B$5*(1-INPUTS!$B$9)+INPUTS!$B$6*INPUTS!$B$9))</f>
        <v>202.610519522427</v>
      </c>
      <c r="N83" s="10" t="n">
        <f aca="false">PU!N83/(INPUTS!$B$8*INPUTS!$B$7*(0.85*INPUTS!$B$5*(1-INPUTS!$B$9)+INPUTS!$B$6*INPUTS!$B$9))</f>
        <v>202.610519522427</v>
      </c>
      <c r="O83" s="10" t="n">
        <f aca="false">PU!O83/(INPUTS!$B$8*INPUTS!$B$7*(0.85*INPUTS!$B$5*(1-INPUTS!$B$9)+INPUTS!$B$6*INPUTS!$B$9))</f>
        <v>202.610519522427</v>
      </c>
      <c r="P83" s="10" t="n">
        <f aca="false">PU!P83/(INPUTS!$B$8*INPUTS!$B$7*(0.85*INPUTS!$B$5*(1-INPUTS!$B$9)+INPUTS!$B$6*INPUTS!$B$9))</f>
        <v>202.610519522427</v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10" t="n">
        <f aca="false">PU!E84/(INPUTS!$B$8*INPUTS!$B$7*(0.85*INPUTS!$B$5*(1-INPUTS!$B$9)+INPUTS!$B$6*INPUTS!$B$9))</f>
        <v>7.20734976543302</v>
      </c>
      <c r="F84" s="10" t="n">
        <f aca="false">PU!F84/(INPUTS!$B$8*INPUTS!$B$7*(0.85*INPUTS!$B$5*(1-INPUTS!$B$9)+INPUTS!$B$6*INPUTS!$B$9))</f>
        <v>17.0774691587857</v>
      </c>
      <c r="G84" s="10" t="n">
        <f aca="false">PU!G84/(INPUTS!$B$8*INPUTS!$B$7*(0.85*INPUTS!$B$5*(1-INPUTS!$B$9)+INPUTS!$B$6*INPUTS!$B$9))</f>
        <v>75.9199617742696</v>
      </c>
      <c r="H84" s="10" t="n">
        <f aca="false">PU!H84/(INPUTS!$B$8*INPUTS!$B$7*(0.85*INPUTS!$B$5*(1-INPUTS!$B$9)+INPUTS!$B$6*INPUTS!$B$9))</f>
        <v>115.379030456475</v>
      </c>
      <c r="I84" s="10" t="n">
        <f aca="false">PU!I84/(INPUTS!$B$8*INPUTS!$B$7*(0.85*INPUTS!$B$5*(1-INPUTS!$B$9)+INPUTS!$B$6*INPUTS!$B$9))</f>
        <v>150.549618983791</v>
      </c>
      <c r="J84" s="10" t="n">
        <f aca="false">PU!J84/(INPUTS!$B$8*INPUTS!$B$7*(0.85*INPUTS!$B$5*(1-INPUTS!$B$9)+INPUTS!$B$6*INPUTS!$B$9))</f>
        <v>191.625338198426</v>
      </c>
      <c r="K84" s="10" t="n">
        <f aca="false">PU!K84/(INPUTS!$B$8*INPUTS!$B$7*(0.85*INPUTS!$B$5*(1-INPUTS!$B$9)+INPUTS!$B$6*INPUTS!$B$9))</f>
        <v>191.625338198426</v>
      </c>
      <c r="L84" s="10" t="n">
        <f aca="false">PU!L84/(INPUTS!$B$8*INPUTS!$B$7*(0.85*INPUTS!$B$5*(1-INPUTS!$B$9)+INPUTS!$B$6*INPUTS!$B$9))</f>
        <v>191.625338198426</v>
      </c>
      <c r="M84" s="10" t="n">
        <f aca="false">PU!M84/(INPUTS!$B$8*INPUTS!$B$7*(0.85*INPUTS!$B$5*(1-INPUTS!$B$9)+INPUTS!$B$6*INPUTS!$B$9))</f>
        <v>191.625338198426</v>
      </c>
      <c r="N84" s="10" t="n">
        <f aca="false">PU!N84/(INPUTS!$B$8*INPUTS!$B$7*(0.85*INPUTS!$B$5*(1-INPUTS!$B$9)+INPUTS!$B$6*INPUTS!$B$9))</f>
        <v>191.625338198426</v>
      </c>
      <c r="O84" s="10" t="n">
        <f aca="false">PU!O84/(INPUTS!$B$8*INPUTS!$B$7*(0.85*INPUTS!$B$5*(1-INPUTS!$B$9)+INPUTS!$B$6*INPUTS!$B$9))</f>
        <v>191.625338198426</v>
      </c>
      <c r="P84" s="10" t="n">
        <f aca="false">PU!P84/(INPUTS!$B$8*INPUTS!$B$7*(0.85*INPUTS!$B$5*(1-INPUTS!$B$9)+INPUTS!$B$6*INPUTS!$B$9))</f>
        <v>191.625338198426</v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10" t="n">
        <f aca="false">PU!E85/(INPUTS!$B$8*INPUTS!$B$7*(0.85*INPUTS!$B$5*(1-INPUTS!$B$9)+INPUTS!$B$6*INPUTS!$B$9))</f>
        <v>35.5229354382307</v>
      </c>
      <c r="F85" s="10" t="n">
        <f aca="false">PU!F85/(INPUTS!$B$8*INPUTS!$B$7*(0.85*INPUTS!$B$5*(1-INPUTS!$B$9)+INPUTS!$B$6*INPUTS!$B$9))</f>
        <v>87.2613994588825</v>
      </c>
      <c r="G85" s="10" t="n">
        <f aca="false">PU!G85/(INPUTS!$B$8*INPUTS!$B$7*(0.85*INPUTS!$B$5*(1-INPUTS!$B$9)+INPUTS!$B$6*INPUTS!$B$9))</f>
        <v>141.440477076973</v>
      </c>
      <c r="H85" s="10" t="n">
        <f aca="false">PU!H85/(INPUTS!$B$8*INPUTS!$B$7*(0.85*INPUTS!$B$5*(1-INPUTS!$B$9)+INPUTS!$B$6*INPUTS!$B$9))</f>
        <v>177.827835281853</v>
      </c>
      <c r="I85" s="10" t="n">
        <f aca="false">PU!I85/(INPUTS!$B$8*INPUTS!$B$7*(0.85*INPUTS!$B$5*(1-INPUTS!$B$9)+INPUTS!$B$6*INPUTS!$B$9))</f>
        <v>210.219860004468</v>
      </c>
      <c r="J85" s="10" t="n">
        <f aca="false">PU!J85/(INPUTS!$B$8*INPUTS!$B$7*(0.85*INPUTS!$B$5*(1-INPUTS!$B$9)+INPUTS!$B$6*INPUTS!$B$9))</f>
        <v>247.502544245042</v>
      </c>
      <c r="K85" s="10" t="n">
        <f aca="false">PU!K85/(INPUTS!$B$8*INPUTS!$B$7*(0.85*INPUTS!$B$5*(1-INPUTS!$B$9)+INPUTS!$B$6*INPUTS!$B$9))</f>
        <v>247.502544245042</v>
      </c>
      <c r="L85" s="10" t="n">
        <f aca="false">PU!L85/(INPUTS!$B$8*INPUTS!$B$7*(0.85*INPUTS!$B$5*(1-INPUTS!$B$9)+INPUTS!$B$6*INPUTS!$B$9))</f>
        <v>247.502544245042</v>
      </c>
      <c r="M85" s="10" t="n">
        <f aca="false">PU!M85/(INPUTS!$B$8*INPUTS!$B$7*(0.85*INPUTS!$B$5*(1-INPUTS!$B$9)+INPUTS!$B$6*INPUTS!$B$9))</f>
        <v>247.502544245042</v>
      </c>
      <c r="N85" s="10" t="n">
        <f aca="false">PU!N85/(INPUTS!$B$8*INPUTS!$B$7*(0.85*INPUTS!$B$5*(1-INPUTS!$B$9)+INPUTS!$B$6*INPUTS!$B$9))</f>
        <v>247.502544245042</v>
      </c>
      <c r="O85" s="10" t="n">
        <f aca="false">PU!O85/(INPUTS!$B$8*INPUTS!$B$7*(0.85*INPUTS!$B$5*(1-INPUTS!$B$9)+INPUTS!$B$6*INPUTS!$B$9))</f>
        <v>247.502544245042</v>
      </c>
      <c r="P85" s="10" t="n">
        <f aca="false">PU!P85/(INPUTS!$B$8*INPUTS!$B$7*(0.85*INPUTS!$B$5*(1-INPUTS!$B$9)+INPUTS!$B$6*INPUTS!$B$9))</f>
        <v>247.502544245042</v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10" t="n">
        <f aca="false">PU!E86/(INPUTS!$B$8*INPUTS!$B$7*(0.85*INPUTS!$B$5*(1-INPUTS!$B$9)+INPUTS!$B$6*INPUTS!$B$9))</f>
        <v>3.94016680318713</v>
      </c>
      <c r="F86" s="10" t="n">
        <f aca="false">PU!F86/(INPUTS!$B$8*INPUTS!$B$7*(0.85*INPUTS!$B$5*(1-INPUTS!$B$9)+INPUTS!$B$6*INPUTS!$B$9))</f>
        <v>8.97932335492839</v>
      </c>
      <c r="G86" s="10" t="n">
        <f aca="false">PU!G86/(INPUTS!$B$8*INPUTS!$B$7*(0.85*INPUTS!$B$5*(1-INPUTS!$B$9)+INPUTS!$B$6*INPUTS!$B$9))</f>
        <v>13.7262020006454</v>
      </c>
      <c r="H86" s="10" t="n">
        <f aca="false">PU!H86/(INPUTS!$B$8*INPUTS!$B$7*(0.85*INPUTS!$B$5*(1-INPUTS!$B$9)+INPUTS!$B$6*INPUTS!$B$9))</f>
        <v>17.5534291458783</v>
      </c>
      <c r="I86" s="10" t="n">
        <f aca="false">PU!I86/(INPUTS!$B$8*INPUTS!$B$7*(0.85*INPUTS!$B$5*(1-INPUTS!$B$9)+INPUTS!$B$6*INPUTS!$B$9))</f>
        <v>20.900104251992</v>
      </c>
      <c r="J86" s="10" t="n">
        <f aca="false">PU!J86/(INPUTS!$B$8*INPUTS!$B$7*(0.85*INPUTS!$B$5*(1-INPUTS!$B$9)+INPUTS!$B$6*INPUTS!$B$9))</f>
        <v>37.0610867029067</v>
      </c>
      <c r="K86" s="10" t="n">
        <f aca="false">PU!K86/(INPUTS!$B$8*INPUTS!$B$7*(0.85*INPUTS!$B$5*(1-INPUTS!$B$9)+INPUTS!$B$6*INPUTS!$B$9))</f>
        <v>37.0610867029067</v>
      </c>
      <c r="L86" s="10" t="n">
        <f aca="false">PU!L86/(INPUTS!$B$8*INPUTS!$B$7*(0.85*INPUTS!$B$5*(1-INPUTS!$B$9)+INPUTS!$B$6*INPUTS!$B$9))</f>
        <v>37.0610867029067</v>
      </c>
      <c r="M86" s="10" t="n">
        <f aca="false">PU!M86/(INPUTS!$B$8*INPUTS!$B$7*(0.85*INPUTS!$B$5*(1-INPUTS!$B$9)+INPUTS!$B$6*INPUTS!$B$9))</f>
        <v>37.0610867029067</v>
      </c>
      <c r="N86" s="10" t="n">
        <f aca="false">PU!N86/(INPUTS!$B$8*INPUTS!$B$7*(0.85*INPUTS!$B$5*(1-INPUTS!$B$9)+INPUTS!$B$6*INPUTS!$B$9))</f>
        <v>37.0610867029067</v>
      </c>
      <c r="O86" s="10" t="n">
        <f aca="false">PU!O86/(INPUTS!$B$8*INPUTS!$B$7*(0.85*INPUTS!$B$5*(1-INPUTS!$B$9)+INPUTS!$B$6*INPUTS!$B$9))</f>
        <v>37.0610867029067</v>
      </c>
      <c r="P86" s="10" t="n">
        <f aca="false">PU!P86/(INPUTS!$B$8*INPUTS!$B$7*(0.85*INPUTS!$B$5*(1-INPUTS!$B$9)+INPUTS!$B$6*INPUTS!$B$9))</f>
        <v>37.0610867029067</v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10" t="n">
        <f aca="false">PU!E87/(INPUTS!$B$8*INPUTS!$B$7*(0.85*INPUTS!$B$5*(1-INPUTS!$B$9)+INPUTS!$B$6*INPUTS!$B$9))</f>
        <v>40.6778241119964</v>
      </c>
      <c r="F87" s="10" t="n">
        <f aca="false">PU!F87/(INPUTS!$B$8*INPUTS!$B$7*(0.85*INPUTS!$B$5*(1-INPUTS!$B$9)+INPUTS!$B$6*INPUTS!$B$9))</f>
        <v>100.038473949413</v>
      </c>
      <c r="G87" s="10" t="n">
        <f aca="false">PU!G87/(INPUTS!$B$8*INPUTS!$B$7*(0.85*INPUTS!$B$5*(1-INPUTS!$B$9)+INPUTS!$B$6*INPUTS!$B$9))</f>
        <v>157.222863454712</v>
      </c>
      <c r="H87" s="10" t="n">
        <f aca="false">PU!H87/(INPUTS!$B$8*INPUTS!$B$7*(0.85*INPUTS!$B$5*(1-INPUTS!$B$9)+INPUTS!$B$6*INPUTS!$B$9))</f>
        <v>195.589768411646</v>
      </c>
      <c r="I87" s="10" t="n">
        <f aca="false">PU!I87/(INPUTS!$B$8*INPUTS!$B$7*(0.85*INPUTS!$B$5*(1-INPUTS!$B$9)+INPUTS!$B$6*INPUTS!$B$9))</f>
        <v>195.589768411646</v>
      </c>
      <c r="J87" s="10" t="n">
        <f aca="false">PU!J87/(INPUTS!$B$8*INPUTS!$B$7*(0.85*INPUTS!$B$5*(1-INPUTS!$B$9)+INPUTS!$B$6*INPUTS!$B$9))</f>
        <v>195.589768411646</v>
      </c>
      <c r="K87" s="10" t="n">
        <f aca="false">PU!K87/(INPUTS!$B$8*INPUTS!$B$7*(0.85*INPUTS!$B$5*(1-INPUTS!$B$9)+INPUTS!$B$6*INPUTS!$B$9))</f>
        <v>195.589768411646</v>
      </c>
      <c r="L87" s="10" t="n">
        <f aca="false">PU!L87/(INPUTS!$B$8*INPUTS!$B$7*(0.85*INPUTS!$B$5*(1-INPUTS!$B$9)+INPUTS!$B$6*INPUTS!$B$9))</f>
        <v>195.589768411646</v>
      </c>
      <c r="M87" s="10" t="n">
        <f aca="false">PU!M87/(INPUTS!$B$8*INPUTS!$B$7*(0.85*INPUTS!$B$5*(1-INPUTS!$B$9)+INPUTS!$B$6*INPUTS!$B$9))</f>
        <v>195.589768411646</v>
      </c>
      <c r="N87" s="10" t="n">
        <f aca="false">PU!N87/(INPUTS!$B$8*INPUTS!$B$7*(0.85*INPUTS!$B$5*(1-INPUTS!$B$9)+INPUTS!$B$6*INPUTS!$B$9))</f>
        <v>195.589768411646</v>
      </c>
      <c r="O87" s="10" t="n">
        <f aca="false">PU!O87/(INPUTS!$B$8*INPUTS!$B$7*(0.85*INPUTS!$B$5*(1-INPUTS!$B$9)+INPUTS!$B$6*INPUTS!$B$9))</f>
        <v>195.589768411646</v>
      </c>
      <c r="P87" s="10" t="n">
        <f aca="false">PU!P87/(INPUTS!$B$8*INPUTS!$B$7*(0.85*INPUTS!$B$5*(1-INPUTS!$B$9)+INPUTS!$B$6*INPUTS!$B$9))</f>
        <v>195.589768411646</v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10" t="n">
        <f aca="false">PU!E88/(INPUTS!$B$8*INPUTS!$B$7*(0.85*INPUTS!$B$5*(1-INPUTS!$B$9)+INPUTS!$B$6*INPUTS!$B$9))</f>
        <v>40.6778241119964</v>
      </c>
      <c r="F88" s="10" t="n">
        <f aca="false">PU!F88/(INPUTS!$B$8*INPUTS!$B$7*(0.85*INPUTS!$B$5*(1-INPUTS!$B$9)+INPUTS!$B$6*INPUTS!$B$9))</f>
        <v>100.038473949413</v>
      </c>
      <c r="G88" s="10" t="n">
        <f aca="false">PU!G88/(INPUTS!$B$8*INPUTS!$B$7*(0.85*INPUTS!$B$5*(1-INPUTS!$B$9)+INPUTS!$B$6*INPUTS!$B$9))</f>
        <v>150.527775709286</v>
      </c>
      <c r="H88" s="10" t="n">
        <f aca="false">PU!H88/(INPUTS!$B$8*INPUTS!$B$7*(0.85*INPUTS!$B$5*(1-INPUTS!$B$9)+INPUTS!$B$6*INPUTS!$B$9))</f>
        <v>184.7183955122</v>
      </c>
      <c r="I88" s="10" t="n">
        <f aca="false">PU!I88/(INPUTS!$B$8*INPUTS!$B$7*(0.85*INPUTS!$B$5*(1-INPUTS!$B$9)+INPUTS!$B$6*INPUTS!$B$9))</f>
        <v>184.7183955122</v>
      </c>
      <c r="J88" s="10" t="n">
        <f aca="false">PU!J88/(INPUTS!$B$8*INPUTS!$B$7*(0.85*INPUTS!$B$5*(1-INPUTS!$B$9)+INPUTS!$B$6*INPUTS!$B$9))</f>
        <v>184.7183955122</v>
      </c>
      <c r="K88" s="10" t="n">
        <f aca="false">PU!K88/(INPUTS!$B$8*INPUTS!$B$7*(0.85*INPUTS!$B$5*(1-INPUTS!$B$9)+INPUTS!$B$6*INPUTS!$B$9))</f>
        <v>184.7183955122</v>
      </c>
      <c r="L88" s="10" t="n">
        <f aca="false">PU!L88/(INPUTS!$B$8*INPUTS!$B$7*(0.85*INPUTS!$B$5*(1-INPUTS!$B$9)+INPUTS!$B$6*INPUTS!$B$9))</f>
        <v>184.7183955122</v>
      </c>
      <c r="M88" s="10" t="n">
        <f aca="false">PU!M88/(INPUTS!$B$8*INPUTS!$B$7*(0.85*INPUTS!$B$5*(1-INPUTS!$B$9)+INPUTS!$B$6*INPUTS!$B$9))</f>
        <v>184.7183955122</v>
      </c>
      <c r="N88" s="10" t="n">
        <f aca="false">PU!N88/(INPUTS!$B$8*INPUTS!$B$7*(0.85*INPUTS!$B$5*(1-INPUTS!$B$9)+INPUTS!$B$6*INPUTS!$B$9))</f>
        <v>184.7183955122</v>
      </c>
      <c r="O88" s="10" t="n">
        <f aca="false">PU!O88/(INPUTS!$B$8*INPUTS!$B$7*(0.85*INPUTS!$B$5*(1-INPUTS!$B$9)+INPUTS!$B$6*INPUTS!$B$9))</f>
        <v>184.7183955122</v>
      </c>
      <c r="P88" s="10" t="n">
        <f aca="false">PU!P88/(INPUTS!$B$8*INPUTS!$B$7*(0.85*INPUTS!$B$5*(1-INPUTS!$B$9)+INPUTS!$B$6*INPUTS!$B$9))</f>
        <v>184.7183955122</v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10" t="n">
        <f aca="false">PU!E89/(INPUTS!$B$8*INPUTS!$B$7*(0.85*INPUTS!$B$5*(1-INPUTS!$B$9)+INPUTS!$B$6*INPUTS!$B$9))</f>
        <v>43.0737582843101</v>
      </c>
      <c r="F89" s="10" t="n">
        <f aca="false">PU!F89/(INPUTS!$B$8*INPUTS!$B$7*(0.85*INPUTS!$B$5*(1-INPUTS!$B$9)+INPUTS!$B$6*INPUTS!$B$9))</f>
        <v>107.373346240723</v>
      </c>
      <c r="G89" s="10" t="n">
        <f aca="false">PU!G89/(INPUTS!$B$8*INPUTS!$B$7*(0.85*INPUTS!$B$5*(1-INPUTS!$B$9)+INPUTS!$B$6*INPUTS!$B$9))</f>
        <v>147.507570680368</v>
      </c>
      <c r="H89" s="10" t="n">
        <f aca="false">PU!H89/(INPUTS!$B$8*INPUTS!$B$7*(0.85*INPUTS!$B$5*(1-INPUTS!$B$9)+INPUTS!$B$6*INPUTS!$B$9))</f>
        <v>180.097177749646</v>
      </c>
      <c r="I89" s="10" t="n">
        <f aca="false">PU!I89/(INPUTS!$B$8*INPUTS!$B$7*(0.85*INPUTS!$B$5*(1-INPUTS!$B$9)+INPUTS!$B$6*INPUTS!$B$9))</f>
        <v>209.334835058456</v>
      </c>
      <c r="J89" s="10" t="n">
        <f aca="false">PU!J89/(INPUTS!$B$8*INPUTS!$B$7*(0.85*INPUTS!$B$5*(1-INPUTS!$B$9)+INPUTS!$B$6*INPUTS!$B$9))</f>
        <v>236.900240772458</v>
      </c>
      <c r="K89" s="10" t="n">
        <f aca="false">PU!K89/(INPUTS!$B$8*INPUTS!$B$7*(0.85*INPUTS!$B$5*(1-INPUTS!$B$9)+INPUTS!$B$6*INPUTS!$B$9))</f>
        <v>236.900240772458</v>
      </c>
      <c r="L89" s="10" t="n">
        <f aca="false">PU!L89/(INPUTS!$B$8*INPUTS!$B$7*(0.85*INPUTS!$B$5*(1-INPUTS!$B$9)+INPUTS!$B$6*INPUTS!$B$9))</f>
        <v>236.900240772458</v>
      </c>
      <c r="M89" s="10" t="n">
        <f aca="false">PU!M89/(INPUTS!$B$8*INPUTS!$B$7*(0.85*INPUTS!$B$5*(1-INPUTS!$B$9)+INPUTS!$B$6*INPUTS!$B$9))</f>
        <v>236.900240772458</v>
      </c>
      <c r="N89" s="10" t="n">
        <f aca="false">PU!N89/(INPUTS!$B$8*INPUTS!$B$7*(0.85*INPUTS!$B$5*(1-INPUTS!$B$9)+INPUTS!$B$6*INPUTS!$B$9))</f>
        <v>236.900240772458</v>
      </c>
      <c r="O89" s="10" t="n">
        <f aca="false">PU!O89/(INPUTS!$B$8*INPUTS!$B$7*(0.85*INPUTS!$B$5*(1-INPUTS!$B$9)+INPUTS!$B$6*INPUTS!$B$9))</f>
        <v>236.900240772458</v>
      </c>
      <c r="P89" s="10" t="n">
        <f aca="false">PU!P89/(INPUTS!$B$8*INPUTS!$B$7*(0.85*INPUTS!$B$5*(1-INPUTS!$B$9)+INPUTS!$B$6*INPUTS!$B$9))</f>
        <v>236.900240772458</v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10" t="n">
        <f aca="false">PU!E90/(INPUTS!$B$8*INPUTS!$B$7*(0.85*INPUTS!$B$5*(1-INPUTS!$B$9)+INPUTS!$B$6*INPUTS!$B$9))</f>
        <v>3.5771464740487</v>
      </c>
      <c r="F90" s="10" t="n">
        <f aca="false">PU!F90/(INPUTS!$B$8*INPUTS!$B$7*(0.85*INPUTS!$B$5*(1-INPUTS!$B$9)+INPUTS!$B$6*INPUTS!$B$9))</f>
        <v>8.07952937672202</v>
      </c>
      <c r="G90" s="10" t="n">
        <f aca="false">PU!G90/(INPUTS!$B$8*INPUTS!$B$7*(0.85*INPUTS!$B$5*(1-INPUTS!$B$9)+INPUTS!$B$6*INPUTS!$B$9))</f>
        <v>12.3082508005064</v>
      </c>
      <c r="H90" s="10" t="n">
        <f aca="false">PU!H90/(INPUTS!$B$8*INPUTS!$B$7*(0.85*INPUTS!$B$5*(1-INPUTS!$B$9)+INPUTS!$B$6*INPUTS!$B$9))</f>
        <v>15.7941767815921</v>
      </c>
      <c r="I90" s="10" t="n">
        <f aca="false">PU!I90/(INPUTS!$B$8*INPUTS!$B$7*(0.85*INPUTS!$B$5*(1-INPUTS!$B$9)+INPUTS!$B$6*INPUTS!$B$9))</f>
        <v>19.1132995755455</v>
      </c>
      <c r="J90" s="10" t="n">
        <f aca="false">PU!J90/(INPUTS!$B$8*INPUTS!$B$7*(0.85*INPUTS!$B$5*(1-INPUTS!$B$9)+INPUTS!$B$6*INPUTS!$B$9))</f>
        <v>33.105344155683</v>
      </c>
      <c r="K90" s="10" t="n">
        <f aca="false">PU!K90/(INPUTS!$B$8*INPUTS!$B$7*(0.85*INPUTS!$B$5*(1-INPUTS!$B$9)+INPUTS!$B$6*INPUTS!$B$9))</f>
        <v>33.105344155683</v>
      </c>
      <c r="L90" s="10" t="n">
        <f aca="false">PU!L90/(INPUTS!$B$8*INPUTS!$B$7*(0.85*INPUTS!$B$5*(1-INPUTS!$B$9)+INPUTS!$B$6*INPUTS!$B$9))</f>
        <v>33.105344155683</v>
      </c>
      <c r="M90" s="10" t="n">
        <f aca="false">PU!M90/(INPUTS!$B$8*INPUTS!$B$7*(0.85*INPUTS!$B$5*(1-INPUTS!$B$9)+INPUTS!$B$6*INPUTS!$B$9))</f>
        <v>33.105344155683</v>
      </c>
      <c r="N90" s="10" t="n">
        <f aca="false">PU!N90/(INPUTS!$B$8*INPUTS!$B$7*(0.85*INPUTS!$B$5*(1-INPUTS!$B$9)+INPUTS!$B$6*INPUTS!$B$9))</f>
        <v>33.105344155683</v>
      </c>
      <c r="O90" s="10" t="n">
        <f aca="false">PU!O90/(INPUTS!$B$8*INPUTS!$B$7*(0.85*INPUTS!$B$5*(1-INPUTS!$B$9)+INPUTS!$B$6*INPUTS!$B$9))</f>
        <v>33.105344155683</v>
      </c>
      <c r="P90" s="10" t="n">
        <f aca="false">PU!P90/(INPUTS!$B$8*INPUTS!$B$7*(0.85*INPUTS!$B$5*(1-INPUTS!$B$9)+INPUTS!$B$6*INPUTS!$B$9))</f>
        <v>33.105344155683</v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10" t="n">
        <f aca="false">PU!E91/(INPUTS!$B$8*INPUTS!$B$7*(0.85*INPUTS!$B$5*(1-INPUTS!$B$9)+INPUTS!$B$6*INPUTS!$B$9))</f>
        <v>35.5229354382307</v>
      </c>
      <c r="F91" s="10" t="n">
        <f aca="false">PU!F91/(INPUTS!$B$8*INPUTS!$B$7*(0.85*INPUTS!$B$5*(1-INPUTS!$B$9)+INPUTS!$B$6*INPUTS!$B$9))</f>
        <v>87.2613994588825</v>
      </c>
      <c r="G91" s="10" t="n">
        <f aca="false">PU!G91/(INPUTS!$B$8*INPUTS!$B$7*(0.85*INPUTS!$B$5*(1-INPUTS!$B$9)+INPUTS!$B$6*INPUTS!$B$9))</f>
        <v>139.264216744856</v>
      </c>
      <c r="H91" s="10" t="n">
        <f aca="false">PU!H91/(INPUTS!$B$8*INPUTS!$B$7*(0.85*INPUTS!$B$5*(1-INPUTS!$B$9)+INPUTS!$B$6*INPUTS!$B$9))</f>
        <v>174.218110060317</v>
      </c>
      <c r="I91" s="10" t="n">
        <f aca="false">PU!I91/(INPUTS!$B$8*INPUTS!$B$7*(0.85*INPUTS!$B$5*(1-INPUTS!$B$9)+INPUTS!$B$6*INPUTS!$B$9))</f>
        <v>205.472050537394</v>
      </c>
      <c r="J91" s="10" t="n">
        <f aca="false">PU!J91/(INPUTS!$B$8*INPUTS!$B$7*(0.85*INPUTS!$B$5*(1-INPUTS!$B$9)+INPUTS!$B$6*INPUTS!$B$9))</f>
        <v>230.457467669472</v>
      </c>
      <c r="K91" s="10" t="n">
        <f aca="false">PU!K91/(INPUTS!$B$8*INPUTS!$B$7*(0.85*INPUTS!$B$5*(1-INPUTS!$B$9)+INPUTS!$B$6*INPUTS!$B$9))</f>
        <v>230.457467669472</v>
      </c>
      <c r="L91" s="10" t="n">
        <f aca="false">PU!L91/(INPUTS!$B$8*INPUTS!$B$7*(0.85*INPUTS!$B$5*(1-INPUTS!$B$9)+INPUTS!$B$6*INPUTS!$B$9))</f>
        <v>230.457467669472</v>
      </c>
      <c r="M91" s="10" t="n">
        <f aca="false">PU!M91/(INPUTS!$B$8*INPUTS!$B$7*(0.85*INPUTS!$B$5*(1-INPUTS!$B$9)+INPUTS!$B$6*INPUTS!$B$9))</f>
        <v>230.457467669472</v>
      </c>
      <c r="N91" s="10" t="n">
        <f aca="false">PU!N91/(INPUTS!$B$8*INPUTS!$B$7*(0.85*INPUTS!$B$5*(1-INPUTS!$B$9)+INPUTS!$B$6*INPUTS!$B$9))</f>
        <v>230.457467669472</v>
      </c>
      <c r="O91" s="10" t="n">
        <f aca="false">PU!O91/(INPUTS!$B$8*INPUTS!$B$7*(0.85*INPUTS!$B$5*(1-INPUTS!$B$9)+INPUTS!$B$6*INPUTS!$B$9))</f>
        <v>230.457467669472</v>
      </c>
      <c r="P91" s="10" t="n">
        <f aca="false">PU!P91/(INPUTS!$B$8*INPUTS!$B$7*(0.85*INPUTS!$B$5*(1-INPUTS!$B$9)+INPUTS!$B$6*INPUTS!$B$9))</f>
        <v>230.457467669472</v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10" t="n">
        <f aca="false">PU!E92/(INPUTS!$B$8*INPUTS!$B$7*(0.85*INPUTS!$B$5*(1-INPUTS!$B$9)+INPUTS!$B$6*INPUTS!$B$9))</f>
        <v>45.179276193313</v>
      </c>
      <c r="F92" s="10" t="n">
        <f aca="false">PU!F92/(INPUTS!$B$8*INPUTS!$B$7*(0.85*INPUTS!$B$5*(1-INPUTS!$B$9)+INPUTS!$B$6*INPUTS!$B$9))</f>
        <v>111.195919279172</v>
      </c>
      <c r="G92" s="10" t="n">
        <f aca="false">PU!G92/(INPUTS!$B$8*INPUTS!$B$7*(0.85*INPUTS!$B$5*(1-INPUTS!$B$9)+INPUTS!$B$6*INPUTS!$B$9))</f>
        <v>174.805458336436</v>
      </c>
      <c r="H92" s="10" t="n">
        <f aca="false">PU!H92/(INPUTS!$B$8*INPUTS!$B$7*(0.85*INPUTS!$B$5*(1-INPUTS!$B$9)+INPUTS!$B$6*INPUTS!$B$9))</f>
        <v>217.404497728796</v>
      </c>
      <c r="I92" s="10" t="n">
        <f aca="false">PU!I92/(INPUTS!$B$8*INPUTS!$B$7*(0.85*INPUTS!$B$5*(1-INPUTS!$B$9)+INPUTS!$B$6*INPUTS!$B$9))</f>
        <v>255.285389827984</v>
      </c>
      <c r="J92" s="10" t="n">
        <f aca="false">PU!J92/(INPUTS!$B$8*INPUTS!$B$7*(0.85*INPUTS!$B$5*(1-INPUTS!$B$9)+INPUTS!$B$6*INPUTS!$B$9))</f>
        <v>255.285389827984</v>
      </c>
      <c r="K92" s="10" t="n">
        <f aca="false">PU!K92/(INPUTS!$B$8*INPUTS!$B$7*(0.85*INPUTS!$B$5*(1-INPUTS!$B$9)+INPUTS!$B$6*INPUTS!$B$9))</f>
        <v>255.285389827984</v>
      </c>
      <c r="L92" s="10" t="n">
        <f aca="false">PU!L92/(INPUTS!$B$8*INPUTS!$B$7*(0.85*INPUTS!$B$5*(1-INPUTS!$B$9)+INPUTS!$B$6*INPUTS!$B$9))</f>
        <v>255.285389827984</v>
      </c>
      <c r="M92" s="10" t="n">
        <f aca="false">PU!M92/(INPUTS!$B$8*INPUTS!$B$7*(0.85*INPUTS!$B$5*(1-INPUTS!$B$9)+INPUTS!$B$6*INPUTS!$B$9))</f>
        <v>255.285389827984</v>
      </c>
      <c r="N92" s="10" t="n">
        <f aca="false">PU!N92/(INPUTS!$B$8*INPUTS!$B$7*(0.85*INPUTS!$B$5*(1-INPUTS!$B$9)+INPUTS!$B$6*INPUTS!$B$9))</f>
        <v>255.285389827984</v>
      </c>
      <c r="O92" s="10" t="n">
        <f aca="false">PU!O92/(INPUTS!$B$8*INPUTS!$B$7*(0.85*INPUTS!$B$5*(1-INPUTS!$B$9)+INPUTS!$B$6*INPUTS!$B$9))</f>
        <v>255.285389827984</v>
      </c>
      <c r="P92" s="10" t="n">
        <f aca="false">PU!P92/(INPUTS!$B$8*INPUTS!$B$7*(0.85*INPUTS!$B$5*(1-INPUTS!$B$9)+INPUTS!$B$6*INPUTS!$B$9))</f>
        <v>255.285389827984</v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10" t="n">
        <f aca="false">PU!E93/(INPUTS!$B$8*INPUTS!$B$7*(0.85*INPUTS!$B$5*(1-INPUTS!$B$9)+INPUTS!$B$6*INPUTS!$B$9))</f>
        <v>45.179276193313</v>
      </c>
      <c r="F93" s="10" t="n">
        <f aca="false">PU!F93/(INPUTS!$B$8*INPUTS!$B$7*(0.85*INPUTS!$B$5*(1-INPUTS!$B$9)+INPUTS!$B$6*INPUTS!$B$9))</f>
        <v>111.195919279172</v>
      </c>
      <c r="G93" s="10" t="n">
        <f aca="false">PU!G93/(INPUTS!$B$8*INPUTS!$B$7*(0.85*INPUTS!$B$5*(1-INPUTS!$B$9)+INPUTS!$B$6*INPUTS!$B$9))</f>
        <v>174.765743291881</v>
      </c>
      <c r="H93" s="10" t="n">
        <f aca="false">PU!H93/(INPUTS!$B$8*INPUTS!$B$7*(0.85*INPUTS!$B$5*(1-INPUTS!$B$9)+INPUTS!$B$6*INPUTS!$B$9))</f>
        <v>217.364782684241</v>
      </c>
      <c r="I93" s="10" t="n">
        <f aca="false">PU!I93/(INPUTS!$B$8*INPUTS!$B$7*(0.85*INPUTS!$B$5*(1-INPUTS!$B$9)+INPUTS!$B$6*INPUTS!$B$9))</f>
        <v>255.245674783429</v>
      </c>
      <c r="J93" s="10" t="n">
        <f aca="false">PU!J93/(INPUTS!$B$8*INPUTS!$B$7*(0.85*INPUTS!$B$5*(1-INPUTS!$B$9)+INPUTS!$B$6*INPUTS!$B$9))</f>
        <v>255.245674783429</v>
      </c>
      <c r="K93" s="10" t="n">
        <f aca="false">PU!K93/(INPUTS!$B$8*INPUTS!$B$7*(0.85*INPUTS!$B$5*(1-INPUTS!$B$9)+INPUTS!$B$6*INPUTS!$B$9))</f>
        <v>255.245674783429</v>
      </c>
      <c r="L93" s="10" t="n">
        <f aca="false">PU!L93/(INPUTS!$B$8*INPUTS!$B$7*(0.85*INPUTS!$B$5*(1-INPUTS!$B$9)+INPUTS!$B$6*INPUTS!$B$9))</f>
        <v>255.245674783429</v>
      </c>
      <c r="M93" s="10" t="n">
        <f aca="false">PU!M93/(INPUTS!$B$8*INPUTS!$B$7*(0.85*INPUTS!$B$5*(1-INPUTS!$B$9)+INPUTS!$B$6*INPUTS!$B$9))</f>
        <v>255.245674783429</v>
      </c>
      <c r="N93" s="10" t="n">
        <f aca="false">PU!N93/(INPUTS!$B$8*INPUTS!$B$7*(0.85*INPUTS!$B$5*(1-INPUTS!$B$9)+INPUTS!$B$6*INPUTS!$B$9))</f>
        <v>255.245674783429</v>
      </c>
      <c r="O93" s="10" t="n">
        <f aca="false">PU!O93/(INPUTS!$B$8*INPUTS!$B$7*(0.85*INPUTS!$B$5*(1-INPUTS!$B$9)+INPUTS!$B$6*INPUTS!$B$9))</f>
        <v>255.245674783429</v>
      </c>
      <c r="P93" s="10" t="n">
        <f aca="false">PU!P93/(INPUTS!$B$8*INPUTS!$B$7*(0.85*INPUTS!$B$5*(1-INPUTS!$B$9)+INPUTS!$B$6*INPUTS!$B$9))</f>
        <v>255.245674783429</v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10" t="n">
        <f aca="false">PU!E94/(INPUTS!$B$8*INPUTS!$B$7*(0.85*INPUTS!$B$5*(1-INPUTS!$B$9)+INPUTS!$B$6*INPUTS!$B$9))</f>
        <v>2.56068955246109</v>
      </c>
      <c r="F94" s="10" t="n">
        <f aca="false">PU!F94/(INPUTS!$B$8*INPUTS!$B$7*(0.85*INPUTS!$B$5*(1-INPUTS!$B$9)+INPUTS!$B$6*INPUTS!$B$9))</f>
        <v>5.56010623774418</v>
      </c>
      <c r="G94" s="10" t="n">
        <f aca="false">PU!G94/(INPUTS!$B$8*INPUTS!$B$7*(0.85*INPUTS!$B$5*(1-INPUTS!$B$9)+INPUTS!$B$6*INPUTS!$B$9))</f>
        <v>17.1466602129719</v>
      </c>
      <c r="H94" s="10" t="n">
        <f aca="false">PU!H94/(INPUTS!$B$8*INPUTS!$B$7*(0.85*INPUTS!$B$5*(1-INPUTS!$B$9)+INPUTS!$B$6*INPUTS!$B$9))</f>
        <v>25.4790627249485</v>
      </c>
      <c r="I94" s="10" t="n">
        <f aca="false">PU!I94/(INPUTS!$B$8*INPUTS!$B$7*(0.85*INPUTS!$B$5*(1-INPUTS!$B$9)+INPUTS!$B$6*INPUTS!$B$9))</f>
        <v>34.4950604413334</v>
      </c>
      <c r="J94" s="10" t="n">
        <f aca="false">PU!J94/(INPUTS!$B$8*INPUTS!$B$7*(0.85*INPUTS!$B$5*(1-INPUTS!$B$9)+INPUTS!$B$6*INPUTS!$B$9))</f>
        <v>93.0801499242932</v>
      </c>
      <c r="K94" s="10" t="n">
        <f aca="false">PU!K94/(INPUTS!$B$8*INPUTS!$B$7*(0.85*INPUTS!$B$5*(1-INPUTS!$B$9)+INPUTS!$B$6*INPUTS!$B$9))</f>
        <v>93.0801499242932</v>
      </c>
      <c r="L94" s="10" t="n">
        <f aca="false">PU!L94/(INPUTS!$B$8*INPUTS!$B$7*(0.85*INPUTS!$B$5*(1-INPUTS!$B$9)+INPUTS!$B$6*INPUTS!$B$9))</f>
        <v>93.0801499242932</v>
      </c>
      <c r="M94" s="10" t="n">
        <f aca="false">PU!M94/(INPUTS!$B$8*INPUTS!$B$7*(0.85*INPUTS!$B$5*(1-INPUTS!$B$9)+INPUTS!$B$6*INPUTS!$B$9))</f>
        <v>93.0801499242932</v>
      </c>
      <c r="N94" s="10" t="n">
        <f aca="false">PU!N94/(INPUTS!$B$8*INPUTS!$B$7*(0.85*INPUTS!$B$5*(1-INPUTS!$B$9)+INPUTS!$B$6*INPUTS!$B$9))</f>
        <v>93.0801499242932</v>
      </c>
      <c r="O94" s="10" t="n">
        <f aca="false">PU!O94/(INPUTS!$B$8*INPUTS!$B$7*(0.85*INPUTS!$B$5*(1-INPUTS!$B$9)+INPUTS!$B$6*INPUTS!$B$9))</f>
        <v>93.0801499242932</v>
      </c>
      <c r="P94" s="10" t="n">
        <f aca="false">PU!P94/(INPUTS!$B$8*INPUTS!$B$7*(0.85*INPUTS!$B$5*(1-INPUTS!$B$9)+INPUTS!$B$6*INPUTS!$B$9))</f>
        <v>93.0801499242932</v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10" t="n">
        <f aca="false">PU!E95/(INPUTS!$B$8*INPUTS!$B$7*(0.85*INPUTS!$B$5*(1-INPUTS!$B$9)+INPUTS!$B$6*INPUTS!$B$9))</f>
        <v>30.2228386328096</v>
      </c>
      <c r="F95" s="10" t="n">
        <f aca="false">PU!F95/(INPUTS!$B$8*INPUTS!$B$7*(0.85*INPUTS!$B$5*(1-INPUTS!$B$9)+INPUTS!$B$6*INPUTS!$B$9))</f>
        <v>75.07384516097</v>
      </c>
      <c r="G95" s="10" t="n">
        <f aca="false">PU!G95/(INPUTS!$B$8*INPUTS!$B$7*(0.85*INPUTS!$B$5*(1-INPUTS!$B$9)+INPUTS!$B$6*INPUTS!$B$9))</f>
        <v>104.087236577556</v>
      </c>
      <c r="H95" s="10" t="n">
        <f aca="false">PU!H95/(INPUTS!$B$8*INPUTS!$B$7*(0.85*INPUTS!$B$5*(1-INPUTS!$B$9)+INPUTS!$B$6*INPUTS!$B$9))</f>
        <v>129.130985181324</v>
      </c>
      <c r="I95" s="10" t="n">
        <f aca="false">PU!I95/(INPUTS!$B$8*INPUTS!$B$7*(0.85*INPUTS!$B$5*(1-INPUTS!$B$9)+INPUTS!$B$6*INPUTS!$B$9))</f>
        <v>151.648856951374</v>
      </c>
      <c r="J95" s="10" t="n">
        <f aca="false">PU!J95/(INPUTS!$B$8*INPUTS!$B$7*(0.85*INPUTS!$B$5*(1-INPUTS!$B$9)+INPUTS!$B$6*INPUTS!$B$9))</f>
        <v>205.37332141882</v>
      </c>
      <c r="K95" s="10" t="n">
        <f aca="false">PU!K95/(INPUTS!$B$8*INPUTS!$B$7*(0.85*INPUTS!$B$5*(1-INPUTS!$B$9)+INPUTS!$B$6*INPUTS!$B$9))</f>
        <v>205.37332141882</v>
      </c>
      <c r="L95" s="10" t="n">
        <f aca="false">PU!L95/(INPUTS!$B$8*INPUTS!$B$7*(0.85*INPUTS!$B$5*(1-INPUTS!$B$9)+INPUTS!$B$6*INPUTS!$B$9))</f>
        <v>205.37332141882</v>
      </c>
      <c r="M95" s="10" t="n">
        <f aca="false">PU!M95/(INPUTS!$B$8*INPUTS!$B$7*(0.85*INPUTS!$B$5*(1-INPUTS!$B$9)+INPUTS!$B$6*INPUTS!$B$9))</f>
        <v>205.37332141882</v>
      </c>
      <c r="N95" s="10" t="n">
        <f aca="false">PU!N95/(INPUTS!$B$8*INPUTS!$B$7*(0.85*INPUTS!$B$5*(1-INPUTS!$B$9)+INPUTS!$B$6*INPUTS!$B$9))</f>
        <v>205.37332141882</v>
      </c>
      <c r="O95" s="10" t="n">
        <f aca="false">PU!O95/(INPUTS!$B$8*INPUTS!$B$7*(0.85*INPUTS!$B$5*(1-INPUTS!$B$9)+INPUTS!$B$6*INPUTS!$B$9))</f>
        <v>205.37332141882</v>
      </c>
      <c r="P95" s="10" t="n">
        <f aca="false">PU!P95/(INPUTS!$B$8*INPUTS!$B$7*(0.85*INPUTS!$B$5*(1-INPUTS!$B$9)+INPUTS!$B$6*INPUTS!$B$9))</f>
        <v>205.37332141882</v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10" t="n">
        <f aca="false">PU!E96/(INPUTS!$B$8*INPUTS!$B$7*(0.85*INPUTS!$B$5*(1-INPUTS!$B$9)+INPUTS!$B$6*INPUTS!$B$9))</f>
        <v>44.01761114007</v>
      </c>
      <c r="F96" s="10" t="n">
        <f aca="false">PU!F96/(INPUTS!$B$8*INPUTS!$B$7*(0.85*INPUTS!$B$5*(1-INPUTS!$B$9)+INPUTS!$B$6*INPUTS!$B$9))</f>
        <v>108.316578548912</v>
      </c>
      <c r="G96" s="10" t="n">
        <f aca="false">PU!G96/(INPUTS!$B$8*INPUTS!$B$7*(0.85*INPUTS!$B$5*(1-INPUTS!$B$9)+INPUTS!$B$6*INPUTS!$B$9))</f>
        <v>154.308772060466</v>
      </c>
      <c r="H96" s="10" t="n">
        <f aca="false">PU!H96/(INPUTS!$B$8*INPUTS!$B$7*(0.85*INPUTS!$B$5*(1-INPUTS!$B$9)+INPUTS!$B$6*INPUTS!$B$9))</f>
        <v>185.30357187182</v>
      </c>
      <c r="I96" s="10" t="n">
        <f aca="false">PU!I96/(INPUTS!$B$8*INPUTS!$B$7*(0.85*INPUTS!$B$5*(1-INPUTS!$B$9)+INPUTS!$B$6*INPUTS!$B$9))</f>
        <v>213.05911336163</v>
      </c>
      <c r="J96" s="10" t="n">
        <f aca="false">PU!J96/(INPUTS!$B$8*INPUTS!$B$7*(0.85*INPUTS!$B$5*(1-INPUTS!$B$9)+INPUTS!$B$6*INPUTS!$B$9))</f>
        <v>213.05911336163</v>
      </c>
      <c r="K96" s="10" t="n">
        <f aca="false">PU!K96/(INPUTS!$B$8*INPUTS!$B$7*(0.85*INPUTS!$B$5*(1-INPUTS!$B$9)+INPUTS!$B$6*INPUTS!$B$9))</f>
        <v>213.05911336163</v>
      </c>
      <c r="L96" s="10" t="n">
        <f aca="false">PU!L96/(INPUTS!$B$8*INPUTS!$B$7*(0.85*INPUTS!$B$5*(1-INPUTS!$B$9)+INPUTS!$B$6*INPUTS!$B$9))</f>
        <v>213.05911336163</v>
      </c>
      <c r="M96" s="10" t="n">
        <f aca="false">PU!M96/(INPUTS!$B$8*INPUTS!$B$7*(0.85*INPUTS!$B$5*(1-INPUTS!$B$9)+INPUTS!$B$6*INPUTS!$B$9))</f>
        <v>213.05911336163</v>
      </c>
      <c r="N96" s="10" t="n">
        <f aca="false">PU!N96/(INPUTS!$B$8*INPUTS!$B$7*(0.85*INPUTS!$B$5*(1-INPUTS!$B$9)+INPUTS!$B$6*INPUTS!$B$9))</f>
        <v>213.05911336163</v>
      </c>
      <c r="O96" s="10" t="n">
        <f aca="false">PU!O96/(INPUTS!$B$8*INPUTS!$B$7*(0.85*INPUTS!$B$5*(1-INPUTS!$B$9)+INPUTS!$B$6*INPUTS!$B$9))</f>
        <v>213.05911336163</v>
      </c>
      <c r="P96" s="10" t="n">
        <f aca="false">PU!P96/(INPUTS!$B$8*INPUTS!$B$7*(0.85*INPUTS!$B$5*(1-INPUTS!$B$9)+INPUTS!$B$6*INPUTS!$B$9))</f>
        <v>213.05911336163</v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10" t="n">
        <f aca="false">PU!E97/(INPUTS!$B$8*INPUTS!$B$7*(0.85*INPUTS!$B$5*(1-INPUTS!$B$9)+INPUTS!$B$6*INPUTS!$B$9))</f>
        <v>40.3874078486857</v>
      </c>
      <c r="F97" s="10" t="n">
        <f aca="false">PU!F97/(INPUTS!$B$8*INPUTS!$B$7*(0.85*INPUTS!$B$5*(1-INPUTS!$B$9)+INPUTS!$B$6*INPUTS!$B$9))</f>
        <v>99.3186387668479</v>
      </c>
      <c r="G97" s="10" t="n">
        <f aca="false">PU!G97/(INPUTS!$B$8*INPUTS!$B$7*(0.85*INPUTS!$B$5*(1-INPUTS!$B$9)+INPUTS!$B$6*INPUTS!$B$9))</f>
        <v>156.088502494601</v>
      </c>
      <c r="H97" s="10" t="n">
        <f aca="false">PU!H97/(INPUTS!$B$8*INPUTS!$B$7*(0.85*INPUTS!$B$5*(1-INPUTS!$B$9)+INPUTS!$B$6*INPUTS!$B$9))</f>
        <v>194.182366520217</v>
      </c>
      <c r="I97" s="10" t="n">
        <f aca="false">PU!I97/(INPUTS!$B$8*INPUTS!$B$7*(0.85*INPUTS!$B$5*(1-INPUTS!$B$9)+INPUTS!$B$6*INPUTS!$B$9))</f>
        <v>228.146610569166</v>
      </c>
      <c r="J97" s="10" t="n">
        <f aca="false">PU!J97/(INPUTS!$B$8*INPUTS!$B$7*(0.85*INPUTS!$B$5*(1-INPUTS!$B$9)+INPUTS!$B$6*INPUTS!$B$9))</f>
        <v>228.146610569166</v>
      </c>
      <c r="K97" s="10" t="n">
        <f aca="false">PU!K97/(INPUTS!$B$8*INPUTS!$B$7*(0.85*INPUTS!$B$5*(1-INPUTS!$B$9)+INPUTS!$B$6*INPUTS!$B$9))</f>
        <v>228.146610569166</v>
      </c>
      <c r="L97" s="10" t="n">
        <f aca="false">PU!L97/(INPUTS!$B$8*INPUTS!$B$7*(0.85*INPUTS!$B$5*(1-INPUTS!$B$9)+INPUTS!$B$6*INPUTS!$B$9))</f>
        <v>228.146610569166</v>
      </c>
      <c r="M97" s="10" t="n">
        <f aca="false">PU!M97/(INPUTS!$B$8*INPUTS!$B$7*(0.85*INPUTS!$B$5*(1-INPUTS!$B$9)+INPUTS!$B$6*INPUTS!$B$9))</f>
        <v>228.146610569166</v>
      </c>
      <c r="N97" s="10" t="n">
        <f aca="false">PU!N97/(INPUTS!$B$8*INPUTS!$B$7*(0.85*INPUTS!$B$5*(1-INPUTS!$B$9)+INPUTS!$B$6*INPUTS!$B$9))</f>
        <v>228.146610569166</v>
      </c>
      <c r="O97" s="10" t="n">
        <f aca="false">PU!O97/(INPUTS!$B$8*INPUTS!$B$7*(0.85*INPUTS!$B$5*(1-INPUTS!$B$9)+INPUTS!$B$6*INPUTS!$B$9))</f>
        <v>228.146610569166</v>
      </c>
      <c r="P97" s="10" t="n">
        <f aca="false">PU!P97/(INPUTS!$B$8*INPUTS!$B$7*(0.85*INPUTS!$B$5*(1-INPUTS!$B$9)+INPUTS!$B$6*INPUTS!$B$9))</f>
        <v>228.146610569166</v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10" t="n">
        <f aca="false">PU!E98/(INPUTS!$B$8*INPUTS!$B$7*(0.85*INPUTS!$B$5*(1-INPUTS!$B$9)+INPUTS!$B$6*INPUTS!$B$9))</f>
        <v>21.3651426018319</v>
      </c>
      <c r="F98" s="10" t="n">
        <f aca="false">PU!F98/(INPUTS!$B$8*INPUTS!$B$7*(0.85*INPUTS!$B$5*(1-INPUTS!$B$9)+INPUTS!$B$6*INPUTS!$B$9))</f>
        <v>52.1694343088341</v>
      </c>
      <c r="G98" s="10" t="n">
        <f aca="false">PU!G98/(INPUTS!$B$8*INPUTS!$B$7*(0.85*INPUTS!$B$5*(1-INPUTS!$B$9)+INPUTS!$B$6*INPUTS!$B$9))</f>
        <v>81.7878596073175</v>
      </c>
      <c r="H98" s="10" t="n">
        <f aca="false">PU!H98/(INPUTS!$B$8*INPUTS!$B$7*(0.85*INPUTS!$B$5*(1-INPUTS!$B$9)+INPUTS!$B$6*INPUTS!$B$9))</f>
        <v>101.997542631618</v>
      </c>
      <c r="I98" s="10" t="n">
        <f aca="false">PU!I98/(INPUTS!$B$8*INPUTS!$B$7*(0.85*INPUTS!$B$5*(1-INPUTS!$B$9)+INPUTS!$B$6*INPUTS!$B$9))</f>
        <v>120.094385285576</v>
      </c>
      <c r="J98" s="10" t="n">
        <f aca="false">PU!J98/(INPUTS!$B$8*INPUTS!$B$7*(0.85*INPUTS!$B$5*(1-INPUTS!$B$9)+INPUTS!$B$6*INPUTS!$B$9))</f>
        <v>120.094385285576</v>
      </c>
      <c r="K98" s="10" t="n">
        <f aca="false">PU!K98/(INPUTS!$B$8*INPUTS!$B$7*(0.85*INPUTS!$B$5*(1-INPUTS!$B$9)+INPUTS!$B$6*INPUTS!$B$9))</f>
        <v>120.094385285576</v>
      </c>
      <c r="L98" s="10" t="n">
        <f aca="false">PU!L98/(INPUTS!$B$8*INPUTS!$B$7*(0.85*INPUTS!$B$5*(1-INPUTS!$B$9)+INPUTS!$B$6*INPUTS!$B$9))</f>
        <v>120.094385285576</v>
      </c>
      <c r="M98" s="10" t="n">
        <f aca="false">PU!M98/(INPUTS!$B$8*INPUTS!$B$7*(0.85*INPUTS!$B$5*(1-INPUTS!$B$9)+INPUTS!$B$6*INPUTS!$B$9))</f>
        <v>120.094385285576</v>
      </c>
      <c r="N98" s="10" t="n">
        <f aca="false">PU!N98/(INPUTS!$B$8*INPUTS!$B$7*(0.85*INPUTS!$B$5*(1-INPUTS!$B$9)+INPUTS!$B$6*INPUTS!$B$9))</f>
        <v>120.094385285576</v>
      </c>
      <c r="O98" s="10" t="n">
        <f aca="false">PU!O98/(INPUTS!$B$8*INPUTS!$B$7*(0.85*INPUTS!$B$5*(1-INPUTS!$B$9)+INPUTS!$B$6*INPUTS!$B$9))</f>
        <v>120.094385285576</v>
      </c>
      <c r="P98" s="10" t="n">
        <f aca="false">PU!P98/(INPUTS!$B$8*INPUTS!$B$7*(0.85*INPUTS!$B$5*(1-INPUTS!$B$9)+INPUTS!$B$6*INPUTS!$B$9))</f>
        <v>120.094385285576</v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10" t="n">
        <f aca="false">PU!E99/(INPUTS!$B$8*INPUTS!$B$7*(0.85*INPUTS!$B$5*(1-INPUTS!$B$9)+INPUTS!$B$6*INPUTS!$B$9))</f>
        <v>52.0766624469432</v>
      </c>
      <c r="F99" s="10" t="n">
        <f aca="false">PU!F99/(INPUTS!$B$8*INPUTS!$B$7*(0.85*INPUTS!$B$5*(1-INPUTS!$B$9)+INPUTS!$B$6*INPUTS!$B$9))</f>
        <v>128.292004865093</v>
      </c>
      <c r="G99" s="10" t="n">
        <f aca="false">PU!G99/(INPUTS!$B$8*INPUTS!$B$7*(0.85*INPUTS!$B$5*(1-INPUTS!$B$9)+INPUTS!$B$6*INPUTS!$B$9))</f>
        <v>201.746531139077</v>
      </c>
      <c r="H99" s="10" t="n">
        <f aca="false">PU!H99/(INPUTS!$B$8*INPUTS!$B$7*(0.85*INPUTS!$B$5*(1-INPUTS!$B$9)+INPUTS!$B$6*INPUTS!$B$9))</f>
        <v>250.830292650235</v>
      </c>
      <c r="I99" s="10" t="n">
        <f aca="false">PU!I99/(INPUTS!$B$8*INPUTS!$B$7*(0.85*INPUTS!$B$5*(1-INPUTS!$B$9)+INPUTS!$B$6*INPUTS!$B$9))</f>
        <v>294.44132102167</v>
      </c>
      <c r="J99" s="10" t="n">
        <f aca="false">PU!J99/(INPUTS!$B$8*INPUTS!$B$7*(0.85*INPUTS!$B$5*(1-INPUTS!$B$9)+INPUTS!$B$6*INPUTS!$B$9))</f>
        <v>294.44132102167</v>
      </c>
      <c r="K99" s="10" t="n">
        <f aca="false">PU!K99/(INPUTS!$B$8*INPUTS!$B$7*(0.85*INPUTS!$B$5*(1-INPUTS!$B$9)+INPUTS!$B$6*INPUTS!$B$9))</f>
        <v>294.44132102167</v>
      </c>
      <c r="L99" s="10" t="n">
        <f aca="false">PU!L99/(INPUTS!$B$8*INPUTS!$B$7*(0.85*INPUTS!$B$5*(1-INPUTS!$B$9)+INPUTS!$B$6*INPUTS!$B$9))</f>
        <v>294.44132102167</v>
      </c>
      <c r="M99" s="10" t="n">
        <f aca="false">PU!M99/(INPUTS!$B$8*INPUTS!$B$7*(0.85*INPUTS!$B$5*(1-INPUTS!$B$9)+INPUTS!$B$6*INPUTS!$B$9))</f>
        <v>294.44132102167</v>
      </c>
      <c r="N99" s="10" t="n">
        <f aca="false">PU!N99/(INPUTS!$B$8*INPUTS!$B$7*(0.85*INPUTS!$B$5*(1-INPUTS!$B$9)+INPUTS!$B$6*INPUTS!$B$9))</f>
        <v>294.44132102167</v>
      </c>
      <c r="O99" s="10" t="n">
        <f aca="false">PU!O99/(INPUTS!$B$8*INPUTS!$B$7*(0.85*INPUTS!$B$5*(1-INPUTS!$B$9)+INPUTS!$B$6*INPUTS!$B$9))</f>
        <v>294.44132102167</v>
      </c>
      <c r="P99" s="10" t="n">
        <f aca="false">PU!P99/(INPUTS!$B$8*INPUTS!$B$7*(0.85*INPUTS!$B$5*(1-INPUTS!$B$9)+INPUTS!$B$6*INPUTS!$B$9))</f>
        <v>294.44132102167</v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10" t="n">
        <f aca="false">PU!E100/(INPUTS!$B$8*INPUTS!$B$7*(0.85*INPUTS!$B$5*(1-INPUTS!$B$9)+INPUTS!$B$6*INPUTS!$B$9))</f>
        <v>45.2518802591407</v>
      </c>
      <c r="F100" s="10" t="n">
        <f aca="false">PU!F100/(INPUTS!$B$8*INPUTS!$B$7*(0.85*INPUTS!$B$5*(1-INPUTS!$B$9)+INPUTS!$B$6*INPUTS!$B$9))</f>
        <v>111.375878074813</v>
      </c>
      <c r="G100" s="10" t="n">
        <f aca="false">PU!G100/(INPUTS!$B$8*INPUTS!$B$7*(0.85*INPUTS!$B$5*(1-INPUTS!$B$9)+INPUTS!$B$6*INPUTS!$B$9))</f>
        <v>175.089048576464</v>
      </c>
      <c r="H100" s="10" t="n">
        <f aca="false">PU!H100/(INPUTS!$B$8*INPUTS!$B$7*(0.85*INPUTS!$B$5*(1-INPUTS!$B$9)+INPUTS!$B$6*INPUTS!$B$9))</f>
        <v>217.756348201653</v>
      </c>
      <c r="I100" s="10" t="n">
        <f aca="false">PU!I100/(INPUTS!$B$8*INPUTS!$B$7*(0.85*INPUTS!$B$5*(1-INPUTS!$B$9)+INPUTS!$B$6*INPUTS!$B$9))</f>
        <v>255.69755752476</v>
      </c>
      <c r="J100" s="10" t="n">
        <f aca="false">PU!J100/(INPUTS!$B$8*INPUTS!$B$7*(0.85*INPUTS!$B$5*(1-INPUTS!$B$9)+INPUTS!$B$6*INPUTS!$B$9))</f>
        <v>255.69755752476</v>
      </c>
      <c r="K100" s="10" t="n">
        <f aca="false">PU!K100/(INPUTS!$B$8*INPUTS!$B$7*(0.85*INPUTS!$B$5*(1-INPUTS!$B$9)+INPUTS!$B$6*INPUTS!$B$9))</f>
        <v>255.69755752476</v>
      </c>
      <c r="L100" s="10" t="n">
        <f aca="false">PU!L100/(INPUTS!$B$8*INPUTS!$B$7*(0.85*INPUTS!$B$5*(1-INPUTS!$B$9)+INPUTS!$B$6*INPUTS!$B$9))</f>
        <v>255.69755752476</v>
      </c>
      <c r="M100" s="10" t="n">
        <f aca="false">PU!M100/(INPUTS!$B$8*INPUTS!$B$7*(0.85*INPUTS!$B$5*(1-INPUTS!$B$9)+INPUTS!$B$6*INPUTS!$B$9))</f>
        <v>255.69755752476</v>
      </c>
      <c r="N100" s="10" t="n">
        <f aca="false">PU!N100/(INPUTS!$B$8*INPUTS!$B$7*(0.85*INPUTS!$B$5*(1-INPUTS!$B$9)+INPUTS!$B$6*INPUTS!$B$9))</f>
        <v>255.69755752476</v>
      </c>
      <c r="O100" s="10" t="n">
        <f aca="false">PU!O100/(INPUTS!$B$8*INPUTS!$B$7*(0.85*INPUTS!$B$5*(1-INPUTS!$B$9)+INPUTS!$B$6*INPUTS!$B$9))</f>
        <v>255.69755752476</v>
      </c>
      <c r="P100" s="10" t="n">
        <f aca="false">PU!P100/(INPUTS!$B$8*INPUTS!$B$7*(0.85*INPUTS!$B$5*(1-INPUTS!$B$9)+INPUTS!$B$6*INPUTS!$B$9))</f>
        <v>255.69755752476</v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10" t="n">
        <f aca="false">PU!E101/(INPUTS!$B$8*INPUTS!$B$7*(0.85*INPUTS!$B$5*(1-INPUTS!$B$9)+INPUTS!$B$6*INPUTS!$B$9))</f>
        <v>36.7572045573014</v>
      </c>
      <c r="F101" s="10" t="n">
        <f aca="false">PU!F101/(INPUTS!$B$8*INPUTS!$B$7*(0.85*INPUTS!$B$5*(1-INPUTS!$B$9)+INPUTS!$B$6*INPUTS!$B$9))</f>
        <v>91.3259860500906</v>
      </c>
      <c r="G101" s="10" t="n">
        <f aca="false">PU!G101/(INPUTS!$B$8*INPUTS!$B$7*(0.85*INPUTS!$B$5*(1-INPUTS!$B$9)+INPUTS!$B$6*INPUTS!$B$9))</f>
        <v>121.535172636334</v>
      </c>
      <c r="H101" s="10" t="n">
        <f aca="false">PU!H101/(INPUTS!$B$8*INPUTS!$B$7*(0.85*INPUTS!$B$5*(1-INPUTS!$B$9)+INPUTS!$B$6*INPUTS!$B$9))</f>
        <v>145.610867029066</v>
      </c>
      <c r="I101" s="10" t="n">
        <f aca="false">PU!I101/(INPUTS!$B$8*INPUTS!$B$7*(0.85*INPUTS!$B$5*(1-INPUTS!$B$9)+INPUTS!$B$6*INPUTS!$B$9))</f>
        <v>167.279829721746</v>
      </c>
      <c r="J101" s="10" t="n">
        <f aca="false">PU!J101/(INPUTS!$B$8*INPUTS!$B$7*(0.85*INPUTS!$B$5*(1-INPUTS!$B$9)+INPUTS!$B$6*INPUTS!$B$9))</f>
        <v>225.408444411349</v>
      </c>
      <c r="K101" s="10" t="n">
        <f aca="false">PU!K101/(INPUTS!$B$8*INPUTS!$B$7*(0.85*INPUTS!$B$5*(1-INPUTS!$B$9)+INPUTS!$B$6*INPUTS!$B$9))</f>
        <v>225.408444411349</v>
      </c>
      <c r="L101" s="10" t="n">
        <f aca="false">PU!L101/(INPUTS!$B$8*INPUTS!$B$7*(0.85*INPUTS!$B$5*(1-INPUTS!$B$9)+INPUTS!$B$6*INPUTS!$B$9))</f>
        <v>225.408444411349</v>
      </c>
      <c r="M101" s="10" t="n">
        <f aca="false">PU!M101/(INPUTS!$B$8*INPUTS!$B$7*(0.85*INPUTS!$B$5*(1-INPUTS!$B$9)+INPUTS!$B$6*INPUTS!$B$9))</f>
        <v>225.408444411349</v>
      </c>
      <c r="N101" s="10" t="n">
        <f aca="false">PU!N101/(INPUTS!$B$8*INPUTS!$B$7*(0.85*INPUTS!$B$5*(1-INPUTS!$B$9)+INPUTS!$B$6*INPUTS!$B$9))</f>
        <v>225.408444411349</v>
      </c>
      <c r="O101" s="10" t="n">
        <f aca="false">PU!O101/(INPUTS!$B$8*INPUTS!$B$7*(0.85*INPUTS!$B$5*(1-INPUTS!$B$9)+INPUTS!$B$6*INPUTS!$B$9))</f>
        <v>225.408444411349</v>
      </c>
      <c r="P101" s="10" t="n">
        <f aca="false">PU!P101/(INPUTS!$B$8*INPUTS!$B$7*(0.85*INPUTS!$B$5*(1-INPUTS!$B$9)+INPUTS!$B$6*INPUTS!$B$9))</f>
        <v>225.408444411349</v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10" t="n">
        <f aca="false">PU!E102/(INPUTS!$B$8*INPUTS!$B$7*(0.85*INPUTS!$B$5*(1-INPUTS!$B$9)+INPUTS!$B$6*INPUTS!$B$9))</f>
        <v>26.8104475389083</v>
      </c>
      <c r="F102" s="10" t="n">
        <f aca="false">PU!F102/(INPUTS!$B$8*INPUTS!$B$7*(0.85*INPUTS!$B$5*(1-INPUTS!$B$9)+INPUTS!$B$6*INPUTS!$B$9))</f>
        <v>65.6663439819296</v>
      </c>
      <c r="G102" s="10" t="n">
        <f aca="false">PU!G102/(INPUTS!$B$8*INPUTS!$B$7*(0.85*INPUTS!$B$5*(1-INPUTS!$B$9)+INPUTS!$B$6*INPUTS!$B$9))</f>
        <v>101.502655943605</v>
      </c>
      <c r="H102" s="10" t="n">
        <f aca="false">PU!H102/(INPUTS!$B$8*INPUTS!$B$7*(0.85*INPUTS!$B$5*(1-INPUTS!$B$9)+INPUTS!$B$6*INPUTS!$B$9))</f>
        <v>125.807952937672</v>
      </c>
      <c r="I102" s="10" t="n">
        <f aca="false">PU!I102/(INPUTS!$B$8*INPUTS!$B$7*(0.85*INPUTS!$B$5*(1-INPUTS!$B$9)+INPUTS!$B$6*INPUTS!$B$9))</f>
        <v>158.527626777869</v>
      </c>
      <c r="J102" s="10" t="n">
        <f aca="false">PU!J102/(INPUTS!$B$8*INPUTS!$B$7*(0.85*INPUTS!$B$5*(1-INPUTS!$B$9)+INPUTS!$B$6*INPUTS!$B$9))</f>
        <v>158.527626777869</v>
      </c>
      <c r="K102" s="10" t="n">
        <f aca="false">PU!K102/(INPUTS!$B$8*INPUTS!$B$7*(0.85*INPUTS!$B$5*(1-INPUTS!$B$9)+INPUTS!$B$6*INPUTS!$B$9))</f>
        <v>158.527626777869</v>
      </c>
      <c r="L102" s="10" t="n">
        <f aca="false">PU!L102/(INPUTS!$B$8*INPUTS!$B$7*(0.85*INPUTS!$B$5*(1-INPUTS!$B$9)+INPUTS!$B$6*INPUTS!$B$9))</f>
        <v>158.527626777869</v>
      </c>
      <c r="M102" s="10" t="n">
        <f aca="false">PU!M102/(INPUTS!$B$8*INPUTS!$B$7*(0.85*INPUTS!$B$5*(1-INPUTS!$B$9)+INPUTS!$B$6*INPUTS!$B$9))</f>
        <v>158.527626777869</v>
      </c>
      <c r="N102" s="10" t="n">
        <f aca="false">PU!N102/(INPUTS!$B$8*INPUTS!$B$7*(0.85*INPUTS!$B$5*(1-INPUTS!$B$9)+INPUTS!$B$6*INPUTS!$B$9))</f>
        <v>158.527626777869</v>
      </c>
      <c r="O102" s="10" t="n">
        <f aca="false">PU!O102/(INPUTS!$B$8*INPUTS!$B$7*(0.85*INPUTS!$B$5*(1-INPUTS!$B$9)+INPUTS!$B$6*INPUTS!$B$9))</f>
        <v>158.527626777869</v>
      </c>
      <c r="P102" s="10" t="n">
        <f aca="false">PU!P102/(INPUTS!$B$8*INPUTS!$B$7*(0.85*INPUTS!$B$5*(1-INPUTS!$B$9)+INPUTS!$B$6*INPUTS!$B$9))</f>
        <v>158.527626777869</v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10" t="n">
        <f aca="false">PU!E103/(INPUTS!$B$8*INPUTS!$B$7*(0.85*INPUTS!$B$5*(1-INPUTS!$B$9)+INPUTS!$B$6*INPUTS!$B$9))</f>
        <v>35.8859557673691</v>
      </c>
      <c r="F103" s="10" t="n">
        <f aca="false">PU!F103/(INPUTS!$B$8*INPUTS!$B$7*(0.85*INPUTS!$B$5*(1-INPUTS!$B$9)+INPUTS!$B$6*INPUTS!$B$9))</f>
        <v>88.1611934370889</v>
      </c>
      <c r="G103" s="10" t="n">
        <f aca="false">PU!G103/(INPUTS!$B$8*INPUTS!$B$7*(0.85*INPUTS!$B$5*(1-INPUTS!$B$9)+INPUTS!$B$6*INPUTS!$B$9))</f>
        <v>138.505907612878</v>
      </c>
      <c r="H103" s="10" t="n">
        <f aca="false">PU!H103/(INPUTS!$B$8*INPUTS!$B$7*(0.85*INPUTS!$B$5*(1-INPUTS!$B$9)+INPUTS!$B$6*INPUTS!$B$9))</f>
        <v>172.367637203068</v>
      </c>
      <c r="I103" s="10" t="n">
        <f aca="false">PU!I103/(INPUTS!$B$8*INPUTS!$B$7*(0.85*INPUTS!$B$5*(1-INPUTS!$B$9)+INPUTS!$B$6*INPUTS!$B$9))</f>
        <v>220.510648596321</v>
      </c>
      <c r="J103" s="10" t="n">
        <f aca="false">PU!J103/(INPUTS!$B$8*INPUTS!$B$7*(0.85*INPUTS!$B$5*(1-INPUTS!$B$9)+INPUTS!$B$6*INPUTS!$B$9))</f>
        <v>220.510648596321</v>
      </c>
      <c r="K103" s="10" t="n">
        <f aca="false">PU!K103/(INPUTS!$B$8*INPUTS!$B$7*(0.85*INPUTS!$B$5*(1-INPUTS!$B$9)+INPUTS!$B$6*INPUTS!$B$9))</f>
        <v>220.510648596321</v>
      </c>
      <c r="L103" s="10" t="n">
        <f aca="false">PU!L103/(INPUTS!$B$8*INPUTS!$B$7*(0.85*INPUTS!$B$5*(1-INPUTS!$B$9)+INPUTS!$B$6*INPUTS!$B$9))</f>
        <v>220.510648596321</v>
      </c>
      <c r="M103" s="10" t="n">
        <f aca="false">PU!M103/(INPUTS!$B$8*INPUTS!$B$7*(0.85*INPUTS!$B$5*(1-INPUTS!$B$9)+INPUTS!$B$6*INPUTS!$B$9))</f>
        <v>220.510648596321</v>
      </c>
      <c r="N103" s="10" t="n">
        <f aca="false">PU!N103/(INPUTS!$B$8*INPUTS!$B$7*(0.85*INPUTS!$B$5*(1-INPUTS!$B$9)+INPUTS!$B$6*INPUTS!$B$9))</f>
        <v>220.510648596321</v>
      </c>
      <c r="O103" s="10" t="n">
        <f aca="false">PU!O103/(INPUTS!$B$8*INPUTS!$B$7*(0.85*INPUTS!$B$5*(1-INPUTS!$B$9)+INPUTS!$B$6*INPUTS!$B$9))</f>
        <v>220.510648596321</v>
      </c>
      <c r="P103" s="10" t="n">
        <f aca="false">PU!P103/(INPUTS!$B$8*INPUTS!$B$7*(0.85*INPUTS!$B$5*(1-INPUTS!$B$9)+INPUTS!$B$6*INPUTS!$B$9))</f>
        <v>220.510648596321</v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10" t="n">
        <f aca="false">PU!E104/(INPUTS!$B$8*INPUTS!$B$7*(0.85*INPUTS!$B$5*(1-INPUTS!$B$9)+INPUTS!$B$6*INPUTS!$B$9))</f>
        <v>31.1666914885695</v>
      </c>
      <c r="F104" s="10" t="n">
        <f aca="false">PU!F104/(INPUTS!$B$8*INPUTS!$B$7*(0.85*INPUTS!$B$5*(1-INPUTS!$B$9)+INPUTS!$B$6*INPUTS!$B$9))</f>
        <v>76.4638717204061</v>
      </c>
      <c r="G104" s="10" t="n">
        <f aca="false">PU!G104/(INPUTS!$B$8*INPUTS!$B$7*(0.85*INPUTS!$B$5*(1-INPUTS!$B$9)+INPUTS!$B$6*INPUTS!$B$9))</f>
        <v>119.227976766699</v>
      </c>
      <c r="H104" s="10" t="n">
        <f aca="false">PU!H104/(INPUTS!$B$8*INPUTS!$B$7*(0.85*INPUTS!$B$5*(1-INPUTS!$B$9)+INPUTS!$B$6*INPUTS!$B$9))</f>
        <v>148.050860078934</v>
      </c>
      <c r="I104" s="10" t="n">
        <f aca="false">PU!I104/(INPUTS!$B$8*INPUTS!$B$7*(0.85*INPUTS!$B$5*(1-INPUTS!$B$9)+INPUTS!$B$6*INPUTS!$B$9))</f>
        <v>180.741492292799</v>
      </c>
      <c r="J104" s="10" t="n">
        <f aca="false">PU!J104/(INPUTS!$B$8*INPUTS!$B$7*(0.85*INPUTS!$B$5*(1-INPUTS!$B$9)+INPUTS!$B$6*INPUTS!$B$9))</f>
        <v>180.741492292799</v>
      </c>
      <c r="K104" s="10" t="n">
        <f aca="false">PU!K104/(INPUTS!$B$8*INPUTS!$B$7*(0.85*INPUTS!$B$5*(1-INPUTS!$B$9)+INPUTS!$B$6*INPUTS!$B$9))</f>
        <v>180.741492292799</v>
      </c>
      <c r="L104" s="10" t="n">
        <f aca="false">PU!L104/(INPUTS!$B$8*INPUTS!$B$7*(0.85*INPUTS!$B$5*(1-INPUTS!$B$9)+INPUTS!$B$6*INPUTS!$B$9))</f>
        <v>180.741492292799</v>
      </c>
      <c r="M104" s="10" t="n">
        <f aca="false">PU!M104/(INPUTS!$B$8*INPUTS!$B$7*(0.85*INPUTS!$B$5*(1-INPUTS!$B$9)+INPUTS!$B$6*INPUTS!$B$9))</f>
        <v>180.741492292799</v>
      </c>
      <c r="N104" s="10" t="n">
        <f aca="false">PU!N104/(INPUTS!$B$8*INPUTS!$B$7*(0.85*INPUTS!$B$5*(1-INPUTS!$B$9)+INPUTS!$B$6*INPUTS!$B$9))</f>
        <v>180.741492292799</v>
      </c>
      <c r="O104" s="10" t="n">
        <f aca="false">PU!O104/(INPUTS!$B$8*INPUTS!$B$7*(0.85*INPUTS!$B$5*(1-INPUTS!$B$9)+INPUTS!$B$6*INPUTS!$B$9))</f>
        <v>180.741492292799</v>
      </c>
      <c r="P104" s="10" t="n">
        <f aca="false">PU!P104/(INPUTS!$B$8*INPUTS!$B$7*(0.85*INPUTS!$B$5*(1-INPUTS!$B$9)+INPUTS!$B$6*INPUTS!$B$9))</f>
        <v>180.741492292799</v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10" t="n">
        <f aca="false">PU!E105/(INPUTS!$B$8*INPUTS!$B$7*(0.85*INPUTS!$B$5*(1-INPUTS!$B$9)+INPUTS!$B$6*INPUTS!$B$9))</f>
        <v>37.4106411497505</v>
      </c>
      <c r="F105" s="10" t="n">
        <f aca="false">PU!F105/(INPUTS!$B$8*INPUTS!$B$7*(0.85*INPUTS!$B$5*(1-INPUTS!$B$9)+INPUTS!$B$6*INPUTS!$B$9))</f>
        <v>91.9403281455556</v>
      </c>
      <c r="G105" s="10" t="n">
        <f aca="false">PU!G105/(INPUTS!$B$8*INPUTS!$B$7*(0.85*INPUTS!$B$5*(1-INPUTS!$B$9)+INPUTS!$B$6*INPUTS!$B$9))</f>
        <v>144.461302653461</v>
      </c>
      <c r="H105" s="10" t="n">
        <f aca="false">PU!H105/(INPUTS!$B$8*INPUTS!$B$7*(0.85*INPUTS!$B$5*(1-INPUTS!$B$9)+INPUTS!$B$6*INPUTS!$B$9))</f>
        <v>179.75649713307</v>
      </c>
      <c r="I105" s="10" t="n">
        <f aca="false">PU!I105/(INPUTS!$B$8*INPUTS!$B$7*(0.85*INPUTS!$B$5*(1-INPUTS!$B$9)+INPUTS!$B$6*INPUTS!$B$9))</f>
        <v>228.96486459652</v>
      </c>
      <c r="J105" s="10" t="n">
        <f aca="false">PU!J105/(INPUTS!$B$8*INPUTS!$B$7*(0.85*INPUTS!$B$5*(1-INPUTS!$B$9)+INPUTS!$B$6*INPUTS!$B$9))</f>
        <v>228.96486459652</v>
      </c>
      <c r="K105" s="10" t="n">
        <f aca="false">PU!K105/(INPUTS!$B$8*INPUTS!$B$7*(0.85*INPUTS!$B$5*(1-INPUTS!$B$9)+INPUTS!$B$6*INPUTS!$B$9))</f>
        <v>228.96486459652</v>
      </c>
      <c r="L105" s="10" t="n">
        <f aca="false">PU!L105/(INPUTS!$B$8*INPUTS!$B$7*(0.85*INPUTS!$B$5*(1-INPUTS!$B$9)+INPUTS!$B$6*INPUTS!$B$9))</f>
        <v>228.96486459652</v>
      </c>
      <c r="M105" s="10" t="n">
        <f aca="false">PU!M105/(INPUTS!$B$8*INPUTS!$B$7*(0.85*INPUTS!$B$5*(1-INPUTS!$B$9)+INPUTS!$B$6*INPUTS!$B$9))</f>
        <v>228.96486459652</v>
      </c>
      <c r="N105" s="10" t="n">
        <f aca="false">PU!N105/(INPUTS!$B$8*INPUTS!$B$7*(0.85*INPUTS!$B$5*(1-INPUTS!$B$9)+INPUTS!$B$6*INPUTS!$B$9))</f>
        <v>228.96486459652</v>
      </c>
      <c r="O105" s="10" t="n">
        <f aca="false">PU!O105/(INPUTS!$B$8*INPUTS!$B$7*(0.85*INPUTS!$B$5*(1-INPUTS!$B$9)+INPUTS!$B$6*INPUTS!$B$9))</f>
        <v>228.96486459652</v>
      </c>
      <c r="P105" s="10" t="n">
        <f aca="false">PU!P105/(INPUTS!$B$8*INPUTS!$B$7*(0.85*INPUTS!$B$5*(1-INPUTS!$B$9)+INPUTS!$B$6*INPUTS!$B$9))</f>
        <v>228.96486459652</v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10" t="n">
        <f aca="false">PU!E106/(INPUTS!$B$8*INPUTS!$B$7*(0.85*INPUTS!$B$5*(1-INPUTS!$B$9)+INPUTS!$B$6*INPUTS!$B$9))</f>
        <v>33.4900215950555</v>
      </c>
      <c r="F106" s="10" t="n">
        <f aca="false">PU!F106/(INPUTS!$B$8*INPUTS!$B$7*(0.85*INPUTS!$B$5*(1-INPUTS!$B$9)+INPUTS!$B$6*INPUTS!$B$9))</f>
        <v>82.2225531809268</v>
      </c>
      <c r="G106" s="10" t="n">
        <f aca="false">PU!G106/(INPUTS!$B$8*INPUTS!$B$7*(0.85*INPUTS!$B$5*(1-INPUTS!$B$9)+INPUTS!$B$6*INPUTS!$B$9))</f>
        <v>129.14742969196</v>
      </c>
      <c r="H106" s="10" t="n">
        <f aca="false">PU!H106/(INPUTS!$B$8*INPUTS!$B$7*(0.85*INPUTS!$B$5*(1-INPUTS!$B$9)+INPUTS!$B$6*INPUTS!$B$9))</f>
        <v>160.756571598779</v>
      </c>
      <c r="I106" s="10" t="n">
        <f aca="false">PU!I106/(INPUTS!$B$8*INPUTS!$B$7*(0.85*INPUTS!$B$5*(1-INPUTS!$B$9)+INPUTS!$B$6*INPUTS!$B$9))</f>
        <v>208.748169384665</v>
      </c>
      <c r="J106" s="10" t="n">
        <f aca="false">PU!J106/(INPUTS!$B$8*INPUTS!$B$7*(0.85*INPUTS!$B$5*(1-INPUTS!$B$9)+INPUTS!$B$6*INPUTS!$B$9))</f>
        <v>208.748169384665</v>
      </c>
      <c r="K106" s="10" t="n">
        <f aca="false">PU!K106/(INPUTS!$B$8*INPUTS!$B$7*(0.85*INPUTS!$B$5*(1-INPUTS!$B$9)+INPUTS!$B$6*INPUTS!$B$9))</f>
        <v>208.748169384665</v>
      </c>
      <c r="L106" s="10" t="n">
        <f aca="false">PU!L106/(INPUTS!$B$8*INPUTS!$B$7*(0.85*INPUTS!$B$5*(1-INPUTS!$B$9)+INPUTS!$B$6*INPUTS!$B$9))</f>
        <v>208.748169384665</v>
      </c>
      <c r="M106" s="10" t="n">
        <f aca="false">PU!M106/(INPUTS!$B$8*INPUTS!$B$7*(0.85*INPUTS!$B$5*(1-INPUTS!$B$9)+INPUTS!$B$6*INPUTS!$B$9))</f>
        <v>208.748169384665</v>
      </c>
      <c r="N106" s="10" t="n">
        <f aca="false">PU!N106/(INPUTS!$B$8*INPUTS!$B$7*(0.85*INPUTS!$B$5*(1-INPUTS!$B$9)+INPUTS!$B$6*INPUTS!$B$9))</f>
        <v>208.748169384665</v>
      </c>
      <c r="O106" s="10" t="n">
        <f aca="false">PU!O106/(INPUTS!$B$8*INPUTS!$B$7*(0.85*INPUTS!$B$5*(1-INPUTS!$B$9)+INPUTS!$B$6*INPUTS!$B$9))</f>
        <v>208.748169384665</v>
      </c>
      <c r="P106" s="10" t="n">
        <f aca="false">PU!P106/(INPUTS!$B$8*INPUTS!$B$7*(0.85*INPUTS!$B$5*(1-INPUTS!$B$9)+INPUTS!$B$6*INPUTS!$B$9))</f>
        <v>208.748169384665</v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10" t="n">
        <f aca="false">PU!E107/(INPUTS!$B$8*INPUTS!$B$7*(0.85*INPUTS!$B$5*(1-INPUTS!$B$9)+INPUTS!$B$6*INPUTS!$B$9))</f>
        <v>32.1105443443294</v>
      </c>
      <c r="F107" s="10" t="n">
        <f aca="false">PU!F107/(INPUTS!$B$8*INPUTS!$B$7*(0.85*INPUTS!$B$5*(1-INPUTS!$B$9)+INPUTS!$B$6*INPUTS!$B$9))</f>
        <v>79.8086231290491</v>
      </c>
      <c r="G107" s="10" t="n">
        <f aca="false">PU!G107/(INPUTS!$B$8*INPUTS!$B$7*(0.85*INPUTS!$B$5*(1-INPUTS!$B$9)+INPUTS!$B$6*INPUTS!$B$9))</f>
        <v>108.670600938268</v>
      </c>
      <c r="H107" s="10" t="n">
        <f aca="false">PU!H107/(INPUTS!$B$8*INPUTS!$B$7*(0.85*INPUTS!$B$5*(1-INPUTS!$B$9)+INPUTS!$B$6*INPUTS!$B$9))</f>
        <v>132.690446049594</v>
      </c>
      <c r="I107" s="10" t="n">
        <f aca="false">PU!I107/(INPUTS!$B$8*INPUTS!$B$7*(0.85*INPUTS!$B$5*(1-INPUTS!$B$9)+INPUTS!$B$6*INPUTS!$B$9))</f>
        <v>154.303559460868</v>
      </c>
      <c r="J107" s="10" t="n">
        <f aca="false">PU!J107/(INPUTS!$B$8*INPUTS!$B$7*(0.85*INPUTS!$B$5*(1-INPUTS!$B$9)+INPUTS!$B$6*INPUTS!$B$9))</f>
        <v>154.303559460868</v>
      </c>
      <c r="K107" s="10" t="n">
        <f aca="false">PU!K107/(INPUTS!$B$8*INPUTS!$B$7*(0.85*INPUTS!$B$5*(1-INPUTS!$B$9)+INPUTS!$B$6*INPUTS!$B$9))</f>
        <v>154.303559460868</v>
      </c>
      <c r="L107" s="10" t="n">
        <f aca="false">PU!L107/(INPUTS!$B$8*INPUTS!$B$7*(0.85*INPUTS!$B$5*(1-INPUTS!$B$9)+INPUTS!$B$6*INPUTS!$B$9))</f>
        <v>154.303559460868</v>
      </c>
      <c r="M107" s="10" t="n">
        <f aca="false">PU!M107/(INPUTS!$B$8*INPUTS!$B$7*(0.85*INPUTS!$B$5*(1-INPUTS!$B$9)+INPUTS!$B$6*INPUTS!$B$9))</f>
        <v>154.303559460868</v>
      </c>
      <c r="N107" s="10" t="n">
        <f aca="false">PU!N107/(INPUTS!$B$8*INPUTS!$B$7*(0.85*INPUTS!$B$5*(1-INPUTS!$B$9)+INPUTS!$B$6*INPUTS!$B$9))</f>
        <v>154.303559460868</v>
      </c>
      <c r="O107" s="10" t="n">
        <f aca="false">PU!O107/(INPUTS!$B$8*INPUTS!$B$7*(0.85*INPUTS!$B$5*(1-INPUTS!$B$9)+INPUTS!$B$6*INPUTS!$B$9))</f>
        <v>154.303559460868</v>
      </c>
      <c r="P107" s="10" t="n">
        <f aca="false">PU!P107/(INPUTS!$B$8*INPUTS!$B$7*(0.85*INPUTS!$B$5*(1-INPUTS!$B$9)+INPUTS!$B$6*INPUTS!$B$9))</f>
        <v>154.303559460868</v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10" t="n">
        <f aca="false">PU!E108/(INPUTS!$B$8*INPUTS!$B$7*(0.85*INPUTS!$B$5*(1-INPUTS!$B$9)+INPUTS!$B$6*INPUTS!$B$9))</f>
        <v>14.0321319532355</v>
      </c>
      <c r="F108" s="10" t="n">
        <f aca="false">PU!F108/(INPUTS!$B$8*INPUTS!$B$7*(0.85*INPUTS!$B$5*(1-INPUTS!$B$9)+INPUTS!$B$6*INPUTS!$B$9))</f>
        <v>35.6690743912428</v>
      </c>
      <c r="G108" s="10" t="n">
        <f aca="false">PU!G108/(INPUTS!$B$8*INPUTS!$B$7*(0.85*INPUTS!$B$5*(1-INPUTS!$B$9)+INPUTS!$B$6*INPUTS!$B$9))</f>
        <v>50.2460471119716</v>
      </c>
      <c r="H108" s="10" t="n">
        <f aca="false">PU!H108/(INPUTS!$B$8*INPUTS!$B$7*(0.85*INPUTS!$B$5*(1-INPUTS!$B$9)+INPUTS!$B$6*INPUTS!$B$9))</f>
        <v>55.6866979422643</v>
      </c>
      <c r="I108" s="10" t="n">
        <f aca="false">PU!I108/(INPUTS!$B$8*INPUTS!$B$7*(0.85*INPUTS!$B$5*(1-INPUTS!$B$9)+INPUTS!$B$6*INPUTS!$B$9))</f>
        <v>60.8175714250254</v>
      </c>
      <c r="J108" s="10" t="n">
        <f aca="false">PU!J108/(INPUTS!$B$8*INPUTS!$B$7*(0.85*INPUTS!$B$5*(1-INPUTS!$B$9)+INPUTS!$B$6*INPUTS!$B$9))</f>
        <v>60.8175714250254</v>
      </c>
      <c r="K108" s="10" t="n">
        <f aca="false">PU!K108/(INPUTS!$B$8*INPUTS!$B$7*(0.85*INPUTS!$B$5*(1-INPUTS!$B$9)+INPUTS!$B$6*INPUTS!$B$9))</f>
        <v>60.8175714250254</v>
      </c>
      <c r="L108" s="10" t="n">
        <f aca="false">PU!L108/(INPUTS!$B$8*INPUTS!$B$7*(0.85*INPUTS!$B$5*(1-INPUTS!$B$9)+INPUTS!$B$6*INPUTS!$B$9))</f>
        <v>60.8175714250254</v>
      </c>
      <c r="M108" s="10" t="n">
        <f aca="false">PU!M108/(INPUTS!$B$8*INPUTS!$B$7*(0.85*INPUTS!$B$5*(1-INPUTS!$B$9)+INPUTS!$B$6*INPUTS!$B$9))</f>
        <v>60.8175714250254</v>
      </c>
      <c r="N108" s="10" t="n">
        <f aca="false">PU!N108/(INPUTS!$B$8*INPUTS!$B$7*(0.85*INPUTS!$B$5*(1-INPUTS!$B$9)+INPUTS!$B$6*INPUTS!$B$9))</f>
        <v>60.8175714250254</v>
      </c>
      <c r="O108" s="10" t="n">
        <f aca="false">PU!O108/(INPUTS!$B$8*INPUTS!$B$7*(0.85*INPUTS!$B$5*(1-INPUTS!$B$9)+INPUTS!$B$6*INPUTS!$B$9))</f>
        <v>60.8175714250254</v>
      </c>
      <c r="P108" s="10" t="n">
        <f aca="false">PU!P108/(INPUTS!$B$8*INPUTS!$B$7*(0.85*INPUTS!$B$5*(1-INPUTS!$B$9)+INPUTS!$B$6*INPUTS!$B$9))</f>
        <v>60.8175714250254</v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10" t="n">
        <f aca="false">PU!E109/(INPUTS!$B$8*INPUTS!$B$7*(0.85*INPUTS!$B$5*(1-INPUTS!$B$9)+INPUTS!$B$6*INPUTS!$B$9))</f>
        <v>25.2857621565269</v>
      </c>
      <c r="F109" s="10" t="n">
        <f aca="false">PU!F109/(INPUTS!$B$8*INPUTS!$B$7*(0.85*INPUTS!$B$5*(1-INPUTS!$B$9)+INPUTS!$B$6*INPUTS!$B$9))</f>
        <v>62.6132499317398</v>
      </c>
      <c r="G109" s="10" t="n">
        <f aca="false">PU!G109/(INPUTS!$B$8*INPUTS!$B$7*(0.85*INPUTS!$B$5*(1-INPUTS!$B$9)+INPUTS!$B$6*INPUTS!$B$9))</f>
        <v>73.4272221808524</v>
      </c>
      <c r="H109" s="10" t="n">
        <f aca="false">PU!H109/(INPUTS!$B$8*INPUTS!$B$7*(0.85*INPUTS!$B$5*(1-INPUTS!$B$9)+INPUTS!$B$6*INPUTS!$B$9))</f>
        <v>76.0692034651376</v>
      </c>
      <c r="I109" s="10" t="n">
        <f aca="false">PU!I109/(INPUTS!$B$8*INPUTS!$B$7*(0.85*INPUTS!$B$5*(1-INPUTS!$B$9)+INPUTS!$B$6*INPUTS!$B$9))</f>
        <v>83.5603916896269</v>
      </c>
      <c r="J109" s="10" t="n">
        <f aca="false">PU!J109/(INPUTS!$B$8*INPUTS!$B$7*(0.85*INPUTS!$B$5*(1-INPUTS!$B$9)+INPUTS!$B$6*INPUTS!$B$9))</f>
        <v>83.5603916896269</v>
      </c>
      <c r="K109" s="10" t="n">
        <f aca="false">PU!K109/(INPUTS!$B$8*INPUTS!$B$7*(0.85*INPUTS!$B$5*(1-INPUTS!$B$9)+INPUTS!$B$6*INPUTS!$B$9))</f>
        <v>83.5603916896269</v>
      </c>
      <c r="L109" s="10" t="n">
        <f aca="false">PU!L109/(INPUTS!$B$8*INPUTS!$B$7*(0.85*INPUTS!$B$5*(1-INPUTS!$B$9)+INPUTS!$B$6*INPUTS!$B$9))</f>
        <v>83.5603916896269</v>
      </c>
      <c r="M109" s="10" t="n">
        <f aca="false">PU!M109/(INPUTS!$B$8*INPUTS!$B$7*(0.85*INPUTS!$B$5*(1-INPUTS!$B$9)+INPUTS!$B$6*INPUTS!$B$9))</f>
        <v>83.5603916896269</v>
      </c>
      <c r="N109" s="10" t="n">
        <f aca="false">PU!N109/(INPUTS!$B$8*INPUTS!$B$7*(0.85*INPUTS!$B$5*(1-INPUTS!$B$9)+INPUTS!$B$6*INPUTS!$B$9))</f>
        <v>83.5603916896269</v>
      </c>
      <c r="O109" s="10" t="n">
        <f aca="false">PU!O109/(INPUTS!$B$8*INPUTS!$B$7*(0.85*INPUTS!$B$5*(1-INPUTS!$B$9)+INPUTS!$B$6*INPUTS!$B$9))</f>
        <v>83.5603916896269</v>
      </c>
      <c r="P109" s="10" t="n">
        <f aca="false">PU!P109/(INPUTS!$B$8*INPUTS!$B$7*(0.85*INPUTS!$B$5*(1-INPUTS!$B$9)+INPUTS!$B$6*INPUTS!$B$9))</f>
        <v>83.5603916896269</v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10" t="n">
        <f aca="false">PU!E110/(INPUTS!$B$8*INPUTS!$B$7*(0.85*INPUTS!$B$5*(1-INPUTS!$B$9)+INPUTS!$B$6*INPUTS!$B$9))</f>
        <v>13.8143197557525</v>
      </c>
      <c r="F110" s="10" t="n">
        <f aca="false">PU!F110/(INPUTS!$B$8*INPUTS!$B$7*(0.85*INPUTS!$B$5*(1-INPUTS!$B$9)+INPUTS!$B$6*INPUTS!$B$9))</f>
        <v>35.0174994415072</v>
      </c>
      <c r="G110" s="10" t="n">
        <f aca="false">PU!G110/(INPUTS!$B$8*INPUTS!$B$7*(0.85*INPUTS!$B$5*(1-INPUTS!$B$9)+INPUTS!$B$6*INPUTS!$B$9))</f>
        <v>52.5203539603346</v>
      </c>
      <c r="H110" s="10" t="n">
        <f aca="false">PU!H110/(INPUTS!$B$8*INPUTS!$B$7*(0.85*INPUTS!$B$5*(1-INPUTS!$B$9)+INPUTS!$B$6*INPUTS!$B$9))</f>
        <v>52.5203539603346</v>
      </c>
      <c r="I110" s="10" t="n">
        <f aca="false">PU!I110/(INPUTS!$B$8*INPUTS!$B$7*(0.85*INPUTS!$B$5*(1-INPUTS!$B$9)+INPUTS!$B$6*INPUTS!$B$9))</f>
        <v>52.5203539603346</v>
      </c>
      <c r="J110" s="10" t="n">
        <f aca="false">PU!J110/(INPUTS!$B$8*INPUTS!$B$7*(0.85*INPUTS!$B$5*(1-INPUTS!$B$9)+INPUTS!$B$6*INPUTS!$B$9))</f>
        <v>52.5203539603346</v>
      </c>
      <c r="K110" s="10" t="n">
        <f aca="false">PU!K110/(INPUTS!$B$8*INPUTS!$B$7*(0.85*INPUTS!$B$5*(1-INPUTS!$B$9)+INPUTS!$B$6*INPUTS!$B$9))</f>
        <v>52.5203539603346</v>
      </c>
      <c r="L110" s="10" t="n">
        <f aca="false">PU!L110/(INPUTS!$B$8*INPUTS!$B$7*(0.85*INPUTS!$B$5*(1-INPUTS!$B$9)+INPUTS!$B$6*INPUTS!$B$9))</f>
        <v>52.5203539603346</v>
      </c>
      <c r="M110" s="10" t="n">
        <f aca="false">PU!M110/(INPUTS!$B$8*INPUTS!$B$7*(0.85*INPUTS!$B$5*(1-INPUTS!$B$9)+INPUTS!$B$6*INPUTS!$B$9))</f>
        <v>52.5203539603346</v>
      </c>
      <c r="N110" s="10" t="n">
        <f aca="false">PU!N110/(INPUTS!$B$8*INPUTS!$B$7*(0.85*INPUTS!$B$5*(1-INPUTS!$B$9)+INPUTS!$B$6*INPUTS!$B$9))</f>
        <v>52.5203539603346</v>
      </c>
      <c r="O110" s="10" t="n">
        <f aca="false">PU!O110/(INPUTS!$B$8*INPUTS!$B$7*(0.85*INPUTS!$B$5*(1-INPUTS!$B$9)+INPUTS!$B$6*INPUTS!$B$9))</f>
        <v>52.5203539603346</v>
      </c>
      <c r="P110" s="10" t="n">
        <f aca="false">PU!P110/(INPUTS!$B$8*INPUTS!$B$7*(0.85*INPUTS!$B$5*(1-INPUTS!$B$9)+INPUTS!$B$6*INPUTS!$B$9))</f>
        <v>52.5203539603346</v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10" t="n">
        <f aca="false">PU!E111/(INPUTS!$B$8*INPUTS!$B$7*(0.85*INPUTS!$B$5*(1-INPUTS!$B$9)+INPUTS!$B$6*INPUTS!$B$9))</f>
        <v>12.7252587683372</v>
      </c>
      <c r="F111" s="10" t="n">
        <f aca="false">PU!F111/(INPUTS!$B$8*INPUTS!$B$7*(0.85*INPUTS!$B$5*(1-INPUTS!$B$9)+INPUTS!$B$6*INPUTS!$B$9))</f>
        <v>31.2011318787698</v>
      </c>
      <c r="G111" s="10" t="n">
        <f aca="false">PU!G111/(INPUTS!$B$8*INPUTS!$B$7*(0.85*INPUTS!$B$5*(1-INPUTS!$B$9)+INPUTS!$B$6*INPUTS!$B$9))</f>
        <v>38.3160200560975</v>
      </c>
      <c r="H111" s="10" t="n">
        <f aca="false">PU!H111/(INPUTS!$B$8*INPUTS!$B$7*(0.85*INPUTS!$B$5*(1-INPUTS!$B$9)+INPUTS!$B$6*INPUTS!$B$9))</f>
        <v>38.3160200560975</v>
      </c>
      <c r="I111" s="10" t="n">
        <f aca="false">PU!I111/(INPUTS!$B$8*INPUTS!$B$7*(0.85*INPUTS!$B$5*(1-INPUTS!$B$9)+INPUTS!$B$6*INPUTS!$B$9))</f>
        <v>38.3160200560975</v>
      </c>
      <c r="J111" s="10" t="n">
        <f aca="false">PU!J111/(INPUTS!$B$8*INPUTS!$B$7*(0.85*INPUTS!$B$5*(1-INPUTS!$B$9)+INPUTS!$B$6*INPUTS!$B$9))</f>
        <v>38.3160200560975</v>
      </c>
      <c r="K111" s="10" t="n">
        <f aca="false">PU!K111/(INPUTS!$B$8*INPUTS!$B$7*(0.85*INPUTS!$B$5*(1-INPUTS!$B$9)+INPUTS!$B$6*INPUTS!$B$9))</f>
        <v>38.3160200560975</v>
      </c>
      <c r="L111" s="10" t="n">
        <f aca="false">PU!L111/(INPUTS!$B$8*INPUTS!$B$7*(0.85*INPUTS!$B$5*(1-INPUTS!$B$9)+INPUTS!$B$6*INPUTS!$B$9))</f>
        <v>38.3160200560975</v>
      </c>
      <c r="M111" s="10" t="n">
        <f aca="false">PU!M111/(INPUTS!$B$8*INPUTS!$B$7*(0.85*INPUTS!$B$5*(1-INPUTS!$B$9)+INPUTS!$B$6*INPUTS!$B$9))</f>
        <v>38.3160200560975</v>
      </c>
      <c r="N111" s="10" t="n">
        <f aca="false">PU!N111/(INPUTS!$B$8*INPUTS!$B$7*(0.85*INPUTS!$B$5*(1-INPUTS!$B$9)+INPUTS!$B$6*INPUTS!$B$9))</f>
        <v>38.3160200560975</v>
      </c>
      <c r="O111" s="10" t="n">
        <f aca="false">PU!O111/(INPUTS!$B$8*INPUTS!$B$7*(0.85*INPUTS!$B$5*(1-INPUTS!$B$9)+INPUTS!$B$6*INPUTS!$B$9))</f>
        <v>38.3160200560975</v>
      </c>
      <c r="P111" s="10" t="n">
        <f aca="false">PU!P111/(INPUTS!$B$8*INPUTS!$B$7*(0.85*INPUTS!$B$5*(1-INPUTS!$B$9)+INPUTS!$B$6*INPUTS!$B$9))</f>
        <v>38.3160200560975</v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10" t="n">
        <f aca="false">PU!E112/(INPUTS!$B$8*INPUTS!$B$7*(0.85*INPUTS!$B$5*(1-INPUTS!$B$9)+INPUTS!$B$6*INPUTS!$B$9))</f>
        <v>0</v>
      </c>
      <c r="F112" s="10" t="n">
        <f aca="false">PU!F112/(INPUTS!$B$8*INPUTS!$B$7*(0.85*INPUTS!$B$5*(1-INPUTS!$B$9)+INPUTS!$B$6*INPUTS!$B$9))</f>
        <v>27.7400278005312</v>
      </c>
      <c r="G112" s="10" t="n">
        <f aca="false">PU!G112/(INPUTS!$B$8*INPUTS!$B$7*(0.85*INPUTS!$B$5*(1-INPUTS!$B$9)+INPUTS!$B$6*INPUTS!$B$9))</f>
        <v>27.7400278005312</v>
      </c>
      <c r="H112" s="10" t="n">
        <f aca="false">PU!H112/(INPUTS!$B$8*INPUTS!$B$7*(0.85*INPUTS!$B$5*(1-INPUTS!$B$9)+INPUTS!$B$6*INPUTS!$B$9))</f>
        <v>27.7400278005312</v>
      </c>
      <c r="I112" s="10" t="n">
        <f aca="false">PU!I112/(INPUTS!$B$8*INPUTS!$B$7*(0.85*INPUTS!$B$5*(1-INPUTS!$B$9)+INPUTS!$B$6*INPUTS!$B$9))</f>
        <v>27.7400278005312</v>
      </c>
      <c r="J112" s="10" t="n">
        <f aca="false">PU!J112/(INPUTS!$B$8*INPUTS!$B$7*(0.85*INPUTS!$B$5*(1-INPUTS!$B$9)+INPUTS!$B$6*INPUTS!$B$9))</f>
        <v>27.7400278005312</v>
      </c>
      <c r="K112" s="10" t="n">
        <f aca="false">PU!K112/(INPUTS!$B$8*INPUTS!$B$7*(0.85*INPUTS!$B$5*(1-INPUTS!$B$9)+INPUTS!$B$6*INPUTS!$B$9))</f>
        <v>27.7400278005312</v>
      </c>
      <c r="L112" s="10" t="n">
        <f aca="false">PU!L112/(INPUTS!$B$8*INPUTS!$B$7*(0.85*INPUTS!$B$5*(1-INPUTS!$B$9)+INPUTS!$B$6*INPUTS!$B$9))</f>
        <v>27.7400278005312</v>
      </c>
      <c r="M112" s="10" t="n">
        <f aca="false">PU!M112/(INPUTS!$B$8*INPUTS!$B$7*(0.85*INPUTS!$B$5*(1-INPUTS!$B$9)+INPUTS!$B$6*INPUTS!$B$9))</f>
        <v>27.7400278005312</v>
      </c>
      <c r="N112" s="10" t="n">
        <f aca="false">PU!N112/(INPUTS!$B$8*INPUTS!$B$7*(0.85*INPUTS!$B$5*(1-INPUTS!$B$9)+INPUTS!$B$6*INPUTS!$B$9))</f>
        <v>27.7400278005312</v>
      </c>
      <c r="O112" s="10" t="n">
        <f aca="false">PU!O112/(INPUTS!$B$8*INPUTS!$B$7*(0.85*INPUTS!$B$5*(1-INPUTS!$B$9)+INPUTS!$B$6*INPUTS!$B$9))</f>
        <v>27.7400278005312</v>
      </c>
      <c r="P112" s="10" t="n">
        <f aca="false">PU!P112/(INPUTS!$B$8*INPUTS!$B$7*(0.85*INPUTS!$B$5*(1-INPUTS!$B$9)+INPUTS!$B$6*INPUTS!$B$9))</f>
        <v>27.7400278005312</v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10" t="n">
        <f aca="false">PU!E113/(INPUTS!$B$8*INPUTS!$B$7*(0.85*INPUTS!$B$5*(1-INPUTS!$B$9)+INPUTS!$B$6*INPUTS!$B$9))</f>
        <v>0</v>
      </c>
      <c r="F113" s="10" t="n">
        <f aca="false">PU!F113/(INPUTS!$B$8*INPUTS!$B$7*(0.85*INPUTS!$B$5*(1-INPUTS!$B$9)+INPUTS!$B$6*INPUTS!$B$9))</f>
        <v>43.9277868791422</v>
      </c>
      <c r="G113" s="10" t="n">
        <f aca="false">PU!G113/(INPUTS!$B$8*INPUTS!$B$7*(0.85*INPUTS!$B$5*(1-INPUTS!$B$9)+INPUTS!$B$6*INPUTS!$B$9))</f>
        <v>43.9277868791422</v>
      </c>
      <c r="H113" s="10" t="n">
        <f aca="false">PU!H113/(INPUTS!$B$8*INPUTS!$B$7*(0.85*INPUTS!$B$5*(1-INPUTS!$B$9)+INPUTS!$B$6*INPUTS!$B$9))</f>
        <v>43.9277868791422</v>
      </c>
      <c r="I113" s="10" t="n">
        <f aca="false">PU!I113/(INPUTS!$B$8*INPUTS!$B$7*(0.85*INPUTS!$B$5*(1-INPUTS!$B$9)+INPUTS!$B$6*INPUTS!$B$9))</f>
        <v>43.9277868791422</v>
      </c>
      <c r="J113" s="10" t="n">
        <f aca="false">PU!J113/(INPUTS!$B$8*INPUTS!$B$7*(0.85*INPUTS!$B$5*(1-INPUTS!$B$9)+INPUTS!$B$6*INPUTS!$B$9))</f>
        <v>43.9277868791422</v>
      </c>
      <c r="K113" s="10" t="n">
        <f aca="false">PU!K113/(INPUTS!$B$8*INPUTS!$B$7*(0.85*INPUTS!$B$5*(1-INPUTS!$B$9)+INPUTS!$B$6*INPUTS!$B$9))</f>
        <v>43.9277868791422</v>
      </c>
      <c r="L113" s="10" t="n">
        <f aca="false">PU!L113/(INPUTS!$B$8*INPUTS!$B$7*(0.85*INPUTS!$B$5*(1-INPUTS!$B$9)+INPUTS!$B$6*INPUTS!$B$9))</f>
        <v>43.9277868791422</v>
      </c>
      <c r="M113" s="10" t="n">
        <f aca="false">PU!M113/(INPUTS!$B$8*INPUTS!$B$7*(0.85*INPUTS!$B$5*(1-INPUTS!$B$9)+INPUTS!$B$6*INPUTS!$B$9))</f>
        <v>43.9277868791422</v>
      </c>
      <c r="N113" s="10" t="n">
        <f aca="false">PU!N113/(INPUTS!$B$8*INPUTS!$B$7*(0.85*INPUTS!$B$5*(1-INPUTS!$B$9)+INPUTS!$B$6*INPUTS!$B$9))</f>
        <v>43.9277868791422</v>
      </c>
      <c r="O113" s="10" t="n">
        <f aca="false">PU!O113/(INPUTS!$B$8*INPUTS!$B$7*(0.85*INPUTS!$B$5*(1-INPUTS!$B$9)+INPUTS!$B$6*INPUTS!$B$9))</f>
        <v>43.9277868791422</v>
      </c>
      <c r="P113" s="10" t="n">
        <f aca="false">PU!P113/(INPUTS!$B$8*INPUTS!$B$7*(0.85*INPUTS!$B$5*(1-INPUTS!$B$9)+INPUTS!$B$6*INPUTS!$B$9))</f>
        <v>43.9277868791422</v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10" t="n">
        <f aca="false">PU!E114/(INPUTS!$B$8*INPUTS!$B$7*(0.85*INPUTS!$B$5*(1-INPUTS!$B$9)+INPUTS!$B$6*INPUTS!$B$9))</f>
        <v>41.4038647702733</v>
      </c>
      <c r="F114" s="10" t="n">
        <f aca="false">PU!F114/(INPUTS!$B$8*INPUTS!$B$7*(0.85*INPUTS!$B$5*(1-INPUTS!$B$9)+INPUTS!$B$6*INPUTS!$B$9))</f>
        <v>101.838061905826</v>
      </c>
      <c r="G114" s="10" t="n">
        <f aca="false">PU!G114/(INPUTS!$B$8*INPUTS!$B$7*(0.85*INPUTS!$B$5*(1-INPUTS!$B$9)+INPUTS!$B$6*INPUTS!$B$9))</f>
        <v>101.838061905826</v>
      </c>
      <c r="H114" s="10" t="n">
        <f aca="false">PU!H114/(INPUTS!$B$8*INPUTS!$B$7*(0.85*INPUTS!$B$5*(1-INPUTS!$B$9)+INPUTS!$B$6*INPUTS!$B$9))</f>
        <v>101.838061905826</v>
      </c>
      <c r="I114" s="10" t="n">
        <f aca="false">PU!I114/(INPUTS!$B$8*INPUTS!$B$7*(0.85*INPUTS!$B$5*(1-INPUTS!$B$9)+INPUTS!$B$6*INPUTS!$B$9))</f>
        <v>101.838061905826</v>
      </c>
      <c r="J114" s="10" t="n">
        <f aca="false">PU!J114/(INPUTS!$B$8*INPUTS!$B$7*(0.85*INPUTS!$B$5*(1-INPUTS!$B$9)+INPUTS!$B$6*INPUTS!$B$9))</f>
        <v>101.838061905826</v>
      </c>
      <c r="K114" s="10" t="n">
        <f aca="false">PU!K114/(INPUTS!$B$8*INPUTS!$B$7*(0.85*INPUTS!$B$5*(1-INPUTS!$B$9)+INPUTS!$B$6*INPUTS!$B$9))</f>
        <v>101.838061905826</v>
      </c>
      <c r="L114" s="10" t="n">
        <f aca="false">PU!L114/(INPUTS!$B$8*INPUTS!$B$7*(0.85*INPUTS!$B$5*(1-INPUTS!$B$9)+INPUTS!$B$6*INPUTS!$B$9))</f>
        <v>101.838061905826</v>
      </c>
      <c r="M114" s="10" t="n">
        <f aca="false">PU!M114/(INPUTS!$B$8*INPUTS!$B$7*(0.85*INPUTS!$B$5*(1-INPUTS!$B$9)+INPUTS!$B$6*INPUTS!$B$9))</f>
        <v>101.838061905826</v>
      </c>
      <c r="N114" s="10" t="n">
        <f aca="false">PU!N114/(INPUTS!$B$8*INPUTS!$B$7*(0.85*INPUTS!$B$5*(1-INPUTS!$B$9)+INPUTS!$B$6*INPUTS!$B$9))</f>
        <v>101.838061905826</v>
      </c>
      <c r="O114" s="10" t="n">
        <f aca="false">PU!O114/(INPUTS!$B$8*INPUTS!$B$7*(0.85*INPUTS!$B$5*(1-INPUTS!$B$9)+INPUTS!$B$6*INPUTS!$B$9))</f>
        <v>101.838061905826</v>
      </c>
      <c r="P114" s="10" t="n">
        <f aca="false">PU!P114/(INPUTS!$B$8*INPUTS!$B$7*(0.85*INPUTS!$B$5*(1-INPUTS!$B$9)+INPUTS!$B$6*INPUTS!$B$9))</f>
        <v>101.838061905826</v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10" t="n">
        <f aca="false">PU!E115/(INPUTS!$B$8*INPUTS!$B$7*(0.85*INPUTS!$B$5*(1-INPUTS!$B$9)+INPUTS!$B$6*INPUTS!$B$9))</f>
        <v>40.9682403753072</v>
      </c>
      <c r="F115" s="10" t="n">
        <f aca="false">PU!F115/(INPUTS!$B$8*INPUTS!$B$7*(0.85*INPUTS!$B$5*(1-INPUTS!$B$9)+INPUTS!$B$6*INPUTS!$B$9))</f>
        <v>100.758309131978</v>
      </c>
      <c r="G115" s="10" t="n">
        <f aca="false">PU!G115/(INPUTS!$B$8*INPUTS!$B$7*(0.85*INPUTS!$B$5*(1-INPUTS!$B$9)+INPUTS!$B$6*INPUTS!$B$9))</f>
        <v>100.758309131978</v>
      </c>
      <c r="H115" s="10" t="n">
        <f aca="false">PU!H115/(INPUTS!$B$8*INPUTS!$B$7*(0.85*INPUTS!$B$5*(1-INPUTS!$B$9)+INPUTS!$B$6*INPUTS!$B$9))</f>
        <v>100.758309131978</v>
      </c>
      <c r="I115" s="10" t="n">
        <f aca="false">PU!I115/(INPUTS!$B$8*INPUTS!$B$7*(0.85*INPUTS!$B$5*(1-INPUTS!$B$9)+INPUTS!$B$6*INPUTS!$B$9))</f>
        <v>100.758309131978</v>
      </c>
      <c r="J115" s="10" t="n">
        <f aca="false">PU!J115/(INPUTS!$B$8*INPUTS!$B$7*(0.85*INPUTS!$B$5*(1-INPUTS!$B$9)+INPUTS!$B$6*INPUTS!$B$9))</f>
        <v>100.758309131978</v>
      </c>
      <c r="K115" s="10" t="n">
        <f aca="false">PU!K115/(INPUTS!$B$8*INPUTS!$B$7*(0.85*INPUTS!$B$5*(1-INPUTS!$B$9)+INPUTS!$B$6*INPUTS!$B$9))</f>
        <v>100.758309131978</v>
      </c>
      <c r="L115" s="10" t="n">
        <f aca="false">PU!L115/(INPUTS!$B$8*INPUTS!$B$7*(0.85*INPUTS!$B$5*(1-INPUTS!$B$9)+INPUTS!$B$6*INPUTS!$B$9))</f>
        <v>100.758309131978</v>
      </c>
      <c r="M115" s="10" t="n">
        <f aca="false">PU!M115/(INPUTS!$B$8*INPUTS!$B$7*(0.85*INPUTS!$B$5*(1-INPUTS!$B$9)+INPUTS!$B$6*INPUTS!$B$9))</f>
        <v>100.758309131978</v>
      </c>
      <c r="N115" s="10" t="n">
        <f aca="false">PU!N115/(INPUTS!$B$8*INPUTS!$B$7*(0.85*INPUTS!$B$5*(1-INPUTS!$B$9)+INPUTS!$B$6*INPUTS!$B$9))</f>
        <v>100.758309131978</v>
      </c>
      <c r="O115" s="10" t="n">
        <f aca="false">PU!O115/(INPUTS!$B$8*INPUTS!$B$7*(0.85*INPUTS!$B$5*(1-INPUTS!$B$9)+INPUTS!$B$6*INPUTS!$B$9))</f>
        <v>100.758309131978</v>
      </c>
      <c r="P115" s="10" t="n">
        <f aca="false">PU!P115/(INPUTS!$B$8*INPUTS!$B$7*(0.85*INPUTS!$B$5*(1-INPUTS!$B$9)+INPUTS!$B$6*INPUTS!$B$9))</f>
        <v>100.758309131978</v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10" t="n">
        <f aca="false">PU!E116/(INPUTS!$B$8*INPUTS!$B$7*(0.85*INPUTS!$B$5*(1-INPUTS!$B$9)+INPUTS!$B$6*INPUTS!$B$9))</f>
        <v>44.2354233375531</v>
      </c>
      <c r="F116" s="10" t="n">
        <f aca="false">PU!F116/(INPUTS!$B$8*INPUTS!$B$7*(0.85*INPUTS!$B$5*(1-INPUTS!$B$9)+INPUTS!$B$6*INPUTS!$B$9))</f>
        <v>108.856454935835</v>
      </c>
      <c r="G116" s="10" t="n">
        <f aca="false">PU!G116/(INPUTS!$B$8*INPUTS!$B$7*(0.85*INPUTS!$B$5*(1-INPUTS!$B$9)+INPUTS!$B$6*INPUTS!$B$9))</f>
        <v>108.856454935835</v>
      </c>
      <c r="H116" s="10" t="n">
        <f aca="false">PU!H116/(INPUTS!$B$8*INPUTS!$B$7*(0.85*INPUTS!$B$5*(1-INPUTS!$B$9)+INPUTS!$B$6*INPUTS!$B$9))</f>
        <v>108.856454935835</v>
      </c>
      <c r="I116" s="10" t="n">
        <f aca="false">PU!I116/(INPUTS!$B$8*INPUTS!$B$7*(0.85*INPUTS!$B$5*(1-INPUTS!$B$9)+INPUTS!$B$6*INPUTS!$B$9))</f>
        <v>108.856454935835</v>
      </c>
      <c r="J116" s="10" t="n">
        <f aca="false">PU!J116/(INPUTS!$B$8*INPUTS!$B$7*(0.85*INPUTS!$B$5*(1-INPUTS!$B$9)+INPUTS!$B$6*INPUTS!$B$9))</f>
        <v>108.856454935835</v>
      </c>
      <c r="K116" s="10" t="n">
        <f aca="false">PU!K116/(INPUTS!$B$8*INPUTS!$B$7*(0.85*INPUTS!$B$5*(1-INPUTS!$B$9)+INPUTS!$B$6*INPUTS!$B$9))</f>
        <v>108.856454935835</v>
      </c>
      <c r="L116" s="10" t="n">
        <f aca="false">PU!L116/(INPUTS!$B$8*INPUTS!$B$7*(0.85*INPUTS!$B$5*(1-INPUTS!$B$9)+INPUTS!$B$6*INPUTS!$B$9))</f>
        <v>108.856454935835</v>
      </c>
      <c r="M116" s="10" t="n">
        <f aca="false">PU!M116/(INPUTS!$B$8*INPUTS!$B$7*(0.85*INPUTS!$B$5*(1-INPUTS!$B$9)+INPUTS!$B$6*INPUTS!$B$9))</f>
        <v>108.856454935835</v>
      </c>
      <c r="N116" s="10" t="n">
        <f aca="false">PU!N116/(INPUTS!$B$8*INPUTS!$B$7*(0.85*INPUTS!$B$5*(1-INPUTS!$B$9)+INPUTS!$B$6*INPUTS!$B$9))</f>
        <v>108.856454935835</v>
      </c>
      <c r="O116" s="10" t="n">
        <f aca="false">PU!O116/(INPUTS!$B$8*INPUTS!$B$7*(0.85*INPUTS!$B$5*(1-INPUTS!$B$9)+INPUTS!$B$6*INPUTS!$B$9))</f>
        <v>108.856454935835</v>
      </c>
      <c r="P116" s="10" t="n">
        <f aca="false">PU!P116/(INPUTS!$B$8*INPUTS!$B$7*(0.85*INPUTS!$B$5*(1-INPUTS!$B$9)+INPUTS!$B$6*INPUTS!$B$9))</f>
        <v>108.856454935835</v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10" t="n">
        <f aca="false">PU!E117/(INPUTS!$B$8*INPUTS!$B$7*(0.85*INPUTS!$B$5*(1-INPUTS!$B$9)+INPUTS!$B$6*INPUTS!$B$9))</f>
        <v>42.4203216918609</v>
      </c>
      <c r="F117" s="10" t="n">
        <f aca="false">PU!F117/(INPUTS!$B$8*INPUTS!$B$7*(0.85*INPUTS!$B$5*(1-INPUTS!$B$9)+INPUTS!$B$6*INPUTS!$B$9))</f>
        <v>104.357485044804</v>
      </c>
      <c r="G117" s="10" t="n">
        <f aca="false">PU!G117/(INPUTS!$B$8*INPUTS!$B$7*(0.85*INPUTS!$B$5*(1-INPUTS!$B$9)+INPUTS!$B$6*INPUTS!$B$9))</f>
        <v>104.357485044804</v>
      </c>
      <c r="H117" s="10" t="n">
        <f aca="false">PU!H117/(INPUTS!$B$8*INPUTS!$B$7*(0.85*INPUTS!$B$5*(1-INPUTS!$B$9)+INPUTS!$B$6*INPUTS!$B$9))</f>
        <v>104.357485044804</v>
      </c>
      <c r="I117" s="10" t="n">
        <f aca="false">PU!I117/(INPUTS!$B$8*INPUTS!$B$7*(0.85*INPUTS!$B$5*(1-INPUTS!$B$9)+INPUTS!$B$6*INPUTS!$B$9))</f>
        <v>104.357485044804</v>
      </c>
      <c r="J117" s="10" t="n">
        <f aca="false">PU!J117/(INPUTS!$B$8*INPUTS!$B$7*(0.85*INPUTS!$B$5*(1-INPUTS!$B$9)+INPUTS!$B$6*INPUTS!$B$9))</f>
        <v>104.357485044804</v>
      </c>
      <c r="K117" s="10" t="n">
        <f aca="false">PU!K117/(INPUTS!$B$8*INPUTS!$B$7*(0.85*INPUTS!$B$5*(1-INPUTS!$B$9)+INPUTS!$B$6*INPUTS!$B$9))</f>
        <v>104.357485044804</v>
      </c>
      <c r="L117" s="10" t="n">
        <f aca="false">PU!L117/(INPUTS!$B$8*INPUTS!$B$7*(0.85*INPUTS!$B$5*(1-INPUTS!$B$9)+INPUTS!$B$6*INPUTS!$B$9))</f>
        <v>104.357485044804</v>
      </c>
      <c r="M117" s="10" t="n">
        <f aca="false">PU!M117/(INPUTS!$B$8*INPUTS!$B$7*(0.85*INPUTS!$B$5*(1-INPUTS!$B$9)+INPUTS!$B$6*INPUTS!$B$9))</f>
        <v>104.357485044804</v>
      </c>
      <c r="N117" s="10" t="n">
        <f aca="false">PU!N117/(INPUTS!$B$8*INPUTS!$B$7*(0.85*INPUTS!$B$5*(1-INPUTS!$B$9)+INPUTS!$B$6*INPUTS!$B$9))</f>
        <v>104.357485044804</v>
      </c>
      <c r="O117" s="10" t="n">
        <f aca="false">PU!O117/(INPUTS!$B$8*INPUTS!$B$7*(0.85*INPUTS!$B$5*(1-INPUTS!$B$9)+INPUTS!$B$6*INPUTS!$B$9))</f>
        <v>104.357485044804</v>
      </c>
      <c r="P117" s="10" t="n">
        <f aca="false">PU!P117/(INPUTS!$B$8*INPUTS!$B$7*(0.85*INPUTS!$B$5*(1-INPUTS!$B$9)+INPUTS!$B$6*INPUTS!$B$9))</f>
        <v>104.357485044804</v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10" t="n">
        <f aca="false">PU!E118/(INPUTS!$B$8*INPUTS!$B$7*(0.85*INPUTS!$B$5*(1-INPUTS!$B$9)+INPUTS!$B$6*INPUTS!$B$9))</f>
        <v>19.0418124953459</v>
      </c>
      <c r="F118" s="10" t="n">
        <f aca="false">PU!F118/(INPUTS!$B$8*INPUTS!$B$7*(0.85*INPUTS!$B$5*(1-INPUTS!$B$9)+INPUTS!$B$6*INPUTS!$B$9))</f>
        <v>46.4107528483133</v>
      </c>
      <c r="G118" s="10" t="n">
        <f aca="false">PU!G118/(INPUTS!$B$8*INPUTS!$B$7*(0.85*INPUTS!$B$5*(1-INPUTS!$B$9)+INPUTS!$B$6*INPUTS!$B$9))</f>
        <v>46.4107528483133</v>
      </c>
      <c r="H118" s="10" t="n">
        <f aca="false">PU!H118/(INPUTS!$B$8*INPUTS!$B$7*(0.85*INPUTS!$B$5*(1-INPUTS!$B$9)+INPUTS!$B$6*INPUTS!$B$9))</f>
        <v>46.4107528483133</v>
      </c>
      <c r="I118" s="10" t="n">
        <f aca="false">PU!I118/(INPUTS!$B$8*INPUTS!$B$7*(0.85*INPUTS!$B$5*(1-INPUTS!$B$9)+INPUTS!$B$6*INPUTS!$B$9))</f>
        <v>46.4107528483133</v>
      </c>
      <c r="J118" s="10" t="n">
        <f aca="false">PU!J118/(INPUTS!$B$8*INPUTS!$B$7*(0.85*INPUTS!$B$5*(1-INPUTS!$B$9)+INPUTS!$B$6*INPUTS!$B$9))</f>
        <v>46.4107528483133</v>
      </c>
      <c r="K118" s="10" t="n">
        <f aca="false">PU!K118/(INPUTS!$B$8*INPUTS!$B$7*(0.85*INPUTS!$B$5*(1-INPUTS!$B$9)+INPUTS!$B$6*INPUTS!$B$9))</f>
        <v>46.4107528483133</v>
      </c>
      <c r="L118" s="10" t="n">
        <f aca="false">PU!L118/(INPUTS!$B$8*INPUTS!$B$7*(0.85*INPUTS!$B$5*(1-INPUTS!$B$9)+INPUTS!$B$6*INPUTS!$B$9))</f>
        <v>46.4107528483133</v>
      </c>
      <c r="M118" s="10" t="n">
        <f aca="false">PU!M118/(INPUTS!$B$8*INPUTS!$B$7*(0.85*INPUTS!$B$5*(1-INPUTS!$B$9)+INPUTS!$B$6*INPUTS!$B$9))</f>
        <v>46.4107528483133</v>
      </c>
      <c r="N118" s="10" t="n">
        <f aca="false">PU!N118/(INPUTS!$B$8*INPUTS!$B$7*(0.85*INPUTS!$B$5*(1-INPUTS!$B$9)+INPUTS!$B$6*INPUTS!$B$9))</f>
        <v>46.4107528483133</v>
      </c>
      <c r="O118" s="10" t="n">
        <f aca="false">PU!O118/(INPUTS!$B$8*INPUTS!$B$7*(0.85*INPUTS!$B$5*(1-INPUTS!$B$9)+INPUTS!$B$6*INPUTS!$B$9))</f>
        <v>46.4107528483133</v>
      </c>
      <c r="P118" s="10" t="n">
        <f aca="false">PU!P118/(INPUTS!$B$8*INPUTS!$B$7*(0.85*INPUTS!$B$5*(1-INPUTS!$B$9)+INPUTS!$B$6*INPUTS!$B$9))</f>
        <v>46.4107528483133</v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10" t="n">
        <f aca="false">PU!E119/(INPUTS!$B$8*INPUTS!$B$7*(0.85*INPUTS!$B$5*(1-INPUTS!$B$9)+INPUTS!$B$6*INPUTS!$B$9))</f>
        <v>0</v>
      </c>
      <c r="F119" s="10" t="n">
        <f aca="false">PU!F119/(INPUTS!$B$8*INPUTS!$B$7*(0.85*INPUTS!$B$5*(1-INPUTS!$B$9)+INPUTS!$B$6*INPUTS!$B$9))</f>
        <v>0</v>
      </c>
      <c r="G119" s="10" t="n">
        <f aca="false">PU!G119/(INPUTS!$B$8*INPUTS!$B$7*(0.85*INPUTS!$B$5*(1-INPUTS!$B$9)+INPUTS!$B$6*INPUTS!$B$9))</f>
        <v>0</v>
      </c>
      <c r="H119" s="10" t="n">
        <f aca="false">PU!H119/(INPUTS!$B$8*INPUTS!$B$7*(0.85*INPUTS!$B$5*(1-INPUTS!$B$9)+INPUTS!$B$6*INPUTS!$B$9))</f>
        <v>0</v>
      </c>
      <c r="I119" s="10" t="n">
        <f aca="false">PU!I119/(INPUTS!$B$8*INPUTS!$B$7*(0.85*INPUTS!$B$5*(1-INPUTS!$B$9)+INPUTS!$B$6*INPUTS!$B$9))</f>
        <v>0</v>
      </c>
      <c r="J119" s="10" t="n">
        <f aca="false">PU!J119/(INPUTS!$B$8*INPUTS!$B$7*(0.85*INPUTS!$B$5*(1-INPUTS!$B$9)+INPUTS!$B$6*INPUTS!$B$9))</f>
        <v>2.05246109166729</v>
      </c>
      <c r="K119" s="10" t="n">
        <f aca="false">PU!K119/(INPUTS!$B$8*INPUTS!$B$7*(0.85*INPUTS!$B$5*(1-INPUTS!$B$9)+INPUTS!$B$6*INPUTS!$B$9))</f>
        <v>2.05246109166729</v>
      </c>
      <c r="L119" s="10" t="n">
        <f aca="false">PU!L119/(INPUTS!$B$8*INPUTS!$B$7*(0.85*INPUTS!$B$5*(1-INPUTS!$B$9)+INPUTS!$B$6*INPUTS!$B$9))</f>
        <v>2.05246109166729</v>
      </c>
      <c r="M119" s="10" t="n">
        <f aca="false">PU!M119/(INPUTS!$B$8*INPUTS!$B$7*(0.85*INPUTS!$B$5*(1-INPUTS!$B$9)+INPUTS!$B$6*INPUTS!$B$9))</f>
        <v>2.05246109166729</v>
      </c>
      <c r="N119" s="10" t="n">
        <f aca="false">PU!N119/(INPUTS!$B$8*INPUTS!$B$7*(0.85*INPUTS!$B$5*(1-INPUTS!$B$9)+INPUTS!$B$6*INPUTS!$B$9))</f>
        <v>2.05246109166729</v>
      </c>
      <c r="O119" s="10" t="n">
        <f aca="false">PU!O119/(INPUTS!$B$8*INPUTS!$B$7*(0.85*INPUTS!$B$5*(1-INPUTS!$B$9)+INPUTS!$B$6*INPUTS!$B$9))</f>
        <v>2.05246109166729</v>
      </c>
      <c r="P119" s="10" t="n">
        <f aca="false">PU!P119/(INPUTS!$B$8*INPUTS!$B$7*(0.85*INPUTS!$B$5*(1-INPUTS!$B$9)+INPUTS!$B$6*INPUTS!$B$9))</f>
        <v>2.05246109166729</v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10" t="n">
        <f aca="false">PU!E120/(INPUTS!$B$8*INPUTS!$B$7*(0.85*INPUTS!$B$5*(1-INPUTS!$B$9)+INPUTS!$B$6*INPUTS!$B$9))</f>
        <v>0</v>
      </c>
      <c r="F120" s="10" t="n">
        <f aca="false">PU!F120/(INPUTS!$B$8*INPUTS!$B$7*(0.85*INPUTS!$B$5*(1-INPUTS!$B$9)+INPUTS!$B$6*INPUTS!$B$9))</f>
        <v>0</v>
      </c>
      <c r="G120" s="10" t="n">
        <f aca="false">PU!G120/(INPUTS!$B$8*INPUTS!$B$7*(0.85*INPUTS!$B$5*(1-INPUTS!$B$9)+INPUTS!$B$6*INPUTS!$B$9))</f>
        <v>0</v>
      </c>
      <c r="H120" s="10" t="n">
        <f aca="false">PU!H120/(INPUTS!$B$8*INPUTS!$B$7*(0.85*INPUTS!$B$5*(1-INPUTS!$B$9)+INPUTS!$B$6*INPUTS!$B$9))</f>
        <v>0</v>
      </c>
      <c r="I120" s="10" t="n">
        <f aca="false">PU!I120/(INPUTS!$B$8*INPUTS!$B$7*(0.85*INPUTS!$B$5*(1-INPUTS!$B$9)+INPUTS!$B$6*INPUTS!$B$9))</f>
        <v>0</v>
      </c>
      <c r="J120" s="10" t="n">
        <f aca="false">PU!J120/(INPUTS!$B$8*INPUTS!$B$7*(0.85*INPUTS!$B$5*(1-INPUTS!$B$9)+INPUTS!$B$6*INPUTS!$B$9))</f>
        <v>7.502109861742</v>
      </c>
      <c r="K120" s="10" t="n">
        <f aca="false">PU!K120/(INPUTS!$B$8*INPUTS!$B$7*(0.85*INPUTS!$B$5*(1-INPUTS!$B$9)+INPUTS!$B$6*INPUTS!$B$9))</f>
        <v>7.502109861742</v>
      </c>
      <c r="L120" s="10" t="n">
        <f aca="false">PU!L120/(INPUTS!$B$8*INPUTS!$B$7*(0.85*INPUTS!$B$5*(1-INPUTS!$B$9)+INPUTS!$B$6*INPUTS!$B$9))</f>
        <v>7.502109861742</v>
      </c>
      <c r="M120" s="10" t="n">
        <f aca="false">PU!M120/(INPUTS!$B$8*INPUTS!$B$7*(0.85*INPUTS!$B$5*(1-INPUTS!$B$9)+INPUTS!$B$6*INPUTS!$B$9))</f>
        <v>7.502109861742</v>
      </c>
      <c r="N120" s="10" t="n">
        <f aca="false">PU!N120/(INPUTS!$B$8*INPUTS!$B$7*(0.85*INPUTS!$B$5*(1-INPUTS!$B$9)+INPUTS!$B$6*INPUTS!$B$9))</f>
        <v>7.502109861742</v>
      </c>
      <c r="O120" s="10" t="n">
        <f aca="false">PU!O120/(INPUTS!$B$8*INPUTS!$B$7*(0.85*INPUTS!$B$5*(1-INPUTS!$B$9)+INPUTS!$B$6*INPUTS!$B$9))</f>
        <v>7.502109861742</v>
      </c>
      <c r="P120" s="10" t="n">
        <f aca="false">PU!P120/(INPUTS!$B$8*INPUTS!$B$7*(0.85*INPUTS!$B$5*(1-INPUTS!$B$9)+INPUTS!$B$6*INPUTS!$B$9))</f>
        <v>7.502109861742</v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10" t="n">
        <f aca="false">PU!E121/(INPUTS!$B$8*INPUTS!$B$7*(0.85*INPUTS!$B$5*(1-INPUTS!$B$9)+INPUTS!$B$6*INPUTS!$B$9))</f>
        <v>0</v>
      </c>
      <c r="F121" s="10" t="n">
        <f aca="false">PU!F121/(INPUTS!$B$8*INPUTS!$B$7*(0.85*INPUTS!$B$5*(1-INPUTS!$B$9)+INPUTS!$B$6*INPUTS!$B$9))</f>
        <v>0</v>
      </c>
      <c r="G121" s="10" t="n">
        <f aca="false">PU!G121/(INPUTS!$B$8*INPUTS!$B$7*(0.85*INPUTS!$B$5*(1-INPUTS!$B$9)+INPUTS!$B$6*INPUTS!$B$9))</f>
        <v>0</v>
      </c>
      <c r="H121" s="10" t="n">
        <f aca="false">PU!H121/(INPUTS!$B$8*INPUTS!$B$7*(0.85*INPUTS!$B$5*(1-INPUTS!$B$9)+INPUTS!$B$6*INPUTS!$B$9))</f>
        <v>0</v>
      </c>
      <c r="I121" s="10" t="n">
        <f aca="false">PU!I121/(INPUTS!$B$8*INPUTS!$B$7*(0.85*INPUTS!$B$5*(1-INPUTS!$B$9)+INPUTS!$B$6*INPUTS!$B$9))</f>
        <v>0</v>
      </c>
      <c r="J121" s="10" t="n">
        <f aca="false">PU!J121/(INPUTS!$B$8*INPUTS!$B$7*(0.85*INPUTS!$B$5*(1-INPUTS!$B$9)+INPUTS!$B$6*INPUTS!$B$9))</f>
        <v>2.05246109166729</v>
      </c>
      <c r="K121" s="10" t="n">
        <f aca="false">PU!K121/(INPUTS!$B$8*INPUTS!$B$7*(0.85*INPUTS!$B$5*(1-INPUTS!$B$9)+INPUTS!$B$6*INPUTS!$B$9))</f>
        <v>2.05246109166729</v>
      </c>
      <c r="L121" s="10" t="n">
        <f aca="false">PU!L121/(INPUTS!$B$8*INPUTS!$B$7*(0.85*INPUTS!$B$5*(1-INPUTS!$B$9)+INPUTS!$B$6*INPUTS!$B$9))</f>
        <v>2.05246109166729</v>
      </c>
      <c r="M121" s="10" t="n">
        <f aca="false">PU!M121/(INPUTS!$B$8*INPUTS!$B$7*(0.85*INPUTS!$B$5*(1-INPUTS!$B$9)+INPUTS!$B$6*INPUTS!$B$9))</f>
        <v>2.05246109166729</v>
      </c>
      <c r="N121" s="10" t="n">
        <f aca="false">PU!N121/(INPUTS!$B$8*INPUTS!$B$7*(0.85*INPUTS!$B$5*(1-INPUTS!$B$9)+INPUTS!$B$6*INPUTS!$B$9))</f>
        <v>2.05246109166729</v>
      </c>
      <c r="O121" s="10" t="n">
        <f aca="false">PU!O121/(INPUTS!$B$8*INPUTS!$B$7*(0.85*INPUTS!$B$5*(1-INPUTS!$B$9)+INPUTS!$B$6*INPUTS!$B$9))</f>
        <v>2.05246109166729</v>
      </c>
      <c r="P121" s="10" t="n">
        <f aca="false">PU!P121/(INPUTS!$B$8*INPUTS!$B$7*(0.85*INPUTS!$B$5*(1-INPUTS!$B$9)+INPUTS!$B$6*INPUTS!$B$9))</f>
        <v>2.05246109166729</v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10" t="n">
        <f aca="false">PU!E122/(INPUTS!$B$8*INPUTS!$B$7*(0.85*INPUTS!$B$5*(1-INPUTS!$B$9)+INPUTS!$B$6*INPUTS!$B$9))</f>
        <v>0</v>
      </c>
      <c r="F122" s="10" t="n">
        <f aca="false">PU!F122/(INPUTS!$B$8*INPUTS!$B$7*(0.85*INPUTS!$B$5*(1-INPUTS!$B$9)+INPUTS!$B$6*INPUTS!$B$9))</f>
        <v>0</v>
      </c>
      <c r="G122" s="10" t="n">
        <f aca="false">PU!G122/(INPUTS!$B$8*INPUTS!$B$7*(0.85*INPUTS!$B$5*(1-INPUTS!$B$9)+INPUTS!$B$6*INPUTS!$B$9))</f>
        <v>0</v>
      </c>
      <c r="H122" s="10" t="n">
        <f aca="false">PU!H122/(INPUTS!$B$8*INPUTS!$B$7*(0.85*INPUTS!$B$5*(1-INPUTS!$B$9)+INPUTS!$B$6*INPUTS!$B$9))</f>
        <v>0</v>
      </c>
      <c r="I122" s="10" t="n">
        <f aca="false">PU!I122/(INPUTS!$B$8*INPUTS!$B$7*(0.85*INPUTS!$B$5*(1-INPUTS!$B$9)+INPUTS!$B$6*INPUTS!$B$9))</f>
        <v>0</v>
      </c>
      <c r="J122" s="10" t="n">
        <f aca="false">PU!J122/(INPUTS!$B$8*INPUTS!$B$7*(0.85*INPUTS!$B$5*(1-INPUTS!$B$9)+INPUTS!$B$6*INPUTS!$B$9))</f>
        <v>2.05246109166729</v>
      </c>
      <c r="K122" s="10" t="n">
        <f aca="false">PU!K122/(INPUTS!$B$8*INPUTS!$B$7*(0.85*INPUTS!$B$5*(1-INPUTS!$B$9)+INPUTS!$B$6*INPUTS!$B$9))</f>
        <v>2.05246109166729</v>
      </c>
      <c r="L122" s="10" t="n">
        <f aca="false">PU!L122/(INPUTS!$B$8*INPUTS!$B$7*(0.85*INPUTS!$B$5*(1-INPUTS!$B$9)+INPUTS!$B$6*INPUTS!$B$9))</f>
        <v>2.05246109166729</v>
      </c>
      <c r="M122" s="10" t="n">
        <f aca="false">PU!M122/(INPUTS!$B$8*INPUTS!$B$7*(0.85*INPUTS!$B$5*(1-INPUTS!$B$9)+INPUTS!$B$6*INPUTS!$B$9))</f>
        <v>2.05246109166729</v>
      </c>
      <c r="N122" s="10" t="n">
        <f aca="false">PU!N122/(INPUTS!$B$8*INPUTS!$B$7*(0.85*INPUTS!$B$5*(1-INPUTS!$B$9)+INPUTS!$B$6*INPUTS!$B$9))</f>
        <v>2.05246109166729</v>
      </c>
      <c r="O122" s="10" t="n">
        <f aca="false">PU!O122/(INPUTS!$B$8*INPUTS!$B$7*(0.85*INPUTS!$B$5*(1-INPUTS!$B$9)+INPUTS!$B$6*INPUTS!$B$9))</f>
        <v>2.05246109166729</v>
      </c>
      <c r="P122" s="10" t="n">
        <f aca="false">PU!P122/(INPUTS!$B$8*INPUTS!$B$7*(0.85*INPUTS!$B$5*(1-INPUTS!$B$9)+INPUTS!$B$6*INPUTS!$B$9))</f>
        <v>2.05246109166729</v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10" t="n">
        <f aca="false">PU!E123/(INPUTS!$B$8*INPUTS!$B$7*(0.85*INPUTS!$B$5*(1-INPUTS!$B$9)+INPUTS!$B$6*INPUTS!$B$9))</f>
        <v>0</v>
      </c>
      <c r="F123" s="10" t="n">
        <f aca="false">PU!F123/(INPUTS!$B$8*INPUTS!$B$7*(0.85*INPUTS!$B$5*(1-INPUTS!$B$9)+INPUTS!$B$6*INPUTS!$B$9))</f>
        <v>0</v>
      </c>
      <c r="G123" s="10" t="n">
        <f aca="false">PU!G123/(INPUTS!$B$8*INPUTS!$B$7*(0.85*INPUTS!$B$5*(1-INPUTS!$B$9)+INPUTS!$B$6*INPUTS!$B$9))</f>
        <v>0</v>
      </c>
      <c r="H123" s="10" t="n">
        <f aca="false">PU!H123/(INPUTS!$B$8*INPUTS!$B$7*(0.85*INPUTS!$B$5*(1-INPUTS!$B$9)+INPUTS!$B$6*INPUTS!$B$9))</f>
        <v>0</v>
      </c>
      <c r="I123" s="10" t="n">
        <f aca="false">PU!I123/(INPUTS!$B$8*INPUTS!$B$7*(0.85*INPUTS!$B$5*(1-INPUTS!$B$9)+INPUTS!$B$6*INPUTS!$B$9))</f>
        <v>0</v>
      </c>
      <c r="J123" s="10" t="n">
        <f aca="false">PU!J123/(INPUTS!$B$8*INPUTS!$B$7*(0.85*INPUTS!$B$5*(1-INPUTS!$B$9)+INPUTS!$B$6*INPUTS!$B$9))</f>
        <v>2.05246109166729</v>
      </c>
      <c r="K123" s="10" t="n">
        <f aca="false">PU!K123/(INPUTS!$B$8*INPUTS!$B$7*(0.85*INPUTS!$B$5*(1-INPUTS!$B$9)+INPUTS!$B$6*INPUTS!$B$9))</f>
        <v>2.05246109166729</v>
      </c>
      <c r="L123" s="10" t="n">
        <f aca="false">PU!L123/(INPUTS!$B$8*INPUTS!$B$7*(0.85*INPUTS!$B$5*(1-INPUTS!$B$9)+INPUTS!$B$6*INPUTS!$B$9))</f>
        <v>2.05246109166729</v>
      </c>
      <c r="M123" s="10" t="n">
        <f aca="false">PU!M123/(INPUTS!$B$8*INPUTS!$B$7*(0.85*INPUTS!$B$5*(1-INPUTS!$B$9)+INPUTS!$B$6*INPUTS!$B$9))</f>
        <v>2.05246109166729</v>
      </c>
      <c r="N123" s="10" t="n">
        <f aca="false">PU!N123/(INPUTS!$B$8*INPUTS!$B$7*(0.85*INPUTS!$B$5*(1-INPUTS!$B$9)+INPUTS!$B$6*INPUTS!$B$9))</f>
        <v>2.05246109166729</v>
      </c>
      <c r="O123" s="10" t="n">
        <f aca="false">PU!O123/(INPUTS!$B$8*INPUTS!$B$7*(0.85*INPUTS!$B$5*(1-INPUTS!$B$9)+INPUTS!$B$6*INPUTS!$B$9))</f>
        <v>2.05246109166729</v>
      </c>
      <c r="P123" s="10" t="n">
        <f aca="false">PU!P123/(INPUTS!$B$8*INPUTS!$B$7*(0.85*INPUTS!$B$5*(1-INPUTS!$B$9)+INPUTS!$B$6*INPUTS!$B$9))</f>
        <v>2.05246109166729</v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10" t="n">
        <f aca="false">PU!E124/(INPUTS!$B$8*INPUTS!$B$7*(0.85*INPUTS!$B$5*(1-INPUTS!$B$9)+INPUTS!$B$6*INPUTS!$B$9))</f>
        <v>0</v>
      </c>
      <c r="F124" s="10" t="n">
        <f aca="false">PU!F124/(INPUTS!$B$8*INPUTS!$B$7*(0.85*INPUTS!$B$5*(1-INPUTS!$B$9)+INPUTS!$B$6*INPUTS!$B$9))</f>
        <v>0</v>
      </c>
      <c r="G124" s="10" t="n">
        <f aca="false">PU!G124/(INPUTS!$B$8*INPUTS!$B$7*(0.85*INPUTS!$B$5*(1-INPUTS!$B$9)+INPUTS!$B$6*INPUTS!$B$9))</f>
        <v>0</v>
      </c>
      <c r="H124" s="10" t="n">
        <f aca="false">PU!H124/(INPUTS!$B$8*INPUTS!$B$7*(0.85*INPUTS!$B$5*(1-INPUTS!$B$9)+INPUTS!$B$6*INPUTS!$B$9))</f>
        <v>0</v>
      </c>
      <c r="I124" s="10" t="n">
        <f aca="false">PU!I124/(INPUTS!$B$8*INPUTS!$B$7*(0.85*INPUTS!$B$5*(1-INPUTS!$B$9)+INPUTS!$B$6*INPUTS!$B$9))</f>
        <v>0</v>
      </c>
      <c r="J124" s="10" t="n">
        <f aca="false">PU!J124/(INPUTS!$B$8*INPUTS!$B$7*(0.85*INPUTS!$B$5*(1-INPUTS!$B$9)+INPUTS!$B$6*INPUTS!$B$9))</f>
        <v>12.8867062418315</v>
      </c>
      <c r="K124" s="10" t="n">
        <f aca="false">PU!K124/(INPUTS!$B$8*INPUTS!$B$7*(0.85*INPUTS!$B$5*(1-INPUTS!$B$9)+INPUTS!$B$6*INPUTS!$B$9))</f>
        <v>12.8867062418315</v>
      </c>
      <c r="L124" s="10" t="n">
        <f aca="false">PU!L124/(INPUTS!$B$8*INPUTS!$B$7*(0.85*INPUTS!$B$5*(1-INPUTS!$B$9)+INPUTS!$B$6*INPUTS!$B$9))</f>
        <v>12.8867062418315</v>
      </c>
      <c r="M124" s="10" t="n">
        <f aca="false">PU!M124/(INPUTS!$B$8*INPUTS!$B$7*(0.85*INPUTS!$B$5*(1-INPUTS!$B$9)+INPUTS!$B$6*INPUTS!$B$9))</f>
        <v>12.8867062418315</v>
      </c>
      <c r="N124" s="10" t="n">
        <f aca="false">PU!N124/(INPUTS!$B$8*INPUTS!$B$7*(0.85*INPUTS!$B$5*(1-INPUTS!$B$9)+INPUTS!$B$6*INPUTS!$B$9))</f>
        <v>12.8867062418315</v>
      </c>
      <c r="O124" s="10" t="n">
        <f aca="false">PU!O124/(INPUTS!$B$8*INPUTS!$B$7*(0.85*INPUTS!$B$5*(1-INPUTS!$B$9)+INPUTS!$B$6*INPUTS!$B$9))</f>
        <v>12.8867062418315</v>
      </c>
      <c r="P124" s="10" t="n">
        <f aca="false">PU!P124/(INPUTS!$B$8*INPUTS!$B$7*(0.85*INPUTS!$B$5*(1-INPUTS!$B$9)+INPUTS!$B$6*INPUTS!$B$9))</f>
        <v>12.8867062418315</v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10" t="n">
        <f aca="false">PU!E125/(INPUTS!$B$8*INPUTS!$B$7*(0.85*INPUTS!$B$5*(1-INPUTS!$B$9)+INPUTS!$B$6*INPUTS!$B$9))</f>
        <v>0</v>
      </c>
      <c r="F125" s="10" t="n">
        <f aca="false">PU!F125/(INPUTS!$B$8*INPUTS!$B$7*(0.85*INPUTS!$B$5*(1-INPUTS!$B$9)+INPUTS!$B$6*INPUTS!$B$9))</f>
        <v>0</v>
      </c>
      <c r="G125" s="10" t="n">
        <f aca="false">PU!G125/(INPUTS!$B$8*INPUTS!$B$7*(0.85*INPUTS!$B$5*(1-INPUTS!$B$9)+INPUTS!$B$6*INPUTS!$B$9))</f>
        <v>0</v>
      </c>
      <c r="H125" s="10" t="n">
        <f aca="false">PU!H125/(INPUTS!$B$8*INPUTS!$B$7*(0.85*INPUTS!$B$5*(1-INPUTS!$B$9)+INPUTS!$B$6*INPUTS!$B$9))</f>
        <v>0</v>
      </c>
      <c r="I125" s="10" t="n">
        <f aca="false">PU!I125/(INPUTS!$B$8*INPUTS!$B$7*(0.85*INPUTS!$B$5*(1-INPUTS!$B$9)+INPUTS!$B$6*INPUTS!$B$9))</f>
        <v>0</v>
      </c>
      <c r="J125" s="10" t="n">
        <f aca="false">PU!J125/(INPUTS!$B$8*INPUTS!$B$7*(0.85*INPUTS!$B$5*(1-INPUTS!$B$9)+INPUTS!$B$6*INPUTS!$B$9))</f>
        <v>2.05246109166729</v>
      </c>
      <c r="K125" s="10" t="n">
        <f aca="false">PU!K125/(INPUTS!$B$8*INPUTS!$B$7*(0.85*INPUTS!$B$5*(1-INPUTS!$B$9)+INPUTS!$B$6*INPUTS!$B$9))</f>
        <v>2.05246109166729</v>
      </c>
      <c r="L125" s="10" t="n">
        <f aca="false">PU!L125/(INPUTS!$B$8*INPUTS!$B$7*(0.85*INPUTS!$B$5*(1-INPUTS!$B$9)+INPUTS!$B$6*INPUTS!$B$9))</f>
        <v>2.05246109166729</v>
      </c>
      <c r="M125" s="10" t="n">
        <f aca="false">PU!M125/(INPUTS!$B$8*INPUTS!$B$7*(0.85*INPUTS!$B$5*(1-INPUTS!$B$9)+INPUTS!$B$6*INPUTS!$B$9))</f>
        <v>2.05246109166729</v>
      </c>
      <c r="N125" s="10" t="n">
        <f aca="false">PU!N125/(INPUTS!$B$8*INPUTS!$B$7*(0.85*INPUTS!$B$5*(1-INPUTS!$B$9)+INPUTS!$B$6*INPUTS!$B$9))</f>
        <v>2.05246109166729</v>
      </c>
      <c r="O125" s="10" t="n">
        <f aca="false">PU!O125/(INPUTS!$B$8*INPUTS!$B$7*(0.85*INPUTS!$B$5*(1-INPUTS!$B$9)+INPUTS!$B$6*INPUTS!$B$9))</f>
        <v>2.05246109166729</v>
      </c>
      <c r="P125" s="10" t="n">
        <f aca="false">PU!P125/(INPUTS!$B$8*INPUTS!$B$7*(0.85*INPUTS!$B$5*(1-INPUTS!$B$9)+INPUTS!$B$6*INPUTS!$B$9))</f>
        <v>2.05246109166729</v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10" t="n">
        <f aca="false">PU!E126/(INPUTS!$B$8*INPUTS!$B$7*(0.85*INPUTS!$B$5*(1-INPUTS!$B$9)+INPUTS!$B$6*INPUTS!$B$9))</f>
        <v>0</v>
      </c>
      <c r="F126" s="10" t="n">
        <f aca="false">PU!F126/(INPUTS!$B$8*INPUTS!$B$7*(0.85*INPUTS!$B$5*(1-INPUTS!$B$9)+INPUTS!$B$6*INPUTS!$B$9))</f>
        <v>0</v>
      </c>
      <c r="G126" s="10" t="n">
        <f aca="false">PU!G126/(INPUTS!$B$8*INPUTS!$B$7*(0.85*INPUTS!$B$5*(1-INPUTS!$B$9)+INPUTS!$B$6*INPUTS!$B$9))</f>
        <v>0</v>
      </c>
      <c r="H126" s="10" t="n">
        <f aca="false">PU!H126/(INPUTS!$B$8*INPUTS!$B$7*(0.85*INPUTS!$B$5*(1-INPUTS!$B$9)+INPUTS!$B$6*INPUTS!$B$9))</f>
        <v>0</v>
      </c>
      <c r="I126" s="10" t="n">
        <f aca="false">PU!I126/(INPUTS!$B$8*INPUTS!$B$7*(0.85*INPUTS!$B$5*(1-INPUTS!$B$9)+INPUTS!$B$6*INPUTS!$B$9))</f>
        <v>0</v>
      </c>
      <c r="J126" s="10" t="n">
        <f aca="false">PU!J126/(INPUTS!$B$8*INPUTS!$B$7*(0.85*INPUTS!$B$5*(1-INPUTS!$B$9)+INPUTS!$B$6*INPUTS!$B$9))</f>
        <v>2.05246109166729</v>
      </c>
      <c r="K126" s="10" t="n">
        <f aca="false">PU!K126/(INPUTS!$B$8*INPUTS!$B$7*(0.85*INPUTS!$B$5*(1-INPUTS!$B$9)+INPUTS!$B$6*INPUTS!$B$9))</f>
        <v>2.05246109166729</v>
      </c>
      <c r="L126" s="10" t="n">
        <f aca="false">PU!L126/(INPUTS!$B$8*INPUTS!$B$7*(0.85*INPUTS!$B$5*(1-INPUTS!$B$9)+INPUTS!$B$6*INPUTS!$B$9))</f>
        <v>2.05246109166729</v>
      </c>
      <c r="M126" s="10" t="n">
        <f aca="false">PU!M126/(INPUTS!$B$8*INPUTS!$B$7*(0.85*INPUTS!$B$5*(1-INPUTS!$B$9)+INPUTS!$B$6*INPUTS!$B$9))</f>
        <v>2.05246109166729</v>
      </c>
      <c r="N126" s="10" t="n">
        <f aca="false">PU!N126/(INPUTS!$B$8*INPUTS!$B$7*(0.85*INPUTS!$B$5*(1-INPUTS!$B$9)+INPUTS!$B$6*INPUTS!$B$9))</f>
        <v>2.05246109166729</v>
      </c>
      <c r="O126" s="10" t="n">
        <f aca="false">PU!O126/(INPUTS!$B$8*INPUTS!$B$7*(0.85*INPUTS!$B$5*(1-INPUTS!$B$9)+INPUTS!$B$6*INPUTS!$B$9))</f>
        <v>2.05246109166729</v>
      </c>
      <c r="P126" s="10" t="n">
        <f aca="false">PU!P126/(INPUTS!$B$8*INPUTS!$B$7*(0.85*INPUTS!$B$5*(1-INPUTS!$B$9)+INPUTS!$B$6*INPUTS!$B$9))</f>
        <v>2.05246109166729</v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10" t="n">
        <f aca="false">PU!E127/(INPUTS!$B$8*INPUTS!$B$7*(0.85*INPUTS!$B$5*(1-INPUTS!$B$9)+INPUTS!$B$6*INPUTS!$B$9))</f>
        <v>0</v>
      </c>
      <c r="F127" s="10" t="n">
        <f aca="false">PU!F127/(INPUTS!$B$8*INPUTS!$B$7*(0.85*INPUTS!$B$5*(1-INPUTS!$B$9)+INPUTS!$B$6*INPUTS!$B$9))</f>
        <v>0</v>
      </c>
      <c r="G127" s="10" t="n">
        <f aca="false">PU!G127/(INPUTS!$B$8*INPUTS!$B$7*(0.85*INPUTS!$B$5*(1-INPUTS!$B$9)+INPUTS!$B$6*INPUTS!$B$9))</f>
        <v>0</v>
      </c>
      <c r="H127" s="10" t="n">
        <f aca="false">PU!H127/(INPUTS!$B$8*INPUTS!$B$7*(0.85*INPUTS!$B$5*(1-INPUTS!$B$9)+INPUTS!$B$6*INPUTS!$B$9))</f>
        <v>0</v>
      </c>
      <c r="I127" s="10" t="n">
        <f aca="false">PU!I127/(INPUTS!$B$8*INPUTS!$B$7*(0.85*INPUTS!$B$5*(1-INPUTS!$B$9)+INPUTS!$B$6*INPUTS!$B$9))</f>
        <v>0</v>
      </c>
      <c r="J127" s="10" t="n">
        <f aca="false">PU!J127/(INPUTS!$B$8*INPUTS!$B$7*(0.85*INPUTS!$B$5*(1-INPUTS!$B$9)+INPUTS!$B$6*INPUTS!$B$9))</f>
        <v>8.9603966540075</v>
      </c>
      <c r="K127" s="10" t="n">
        <f aca="false">PU!K127/(INPUTS!$B$8*INPUTS!$B$7*(0.85*INPUTS!$B$5*(1-INPUTS!$B$9)+INPUTS!$B$6*INPUTS!$B$9))</f>
        <v>8.9603966540075</v>
      </c>
      <c r="L127" s="10" t="n">
        <f aca="false">PU!L127/(INPUTS!$B$8*INPUTS!$B$7*(0.85*INPUTS!$B$5*(1-INPUTS!$B$9)+INPUTS!$B$6*INPUTS!$B$9))</f>
        <v>8.9603966540075</v>
      </c>
      <c r="M127" s="10" t="n">
        <f aca="false">PU!M127/(INPUTS!$B$8*INPUTS!$B$7*(0.85*INPUTS!$B$5*(1-INPUTS!$B$9)+INPUTS!$B$6*INPUTS!$B$9))</f>
        <v>8.9603966540075</v>
      </c>
      <c r="N127" s="10" t="n">
        <f aca="false">PU!N127/(INPUTS!$B$8*INPUTS!$B$7*(0.85*INPUTS!$B$5*(1-INPUTS!$B$9)+INPUTS!$B$6*INPUTS!$B$9))</f>
        <v>8.9603966540075</v>
      </c>
      <c r="O127" s="10" t="n">
        <f aca="false">PU!O127/(INPUTS!$B$8*INPUTS!$B$7*(0.85*INPUTS!$B$5*(1-INPUTS!$B$9)+INPUTS!$B$6*INPUTS!$B$9))</f>
        <v>8.9603966540075</v>
      </c>
      <c r="P127" s="10" t="n">
        <f aca="false">PU!P127/(INPUTS!$B$8*INPUTS!$B$7*(0.85*INPUTS!$B$5*(1-INPUTS!$B$9)+INPUTS!$B$6*INPUTS!$B$9))</f>
        <v>8.9603966540075</v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10" t="n">
        <f aca="false">PU!E128/(INPUTS!$B$8*INPUTS!$B$7*(0.85*INPUTS!$B$5*(1-INPUTS!$B$9)+INPUTS!$B$6*INPUTS!$B$9))</f>
        <v>0</v>
      </c>
      <c r="F128" s="10" t="n">
        <f aca="false">PU!F128/(INPUTS!$B$8*INPUTS!$B$7*(0.85*INPUTS!$B$5*(1-INPUTS!$B$9)+INPUTS!$B$6*INPUTS!$B$9))</f>
        <v>0</v>
      </c>
      <c r="G128" s="10" t="n">
        <f aca="false">PU!G128/(INPUTS!$B$8*INPUTS!$B$7*(0.85*INPUTS!$B$5*(1-INPUTS!$B$9)+INPUTS!$B$6*INPUTS!$B$9))</f>
        <v>0</v>
      </c>
      <c r="H128" s="10" t="n">
        <f aca="false">PU!H128/(INPUTS!$B$8*INPUTS!$B$7*(0.85*INPUTS!$B$5*(1-INPUTS!$B$9)+INPUTS!$B$6*INPUTS!$B$9))</f>
        <v>0</v>
      </c>
      <c r="I128" s="10" t="n">
        <f aca="false">PU!I128/(INPUTS!$B$8*INPUTS!$B$7*(0.85*INPUTS!$B$5*(1-INPUTS!$B$9)+INPUTS!$B$6*INPUTS!$B$9))</f>
        <v>0</v>
      </c>
      <c r="J128" s="10" t="n">
        <f aca="false">PU!J128/(INPUTS!$B$8*INPUTS!$B$7*(0.85*INPUTS!$B$5*(1-INPUTS!$B$9)+INPUTS!$B$6*INPUTS!$B$9))</f>
        <v>2.05246109166729</v>
      </c>
      <c r="K128" s="10" t="n">
        <f aca="false">PU!K128/(INPUTS!$B$8*INPUTS!$B$7*(0.85*INPUTS!$B$5*(1-INPUTS!$B$9)+INPUTS!$B$6*INPUTS!$B$9))</f>
        <v>2.05246109166729</v>
      </c>
      <c r="L128" s="10" t="n">
        <f aca="false">PU!L128/(INPUTS!$B$8*INPUTS!$B$7*(0.85*INPUTS!$B$5*(1-INPUTS!$B$9)+INPUTS!$B$6*INPUTS!$B$9))</f>
        <v>2.05246109166729</v>
      </c>
      <c r="M128" s="10" t="n">
        <f aca="false">PU!M128/(INPUTS!$B$8*INPUTS!$B$7*(0.85*INPUTS!$B$5*(1-INPUTS!$B$9)+INPUTS!$B$6*INPUTS!$B$9))</f>
        <v>2.05246109166729</v>
      </c>
      <c r="N128" s="10" t="n">
        <f aca="false">PU!N128/(INPUTS!$B$8*INPUTS!$B$7*(0.85*INPUTS!$B$5*(1-INPUTS!$B$9)+INPUTS!$B$6*INPUTS!$B$9))</f>
        <v>2.05246109166729</v>
      </c>
      <c r="O128" s="10" t="n">
        <f aca="false">PU!O128/(INPUTS!$B$8*INPUTS!$B$7*(0.85*INPUTS!$B$5*(1-INPUTS!$B$9)+INPUTS!$B$6*INPUTS!$B$9))</f>
        <v>2.05246109166729</v>
      </c>
      <c r="P128" s="10" t="n">
        <f aca="false">PU!P128/(INPUTS!$B$8*INPUTS!$B$7*(0.85*INPUTS!$B$5*(1-INPUTS!$B$9)+INPUTS!$B$6*INPUTS!$B$9))</f>
        <v>2.05246109166729</v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10" t="n">
        <f aca="false">PU!E129/(INPUTS!$B$8*INPUTS!$B$7*(0.85*INPUTS!$B$5*(1-INPUTS!$B$9)+INPUTS!$B$6*INPUTS!$B$9))</f>
        <v>0</v>
      </c>
      <c r="F129" s="10" t="n">
        <f aca="false">PU!F129/(INPUTS!$B$8*INPUTS!$B$7*(0.85*INPUTS!$B$5*(1-INPUTS!$B$9)+INPUTS!$B$6*INPUTS!$B$9))</f>
        <v>0</v>
      </c>
      <c r="G129" s="10" t="n">
        <f aca="false">PU!G129/(INPUTS!$B$8*INPUTS!$B$7*(0.85*INPUTS!$B$5*(1-INPUTS!$B$9)+INPUTS!$B$6*INPUTS!$B$9))</f>
        <v>0</v>
      </c>
      <c r="H129" s="10" t="n">
        <f aca="false">PU!H129/(INPUTS!$B$8*INPUTS!$B$7*(0.85*INPUTS!$B$5*(1-INPUTS!$B$9)+INPUTS!$B$6*INPUTS!$B$9))</f>
        <v>0</v>
      </c>
      <c r="I129" s="10" t="n">
        <f aca="false">PU!I129/(INPUTS!$B$8*INPUTS!$B$7*(0.85*INPUTS!$B$5*(1-INPUTS!$B$9)+INPUTS!$B$6*INPUTS!$B$9))</f>
        <v>0</v>
      </c>
      <c r="J129" s="10" t="n">
        <f aca="false">PU!J129/(INPUTS!$B$8*INPUTS!$B$7*(0.85*INPUTS!$B$5*(1-INPUTS!$B$9)+INPUTS!$B$6*INPUTS!$B$9))</f>
        <v>2.05246109166729</v>
      </c>
      <c r="K129" s="10" t="n">
        <f aca="false">PU!K129/(INPUTS!$B$8*INPUTS!$B$7*(0.85*INPUTS!$B$5*(1-INPUTS!$B$9)+INPUTS!$B$6*INPUTS!$B$9))</f>
        <v>2.05246109166729</v>
      </c>
      <c r="L129" s="10" t="n">
        <f aca="false">PU!L129/(INPUTS!$B$8*INPUTS!$B$7*(0.85*INPUTS!$B$5*(1-INPUTS!$B$9)+INPUTS!$B$6*INPUTS!$B$9))</f>
        <v>2.05246109166729</v>
      </c>
      <c r="M129" s="10" t="n">
        <f aca="false">PU!M129/(INPUTS!$B$8*INPUTS!$B$7*(0.85*INPUTS!$B$5*(1-INPUTS!$B$9)+INPUTS!$B$6*INPUTS!$B$9))</f>
        <v>2.05246109166729</v>
      </c>
      <c r="N129" s="10" t="n">
        <f aca="false">PU!N129/(INPUTS!$B$8*INPUTS!$B$7*(0.85*INPUTS!$B$5*(1-INPUTS!$B$9)+INPUTS!$B$6*INPUTS!$B$9))</f>
        <v>2.05246109166729</v>
      </c>
      <c r="O129" s="10" t="n">
        <f aca="false">PU!O129/(INPUTS!$B$8*INPUTS!$B$7*(0.85*INPUTS!$B$5*(1-INPUTS!$B$9)+INPUTS!$B$6*INPUTS!$B$9))</f>
        <v>2.05246109166729</v>
      </c>
      <c r="P129" s="10" t="n">
        <f aca="false">PU!P129/(INPUTS!$B$8*INPUTS!$B$7*(0.85*INPUTS!$B$5*(1-INPUTS!$B$9)+INPUTS!$B$6*INPUTS!$B$9))</f>
        <v>2.05246109166729</v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10" t="n">
        <f aca="false">PU!E130/(INPUTS!$B$8*INPUTS!$B$7*(0.85*INPUTS!$B$5*(1-INPUTS!$B$9)+INPUTS!$B$6*INPUTS!$B$9))</f>
        <v>0</v>
      </c>
      <c r="F130" s="10" t="n">
        <f aca="false">PU!F130/(INPUTS!$B$8*INPUTS!$B$7*(0.85*INPUTS!$B$5*(1-INPUTS!$B$9)+INPUTS!$B$6*INPUTS!$B$9))</f>
        <v>0</v>
      </c>
      <c r="G130" s="10" t="n">
        <f aca="false">PU!G130/(INPUTS!$B$8*INPUTS!$B$7*(0.85*INPUTS!$B$5*(1-INPUTS!$B$9)+INPUTS!$B$6*INPUTS!$B$9))</f>
        <v>0</v>
      </c>
      <c r="H130" s="10" t="n">
        <f aca="false">PU!H130/(INPUTS!$B$8*INPUTS!$B$7*(0.85*INPUTS!$B$5*(1-INPUTS!$B$9)+INPUTS!$B$6*INPUTS!$B$9))</f>
        <v>0</v>
      </c>
      <c r="I130" s="10" t="n">
        <f aca="false">PU!I130/(INPUTS!$B$8*INPUTS!$B$7*(0.85*INPUTS!$B$5*(1-INPUTS!$B$9)+INPUTS!$B$6*INPUTS!$B$9))</f>
        <v>0</v>
      </c>
      <c r="J130" s="10" t="n">
        <f aca="false">PU!J130/(INPUTS!$B$8*INPUTS!$B$7*(0.85*INPUTS!$B$5*(1-INPUTS!$B$9)+INPUTS!$B$6*INPUTS!$B$9))</f>
        <v>11.765103359358</v>
      </c>
      <c r="K130" s="10" t="n">
        <f aca="false">PU!K130/(INPUTS!$B$8*INPUTS!$B$7*(0.85*INPUTS!$B$5*(1-INPUTS!$B$9)+INPUTS!$B$6*INPUTS!$B$9))</f>
        <v>11.765103359358</v>
      </c>
      <c r="L130" s="10" t="n">
        <f aca="false">PU!L130/(INPUTS!$B$8*INPUTS!$B$7*(0.85*INPUTS!$B$5*(1-INPUTS!$B$9)+INPUTS!$B$6*INPUTS!$B$9))</f>
        <v>11.765103359358</v>
      </c>
      <c r="M130" s="10" t="n">
        <f aca="false">PU!M130/(INPUTS!$B$8*INPUTS!$B$7*(0.85*INPUTS!$B$5*(1-INPUTS!$B$9)+INPUTS!$B$6*INPUTS!$B$9))</f>
        <v>11.765103359358</v>
      </c>
      <c r="N130" s="10" t="n">
        <f aca="false">PU!N130/(INPUTS!$B$8*INPUTS!$B$7*(0.85*INPUTS!$B$5*(1-INPUTS!$B$9)+INPUTS!$B$6*INPUTS!$B$9))</f>
        <v>11.765103359358</v>
      </c>
      <c r="O130" s="10" t="n">
        <f aca="false">PU!O130/(INPUTS!$B$8*INPUTS!$B$7*(0.85*INPUTS!$B$5*(1-INPUTS!$B$9)+INPUTS!$B$6*INPUTS!$B$9))</f>
        <v>11.765103359358</v>
      </c>
      <c r="P130" s="10" t="n">
        <f aca="false">PU!P130/(INPUTS!$B$8*INPUTS!$B$7*(0.85*INPUTS!$B$5*(1-INPUTS!$B$9)+INPUTS!$B$6*INPUTS!$B$9))</f>
        <v>11.765103359358</v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10" t="n">
        <f aca="false">PU!E131/(INPUTS!$B$8*INPUTS!$B$7*(0.85*INPUTS!$B$5*(1-INPUTS!$B$9)+INPUTS!$B$6*INPUTS!$B$9))</f>
        <v>0</v>
      </c>
      <c r="F131" s="10" t="n">
        <f aca="false">PU!F131/(INPUTS!$B$8*INPUTS!$B$7*(0.85*INPUTS!$B$5*(1-INPUTS!$B$9)+INPUTS!$B$6*INPUTS!$B$9))</f>
        <v>0</v>
      </c>
      <c r="G131" s="10" t="n">
        <f aca="false">PU!G131/(INPUTS!$B$8*INPUTS!$B$7*(0.85*INPUTS!$B$5*(1-INPUTS!$B$9)+INPUTS!$B$6*INPUTS!$B$9))</f>
        <v>0</v>
      </c>
      <c r="H131" s="10" t="n">
        <f aca="false">PU!H131/(INPUTS!$B$8*INPUTS!$B$7*(0.85*INPUTS!$B$5*(1-INPUTS!$B$9)+INPUTS!$B$6*INPUTS!$B$9))</f>
        <v>0</v>
      </c>
      <c r="I131" s="10" t="n">
        <f aca="false">PU!I131/(INPUTS!$B$8*INPUTS!$B$7*(0.85*INPUTS!$B$5*(1-INPUTS!$B$9)+INPUTS!$B$6*INPUTS!$B$9))</f>
        <v>0</v>
      </c>
      <c r="J131" s="10" t="n">
        <f aca="false">PU!J131/(INPUTS!$B$8*INPUTS!$B$7*(0.85*INPUTS!$B$5*(1-INPUTS!$B$9)+INPUTS!$B$6*INPUTS!$B$9))</f>
        <v>2.05246109166729</v>
      </c>
      <c r="K131" s="10" t="n">
        <f aca="false">PU!K131/(INPUTS!$B$8*INPUTS!$B$7*(0.85*INPUTS!$B$5*(1-INPUTS!$B$9)+INPUTS!$B$6*INPUTS!$B$9))</f>
        <v>2.05246109166729</v>
      </c>
      <c r="L131" s="10" t="n">
        <f aca="false">PU!L131/(INPUTS!$B$8*INPUTS!$B$7*(0.85*INPUTS!$B$5*(1-INPUTS!$B$9)+INPUTS!$B$6*INPUTS!$B$9))</f>
        <v>2.05246109166729</v>
      </c>
      <c r="M131" s="10" t="n">
        <f aca="false">PU!M131/(INPUTS!$B$8*INPUTS!$B$7*(0.85*INPUTS!$B$5*(1-INPUTS!$B$9)+INPUTS!$B$6*INPUTS!$B$9))</f>
        <v>2.05246109166729</v>
      </c>
      <c r="N131" s="10" t="n">
        <f aca="false">PU!N131/(INPUTS!$B$8*INPUTS!$B$7*(0.85*INPUTS!$B$5*(1-INPUTS!$B$9)+INPUTS!$B$6*INPUTS!$B$9))</f>
        <v>2.05246109166729</v>
      </c>
      <c r="O131" s="10" t="n">
        <f aca="false">PU!O131/(INPUTS!$B$8*INPUTS!$B$7*(0.85*INPUTS!$B$5*(1-INPUTS!$B$9)+INPUTS!$B$6*INPUTS!$B$9))</f>
        <v>2.05246109166729</v>
      </c>
      <c r="P131" s="10" t="n">
        <f aca="false">PU!P131/(INPUTS!$B$8*INPUTS!$B$7*(0.85*INPUTS!$B$5*(1-INPUTS!$B$9)+INPUTS!$B$6*INPUTS!$B$9))</f>
        <v>2.05246109166729</v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10" t="n">
        <f aca="false">PU!E132/(INPUTS!$B$8*INPUTS!$B$7*(0.85*INPUTS!$B$5*(1-INPUTS!$B$9)+INPUTS!$B$6*INPUTS!$B$9))</f>
        <v>0</v>
      </c>
      <c r="F132" s="10" t="n">
        <f aca="false">PU!F132/(INPUTS!$B$8*INPUTS!$B$7*(0.85*INPUTS!$B$5*(1-INPUTS!$B$9)+INPUTS!$B$6*INPUTS!$B$9))</f>
        <v>0</v>
      </c>
      <c r="G132" s="10" t="n">
        <f aca="false">PU!G132/(INPUTS!$B$8*INPUTS!$B$7*(0.85*INPUTS!$B$5*(1-INPUTS!$B$9)+INPUTS!$B$6*INPUTS!$B$9))</f>
        <v>0</v>
      </c>
      <c r="H132" s="10" t="n">
        <f aca="false">PU!H132/(INPUTS!$B$8*INPUTS!$B$7*(0.85*INPUTS!$B$5*(1-INPUTS!$B$9)+INPUTS!$B$6*INPUTS!$B$9))</f>
        <v>0</v>
      </c>
      <c r="I132" s="10" t="n">
        <f aca="false">PU!I132/(INPUTS!$B$8*INPUTS!$B$7*(0.85*INPUTS!$B$5*(1-INPUTS!$B$9)+INPUTS!$B$6*INPUTS!$B$9))</f>
        <v>0</v>
      </c>
      <c r="J132" s="10" t="n">
        <f aca="false">PU!J132/(INPUTS!$B$8*INPUTS!$B$7*(0.85*INPUTS!$B$5*(1-INPUTS!$B$9)+INPUTS!$B$6*INPUTS!$B$9))</f>
        <v>2.05246109166729</v>
      </c>
      <c r="K132" s="10" t="n">
        <f aca="false">PU!K132/(INPUTS!$B$8*INPUTS!$B$7*(0.85*INPUTS!$B$5*(1-INPUTS!$B$9)+INPUTS!$B$6*INPUTS!$B$9))</f>
        <v>2.05246109166729</v>
      </c>
      <c r="L132" s="10" t="n">
        <f aca="false">PU!L132/(INPUTS!$B$8*INPUTS!$B$7*(0.85*INPUTS!$B$5*(1-INPUTS!$B$9)+INPUTS!$B$6*INPUTS!$B$9))</f>
        <v>2.05246109166729</v>
      </c>
      <c r="M132" s="10" t="n">
        <f aca="false">PU!M132/(INPUTS!$B$8*INPUTS!$B$7*(0.85*INPUTS!$B$5*(1-INPUTS!$B$9)+INPUTS!$B$6*INPUTS!$B$9))</f>
        <v>2.05246109166729</v>
      </c>
      <c r="N132" s="10" t="n">
        <f aca="false">PU!N132/(INPUTS!$B$8*INPUTS!$B$7*(0.85*INPUTS!$B$5*(1-INPUTS!$B$9)+INPUTS!$B$6*INPUTS!$B$9))</f>
        <v>2.05246109166729</v>
      </c>
      <c r="O132" s="10" t="n">
        <f aca="false">PU!O132/(INPUTS!$B$8*INPUTS!$B$7*(0.85*INPUTS!$B$5*(1-INPUTS!$B$9)+INPUTS!$B$6*INPUTS!$B$9))</f>
        <v>2.05246109166729</v>
      </c>
      <c r="P132" s="10" t="n">
        <f aca="false">PU!P132/(INPUTS!$B$8*INPUTS!$B$7*(0.85*INPUTS!$B$5*(1-INPUTS!$B$9)+INPUTS!$B$6*INPUTS!$B$9))</f>
        <v>2.05246109166729</v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10" t="n">
        <f aca="false">PU!E133/(INPUTS!$B$8*INPUTS!$B$7*(0.85*INPUTS!$B$5*(1-INPUTS!$B$9)+INPUTS!$B$6*INPUTS!$B$9))</f>
        <v>0</v>
      </c>
      <c r="F133" s="10" t="n">
        <f aca="false">PU!F133/(INPUTS!$B$8*INPUTS!$B$7*(0.85*INPUTS!$B$5*(1-INPUTS!$B$9)+INPUTS!$B$6*INPUTS!$B$9))</f>
        <v>0</v>
      </c>
      <c r="G133" s="10" t="n">
        <f aca="false">PU!G133/(INPUTS!$B$8*INPUTS!$B$7*(0.85*INPUTS!$B$5*(1-INPUTS!$B$9)+INPUTS!$B$6*INPUTS!$B$9))</f>
        <v>0</v>
      </c>
      <c r="H133" s="10" t="n">
        <f aca="false">PU!H133/(INPUTS!$B$8*INPUTS!$B$7*(0.85*INPUTS!$B$5*(1-INPUTS!$B$9)+INPUTS!$B$6*INPUTS!$B$9))</f>
        <v>0</v>
      </c>
      <c r="I133" s="10" t="n">
        <f aca="false">PU!I133/(INPUTS!$B$8*INPUTS!$B$7*(0.85*INPUTS!$B$5*(1-INPUTS!$B$9)+INPUTS!$B$6*INPUTS!$B$9))</f>
        <v>9.80682354109266</v>
      </c>
      <c r="J133" s="10" t="n">
        <f aca="false">PU!J133/(INPUTS!$B$8*INPUTS!$B$7*(0.85*INPUTS!$B$5*(1-INPUTS!$B$9)+INPUTS!$B$6*INPUTS!$B$9))</f>
        <v>9.80682354109266</v>
      </c>
      <c r="K133" s="10" t="n">
        <f aca="false">PU!K133/(INPUTS!$B$8*INPUTS!$B$7*(0.85*INPUTS!$B$5*(1-INPUTS!$B$9)+INPUTS!$B$6*INPUTS!$B$9))</f>
        <v>9.80682354109266</v>
      </c>
      <c r="L133" s="10" t="n">
        <f aca="false">PU!L133/(INPUTS!$B$8*INPUTS!$B$7*(0.85*INPUTS!$B$5*(1-INPUTS!$B$9)+INPUTS!$B$6*INPUTS!$B$9))</f>
        <v>9.80682354109266</v>
      </c>
      <c r="M133" s="10" t="n">
        <f aca="false">PU!M133/(INPUTS!$B$8*INPUTS!$B$7*(0.85*INPUTS!$B$5*(1-INPUTS!$B$9)+INPUTS!$B$6*INPUTS!$B$9))</f>
        <v>9.80682354109266</v>
      </c>
      <c r="N133" s="10" t="n">
        <f aca="false">PU!N133/(INPUTS!$B$8*INPUTS!$B$7*(0.85*INPUTS!$B$5*(1-INPUTS!$B$9)+INPUTS!$B$6*INPUTS!$B$9))</f>
        <v>9.80682354109266</v>
      </c>
      <c r="O133" s="10" t="n">
        <f aca="false">PU!O133/(INPUTS!$B$8*INPUTS!$B$7*(0.85*INPUTS!$B$5*(1-INPUTS!$B$9)+INPUTS!$B$6*INPUTS!$B$9))</f>
        <v>9.80682354109266</v>
      </c>
      <c r="P133" s="10" t="n">
        <f aca="false">PU!P133/(INPUTS!$B$8*INPUTS!$B$7*(0.85*INPUTS!$B$5*(1-INPUTS!$B$9)+INPUTS!$B$6*INPUTS!$B$9))</f>
        <v>9.80682354109266</v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10" t="n">
        <f aca="false">PU!E134/(INPUTS!$B$8*INPUTS!$B$7*(0.85*INPUTS!$B$5*(1-INPUTS!$B$9)+INPUTS!$B$6*INPUTS!$B$9))</f>
        <v>0</v>
      </c>
      <c r="F134" s="10" t="n">
        <f aca="false">PU!F134/(INPUTS!$B$8*INPUTS!$B$7*(0.85*INPUTS!$B$5*(1-INPUTS!$B$9)+INPUTS!$B$6*INPUTS!$B$9))</f>
        <v>0</v>
      </c>
      <c r="G134" s="10" t="n">
        <f aca="false">PU!G134/(INPUTS!$B$8*INPUTS!$B$7*(0.85*INPUTS!$B$5*(1-INPUTS!$B$9)+INPUTS!$B$6*INPUTS!$B$9))</f>
        <v>0</v>
      </c>
      <c r="H134" s="10" t="n">
        <f aca="false">PU!H134/(INPUTS!$B$8*INPUTS!$B$7*(0.85*INPUTS!$B$5*(1-INPUTS!$B$9)+INPUTS!$B$6*INPUTS!$B$9))</f>
        <v>0</v>
      </c>
      <c r="I134" s="10" t="n">
        <f aca="false">PU!I134/(INPUTS!$B$8*INPUTS!$B$7*(0.85*INPUTS!$B$5*(1-INPUTS!$B$9)+INPUTS!$B$6*INPUTS!$B$9))</f>
        <v>9.86267282249857</v>
      </c>
      <c r="J134" s="10" t="n">
        <f aca="false">PU!J134/(INPUTS!$B$8*INPUTS!$B$7*(0.85*INPUTS!$B$5*(1-INPUTS!$B$9)+INPUTS!$B$6*INPUTS!$B$9))</f>
        <v>9.86267282249857</v>
      </c>
      <c r="K134" s="10" t="n">
        <f aca="false">PU!K134/(INPUTS!$B$8*INPUTS!$B$7*(0.85*INPUTS!$B$5*(1-INPUTS!$B$9)+INPUTS!$B$6*INPUTS!$B$9))</f>
        <v>9.86267282249857</v>
      </c>
      <c r="L134" s="10" t="n">
        <f aca="false">PU!L134/(INPUTS!$B$8*INPUTS!$B$7*(0.85*INPUTS!$B$5*(1-INPUTS!$B$9)+INPUTS!$B$6*INPUTS!$B$9))</f>
        <v>9.86267282249857</v>
      </c>
      <c r="M134" s="10" t="n">
        <f aca="false">PU!M134/(INPUTS!$B$8*INPUTS!$B$7*(0.85*INPUTS!$B$5*(1-INPUTS!$B$9)+INPUTS!$B$6*INPUTS!$B$9))</f>
        <v>9.86267282249857</v>
      </c>
      <c r="N134" s="10" t="n">
        <f aca="false">PU!N134/(INPUTS!$B$8*INPUTS!$B$7*(0.85*INPUTS!$B$5*(1-INPUTS!$B$9)+INPUTS!$B$6*INPUTS!$B$9))</f>
        <v>9.86267282249857</v>
      </c>
      <c r="O134" s="10" t="n">
        <f aca="false">PU!O134/(INPUTS!$B$8*INPUTS!$B$7*(0.85*INPUTS!$B$5*(1-INPUTS!$B$9)+INPUTS!$B$6*INPUTS!$B$9))</f>
        <v>9.86267282249857</v>
      </c>
      <c r="P134" s="10" t="n">
        <f aca="false">PU!P134/(INPUTS!$B$8*INPUTS!$B$7*(0.85*INPUTS!$B$5*(1-INPUTS!$B$9)+INPUTS!$B$6*INPUTS!$B$9))</f>
        <v>9.86267282249857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271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12" t="str">
        <f aca="false">IF(TRIB!E2="","",(PU!E2/(INPUTS!$B$8*INPUTS!$B$7)-0.85*INPUTS!$B$5*ARCH_AG!E2)/(ARCH_AG!E2*(INPUTS!$B$6-0.85*INPUTS!$B$5)))</f>
        <v/>
      </c>
      <c r="F2" s="12" t="n">
        <f aca="false">IF(TRIB!F2="","",(PU!F2/(INPUTS!$B$8*INPUTS!$B$7)-0.85*INPUTS!$B$5*ARCH_AG!F2)/(ARCH_AG!F2*(INPUTS!$B$6-0.85*INPUTS!$B$5)))</f>
        <v>-0.0845759495008129</v>
      </c>
      <c r="G2" s="12" t="n">
        <f aca="false">IF(TRIB!G2="","",(PU!G2/(INPUTS!$B$8*INPUTS!$B$7)-0.85*INPUTS!$B$5*ARCH_AG!G2)/(ARCH_AG!G2*(INPUTS!$B$6-0.85*INPUTS!$B$5)))</f>
        <v>-0.0813720028200902</v>
      </c>
      <c r="H2" s="12" t="n">
        <f aca="false">IF(TRIB!H2="","",(PU!H2/(INPUTS!$B$8*INPUTS!$B$7)-0.85*INPUTS!$B$5*ARCH_AG!H2)/(ARCH_AG!H2*(INPUTS!$B$6-0.85*INPUTS!$B$5)))</f>
        <v>-0.0784036905517648</v>
      </c>
      <c r="I2" s="12" t="n">
        <f aca="false">IF(TRIB!I2="","",(PU!I2/(INPUTS!$B$8*INPUTS!$B$7)-0.85*INPUTS!$B$5*ARCH_AG!I2)/(ARCH_AG!I2*(INPUTS!$B$6-0.85*INPUTS!$B$5)))</f>
        <v>-0.0755515142505081</v>
      </c>
      <c r="J2" s="12" t="n">
        <f aca="false">IF(TRIB!J2="","",(PU!J2/(INPUTS!$B$8*INPUTS!$B$7)-0.85*INPUTS!$B$5*ARCH_AG!J2)/(ARCH_AG!J2*(INPUTS!$B$6-0.85*INPUTS!$B$5)))</f>
        <v>-0.0727171526400101</v>
      </c>
      <c r="K2" s="12" t="n">
        <f aca="false">IF(TRIB!K2="","",(PU!K2/(INPUTS!$B$8*INPUTS!$B$7)-0.85*INPUTS!$B$5*ARCH_AG!K2)/(ARCH_AG!K2*(INPUTS!$B$6-0.85*INPUTS!$B$5)))</f>
        <v>-0.0700471650538488</v>
      </c>
      <c r="L2" s="12" t="n">
        <f aca="false">IF(TRIB!L2="","",(PU!L2/(INPUTS!$B$8*INPUTS!$B$7)-0.85*INPUTS!$B$5*ARCH_AG!L2)/(ARCH_AG!L2*(INPUTS!$B$6-0.85*INPUTS!$B$5)))</f>
        <v>-0.0673895910005156</v>
      </c>
      <c r="M2" s="12" t="n">
        <f aca="false">IF(TRIB!M2="","",(PU!M2/(INPUTS!$B$8*INPUTS!$B$7)-0.85*INPUTS!$B$5*ARCH_AG!M2)/(ARCH_AG!M2*(INPUTS!$B$6-0.85*INPUTS!$B$5)))</f>
        <v>-0.0647415279032071</v>
      </c>
      <c r="N2" s="12" t="n">
        <f aca="false">IF(TRIB!N2="","",(PU!N2/(INPUTS!$B$8*INPUTS!$B$7)-0.85*INPUTS!$B$5*ARCH_AG!N2)/(ARCH_AG!N2*(INPUTS!$B$6-0.85*INPUTS!$B$5)))</f>
        <v>-0.0621010540031169</v>
      </c>
      <c r="O2" s="12" t="n">
        <f aca="false">IF(TRIB!O2="","",(PU!O2/(INPUTS!$B$8*INPUTS!$B$7)-0.85*INPUTS!$B$5*ARCH_AG!O2)/(ARCH_AG!O2*(INPUTS!$B$6-0.85*INPUTS!$B$5)))</f>
        <v>-0.0594668188900043</v>
      </c>
      <c r="P2" s="12" t="n">
        <f aca="false">IF(TRIB!P2="","",(PU!P2/(INPUTS!$B$8*INPUTS!$B$7)-0.85*INPUTS!$B$5*ARCH_AG!P2)/(ARCH_AG!P2*(INPUTS!$B$6-0.85*INPUTS!$B$5)))</f>
        <v>-0.0567721518126056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12" t="str">
        <f aca="false">IF(TRIB!E3="","",(PU!E3/(INPUTS!$B$8*INPUTS!$B$7)-0.85*INPUTS!$B$5*ARCH_AG!E3)/(ARCH_AG!E3*(INPUTS!$B$6-0.85*INPUTS!$B$5)))</f>
        <v/>
      </c>
      <c r="F3" s="12" t="str">
        <f aca="false">IF(TRIB!F3="","",(PU!F3/(INPUTS!$B$8*INPUTS!$B$7)-0.85*INPUTS!$B$5*ARCH_AG!F3)/(ARCH_AG!F3*(INPUTS!$B$6-0.85*INPUTS!$B$5)))</f>
        <v/>
      </c>
      <c r="G3" s="12" t="n">
        <f aca="false">IF(TRIB!G3="","",(PU!G3/(INPUTS!$B$8*INPUTS!$B$7)-0.85*INPUTS!$B$5*ARCH_AG!G3)/(ARCH_AG!G3*(INPUTS!$B$6-0.85*INPUTS!$B$5)))</f>
        <v>-0.087405179972565</v>
      </c>
      <c r="H3" s="12" t="n">
        <f aca="false">IF(TRIB!H3="","",(PU!H3/(INPUTS!$B$8*INPUTS!$B$7)-0.85*INPUTS!$B$5*ARCH_AG!H3)/(ARCH_AG!H3*(INPUTS!$B$6-0.85*INPUTS!$B$5)))</f>
        <v>-0.0824609430634363</v>
      </c>
      <c r="I3" s="12" t="n">
        <f aca="false">IF(TRIB!I3="","",(PU!I3/(INPUTS!$B$8*INPUTS!$B$7)-0.85*INPUTS!$B$5*ARCH_AG!I3)/(ARCH_AG!I3*(INPUTS!$B$6-0.85*INPUTS!$B$5)))</f>
        <v>-0.077604052773577</v>
      </c>
      <c r="J3" s="12" t="n">
        <f aca="false">IF(TRIB!J3="","",(PU!J3/(INPUTS!$B$8*INPUTS!$B$7)-0.85*INPUTS!$B$5*ARCH_AG!J3)/(ARCH_AG!J3*(INPUTS!$B$6-0.85*INPUTS!$B$5)))</f>
        <v>-0.0727924249167536</v>
      </c>
      <c r="K3" s="12" t="n">
        <f aca="false">IF(TRIB!K3="","",(PU!K3/(INPUTS!$B$8*INPUTS!$B$7)-0.85*INPUTS!$B$5*ARCH_AG!K3)/(ARCH_AG!K3*(INPUTS!$B$6-0.85*INPUTS!$B$5)))</f>
        <v>-0.0680097357806576</v>
      </c>
      <c r="L3" s="12" t="n">
        <f aca="false">IF(TRIB!L3="","",(PU!L3/(INPUTS!$B$8*INPUTS!$B$7)-0.85*INPUTS!$B$5*ARCH_AG!L3)/(ARCH_AG!L3*(INPUTS!$B$6-0.85*INPUTS!$B$5)))</f>
        <v>-0.0632476082145121</v>
      </c>
      <c r="M3" s="12" t="n">
        <f aca="false">IF(TRIB!M3="","",(PU!M3/(INPUTS!$B$8*INPUTS!$B$7)-0.85*INPUTS!$B$5*ARCH_AG!M3)/(ARCH_AG!M3*(INPUTS!$B$6-0.85*INPUTS!$B$5)))</f>
        <v>-0.0585010639234532</v>
      </c>
      <c r="N3" s="12" t="n">
        <f aca="false">IF(TRIB!N3="","",(PU!N3/(INPUTS!$B$8*INPUTS!$B$7)-0.85*INPUTS!$B$5*ARCH_AG!N3)/(ARCH_AG!N3*(INPUTS!$B$6-0.85*INPUTS!$B$5)))</f>
        <v>-0.053766858453947</v>
      </c>
      <c r="O3" s="12" t="n">
        <f aca="false">IF(TRIB!O3="","",(PU!O3/(INPUTS!$B$8*INPUTS!$B$7)-0.85*INPUTS!$B$5*ARCH_AG!O3)/(ARCH_AG!O3*(INPUTS!$B$6-0.85*INPUTS!$B$5)))</f>
        <v>-0.0490427377923487</v>
      </c>
      <c r="P3" s="12" t="n">
        <f aca="false">IF(TRIB!P3="","",(PU!P3/(INPUTS!$B$8*INPUTS!$B$7)-0.85*INPUTS!$B$5*ARCH_AG!P3)/(ARCH_AG!P3*(INPUTS!$B$6-0.85*INPUTS!$B$5)))</f>
        <v>-0.0442613817239202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12" t="str">
        <f aca="false">IF(TRIB!E4="","",(PU!E4/(INPUTS!$B$8*INPUTS!$B$7)-0.85*INPUTS!$B$5*ARCH_AG!E4)/(ARCH_AG!E4*(INPUTS!$B$6-0.85*INPUTS!$B$5)))</f>
        <v/>
      </c>
      <c r="F4" s="12" t="n">
        <f aca="false">IF(TRIB!F4="","",(PU!F4/(INPUTS!$B$8*INPUTS!$B$7)-0.85*INPUTS!$B$5*ARCH_AG!F4)/(ARCH_AG!F4*(INPUTS!$B$6-0.85*INPUTS!$B$5)))</f>
        <v>-0.0855353473181342</v>
      </c>
      <c r="G4" s="12" t="n">
        <f aca="false">IF(TRIB!G4="","",(PU!G4/(INPUTS!$B$8*INPUTS!$B$7)-0.85*INPUTS!$B$5*ARCH_AG!G4)/(ARCH_AG!G4*(INPUTS!$B$6-0.85*INPUTS!$B$5)))</f>
        <v>-0.0807845778949376</v>
      </c>
      <c r="H4" s="12" t="n">
        <f aca="false">IF(TRIB!H4="","",(PU!H4/(INPUTS!$B$8*INPUTS!$B$7)-0.85*INPUTS!$B$5*ARCH_AG!H4)/(ARCH_AG!H4*(INPUTS!$B$6-0.85*INPUTS!$B$5)))</f>
        <v>-0.0766348174649275</v>
      </c>
      <c r="I4" s="12" t="n">
        <f aca="false">IF(TRIB!I4="","",(PU!I4/(INPUTS!$B$8*INPUTS!$B$7)-0.85*INPUTS!$B$5*ARCH_AG!I4)/(ARCH_AG!I4*(INPUTS!$B$6-0.85*INPUTS!$B$5)))</f>
        <v>-0.0725577625289084</v>
      </c>
      <c r="J4" s="12" t="n">
        <f aca="false">IF(TRIB!J4="","",(PU!J4/(INPUTS!$B$8*INPUTS!$B$7)-0.85*INPUTS!$B$5*ARCH_AG!J4)/(ARCH_AG!J4*(INPUTS!$B$6-0.85*INPUTS!$B$5)))</f>
        <v>-0.0685188614278084</v>
      </c>
      <c r="K4" s="12" t="n">
        <f aca="false">IF(TRIB!K4="","",(PU!K4/(INPUTS!$B$8*INPUTS!$B$7)-0.85*INPUTS!$B$5*ARCH_AG!K4)/(ARCH_AG!K4*(INPUTS!$B$6-0.85*INPUTS!$B$5)))</f>
        <v>-0.0648269177683149</v>
      </c>
      <c r="L4" s="12" t="n">
        <f aca="false">IF(TRIB!L4="","",(PU!L4/(INPUTS!$B$8*INPUTS!$B$7)-0.85*INPUTS!$B$5*ARCH_AG!L4)/(ARCH_AG!L4*(INPUTS!$B$6-0.85*INPUTS!$B$5)))</f>
        <v>-0.0608373652632798</v>
      </c>
      <c r="M4" s="12" t="n">
        <f aca="false">IF(TRIB!M4="","",(PU!M4/(INPUTS!$B$8*INPUTS!$B$7)-0.85*INPUTS!$B$5*ARCH_AG!M4)/(ARCH_AG!M4*(INPUTS!$B$6-0.85*INPUTS!$B$5)))</f>
        <v>-0.0568587945659472</v>
      </c>
      <c r="N4" s="12" t="n">
        <f aca="false">IF(TRIB!N4="","",(PU!N4/(INPUTS!$B$8*INPUTS!$B$7)-0.85*INPUTS!$B$5*ARCH_AG!N4)/(ARCH_AG!N4*(INPUTS!$B$6-0.85*INPUTS!$B$5)))</f>
        <v>-0.0528889204917336</v>
      </c>
      <c r="O4" s="12" t="n">
        <f aca="false">IF(TRIB!O4="","",(PU!O4/(INPUTS!$B$8*INPUTS!$B$7)-0.85*INPUTS!$B$5*ARCH_AG!O4)/(ARCH_AG!O4*(INPUTS!$B$6-0.85*INPUTS!$B$5)))</f>
        <v>-0.0489261551251262</v>
      </c>
      <c r="P4" s="12" t="n">
        <f aca="false">IF(TRIB!P4="","",(PU!P4/(INPUTS!$B$8*INPUTS!$B$7)-0.85*INPUTS!$B$5*ARCH_AG!P4)/(ARCH_AG!P4*(INPUTS!$B$6-0.85*INPUTS!$B$5)))</f>
        <v>-0.0449036631166129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12" t="str">
        <f aca="false">IF(TRIB!E5="","",(PU!E5/(INPUTS!$B$8*INPUTS!$B$7)-0.85*INPUTS!$B$5*ARCH_AG!E5)/(ARCH_AG!E5*(INPUTS!$B$6-0.85*INPUTS!$B$5)))</f>
        <v/>
      </c>
      <c r="F5" s="12" t="n">
        <f aca="false">IF(TRIB!F5="","",(PU!F5/(INPUTS!$B$8*INPUTS!$B$7)-0.85*INPUTS!$B$5*ARCH_AG!F5)/(ARCH_AG!F5*(INPUTS!$B$6-0.85*INPUTS!$B$5)))</f>
        <v>-0.0807168127864849</v>
      </c>
      <c r="G5" s="12" t="n">
        <f aca="false">IF(TRIB!G5="","",(PU!G5/(INPUTS!$B$8*INPUTS!$B$7)-0.85*INPUTS!$B$5*ARCH_AG!G5)/(ARCH_AG!G5*(INPUTS!$B$6-0.85*INPUTS!$B$5)))</f>
        <v>-0.0742522025974261</v>
      </c>
      <c r="H5" s="12" t="n">
        <f aca="false">IF(TRIB!H5="","",(PU!H5/(INPUTS!$B$8*INPUTS!$B$7)-0.85*INPUTS!$B$5*ARCH_AG!H5)/(ARCH_AG!H5*(INPUTS!$B$6-0.85*INPUTS!$B$5)))</f>
        <v>-0.0684837461094351</v>
      </c>
      <c r="I5" s="12" t="n">
        <f aca="false">IF(TRIB!I5="","",(PU!I5/(INPUTS!$B$8*INPUTS!$B$7)-0.85*INPUTS!$B$5*ARCH_AG!I5)/(ARCH_AG!I5*(INPUTS!$B$6-0.85*INPUTS!$B$5)))</f>
        <v>-0.0628298240756217</v>
      </c>
      <c r="J5" s="12" t="n">
        <f aca="false">IF(TRIB!J5="","",(PU!J5/(INPUTS!$B$8*INPUTS!$B$7)-0.85*INPUTS!$B$5*ARCH_AG!J5)/(ARCH_AG!J5*(INPUTS!$B$6-0.85*INPUTS!$B$5)))</f>
        <v>-0.0572351894379315</v>
      </c>
      <c r="K5" s="12" t="n">
        <f aca="false">IF(TRIB!K5="","",(PU!K5/(INPUTS!$B$8*INPUTS!$B$7)-0.85*INPUTS!$B$5*ARCH_AG!K5)/(ARCH_AG!K5*(INPUTS!$B$6-0.85*INPUTS!$B$5)))</f>
        <v>-0.052166077844965</v>
      </c>
      <c r="L5" s="12" t="n">
        <f aca="false">IF(TRIB!L5="","",(PU!L5/(INPUTS!$B$8*INPUTS!$B$7)-0.85*INPUTS!$B$5*ARCH_AG!L5)/(ARCH_AG!L5*(INPUTS!$B$6-0.85*INPUTS!$B$5)))</f>
        <v>-0.0466827864674958</v>
      </c>
      <c r="M5" s="12" t="n">
        <f aca="false">IF(TRIB!M5="","",(PU!M5/(INPUTS!$B$8*INPUTS!$B$7)-0.85*INPUTS!$B$5*ARCH_AG!M5)/(ARCH_AG!M5*(INPUTS!$B$6-0.85*INPUTS!$B$5)))</f>
        <v>-0.0412161461721851</v>
      </c>
      <c r="N5" s="12" t="n">
        <f aca="false">IF(TRIB!N5="","",(PU!N5/(INPUTS!$B$8*INPUTS!$B$7)-0.85*INPUTS!$B$5*ARCH_AG!N5)/(ARCH_AG!N5*(INPUTS!$B$6-0.85*INPUTS!$B$5)))</f>
        <v>-0.0357626885644624</v>
      </c>
      <c r="O5" s="12" t="n">
        <f aca="false">IF(TRIB!O5="","",(PU!O5/(INPUTS!$B$8*INPUTS!$B$7)-0.85*INPUTS!$B$5*ARCH_AG!O5)/(ARCH_AG!O5*(INPUTS!$B$6-0.85*INPUTS!$B$5)))</f>
        <v>-0.0303200044892314</v>
      </c>
      <c r="P5" s="12" t="n">
        <f aca="false">IF(TRIB!P5="","",(PU!P5/(INPUTS!$B$8*INPUTS!$B$7)-0.85*INPUTS!$B$5*ARCH_AG!P5)/(ARCH_AG!P5*(INPUTS!$B$6-0.85*INPUTS!$B$5)))</f>
        <v>-0.0248206609986677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12" t="str">
        <f aca="false">IF(TRIB!E6="","",(PU!E6/(INPUTS!$B$8*INPUTS!$B$7)-0.85*INPUTS!$B$5*ARCH_AG!E6)/(ARCH_AG!E6*(INPUTS!$B$6-0.85*INPUTS!$B$5)))</f>
        <v/>
      </c>
      <c r="F6" s="12" t="n">
        <f aca="false">IF(TRIB!F6="","",(PU!F6/(INPUTS!$B$8*INPUTS!$B$7)-0.85*INPUTS!$B$5*ARCH_AG!F6)/(ARCH_AG!F6*(INPUTS!$B$6-0.85*INPUTS!$B$5)))</f>
        <v>-0.088911032046278</v>
      </c>
      <c r="G6" s="12" t="n">
        <f aca="false">IF(TRIB!G6="","",(PU!G6/(INPUTS!$B$8*INPUTS!$B$7)-0.85*INPUTS!$B$5*ARCH_AG!G6)/(ARCH_AG!G6*(INPUTS!$B$6-0.85*INPUTS!$B$5)))</f>
        <v>-0.0858770858770859</v>
      </c>
      <c r="H6" s="12" t="n">
        <f aca="false">IF(TRIB!H6="","",(PU!H6/(INPUTS!$B$8*INPUTS!$B$7)-0.85*INPUTS!$B$5*ARCH_AG!H6)/(ARCH_AG!H6*(INPUTS!$B$6-0.85*INPUTS!$B$5)))</f>
        <v>-0.082863352379566</v>
      </c>
      <c r="I6" s="12" t="n">
        <f aca="false">IF(TRIB!I6="","",(PU!I6/(INPUTS!$B$8*INPUTS!$B$7)-0.85*INPUTS!$B$5*ARCH_AG!I6)/(ARCH_AG!I6*(INPUTS!$B$6-0.85*INPUTS!$B$5)))</f>
        <v>-0.0801204491686386</v>
      </c>
      <c r="J6" s="12" t="n">
        <f aca="false">IF(TRIB!J6="","",(PU!J6/(INPUTS!$B$8*INPUTS!$B$7)-0.85*INPUTS!$B$5*ARCH_AG!J6)/(ARCH_AG!J6*(INPUTS!$B$6-0.85*INPUTS!$B$5)))</f>
        <v>-0.0774135502677006</v>
      </c>
      <c r="K6" s="12" t="n">
        <f aca="false">IF(TRIB!K6="","",(PU!K6/(INPUTS!$B$8*INPUTS!$B$7)-0.85*INPUTS!$B$5*ARCH_AG!K6)/(ARCH_AG!K6*(INPUTS!$B$6-0.85*INPUTS!$B$5)))</f>
        <v>-0.0751155451465513</v>
      </c>
      <c r="L6" s="12" t="n">
        <f aca="false">IF(TRIB!L6="","",(PU!L6/(INPUTS!$B$8*INPUTS!$B$7)-0.85*INPUTS!$B$5*ARCH_AG!L6)/(ARCH_AG!L6*(INPUTS!$B$6-0.85*INPUTS!$B$5)))</f>
        <v>-0.0725649273248147</v>
      </c>
      <c r="M6" s="12" t="n">
        <f aca="false">IF(TRIB!M6="","",(PU!M6/(INPUTS!$B$8*INPUTS!$B$7)-0.85*INPUTS!$B$5*ARCH_AG!M6)/(ARCH_AG!M6*(INPUTS!$B$6-0.85*INPUTS!$B$5)))</f>
        <v>-0.0700236919500861</v>
      </c>
      <c r="N6" s="12" t="n">
        <f aca="false">IF(TRIB!N6="","",(PU!N6/(INPUTS!$B$8*INPUTS!$B$7)-0.85*INPUTS!$B$5*ARCH_AG!N6)/(ARCH_AG!N6*(INPUTS!$B$6-0.85*INPUTS!$B$5)))</f>
        <v>-0.0674899383922479</v>
      </c>
      <c r="O6" s="12" t="n">
        <f aca="false">IF(TRIB!O6="","",(PU!O6/(INPUTS!$B$8*INPUTS!$B$7)-0.85*INPUTS!$B$5*ARCH_AG!O6)/(ARCH_AG!O6*(INPUTS!$B$6-0.85*INPUTS!$B$5)))</f>
        <v>-0.0649623323628565</v>
      </c>
      <c r="P6" s="12" t="n">
        <f aca="false">IF(TRIB!P6="","",(PU!P6/(INPUTS!$B$8*INPUTS!$B$7)-0.85*INPUTS!$B$5*ARCH_AG!P6)/(ARCH_AG!P6*(INPUTS!$B$6-0.85*INPUTS!$B$5)))</f>
        <v>-0.0623742156642416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12" t="str">
        <f aca="false">IF(TRIB!E7="","",(PU!E7/(INPUTS!$B$8*INPUTS!$B$7)-0.85*INPUTS!$B$5*ARCH_AG!E7)/(ARCH_AG!E7*(INPUTS!$B$6-0.85*INPUTS!$B$5)))</f>
        <v/>
      </c>
      <c r="F7" s="12" t="n">
        <f aca="false">IF(TRIB!F7="","",(PU!F7/(INPUTS!$B$8*INPUTS!$B$7)-0.85*INPUTS!$B$5*ARCH_AG!F7)/(ARCH_AG!F7*(INPUTS!$B$6-0.85*INPUTS!$B$5)))</f>
        <v>-0.0852768019776217</v>
      </c>
      <c r="G7" s="12" t="n">
        <f aca="false">IF(TRIB!G7="","",(PU!G7/(INPUTS!$B$8*INPUTS!$B$7)-0.85*INPUTS!$B$5*ARCH_AG!G7)/(ARCH_AG!G7*(INPUTS!$B$6-0.85*INPUTS!$B$5)))</f>
        <v>-0.0801740122054672</v>
      </c>
      <c r="H7" s="12" t="n">
        <f aca="false">IF(TRIB!H7="","",(PU!H7/(INPUTS!$B$8*INPUTS!$B$7)-0.85*INPUTS!$B$5*ARCH_AG!H7)/(ARCH_AG!H7*(INPUTS!$B$6-0.85*INPUTS!$B$5)))</f>
        <v>-0.0756804891554375</v>
      </c>
      <c r="I7" s="12" t="n">
        <f aca="false">IF(TRIB!I7="","",(PU!I7/(INPUTS!$B$8*INPUTS!$B$7)-0.85*INPUTS!$B$5*ARCH_AG!I7)/(ARCH_AG!I7*(INPUTS!$B$6-0.85*INPUTS!$B$5)))</f>
        <v>-0.071287205508517</v>
      </c>
      <c r="J7" s="12" t="n">
        <f aca="false">IF(TRIB!J7="","",(PU!J7/(INPUTS!$B$8*INPUTS!$B$7)-0.85*INPUTS!$B$5*ARCH_AG!J7)/(ARCH_AG!J7*(INPUTS!$B$6-0.85*INPUTS!$B$5)))</f>
        <v>-0.0669458095947851</v>
      </c>
      <c r="K7" s="12" t="n">
        <f aca="false">IF(TRIB!K7="","",(PU!K7/(INPUTS!$B$8*INPUTS!$B$7)-0.85*INPUTS!$B$5*ARCH_AG!K7)/(ARCH_AG!K7*(INPUTS!$B$6-0.85*INPUTS!$B$5)))</f>
        <v>-0.0630819058472515</v>
      </c>
      <c r="L7" s="12" t="n">
        <f aca="false">IF(TRIB!L7="","",(PU!L7/(INPUTS!$B$8*INPUTS!$B$7)-0.85*INPUTS!$B$5*ARCH_AG!L7)/(ARCH_AG!L7*(INPUTS!$B$6-0.85*INPUTS!$B$5)))</f>
        <v>-0.0588553631319755</v>
      </c>
      <c r="M7" s="12" t="n">
        <f aca="false">IF(TRIB!M7="","",(PU!M7/(INPUTS!$B$8*INPUTS!$B$7)-0.85*INPUTS!$B$5*ARCH_AG!M7)/(ARCH_AG!M7*(INPUTS!$B$6-0.85*INPUTS!$B$5)))</f>
        <v>-0.0546432913497062</v>
      </c>
      <c r="N7" s="12" t="n">
        <f aca="false">IF(TRIB!N7="","",(PU!N7/(INPUTS!$B$8*INPUTS!$B$7)-0.85*INPUTS!$B$5*ARCH_AG!N7)/(ARCH_AG!N7*(INPUTS!$B$6-0.85*INPUTS!$B$5)))</f>
        <v>-0.0504426840547429</v>
      </c>
      <c r="O7" s="12" t="n">
        <f aca="false">IF(TRIB!O7="","",(PU!O7/(INPUTS!$B$8*INPUTS!$B$7)-0.85*INPUTS!$B$5*ARCH_AG!O7)/(ARCH_AG!O7*(INPUTS!$B$6-0.85*INPUTS!$B$5)))</f>
        <v>-0.0462514508609502</v>
      </c>
      <c r="P7" s="12" t="n">
        <f aca="false">IF(TRIB!P7="","",(PU!P7/(INPUTS!$B$8*INPUTS!$B$7)-0.85*INPUTS!$B$5*ARCH_AG!P7)/(ARCH_AG!P7*(INPUTS!$B$6-0.85*INPUTS!$B$5)))</f>
        <v>-0.0420023897582069</v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12" t="str">
        <f aca="false">IF(TRIB!E8="","",(PU!E8/(INPUTS!$B$8*INPUTS!$B$7)-0.85*INPUTS!$B$5*ARCH_AG!E8)/(ARCH_AG!E8*(INPUTS!$B$6-0.85*INPUTS!$B$5)))</f>
        <v/>
      </c>
      <c r="F8" s="12" t="n">
        <f aca="false">IF(TRIB!F8="","",(PU!F8/(INPUTS!$B$8*INPUTS!$B$7)-0.85*INPUTS!$B$5*ARCH_AG!F8)/(ARCH_AG!F8*(INPUTS!$B$6-0.85*INPUTS!$B$5)))</f>
        <v>-0.0836621446252594</v>
      </c>
      <c r="G8" s="12" t="n">
        <f aca="false">IF(TRIB!G8="","",(PU!G8/(INPUTS!$B$8*INPUTS!$B$7)-0.85*INPUTS!$B$5*ARCH_AG!G8)/(ARCH_AG!G8*(INPUTS!$B$6-0.85*INPUTS!$B$5)))</f>
        <v>-0.0775240072321679</v>
      </c>
      <c r="H8" s="12" t="n">
        <f aca="false">IF(TRIB!H8="","",(PU!H8/(INPUTS!$B$8*INPUTS!$B$7)-0.85*INPUTS!$B$5*ARCH_AG!H8)/(ARCH_AG!H8*(INPUTS!$B$6-0.85*INPUTS!$B$5)))</f>
        <v>-0.0718411103459854</v>
      </c>
      <c r="I8" s="12" t="n">
        <f aca="false">IF(TRIB!I8="","",(PU!I8/(INPUTS!$B$8*INPUTS!$B$7)-0.85*INPUTS!$B$5*ARCH_AG!I8)/(ARCH_AG!I8*(INPUTS!$B$6-0.85*INPUTS!$B$5)))</f>
        <v>-0.0662331117515141</v>
      </c>
      <c r="J8" s="12" t="n">
        <f aca="false">IF(TRIB!J8="","",(PU!J8/(INPUTS!$B$8*INPUTS!$B$7)-0.85*INPUTS!$B$5*ARCH_AG!J8)/(ARCH_AG!J8*(INPUTS!$B$6-0.85*INPUTS!$B$5)))</f>
        <v>-0.0606763936241357</v>
      </c>
      <c r="K8" s="12" t="n">
        <f aca="false">IF(TRIB!K8="","",(PU!K8/(INPUTS!$B$8*INPUTS!$B$7)-0.85*INPUTS!$B$5*ARCH_AG!K8)/(ARCH_AG!K8*(INPUTS!$B$6-0.85*INPUTS!$B$5)))</f>
        <v>-0.0551319415382287</v>
      </c>
      <c r="L8" s="12" t="n">
        <f aca="false">IF(TRIB!L8="","",(PU!L8/(INPUTS!$B$8*INPUTS!$B$7)-0.85*INPUTS!$B$5*ARCH_AG!L8)/(ARCH_AG!L8*(INPUTS!$B$6-0.85*INPUTS!$B$5)))</f>
        <v>-0.0496050888238106</v>
      </c>
      <c r="M8" s="12" t="n">
        <f aca="false">IF(TRIB!M8="","",(PU!M8/(INPUTS!$B$8*INPUTS!$B$7)-0.85*INPUTS!$B$5*ARCH_AG!M8)/(ARCH_AG!M8*(INPUTS!$B$6-0.85*INPUTS!$B$5)))</f>
        <v>-0.0440915720562155</v>
      </c>
      <c r="N8" s="12" t="n">
        <f aca="false">IF(TRIB!N8="","",(PU!N8/(INPUTS!$B$8*INPUTS!$B$7)-0.85*INPUTS!$B$5*ARCH_AG!N8)/(ARCH_AG!N8*(INPUTS!$B$6-0.85*INPUTS!$B$5)))</f>
        <v>-0.0385886133784181</v>
      </c>
      <c r="O8" s="12" t="n">
        <f aca="false">IF(TRIB!O8="","",(PU!O8/(INPUTS!$B$8*INPUTS!$B$7)-0.85*INPUTS!$B$5*ARCH_AG!O8)/(ARCH_AG!O8*(INPUTS!$B$6-0.85*INPUTS!$B$5)))</f>
        <v>-0.0329817116702362</v>
      </c>
      <c r="P8" s="12" t="n">
        <f aca="false">IF(TRIB!P8="","",(PU!P8/(INPUTS!$B$8*INPUTS!$B$7)-0.85*INPUTS!$B$5*ARCH_AG!P8)/(ARCH_AG!P8*(INPUTS!$B$6-0.85*INPUTS!$B$5)))</f>
        <v>-0.0272834835676366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12" t="str">
        <f aca="false">IF(TRIB!E9="","",(PU!E9/(INPUTS!$B$8*INPUTS!$B$7)-0.85*INPUTS!$B$5*ARCH_AG!E9)/(ARCH_AG!E9*(INPUTS!$B$6-0.85*INPUTS!$B$5)))</f>
        <v/>
      </c>
      <c r="F9" s="12" t="n">
        <f aca="false">IF(TRIB!F9="","",(PU!F9/(INPUTS!$B$8*INPUTS!$B$7)-0.85*INPUTS!$B$5*ARCH_AG!F9)/(ARCH_AG!F9*(INPUTS!$B$6-0.85*INPUTS!$B$5)))</f>
        <v>-0.0827730822607872</v>
      </c>
      <c r="G9" s="12" t="n">
        <f aca="false">IF(TRIB!G9="","",(PU!G9/(INPUTS!$B$8*INPUTS!$B$7)-0.85*INPUTS!$B$5*ARCH_AG!G9)/(ARCH_AG!G9*(INPUTS!$B$6-0.85*INPUTS!$B$5)))</f>
        <v>-0.076636472175611</v>
      </c>
      <c r="H9" s="12" t="n">
        <f aca="false">IF(TRIB!H9="","",(PU!H9/(INPUTS!$B$8*INPUTS!$B$7)-0.85*INPUTS!$B$5*ARCH_AG!H9)/(ARCH_AG!H9*(INPUTS!$B$6-0.85*INPUTS!$B$5)))</f>
        <v>-0.0709721216403694</v>
      </c>
      <c r="I9" s="12" t="n">
        <f aca="false">IF(TRIB!I9="","",(PU!I9/(INPUTS!$B$8*INPUTS!$B$7)-0.85*INPUTS!$B$5*ARCH_AG!I9)/(ARCH_AG!I9*(INPUTS!$B$6-0.85*INPUTS!$B$5)))</f>
        <v>-0.0653854694491846</v>
      </c>
      <c r="J9" s="12" t="n">
        <f aca="false">IF(TRIB!J9="","",(PU!J9/(INPUTS!$B$8*INPUTS!$B$7)-0.85*INPUTS!$B$5*ARCH_AG!J9)/(ARCH_AG!J9*(INPUTS!$B$6-0.85*INPUTS!$B$5)))</f>
        <v>-0.0598390368804293</v>
      </c>
      <c r="K9" s="12" t="n">
        <f aca="false">IF(TRIB!K9="","",(PU!K9/(INPUTS!$B$8*INPUTS!$B$7)-0.85*INPUTS!$B$5*ARCH_AG!K9)/(ARCH_AG!K9*(INPUTS!$B$6-0.85*INPUTS!$B$5)))</f>
        <v>-0.0545598245285404</v>
      </c>
      <c r="L9" s="12" t="n">
        <f aca="false">IF(TRIB!L9="","",(PU!L9/(INPUTS!$B$8*INPUTS!$B$7)-0.85*INPUTS!$B$5*ARCH_AG!L9)/(ARCH_AG!L9*(INPUTS!$B$6-0.85*INPUTS!$B$5)))</f>
        <v>-0.049037168811759</v>
      </c>
      <c r="M9" s="12" t="n">
        <f aca="false">IF(TRIB!M9="","",(PU!M9/(INPUTS!$B$8*INPUTS!$B$7)-0.85*INPUTS!$B$5*ARCH_AG!M9)/(ARCH_AG!M9*(INPUTS!$B$6-0.85*INPUTS!$B$5)))</f>
        <v>-0.0434145165702543</v>
      </c>
      <c r="N9" s="12" t="n">
        <f aca="false">IF(TRIB!N9="","",(PU!N9/(INPUTS!$B$8*INPUTS!$B$7)-0.85*INPUTS!$B$5*ARCH_AG!N9)/(ARCH_AG!N9*(INPUTS!$B$6-0.85*INPUTS!$B$5)))</f>
        <v>-0.0377918643287496</v>
      </c>
      <c r="O9" s="12" t="n">
        <f aca="false">IF(TRIB!O9="","",(PU!O9/(INPUTS!$B$8*INPUTS!$B$7)-0.85*INPUTS!$B$5*ARCH_AG!O9)/(ARCH_AG!O9*(INPUTS!$B$6-0.85*INPUTS!$B$5)))</f>
        <v>-0.0321692120872449</v>
      </c>
      <c r="P9" s="12" t="n">
        <f aca="false">IF(TRIB!P9="","",(PU!P9/(INPUTS!$B$8*INPUTS!$B$7)-0.85*INPUTS!$B$5*ARCH_AG!P9)/(ARCH_AG!P9*(INPUTS!$B$6-0.85*INPUTS!$B$5)))</f>
        <v>-0.0264808809890777</v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12" t="str">
        <f aca="false">IF(TRIB!E10="","",(PU!E10/(INPUTS!$B$8*INPUTS!$B$7)-0.85*INPUTS!$B$5*ARCH_AG!E10)/(ARCH_AG!E10*(INPUTS!$B$6-0.85*INPUTS!$B$5)))</f>
        <v/>
      </c>
      <c r="F10" s="12" t="n">
        <f aca="false">IF(TRIB!F10="","",(PU!F10/(INPUTS!$B$8*INPUTS!$B$7)-0.85*INPUTS!$B$5*ARCH_AG!F10)/(ARCH_AG!F10*(INPUTS!$B$6-0.85*INPUTS!$B$5)))</f>
        <v>-0.0821142086510939</v>
      </c>
      <c r="G10" s="12" t="n">
        <f aca="false">IF(TRIB!G10="","",(PU!G10/(INPUTS!$B$8*INPUTS!$B$7)-0.85*INPUTS!$B$5*ARCH_AG!G10)/(ARCH_AG!G10*(INPUTS!$B$6-0.85*INPUTS!$B$5)))</f>
        <v>-0.0756168394085285</v>
      </c>
      <c r="H10" s="12" t="n">
        <f aca="false">IF(TRIB!H10="","",(PU!H10/(INPUTS!$B$8*INPUTS!$B$7)-0.85*INPUTS!$B$5*ARCH_AG!H10)/(ARCH_AG!H10*(INPUTS!$B$6-0.85*INPUTS!$B$5)))</f>
        <v>-0.0696076351453088</v>
      </c>
      <c r="I10" s="12" t="n">
        <f aca="false">IF(TRIB!I10="","",(PU!I10/(INPUTS!$B$8*INPUTS!$B$7)-0.85*INPUTS!$B$5*ARCH_AG!I10)/(ARCH_AG!I10*(INPUTS!$B$6-0.85*INPUTS!$B$5)))</f>
        <v>-0.0636787460615849</v>
      </c>
      <c r="J10" s="12" t="n">
        <f aca="false">IF(TRIB!J10="","",(PU!J10/(INPUTS!$B$8*INPUTS!$B$7)-0.85*INPUTS!$B$5*ARCH_AG!J10)/(ARCH_AG!J10*(INPUTS!$B$6-0.85*INPUTS!$B$5)))</f>
        <v>-0.0577914311739898</v>
      </c>
      <c r="K10" s="12" t="n">
        <f aca="false">IF(TRIB!K10="","",(PU!K10/(INPUTS!$B$8*INPUTS!$B$7)-0.85*INPUTS!$B$5*ARCH_AG!K10)/(ARCH_AG!K10*(INPUTS!$B$6-0.85*INPUTS!$B$5)))</f>
        <v>-0.0521803363261277</v>
      </c>
      <c r="L10" s="12" t="n">
        <f aca="false">IF(TRIB!L10="","",(PU!L10/(INPUTS!$B$8*INPUTS!$B$7)-0.85*INPUTS!$B$5*ARCH_AG!L10)/(ARCH_AG!L10*(INPUTS!$B$6-0.85*INPUTS!$B$5)))</f>
        <v>-0.0462565553754078</v>
      </c>
      <c r="M10" s="12" t="n">
        <f aca="false">IF(TRIB!M10="","",(PU!M10/(INPUTS!$B$8*INPUTS!$B$7)-0.85*INPUTS!$B$5*ARCH_AG!M10)/(ARCH_AG!M10*(INPUTS!$B$6-0.85*INPUTS!$B$5)))</f>
        <v>-0.0402802798294602</v>
      </c>
      <c r="N10" s="12" t="n">
        <f aca="false">IF(TRIB!N10="","",(PU!N10/(INPUTS!$B$8*INPUTS!$B$7)-0.85*INPUTS!$B$5*ARCH_AG!N10)/(ARCH_AG!N10*(INPUTS!$B$6-0.85*INPUTS!$B$5)))</f>
        <v>-0.0343040042835125</v>
      </c>
      <c r="O10" s="12" t="n">
        <f aca="false">IF(TRIB!O10="","",(PU!O10/(INPUTS!$B$8*INPUTS!$B$7)-0.85*INPUTS!$B$5*ARCH_AG!O10)/(ARCH_AG!O10*(INPUTS!$B$6-0.85*INPUTS!$B$5)))</f>
        <v>-0.0283277287375648</v>
      </c>
      <c r="P10" s="12" t="n">
        <f aca="false">IF(TRIB!P10="","",(PU!P10/(INPUTS!$B$8*INPUTS!$B$7)-0.85*INPUTS!$B$5*ARCH_AG!P10)/(ARCH_AG!P10*(INPUTS!$B$6-0.85*INPUTS!$B$5)))</f>
        <v>-0.0222857743349547</v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12" t="str">
        <f aca="false">IF(TRIB!E11="","",(PU!E11/(INPUTS!$B$8*INPUTS!$B$7)-0.85*INPUTS!$B$5*ARCH_AG!E11)/(ARCH_AG!E11*(INPUTS!$B$6-0.85*INPUTS!$B$5)))</f>
        <v/>
      </c>
      <c r="F11" s="12" t="n">
        <f aca="false">IF(TRIB!F11="","",(PU!F11/(INPUTS!$B$8*INPUTS!$B$7)-0.85*INPUTS!$B$5*ARCH_AG!F11)/(ARCH_AG!F11*(INPUTS!$B$6-0.85*INPUTS!$B$5)))</f>
        <v>-0.0834394620255276</v>
      </c>
      <c r="G11" s="12" t="n">
        <f aca="false">IF(TRIB!G11="","",(PU!G11/(INPUTS!$B$8*INPUTS!$B$7)-0.85*INPUTS!$B$5*ARCH_AG!G11)/(ARCH_AG!G11*(INPUTS!$B$6-0.85*INPUTS!$B$5)))</f>
        <v>-0.0771810804321933</v>
      </c>
      <c r="H11" s="12" t="n">
        <f aca="false">IF(TRIB!H11="","",(PU!H11/(INPUTS!$B$8*INPUTS!$B$7)-0.85*INPUTS!$B$5*ARCH_AG!H11)/(ARCH_AG!H11*(INPUTS!$B$6-0.85*INPUTS!$B$5)))</f>
        <v>-0.0713840502300287</v>
      </c>
      <c r="I11" s="12" t="n">
        <f aca="false">IF(TRIB!I11="","",(PU!I11/(INPUTS!$B$8*INPUTS!$B$7)-0.85*INPUTS!$B$5*ARCH_AG!I11)/(ARCH_AG!I11*(INPUTS!$B$6-0.85*INPUTS!$B$5)))</f>
        <v>-0.0656629237107588</v>
      </c>
      <c r="J11" s="12" t="n">
        <f aca="false">IF(TRIB!J11="","",(PU!J11/(INPUTS!$B$8*INPUTS!$B$7)-0.85*INPUTS!$B$5*ARCH_AG!J11)/(ARCH_AG!J11*(INPUTS!$B$6-0.85*INPUTS!$B$5)))</f>
        <v>-0.0599810878289419</v>
      </c>
      <c r="K11" s="12" t="n">
        <f aca="false">IF(TRIB!K11="","",(PU!K11/(INPUTS!$B$8*INPUTS!$B$7)-0.85*INPUTS!$B$5*ARCH_AG!K11)/(ARCH_AG!K11*(INPUTS!$B$6-0.85*INPUTS!$B$5)))</f>
        <v>-0.0543243608296733</v>
      </c>
      <c r="L11" s="12" t="n">
        <f aca="false">IF(TRIB!L11="","",(PU!L11/(INPUTS!$B$8*INPUTS!$B$7)-0.85*INPUTS!$B$5*ARCH_AG!L11)/(ARCH_AG!L11*(INPUTS!$B$6-0.85*INPUTS!$B$5)))</f>
        <v>-0.0486854694456386</v>
      </c>
      <c r="M11" s="12" t="n">
        <f aca="false">IF(TRIB!M11="","",(PU!M11/(INPUTS!$B$8*INPUTS!$B$7)-0.85*INPUTS!$B$5*ARCH_AG!M11)/(ARCH_AG!M11*(INPUTS!$B$6-0.85*INPUTS!$B$5)))</f>
        <v>-0.0430600930224345</v>
      </c>
      <c r="N11" s="12" t="n">
        <f aca="false">IF(TRIB!N11="","",(PU!N11/(INPUTS!$B$8*INPUTS!$B$7)-0.85*INPUTS!$B$5*ARCH_AG!N11)/(ARCH_AG!N11*(INPUTS!$B$6-0.85*INPUTS!$B$5)))</f>
        <v>-0.0374418550989589</v>
      </c>
      <c r="O11" s="12" t="n">
        <f aca="false">IF(TRIB!O11="","",(PU!O11/(INPUTS!$B$8*INPUTS!$B$7)-0.85*INPUTS!$B$5*ARCH_AG!O11)/(ARCH_AG!O11*(INPUTS!$B$6-0.85*INPUTS!$B$5)))</f>
        <v>-0.0316921542331378</v>
      </c>
      <c r="P11" s="12" t="n">
        <f aca="false">IF(TRIB!P11="","",(PU!P11/(INPUTS!$B$8*INPUTS!$B$7)-0.85*INPUTS!$B$5*ARCH_AG!P11)/(ARCH_AG!P11*(INPUTS!$B$6-0.85*INPUTS!$B$5)))</f>
        <v>-0.0258767745106543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12" t="str">
        <f aca="false">IF(TRIB!E12="","",(PU!E12/(INPUTS!$B$8*INPUTS!$B$7)-0.85*INPUTS!$B$5*ARCH_AG!E12)/(ARCH_AG!E12*(INPUTS!$B$6-0.85*INPUTS!$B$5)))</f>
        <v/>
      </c>
      <c r="F12" s="12" t="n">
        <f aca="false">IF(TRIB!F12="","",(PU!F12/(INPUTS!$B$8*INPUTS!$B$7)-0.85*INPUTS!$B$5*ARCH_AG!F12)/(ARCH_AG!F12*(INPUTS!$B$6-0.85*INPUTS!$B$5)))</f>
        <v>-0.0883038675046872</v>
      </c>
      <c r="G12" s="12" t="n">
        <f aca="false">IF(TRIB!G12="","",(PU!G12/(INPUTS!$B$8*INPUTS!$B$7)-0.85*INPUTS!$B$5*ARCH_AG!G12)/(ARCH_AG!G12*(INPUTS!$B$6-0.85*INPUTS!$B$5)))</f>
        <v>-0.0850501577960594</v>
      </c>
      <c r="H12" s="12" t="n">
        <f aca="false">IF(TRIB!H12="","",(PU!H12/(INPUTS!$B$8*INPUTS!$B$7)-0.85*INPUTS!$B$5*ARCH_AG!H12)/(ARCH_AG!H12*(INPUTS!$B$6-0.85*INPUTS!$B$5)))</f>
        <v>-0.0820898436360106</v>
      </c>
      <c r="I12" s="12" t="n">
        <f aca="false">IF(TRIB!I12="","",(PU!I12/(INPUTS!$B$8*INPUTS!$B$7)-0.85*INPUTS!$B$5*ARCH_AG!I12)/(ARCH_AG!I12*(INPUTS!$B$6-0.85*INPUTS!$B$5)))</f>
        <v>-0.0792334242117106</v>
      </c>
      <c r="J12" s="12" t="n">
        <f aca="false">IF(TRIB!J12="","",(PU!J12/(INPUTS!$B$8*INPUTS!$B$7)-0.85*INPUTS!$B$5*ARCH_AG!J12)/(ARCH_AG!J12*(INPUTS!$B$6-0.85*INPUTS!$B$5)))</f>
        <v>-0.0764079177845162</v>
      </c>
      <c r="K12" s="12" t="n">
        <f aca="false">IF(TRIB!K12="","",(PU!K12/(INPUTS!$B$8*INPUTS!$B$7)-0.85*INPUTS!$B$5*ARCH_AG!K12)/(ARCH_AG!K12*(INPUTS!$B$6-0.85*INPUTS!$B$5)))</f>
        <v>-0.0737989675666578</v>
      </c>
      <c r="L12" s="12" t="n">
        <f aca="false">IF(TRIB!L12="","",(PU!L12/(INPUTS!$B$8*INPUTS!$B$7)-0.85*INPUTS!$B$5*ARCH_AG!L12)/(ARCH_AG!L12*(INPUTS!$B$6-0.85*INPUTS!$B$5)))</f>
        <v>-0.0712018085306218</v>
      </c>
      <c r="M12" s="12" t="n">
        <f aca="false">IF(TRIB!M12="","",(PU!M12/(INPUTS!$B$8*INPUTS!$B$7)-0.85*INPUTS!$B$5*ARCH_AG!M12)/(ARCH_AG!M12*(INPUTS!$B$6-0.85*INPUTS!$B$5)))</f>
        <v>-0.0686137687015999</v>
      </c>
      <c r="N12" s="12" t="n">
        <f aca="false">IF(TRIB!N12="","",(PU!N12/(INPUTS!$B$8*INPUTS!$B$7)-0.85*INPUTS!$B$5*ARCH_AG!N12)/(ARCH_AG!N12*(INPUTS!$B$6-0.85*INPUTS!$B$5)))</f>
        <v>-0.0660330546891149</v>
      </c>
      <c r="O12" s="12" t="n">
        <f aca="false">IF(TRIB!O12="","",(PU!O12/(INPUTS!$B$8*INPUTS!$B$7)-0.85*INPUTS!$B$5*ARCH_AG!O12)/(ARCH_AG!O12*(INPUTS!$B$6-0.85*INPUTS!$B$5)))</f>
        <v>-0.0634583936545666</v>
      </c>
      <c r="P12" s="12" t="n">
        <f aca="false">IF(TRIB!P12="","",(PU!P12/(INPUTS!$B$8*INPUTS!$B$7)-0.85*INPUTS!$B$5*ARCH_AG!P12)/(ARCH_AG!P12*(INPUTS!$B$6-0.85*INPUTS!$B$5)))</f>
        <v>-0.0608231646711125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12" t="str">
        <f aca="false">IF(TRIB!E13="","",(PU!E13/(INPUTS!$B$8*INPUTS!$B$7)-0.85*INPUTS!$B$5*ARCH_AG!E13)/(ARCH_AG!E13*(INPUTS!$B$6-0.85*INPUTS!$B$5)))</f>
        <v/>
      </c>
      <c r="F13" s="12" t="n">
        <f aca="false">IF(TRIB!F13="","",(PU!F13/(INPUTS!$B$8*INPUTS!$B$7)-0.85*INPUTS!$B$5*ARCH_AG!F13)/(ARCH_AG!F13*(INPUTS!$B$6-0.85*INPUTS!$B$5)))</f>
        <v>-0.0819824339291552</v>
      </c>
      <c r="G13" s="12" t="n">
        <f aca="false">IF(TRIB!G13="","",(PU!G13/(INPUTS!$B$8*INPUTS!$B$7)-0.85*INPUTS!$B$5*ARCH_AG!G13)/(ARCH_AG!G13*(INPUTS!$B$6-0.85*INPUTS!$B$5)))</f>
        <v>-0.0754130183357035</v>
      </c>
      <c r="H13" s="12" t="n">
        <f aca="false">IF(TRIB!H13="","",(PU!H13/(INPUTS!$B$8*INPUTS!$B$7)-0.85*INPUTS!$B$5*ARCH_AG!H13)/(ARCH_AG!H13*(INPUTS!$B$6-0.85*INPUTS!$B$5)))</f>
        <v>-0.0693348870183796</v>
      </c>
      <c r="I13" s="12" t="n">
        <f aca="false">IF(TRIB!I13="","",(PU!I13/(INPUTS!$B$8*INPUTS!$B$7)-0.85*INPUTS!$B$5*ARCH_AG!I13)/(ARCH_AG!I13*(INPUTS!$B$6-0.85*INPUTS!$B$5)))</f>
        <v>-0.0633375840818086</v>
      </c>
      <c r="J13" s="12" t="n">
        <f aca="false">IF(TRIB!J13="","",(PU!J13/(INPUTS!$B$8*INPUTS!$B$7)-0.85*INPUTS!$B$5*ARCH_AG!J13)/(ARCH_AG!J13*(INPUTS!$B$6-0.85*INPUTS!$B$5)))</f>
        <v>-0.0573821209938848</v>
      </c>
      <c r="K13" s="12" t="n">
        <f aca="false">IF(TRIB!K13="","",(PU!K13/(INPUTS!$B$8*INPUTS!$B$7)-0.85*INPUTS!$B$5*ARCH_AG!K13)/(ARCH_AG!K13*(INPUTS!$B$6-0.85*INPUTS!$B$5)))</f>
        <v>-0.0517046429479322</v>
      </c>
      <c r="L13" s="12" t="n">
        <f aca="false">IF(TRIB!L13="","",(PU!L13/(INPUTS!$B$8*INPUTS!$B$7)-0.85*INPUTS!$B$5*ARCH_AG!L13)/(ARCH_AG!L13*(INPUTS!$B$6-0.85*INPUTS!$B$5)))</f>
        <v>-0.0457004326881376</v>
      </c>
      <c r="M13" s="12" t="n">
        <f aca="false">IF(TRIB!M13="","",(PU!M13/(INPUTS!$B$8*INPUTS!$B$7)-0.85*INPUTS!$B$5*ARCH_AG!M13)/(ARCH_AG!M13*(INPUTS!$B$6-0.85*INPUTS!$B$5)))</f>
        <v>-0.0396534324813013</v>
      </c>
      <c r="N13" s="12" t="n">
        <f aca="false">IF(TRIB!N13="","",(PU!N13/(INPUTS!$B$8*INPUTS!$B$7)-0.85*INPUTS!$B$5*ARCH_AG!N13)/(ARCH_AG!N13*(INPUTS!$B$6-0.85*INPUTS!$B$5)))</f>
        <v>-0.033606432274465</v>
      </c>
      <c r="O13" s="12" t="n">
        <f aca="false">IF(TRIB!O13="","",(PU!O13/(INPUTS!$B$8*INPUTS!$B$7)-0.85*INPUTS!$B$5*ARCH_AG!O13)/(ARCH_AG!O13*(INPUTS!$B$6-0.85*INPUTS!$B$5)))</f>
        <v>-0.0275594320676288</v>
      </c>
      <c r="P13" s="12" t="n">
        <f aca="false">IF(TRIB!P13="","",(PU!P13/(INPUTS!$B$8*INPUTS!$B$7)-0.85*INPUTS!$B$5*ARCH_AG!P13)/(ARCH_AG!P13*(INPUTS!$B$6-0.85*INPUTS!$B$5)))</f>
        <v>-0.02144675300413</v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12" t="str">
        <f aca="false">IF(TRIB!E14="","",(PU!E14/(INPUTS!$B$8*INPUTS!$B$7)-0.85*INPUTS!$B$5*ARCH_AG!E14)/(ARCH_AG!E14*(INPUTS!$B$6-0.85*INPUTS!$B$5)))</f>
        <v/>
      </c>
      <c r="F14" s="12" t="n">
        <f aca="false">IF(TRIB!F14="","",(PU!F14/(INPUTS!$B$8*INPUTS!$B$7)-0.85*INPUTS!$B$5*ARCH_AG!F14)/(ARCH_AG!F14*(INPUTS!$B$6-0.85*INPUTS!$B$5)))</f>
        <v>-0.0857794363600374</v>
      </c>
      <c r="G14" s="12" t="n">
        <f aca="false">IF(TRIB!G14="","",(PU!G14/(INPUTS!$B$8*INPUTS!$B$7)-0.85*INPUTS!$B$5*ARCH_AG!G14)/(ARCH_AG!G14*(INPUTS!$B$6-0.85*INPUTS!$B$5)))</f>
        <v>-0.0812141556704521</v>
      </c>
      <c r="H14" s="12" t="n">
        <f aca="false">IF(TRIB!H14="","",(PU!H14/(INPUTS!$B$8*INPUTS!$B$7)-0.85*INPUTS!$B$5*ARCH_AG!H14)/(ARCH_AG!H14*(INPUTS!$B$6-0.85*INPUTS!$B$5)))</f>
        <v>-0.0770344732886987</v>
      </c>
      <c r="I14" s="12" t="n">
        <f aca="false">IF(TRIB!I14="","",(PU!I14/(INPUTS!$B$8*INPUTS!$B$7)-0.85*INPUTS!$B$5*ARCH_AG!I14)/(ARCH_AG!I14*(INPUTS!$B$6-0.85*INPUTS!$B$5)))</f>
        <v>-0.0729182313392114</v>
      </c>
      <c r="J14" s="12" t="n">
        <f aca="false">IF(TRIB!J14="","",(PU!J14/(INPUTS!$B$8*INPUTS!$B$7)-0.85*INPUTS!$B$5*ARCH_AG!J14)/(ARCH_AG!J14*(INPUTS!$B$6-0.85*INPUTS!$B$5)))</f>
        <v>-0.0688348285739241</v>
      </c>
      <c r="K14" s="12" t="n">
        <f aca="false">IF(TRIB!K14="","",(PU!K14/(INPUTS!$B$8*INPUTS!$B$7)-0.85*INPUTS!$B$5*ARCH_AG!K14)/(ARCH_AG!K14*(INPUTS!$B$6-0.85*INPUTS!$B$5)))</f>
        <v>-0.0648636430808515</v>
      </c>
      <c r="L14" s="12" t="n">
        <f aca="false">IF(TRIB!L14="","",(PU!L14/(INPUTS!$B$8*INPUTS!$B$7)-0.85*INPUTS!$B$5*ARCH_AG!L14)/(ARCH_AG!L14*(INPUTS!$B$6-0.85*INPUTS!$B$5)))</f>
        <v>-0.0609064953225253</v>
      </c>
      <c r="M14" s="12" t="n">
        <f aca="false">IF(TRIB!M14="","",(PU!M14/(INPUTS!$B$8*INPUTS!$B$7)-0.85*INPUTS!$B$5*ARCH_AG!M14)/(ARCH_AG!M14*(INPUTS!$B$6-0.85*INPUTS!$B$5)))</f>
        <v>-0.0569600616289527</v>
      </c>
      <c r="N14" s="12" t="n">
        <f aca="false">IF(TRIB!N14="","",(PU!N14/(INPUTS!$B$8*INPUTS!$B$7)-0.85*INPUTS!$B$5*ARCH_AG!N14)/(ARCH_AG!N14*(INPUTS!$B$6-0.85*INPUTS!$B$5)))</f>
        <v>-0.0530221537063729</v>
      </c>
      <c r="O14" s="12" t="n">
        <f aca="false">IF(TRIB!O14="","",(PU!O14/(INPUTS!$B$8*INPUTS!$B$7)-0.85*INPUTS!$B$5*ARCH_AG!O14)/(ARCH_AG!O14*(INPUTS!$B$6-0.85*INPUTS!$B$5)))</f>
        <v>-0.0490912400732226</v>
      </c>
      <c r="P14" s="12" t="n">
        <f aca="false">IF(TRIB!P14="","",(PU!P14/(INPUTS!$B$8*INPUTS!$B$7)-0.85*INPUTS!$B$5*ARCH_AG!P14)/(ARCH_AG!P14*(INPUTS!$B$6-0.85*INPUTS!$B$5)))</f>
        <v>-0.0451005204397545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12" t="str">
        <f aca="false">IF(TRIB!E15="","",(PU!E15/(INPUTS!$B$8*INPUTS!$B$7)-0.85*INPUTS!$B$5*ARCH_AG!E15)/(ARCH_AG!E15*(INPUTS!$B$6-0.85*INPUTS!$B$5)))</f>
        <v/>
      </c>
      <c r="F15" s="12" t="n">
        <f aca="false">IF(TRIB!F15="","",(PU!F15/(INPUTS!$B$8*INPUTS!$B$7)-0.85*INPUTS!$B$5*ARCH_AG!F15)/(ARCH_AG!F15*(INPUTS!$B$6-0.85*INPUTS!$B$5)))</f>
        <v>-0.0826613239523076</v>
      </c>
      <c r="G15" s="12" t="n">
        <f aca="false">IF(TRIB!G15="","",(PU!G15/(INPUTS!$B$8*INPUTS!$B$7)-0.85*INPUTS!$B$5*ARCH_AG!G15)/(ARCH_AG!G15*(INPUTS!$B$6-0.85*INPUTS!$B$5)))</f>
        <v>-0.0765022603931765</v>
      </c>
      <c r="H15" s="12" t="n">
        <f aca="false">IF(TRIB!H15="","",(PU!H15/(INPUTS!$B$8*INPUTS!$B$7)-0.85*INPUTS!$B$5*ARCH_AG!H15)/(ARCH_AG!H15*(INPUTS!$B$6-0.85*INPUTS!$B$5)))</f>
        <v>-0.0708921216019775</v>
      </c>
      <c r="I15" s="12" t="n">
        <f aca="false">IF(TRIB!I15="","",(PU!I15/(INPUTS!$B$8*INPUTS!$B$7)-0.85*INPUTS!$B$5*ARCH_AG!I15)/(ARCH_AG!I15*(INPUTS!$B$6-0.85*INPUTS!$B$5)))</f>
        <v>-0.0653722944741128</v>
      </c>
      <c r="J15" s="12" t="n">
        <f aca="false">IF(TRIB!J15="","",(PU!J15/(INPUTS!$B$8*INPUTS!$B$7)-0.85*INPUTS!$B$5*ARCH_AG!J15)/(ARCH_AG!J15*(INPUTS!$B$6-0.85*INPUTS!$B$5)))</f>
        <v>-0.0598992161031795</v>
      </c>
      <c r="K15" s="12" t="n">
        <f aca="false">IF(TRIB!K15="","",(PU!K15/(INPUTS!$B$8*INPUTS!$B$7)-0.85*INPUTS!$B$5*ARCH_AG!K15)/(ARCH_AG!K15*(INPUTS!$B$6-0.85*INPUTS!$B$5)))</f>
        <v>-0.054456012764141</v>
      </c>
      <c r="L15" s="12" t="n">
        <f aca="false">IF(TRIB!L15="","",(PU!L15/(INPUTS!$B$8*INPUTS!$B$7)-0.85*INPUTS!$B$5*ARCH_AG!L15)/(ARCH_AG!L15*(INPUTS!$B$6-0.85*INPUTS!$B$5)))</f>
        <v>-0.0490340305835092</v>
      </c>
      <c r="M15" s="12" t="n">
        <f aca="false">IF(TRIB!M15="","",(PU!M15/(INPUTS!$B$8*INPUTS!$B$7)-0.85*INPUTS!$B$5*ARCH_AG!M15)/(ARCH_AG!M15*(INPUTS!$B$6-0.85*INPUTS!$B$5)))</f>
        <v>-0.0436281287634866</v>
      </c>
      <c r="N15" s="12" t="n">
        <f aca="false">IF(TRIB!N15="","",(PU!N15/(INPUTS!$B$8*INPUTS!$B$7)-0.85*INPUTS!$B$5*ARCH_AG!N15)/(ARCH_AG!N15*(INPUTS!$B$6-0.85*INPUTS!$B$5)))</f>
        <v>-0.0382349577899156</v>
      </c>
      <c r="O15" s="12" t="n">
        <f aca="false">IF(TRIB!O15="","",(PU!O15/(INPUTS!$B$8*INPUTS!$B$7)-0.85*INPUTS!$B$5*ARCH_AG!O15)/(ARCH_AG!O15*(INPUTS!$B$6-0.85*INPUTS!$B$5)))</f>
        <v>-0.0328521910823166</v>
      </c>
      <c r="P15" s="12" t="n">
        <f aca="false">IF(TRIB!P15="","",(PU!P15/(INPUTS!$B$8*INPUTS!$B$7)-0.85*INPUTS!$B$5*ARCH_AG!P15)/(ARCH_AG!P15*(INPUTS!$B$6-0.85*INPUTS!$B$5)))</f>
        <v>-0.0274124558149413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12" t="str">
        <f aca="false">IF(TRIB!E16="","",(PU!E16/(INPUTS!$B$8*INPUTS!$B$7)-0.85*INPUTS!$B$5*ARCH_AG!E16)/(ARCH_AG!E16*(INPUTS!$B$6-0.85*INPUTS!$B$5)))</f>
        <v/>
      </c>
      <c r="F16" s="12" t="n">
        <f aca="false">IF(TRIB!F16="","",(PU!F16/(INPUTS!$B$8*INPUTS!$B$7)-0.85*INPUTS!$B$5*ARCH_AG!F16)/(ARCH_AG!F16*(INPUTS!$B$6-0.85*INPUTS!$B$5)))</f>
        <v>-0.0806976303902534</v>
      </c>
      <c r="G16" s="12" t="n">
        <f aca="false">IF(TRIB!G16="","",(PU!G16/(INPUTS!$B$8*INPUTS!$B$7)-0.85*INPUTS!$B$5*ARCH_AG!G16)/(ARCH_AG!G16*(INPUTS!$B$6-0.85*INPUTS!$B$5)))</f>
        <v>-0.0732276520832362</v>
      </c>
      <c r="H16" s="12" t="n">
        <f aca="false">IF(TRIB!H16="","",(PU!H16/(INPUTS!$B$8*INPUTS!$B$7)-0.85*INPUTS!$B$5*ARCH_AG!H16)/(ARCH_AG!H16*(INPUTS!$B$6-0.85*INPUTS!$B$5)))</f>
        <v>-0.0663954218113234</v>
      </c>
      <c r="I16" s="12" t="n">
        <f aca="false">IF(TRIB!I16="","",(PU!I16/(INPUTS!$B$8*INPUTS!$B$7)-0.85*INPUTS!$B$5*ARCH_AG!I16)/(ARCH_AG!I16*(INPUTS!$B$6-0.85*INPUTS!$B$5)))</f>
        <v>-0.0596681168209849</v>
      </c>
      <c r="J16" s="12" t="n">
        <f aca="false">IF(TRIB!J16="","",(PU!J16/(INPUTS!$B$8*INPUTS!$B$7)-0.85*INPUTS!$B$5*ARCH_AG!J16)/(ARCH_AG!J16*(INPUTS!$B$6-0.85*INPUTS!$B$5)))</f>
        <v>-0.0529951251530147</v>
      </c>
      <c r="K16" s="12" t="n">
        <f aca="false">IF(TRIB!K16="","",(PU!K16/(INPUTS!$B$8*INPUTS!$B$7)-0.85*INPUTS!$B$5*ARCH_AG!K16)/(ARCH_AG!K16*(INPUTS!$B$6-0.85*INPUTS!$B$5)))</f>
        <v>-0.0466829926106466</v>
      </c>
      <c r="L16" s="12" t="n">
        <f aca="false">IF(TRIB!L16="","",(PU!L16/(INPUTS!$B$8*INPUTS!$B$7)-0.85*INPUTS!$B$5*ARCH_AG!L16)/(ARCH_AG!L16*(INPUTS!$B$6-0.85*INPUTS!$B$5)))</f>
        <v>-0.0401004945870519</v>
      </c>
      <c r="M16" s="12" t="n">
        <f aca="false">IF(TRIB!M16="","",(PU!M16/(INPUTS!$B$8*INPUTS!$B$7)-0.85*INPUTS!$B$5*ARCH_AG!M16)/(ARCH_AG!M16*(INPUTS!$B$6-0.85*INPUTS!$B$5)))</f>
        <v>-0.0335341759748431</v>
      </c>
      <c r="N16" s="12" t="n">
        <f aca="false">IF(TRIB!N16="","",(PU!N16/(INPUTS!$B$8*INPUTS!$B$7)-0.85*INPUTS!$B$5*ARCH_AG!N16)/(ARCH_AG!N16*(INPUTS!$B$6-0.85*INPUTS!$B$5)))</f>
        <v>-0.0268051051862527</v>
      </c>
      <c r="O16" s="12" t="n">
        <f aca="false">IF(TRIB!O16="","",(PU!O16/(INPUTS!$B$8*INPUTS!$B$7)-0.85*INPUTS!$B$5*ARCH_AG!O16)/(ARCH_AG!O16*(INPUTS!$B$6-0.85*INPUTS!$B$5)))</f>
        <v>-0.0200685395357527</v>
      </c>
      <c r="P16" s="12" t="n">
        <f aca="false">IF(TRIB!P16="","",(PU!P16/(INPUTS!$B$8*INPUTS!$B$7)-0.85*INPUTS!$B$5*ARCH_AG!P16)/(ARCH_AG!P16*(INPUTS!$B$6-0.85*INPUTS!$B$5)))</f>
        <v>-0.0132662950285901</v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12" t="str">
        <f aca="false">IF(TRIB!E17="","",(PU!E17/(INPUTS!$B$8*INPUTS!$B$7)-0.85*INPUTS!$B$5*ARCH_AG!E17)/(ARCH_AG!E17*(INPUTS!$B$6-0.85*INPUTS!$B$5)))</f>
        <v/>
      </c>
      <c r="F17" s="12" t="n">
        <f aca="false">IF(TRIB!F17="","",(PU!F17/(INPUTS!$B$8*INPUTS!$B$7)-0.85*INPUTS!$B$5*ARCH_AG!F17)/(ARCH_AG!F17*(INPUTS!$B$6-0.85*INPUTS!$B$5)))</f>
        <v>-0.0865233797269316</v>
      </c>
      <c r="G17" s="12" t="n">
        <f aca="false">IF(TRIB!G17="","",(PU!G17/(INPUTS!$B$8*INPUTS!$B$7)-0.85*INPUTS!$B$5*ARCH_AG!G17)/(ARCH_AG!G17*(INPUTS!$B$6-0.85*INPUTS!$B$5)))</f>
        <v>-0.081712340378952</v>
      </c>
      <c r="H17" s="12" t="n">
        <f aca="false">IF(TRIB!H17="","",(PU!H17/(INPUTS!$B$8*INPUTS!$B$7)-0.85*INPUTS!$B$5*ARCH_AG!H17)/(ARCH_AG!H17*(INPUTS!$B$6-0.85*INPUTS!$B$5)))</f>
        <v>-0.0772973227931257</v>
      </c>
      <c r="I17" s="12" t="n">
        <f aca="false">IF(TRIB!I17="","",(PU!I17/(INPUTS!$B$8*INPUTS!$B$7)-0.85*INPUTS!$B$5*ARCH_AG!I17)/(ARCH_AG!I17*(INPUTS!$B$6-0.85*INPUTS!$B$5)))</f>
        <v>-0.0729474605548916</v>
      </c>
      <c r="J17" s="12" t="n">
        <f aca="false">IF(TRIB!J17="","",(PU!J17/(INPUTS!$B$8*INPUTS!$B$7)-0.85*INPUTS!$B$5*ARCH_AG!J17)/(ARCH_AG!J17*(INPUTS!$B$6-0.85*INPUTS!$B$5)))</f>
        <v>-0.0686313252063518</v>
      </c>
      <c r="K17" s="12" t="n">
        <f aca="false">IF(TRIB!K17="","",(PU!K17/(INPUTS!$B$8*INPUTS!$B$7)-0.85*INPUTS!$B$5*ARCH_AG!K17)/(ARCH_AG!K17*(INPUTS!$B$6-0.85*INPUTS!$B$5)))</f>
        <v>-0.0643367431989372</v>
      </c>
      <c r="L17" s="12" t="n">
        <f aca="false">IF(TRIB!L17="","",(PU!L17/(INPUTS!$B$8*INPUTS!$B$7)-0.85*INPUTS!$B$5*ARCH_AG!L17)/(ARCH_AG!L17*(INPUTS!$B$6-0.85*INPUTS!$B$5)))</f>
        <v>-0.060057471195804</v>
      </c>
      <c r="M17" s="12" t="n">
        <f aca="false">IF(TRIB!M17="","",(PU!M17/(INPUTS!$B$8*INPUTS!$B$7)-0.85*INPUTS!$B$5*ARCH_AG!M17)/(ARCH_AG!M17*(INPUTS!$B$6-0.85*INPUTS!$B$5)))</f>
        <v>-0.0557898003684903</v>
      </c>
      <c r="N17" s="12" t="n">
        <f aca="false">IF(TRIB!N17="","",(PU!N17/(INPUTS!$B$8*INPUTS!$B$7)-0.85*INPUTS!$B$5*ARCH_AG!N17)/(ARCH_AG!N17*(INPUTS!$B$6-0.85*INPUTS!$B$5)))</f>
        <v>-0.0515313142100785</v>
      </c>
      <c r="O17" s="12" t="n">
        <f aca="false">IF(TRIB!O17="","",(PU!O17/(INPUTS!$B$8*INPUTS!$B$7)-0.85*INPUTS!$B$5*ARCH_AG!O17)/(ARCH_AG!O17*(INPUTS!$B$6-0.85*INPUTS!$B$5)))</f>
        <v>-0.047280334209131</v>
      </c>
      <c r="P17" s="12" t="n">
        <f aca="false">IF(TRIB!P17="","",(PU!P17/(INPUTS!$B$8*INPUTS!$B$7)-0.85*INPUTS!$B$5*ARCH_AG!P17)/(ARCH_AG!P17*(INPUTS!$B$6-0.85*INPUTS!$B$5)))</f>
        <v>-0.0429699593950243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12" t="str">
        <f aca="false">IF(TRIB!E18="","",(PU!E18/(INPUTS!$B$8*INPUTS!$B$7)-0.85*INPUTS!$B$5*ARCH_AG!E18)/(ARCH_AG!E18*(INPUTS!$B$6-0.85*INPUTS!$B$5)))</f>
        <v/>
      </c>
      <c r="F18" s="12" t="n">
        <f aca="false">IF(TRIB!F18="","",(PU!F18/(INPUTS!$B$8*INPUTS!$B$7)-0.85*INPUTS!$B$5*ARCH_AG!F18)/(ARCH_AG!F18*(INPUTS!$B$6-0.85*INPUTS!$B$5)))</f>
        <v>-0.0843104540167382</v>
      </c>
      <c r="G18" s="12" t="n">
        <f aca="false">IF(TRIB!G18="","",(PU!G18/(INPUTS!$B$8*INPUTS!$B$7)-0.85*INPUTS!$B$5*ARCH_AG!G18)/(ARCH_AG!G18*(INPUTS!$B$6-0.85*INPUTS!$B$5)))</f>
        <v>-0.0790194849676363</v>
      </c>
      <c r="H18" s="12" t="n">
        <f aca="false">IF(TRIB!H18="","",(PU!H18/(INPUTS!$B$8*INPUTS!$B$7)-0.85*INPUTS!$B$5*ARCH_AG!H18)/(ARCH_AG!H18*(INPUTS!$B$6-0.85*INPUTS!$B$5)))</f>
        <v>-0.0741613960003229</v>
      </c>
      <c r="I18" s="12" t="n">
        <f aca="false">IF(TRIB!I18="","",(PU!I18/(INPUTS!$B$8*INPUTS!$B$7)-0.85*INPUTS!$B$5*ARCH_AG!I18)/(ARCH_AG!I18*(INPUTS!$B$6-0.85*INPUTS!$B$5)))</f>
        <v>-0.0693745264832773</v>
      </c>
      <c r="J18" s="12" t="n">
        <f aca="false">IF(TRIB!J18="","",(PU!J18/(INPUTS!$B$8*INPUTS!$B$7)-0.85*INPUTS!$B$5*ARCH_AG!J18)/(ARCH_AG!J18*(INPUTS!$B$6-0.85*INPUTS!$B$5)))</f>
        <v>-0.0646245228664539</v>
      </c>
      <c r="K18" s="12" t="n">
        <f aca="false">IF(TRIB!K18="","",(PU!K18/(INPUTS!$B$8*INPUTS!$B$7)-0.85*INPUTS!$B$5*ARCH_AG!K18)/(ARCH_AG!K18*(INPUTS!$B$6-0.85*INPUTS!$B$5)))</f>
        <v>-0.0601194572489757</v>
      </c>
      <c r="L18" s="12" t="n">
        <f aca="false">IF(TRIB!L18="","",(PU!L18/(INPUTS!$B$8*INPUTS!$B$7)-0.85*INPUTS!$B$5*ARCH_AG!L18)/(ARCH_AG!L18*(INPUTS!$B$6-0.85*INPUTS!$B$5)))</f>
        <v>-0.0554308774139945</v>
      </c>
      <c r="M18" s="12" t="n">
        <f aca="false">IF(TRIB!M18="","",(PU!M18/(INPUTS!$B$8*INPUTS!$B$7)-0.85*INPUTS!$B$5*ARCH_AG!M18)/(ARCH_AG!M18*(INPUTS!$B$6-0.85*INPUTS!$B$5)))</f>
        <v>-0.0507277356321072</v>
      </c>
      <c r="N18" s="12" t="n">
        <f aca="false">IF(TRIB!N18="","",(PU!N18/(INPUTS!$B$8*INPUTS!$B$7)-0.85*INPUTS!$B$5*ARCH_AG!N18)/(ARCH_AG!N18*(INPUTS!$B$6-0.85*INPUTS!$B$5)))</f>
        <v>-0.0459302044343028</v>
      </c>
      <c r="O18" s="12" t="n">
        <f aca="false">IF(TRIB!O18="","",(PU!O18/(INPUTS!$B$8*INPUTS!$B$7)-0.85*INPUTS!$B$5*ARCH_AG!O18)/(ARCH_AG!O18*(INPUTS!$B$6-0.85*INPUTS!$B$5)))</f>
        <v>-0.0411326732364984</v>
      </c>
      <c r="P18" s="12" t="n">
        <f aca="false">IF(TRIB!P18="","",(PU!P18/(INPUTS!$B$8*INPUTS!$B$7)-0.85*INPUTS!$B$5*ARCH_AG!P18)/(ARCH_AG!P18*(INPUTS!$B$6-0.85*INPUTS!$B$5)))</f>
        <v>-0.0362694631820315</v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12" t="str">
        <f aca="false">IF(TRIB!E19="","",(PU!E19/(INPUTS!$B$8*INPUTS!$B$7)-0.85*INPUTS!$B$5*ARCH_AG!E19)/(ARCH_AG!E19*(INPUTS!$B$6-0.85*INPUTS!$B$5)))</f>
        <v/>
      </c>
      <c r="F19" s="12" t="n">
        <f aca="false">IF(TRIB!F19="","",(PU!F19/(INPUTS!$B$8*INPUTS!$B$7)-0.85*INPUTS!$B$5*ARCH_AG!F19)/(ARCH_AG!F19*(INPUTS!$B$6-0.85*INPUTS!$B$5)))</f>
        <v>-0.0800497380073883</v>
      </c>
      <c r="G19" s="12" t="n">
        <f aca="false">IF(TRIB!G19="","",(PU!G19/(INPUTS!$B$8*INPUTS!$B$7)-0.85*INPUTS!$B$5*ARCH_AG!G19)/(ARCH_AG!G19*(INPUTS!$B$6-0.85*INPUTS!$B$5)))</f>
        <v>-0.0724272029656475</v>
      </c>
      <c r="H19" s="12" t="n">
        <f aca="false">IF(TRIB!H19="","",(PU!H19/(INPUTS!$B$8*INPUTS!$B$7)-0.85*INPUTS!$B$5*ARCH_AG!H19)/(ARCH_AG!H19*(INPUTS!$B$6-0.85*INPUTS!$B$5)))</f>
        <v>-0.0653396162728141</v>
      </c>
      <c r="I19" s="12" t="n">
        <f aca="false">IF(TRIB!I19="","",(PU!I19/(INPUTS!$B$8*INPUTS!$B$7)-0.85*INPUTS!$B$5*ARCH_AG!I19)/(ARCH_AG!I19*(INPUTS!$B$6-0.85*INPUTS!$B$5)))</f>
        <v>-0.0583400417776626</v>
      </c>
      <c r="J19" s="12" t="n">
        <f aca="false">IF(TRIB!J19="","",(PU!J19/(INPUTS!$B$8*INPUTS!$B$7)-0.85*INPUTS!$B$5*ARCH_AG!J19)/(ARCH_AG!J19*(INPUTS!$B$6-0.85*INPUTS!$B$5)))</f>
        <v>-0.0513860257484339</v>
      </c>
      <c r="K19" s="12" t="n">
        <f aca="false">IF(TRIB!K19="","",(PU!K19/(INPUTS!$B$8*INPUTS!$B$7)-0.85*INPUTS!$B$5*ARCH_AG!K19)/(ARCH_AG!K19*(INPUTS!$B$6-0.85*INPUTS!$B$5)))</f>
        <v>-0.0446282618413766</v>
      </c>
      <c r="L19" s="12" t="n">
        <f aca="false">IF(TRIB!L19="","",(PU!L19/(INPUTS!$B$8*INPUTS!$B$7)-0.85*INPUTS!$B$5*ARCH_AG!L19)/(ARCH_AG!L19*(INPUTS!$B$6-0.85*INPUTS!$B$5)))</f>
        <v>-0.0375439666081742</v>
      </c>
      <c r="M19" s="12" t="n">
        <f aca="false">IF(TRIB!M19="","",(PU!M19/(INPUTS!$B$8*INPUTS!$B$7)-0.85*INPUTS!$B$5*ARCH_AG!M19)/(ARCH_AG!M19*(INPUTS!$B$6-0.85*INPUTS!$B$5)))</f>
        <v>-0.0304596713749719</v>
      </c>
      <c r="N19" s="12" t="n">
        <f aca="false">IF(TRIB!N19="","",(PU!N19/(INPUTS!$B$8*INPUTS!$B$7)-0.85*INPUTS!$B$5*ARCH_AG!N19)/(ARCH_AG!N19*(INPUTS!$B$6-0.85*INPUTS!$B$5)))</f>
        <v>-0.0233753761417696</v>
      </c>
      <c r="O19" s="12" t="n">
        <f aca="false">IF(TRIB!O19="","",(PU!O19/(INPUTS!$B$8*INPUTS!$B$7)-0.85*INPUTS!$B$5*ARCH_AG!O19)/(ARCH_AG!O19*(INPUTS!$B$6-0.85*INPUTS!$B$5)))</f>
        <v>-0.0162910809085673</v>
      </c>
      <c r="P19" s="12" t="n">
        <f aca="false">IF(TRIB!P19="","",(PU!P19/(INPUTS!$B$8*INPUTS!$B$7)-0.85*INPUTS!$B$5*ARCH_AG!P19)/(ARCH_AG!P19*(INPUTS!$B$6-0.85*INPUTS!$B$5)))</f>
        <v>-0.00914110681870245</v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12" t="str">
        <f aca="false">IF(TRIB!E20="","",(PU!E20/(INPUTS!$B$8*INPUTS!$B$7)-0.85*INPUTS!$B$5*ARCH_AG!E20)/(ARCH_AG!E20*(INPUTS!$B$6-0.85*INPUTS!$B$5)))</f>
        <v/>
      </c>
      <c r="F20" s="12" t="n">
        <f aca="false">IF(TRIB!F20="","",(PU!F20/(INPUTS!$B$8*INPUTS!$B$7)-0.85*INPUTS!$B$5*ARCH_AG!F20)/(ARCH_AG!F20*(INPUTS!$B$6-0.85*INPUTS!$B$5)))</f>
        <v>-0.0851099058635488</v>
      </c>
      <c r="G20" s="12" t="n">
        <f aca="false">IF(TRIB!G20="","",(PU!G20/(INPUTS!$B$8*INPUTS!$B$7)-0.85*INPUTS!$B$5*ARCH_AG!G20)/(ARCH_AG!G20*(INPUTS!$B$6-0.85*INPUTS!$B$5)))</f>
        <v>-0.0794572382938571</v>
      </c>
      <c r="H20" s="12" t="n">
        <f aca="false">IF(TRIB!H20="","",(PU!H20/(INPUTS!$B$8*INPUTS!$B$7)-0.85*INPUTS!$B$5*ARCH_AG!H20)/(ARCH_AG!H20*(INPUTS!$B$6-0.85*INPUTS!$B$5)))</f>
        <v>-0.0744297866546013</v>
      </c>
      <c r="I20" s="12" t="n">
        <f aca="false">IF(TRIB!I20="","",(PU!I20/(INPUTS!$B$8*INPUTS!$B$7)-0.85*INPUTS!$B$5*ARCH_AG!I20)/(ARCH_AG!I20*(INPUTS!$B$6-0.85*INPUTS!$B$5)))</f>
        <v>-0.0695051984566026</v>
      </c>
      <c r="J20" s="12" t="n">
        <f aca="false">IF(TRIB!J20="","",(PU!J20/(INPUTS!$B$8*INPUTS!$B$7)-0.85*INPUTS!$B$5*ARCH_AG!J20)/(ARCH_AG!J20*(INPUTS!$B$6-0.85*INPUTS!$B$5)))</f>
        <v>-0.0646338562938881</v>
      </c>
      <c r="K20" s="12" t="n">
        <f aca="false">IF(TRIB!K20="","",(PU!K20/(INPUTS!$B$8*INPUTS!$B$7)-0.85*INPUTS!$B$5*ARCH_AG!K20)/(ARCH_AG!K20*(INPUTS!$B$6-0.85*INPUTS!$B$5)))</f>
        <v>-0.0599624018512073</v>
      </c>
      <c r="L20" s="12" t="n">
        <f aca="false">IF(TRIB!L20="","",(PU!L20/(INPUTS!$B$8*INPUTS!$B$7)-0.85*INPUTS!$B$5*ARCH_AG!L20)/(ARCH_AG!L20*(INPUTS!$B$6-0.85*INPUTS!$B$5)))</f>
        <v>-0.055313371060483</v>
      </c>
      <c r="M20" s="12" t="n">
        <f aca="false">IF(TRIB!M20="","",(PU!M20/(INPUTS!$B$8*INPUTS!$B$7)-0.85*INPUTS!$B$5*ARCH_AG!M20)/(ARCH_AG!M20*(INPUTS!$B$6-0.85*INPUTS!$B$5)))</f>
        <v>-0.0506814849964538</v>
      </c>
      <c r="N20" s="12" t="n">
        <f aca="false">IF(TRIB!N20="","",(PU!N20/(INPUTS!$B$8*INPUTS!$B$7)-0.85*INPUTS!$B$5*ARCH_AG!N20)/(ARCH_AG!N20*(INPUTS!$B$6-0.85*INPUTS!$B$5)))</f>
        <v>-0.0460632591098162</v>
      </c>
      <c r="O20" s="12" t="n">
        <f aca="false">IF(TRIB!O20="","",(PU!O20/(INPUTS!$B$8*INPUTS!$B$7)-0.85*INPUTS!$B$5*ARCH_AG!O20)/(ARCH_AG!O20*(INPUTS!$B$6-0.85*INPUTS!$B$5)))</f>
        <v>-0.0414562501985633</v>
      </c>
      <c r="P20" s="12" t="n">
        <f aca="false">IF(TRIB!P20="","",(PU!P20/(INPUTS!$B$8*INPUTS!$B$7)-0.85*INPUTS!$B$5*ARCH_AG!P20)/(ARCH_AG!P20*(INPUTS!$B$6-0.85*INPUTS!$B$5)))</f>
        <v>-0.0367929878371399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12" t="str">
        <f aca="false">IF(TRIB!E21="","",(PU!E21/(INPUTS!$B$8*INPUTS!$B$7)-0.85*INPUTS!$B$5*ARCH_AG!E21)/(ARCH_AG!E21*(INPUTS!$B$6-0.85*INPUTS!$B$5)))</f>
        <v/>
      </c>
      <c r="F21" s="12" t="n">
        <f aca="false">IF(TRIB!F21="","",(PU!F21/(INPUTS!$B$8*INPUTS!$B$7)-0.85*INPUTS!$B$5*ARCH_AG!F21)/(ARCH_AG!F21*(INPUTS!$B$6-0.85*INPUTS!$B$5)))</f>
        <v>-0.0830216193945702</v>
      </c>
      <c r="G21" s="12" t="n">
        <f aca="false">IF(TRIB!G21="","",(PU!G21/(INPUTS!$B$8*INPUTS!$B$7)-0.85*INPUTS!$B$5*ARCH_AG!G21)/(ARCH_AG!G21*(INPUTS!$B$6-0.85*INPUTS!$B$5)))</f>
        <v>-0.0768892385378544</v>
      </c>
      <c r="H21" s="12" t="n">
        <f aca="false">IF(TRIB!H21="","",(PU!H21/(INPUTS!$B$8*INPUTS!$B$7)-0.85*INPUTS!$B$5*ARCH_AG!H21)/(ARCH_AG!H21*(INPUTS!$B$6-0.85*INPUTS!$B$5)))</f>
        <v>-0.0712193114666906</v>
      </c>
      <c r="I21" s="12" t="n">
        <f aca="false">IF(TRIB!I21="","",(PU!I21/(INPUTS!$B$8*INPUTS!$B$7)-0.85*INPUTS!$B$5*ARCH_AG!I21)/(ARCH_AG!I21*(INPUTS!$B$6-0.85*INPUTS!$B$5)))</f>
        <v>-0.0656254694494873</v>
      </c>
      <c r="J21" s="12" t="n">
        <f aca="false">IF(TRIB!J21="","",(PU!J21/(INPUTS!$B$8*INPUTS!$B$7)-0.85*INPUTS!$B$5*ARCH_AG!J21)/(ARCH_AG!J21*(INPUTS!$B$6-0.85*INPUTS!$B$5)))</f>
        <v>-0.0600835222127212</v>
      </c>
      <c r="K21" s="12" t="n">
        <f aca="false">IF(TRIB!K21="","",(PU!K21/(INPUTS!$B$8*INPUTS!$B$7)-0.85*INPUTS!$B$5*ARCH_AG!K21)/(ARCH_AG!K21*(INPUTS!$B$6-0.85*INPUTS!$B$5)))</f>
        <v>-0.0545878862799407</v>
      </c>
      <c r="L21" s="12" t="n">
        <f aca="false">IF(TRIB!L21="","",(PU!L21/(INPUTS!$B$8*INPUTS!$B$7)-0.85*INPUTS!$B$5*ARCH_AG!L21)/(ARCH_AG!L21*(INPUTS!$B$6-0.85*INPUTS!$B$5)))</f>
        <v>-0.0491098364512936</v>
      </c>
      <c r="M21" s="12" t="n">
        <f aca="false">IF(TRIB!M21="","",(PU!M21/(INPUTS!$B$8*INPUTS!$B$7)-0.85*INPUTS!$B$5*ARCH_AG!M21)/(ARCH_AG!M21*(INPUTS!$B$6-0.85*INPUTS!$B$5)))</f>
        <v>-0.0436451391004873</v>
      </c>
      <c r="N21" s="12" t="n">
        <f aca="false">IF(TRIB!N21="","",(PU!N21/(INPUTS!$B$8*INPUTS!$B$7)-0.85*INPUTS!$B$5*ARCH_AG!N21)/(ARCH_AG!N21*(INPUTS!$B$6-0.85*INPUTS!$B$5)))</f>
        <v>-0.038187466500308</v>
      </c>
      <c r="O21" s="12" t="n">
        <f aca="false">IF(TRIB!O21="","",(PU!O21/(INPUTS!$B$8*INPUTS!$B$7)-0.85*INPUTS!$B$5*ARCH_AG!O21)/(ARCH_AG!O21*(INPUTS!$B$6-0.85*INPUTS!$B$5)))</f>
        <v>-0.0325989533639807</v>
      </c>
      <c r="P21" s="12" t="n">
        <f aca="false">IF(TRIB!P21="","",(PU!P21/(INPUTS!$B$8*INPUTS!$B$7)-0.85*INPUTS!$B$5*ARCH_AG!P21)/(ARCH_AG!P21*(INPUTS!$B$6-0.85*INPUTS!$B$5)))</f>
        <v>-0.0269447613709909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12" t="str">
        <f aca="false">IF(TRIB!E22="","",(PU!E22/(INPUTS!$B$8*INPUTS!$B$7)-0.85*INPUTS!$B$5*ARCH_AG!E22)/(ARCH_AG!E22*(INPUTS!$B$6-0.85*INPUTS!$B$5)))</f>
        <v/>
      </c>
      <c r="F22" s="12" t="n">
        <f aca="false">IF(TRIB!F22="","",(PU!F22/(INPUTS!$B$8*INPUTS!$B$7)-0.85*INPUTS!$B$5*ARCH_AG!F22)/(ARCH_AG!F22*(INPUTS!$B$6-0.85*INPUTS!$B$5)))</f>
        <v>-0.0837374841814733</v>
      </c>
      <c r="G22" s="12" t="n">
        <f aca="false">IF(TRIB!G22="","",(PU!G22/(INPUTS!$B$8*INPUTS!$B$7)-0.85*INPUTS!$B$5*ARCH_AG!G22)/(ARCH_AG!G22*(INPUTS!$B$6-0.85*INPUTS!$B$5)))</f>
        <v>-0.0774674904822266</v>
      </c>
      <c r="H22" s="12" t="n">
        <f aca="false">IF(TRIB!H22="","",(PU!H22/(INPUTS!$B$8*INPUTS!$B$7)-0.85*INPUTS!$B$5*ARCH_AG!H22)/(ARCH_AG!H22*(INPUTS!$B$6-0.85*INPUTS!$B$5)))</f>
        <v>-0.0716599505685319</v>
      </c>
      <c r="I22" s="12" t="n">
        <f aca="false">IF(TRIB!I22="","",(PU!I22/(INPUTS!$B$8*INPUTS!$B$7)-0.85*INPUTS!$B$5*ARCH_AG!I22)/(ARCH_AG!I22*(INPUTS!$B$6-0.85*INPUTS!$B$5)))</f>
        <v>-0.0659284957087977</v>
      </c>
      <c r="J22" s="12" t="n">
        <f aca="false">IF(TRIB!J22="","",(PU!J22/(INPUTS!$B$8*INPUTS!$B$7)-0.85*INPUTS!$B$5*ARCH_AG!J22)/(ARCH_AG!J22*(INPUTS!$B$6-0.85*INPUTS!$B$5)))</f>
        <v>-0.0602364253710888</v>
      </c>
      <c r="K22" s="12" t="n">
        <f aca="false">IF(TRIB!K22="","",(PU!K22/(INPUTS!$B$8*INPUTS!$B$7)-0.85*INPUTS!$B$5*ARCH_AG!K22)/(ARCH_AG!K22*(INPUTS!$B$6-0.85*INPUTS!$B$5)))</f>
        <v>-0.0545695239133436</v>
      </c>
      <c r="L22" s="12" t="n">
        <f aca="false">IF(TRIB!L22="","",(PU!L22/(INPUTS!$B$8*INPUTS!$B$7)-0.85*INPUTS!$B$5*ARCH_AG!L22)/(ARCH_AG!L22*(INPUTS!$B$6-0.85*INPUTS!$B$5)))</f>
        <v>-0.0489205006888507</v>
      </c>
      <c r="M22" s="12" t="n">
        <f aca="false">IF(TRIB!M22="","",(PU!M22/(INPUTS!$B$8*INPUTS!$B$7)-0.85*INPUTS!$B$5*ARCH_AG!M22)/(ARCH_AG!M22*(INPUTS!$B$6-0.85*INPUTS!$B$5)))</f>
        <v>-0.0432850247190476</v>
      </c>
      <c r="N22" s="12" t="n">
        <f aca="false">IF(TRIB!N22="","",(PU!N22/(INPUTS!$B$8*INPUTS!$B$7)-0.85*INPUTS!$B$5*ARCH_AG!N22)/(ARCH_AG!N22*(INPUTS!$B$6-0.85*INPUTS!$B$5)))</f>
        <v>-0.0376513602264968</v>
      </c>
      <c r="O22" s="12" t="n">
        <f aca="false">IF(TRIB!O22="","",(PU!O22/(INPUTS!$B$8*INPUTS!$B$7)-0.85*INPUTS!$B$5*ARCH_AG!O22)/(ARCH_AG!O22*(INPUTS!$B$6-0.85*INPUTS!$B$5)))</f>
        <v>-0.0318905947321248</v>
      </c>
      <c r="P22" s="12" t="n">
        <f aca="false">IF(TRIB!P22="","",(PU!P22/(INPUTS!$B$8*INPUTS!$B$7)-0.85*INPUTS!$B$5*ARCH_AG!P22)/(ARCH_AG!P22*(INPUTS!$B$6-0.85*INPUTS!$B$5)))</f>
        <v>-0.0260641503810903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12" t="str">
        <f aca="false">IF(TRIB!E23="","",(PU!E23/(INPUTS!$B$8*INPUTS!$B$7)-0.85*INPUTS!$B$5*ARCH_AG!E23)/(ARCH_AG!E23*(INPUTS!$B$6-0.85*INPUTS!$B$5)))</f>
        <v/>
      </c>
      <c r="F23" s="12" t="n">
        <f aca="false">IF(TRIB!F23="","",(PU!F23/(INPUTS!$B$8*INPUTS!$B$7)-0.85*INPUTS!$B$5*ARCH_AG!F23)/(ARCH_AG!F23*(INPUTS!$B$6-0.85*INPUTS!$B$5)))</f>
        <v>-0.0825314952705663</v>
      </c>
      <c r="G23" s="12" t="n">
        <f aca="false">IF(TRIB!G23="","",(PU!G23/(INPUTS!$B$8*INPUTS!$B$7)-0.85*INPUTS!$B$5*ARCH_AG!G23)/(ARCH_AG!G23*(INPUTS!$B$6-0.85*INPUTS!$B$5)))</f>
        <v>-0.0762625019492205</v>
      </c>
      <c r="H23" s="12" t="n">
        <f aca="false">IF(TRIB!H23="","",(PU!H23/(INPUTS!$B$8*INPUTS!$B$7)-0.85*INPUTS!$B$5*ARCH_AG!H23)/(ARCH_AG!H23*(INPUTS!$B$6-0.85*INPUTS!$B$5)))</f>
        <v>-0.0704716616049729</v>
      </c>
      <c r="I23" s="12" t="n">
        <f aca="false">IF(TRIB!I23="","",(PU!I23/(INPUTS!$B$8*INPUTS!$B$7)-0.85*INPUTS!$B$5*ARCH_AG!I23)/(ARCH_AG!I23*(INPUTS!$B$6-0.85*INPUTS!$B$5)))</f>
        <v>-0.0647594892189095</v>
      </c>
      <c r="J23" s="12" t="n">
        <f aca="false">IF(TRIB!J23="","",(PU!J23/(INPUTS!$B$8*INPUTS!$B$7)-0.85*INPUTS!$B$5*ARCH_AG!J23)/(ARCH_AG!J23*(INPUTS!$B$6-0.85*INPUTS!$B$5)))</f>
        <v>-0.0590880383644809</v>
      </c>
      <c r="K23" s="12" t="n">
        <f aca="false">IF(TRIB!K23="","",(PU!K23/(INPUTS!$B$8*INPUTS!$B$7)-0.85*INPUTS!$B$5*ARCH_AG!K23)/(ARCH_AG!K23*(INPUTS!$B$6-0.85*INPUTS!$B$5)))</f>
        <v>-0.053687142424724</v>
      </c>
      <c r="L23" s="12" t="n">
        <f aca="false">IF(TRIB!L23="","",(PU!L23/(INPUTS!$B$8*INPUTS!$B$7)-0.85*INPUTS!$B$5*ARCH_AG!L23)/(ARCH_AG!L23*(INPUTS!$B$6-0.85*INPUTS!$B$5)))</f>
        <v>-0.0480176105517636</v>
      </c>
      <c r="M23" s="12" t="n">
        <f aca="false">IF(TRIB!M23="","",(PU!M23/(INPUTS!$B$8*INPUTS!$B$7)-0.85*INPUTS!$B$5*ARCH_AG!M23)/(ARCH_AG!M23*(INPUTS!$B$6-0.85*INPUTS!$B$5)))</f>
        <v>-0.0422652964319631</v>
      </c>
      <c r="N23" s="12" t="n">
        <f aca="false">IF(TRIB!N23="","",(PU!N23/(INPUTS!$B$8*INPUTS!$B$7)-0.85*INPUTS!$B$5*ARCH_AG!N23)/(ARCH_AG!N23*(INPUTS!$B$6-0.85*INPUTS!$B$5)))</f>
        <v>-0.0365129823121626</v>
      </c>
      <c r="O23" s="12" t="n">
        <f aca="false">IF(TRIB!O23="","",(PU!O23/(INPUTS!$B$8*INPUTS!$B$7)-0.85*INPUTS!$B$5*ARCH_AG!O23)/(ARCH_AG!O23*(INPUTS!$B$6-0.85*INPUTS!$B$5)))</f>
        <v>-0.0307606681923622</v>
      </c>
      <c r="P23" s="12" t="n">
        <f aca="false">IF(TRIB!P23="","",(PU!P23/(INPUTS!$B$8*INPUTS!$B$7)-0.85*INPUTS!$B$5*ARCH_AG!P23)/(ARCH_AG!P23*(INPUTS!$B$6-0.85*INPUTS!$B$5)))</f>
        <v>-0.0249426752158993</v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12" t="str">
        <f aca="false">IF(TRIB!E24="","",(PU!E24/(INPUTS!$B$8*INPUTS!$B$7)-0.85*INPUTS!$B$5*ARCH_AG!E24)/(ARCH_AG!E24*(INPUTS!$B$6-0.85*INPUTS!$B$5)))</f>
        <v/>
      </c>
      <c r="F24" s="12" t="n">
        <f aca="false">IF(TRIB!F24="","",(PU!F24/(INPUTS!$B$8*INPUTS!$B$7)-0.85*INPUTS!$B$5*ARCH_AG!F24)/(ARCH_AG!F24*(INPUTS!$B$6-0.85*INPUTS!$B$5)))</f>
        <v>-0.081422391360916</v>
      </c>
      <c r="G24" s="12" t="n">
        <f aca="false">IF(TRIB!G24="","",(PU!G24/(INPUTS!$B$8*INPUTS!$B$7)-0.85*INPUTS!$B$5*ARCH_AG!G24)/(ARCH_AG!G24*(INPUTS!$B$6-0.85*INPUTS!$B$5)))</f>
        <v>-0.0743536546215044</v>
      </c>
      <c r="H24" s="12" t="n">
        <f aca="false">IF(TRIB!H24="","",(PU!H24/(INPUTS!$B$8*INPUTS!$B$7)-0.85*INPUTS!$B$5*ARCH_AG!H24)/(ARCH_AG!H24*(INPUTS!$B$6-0.85*INPUTS!$B$5)))</f>
        <v>-0.0679025886801426</v>
      </c>
      <c r="I24" s="12" t="n">
        <f aca="false">IF(TRIB!I24="","",(PU!I24/(INPUTS!$B$8*INPUTS!$B$7)-0.85*INPUTS!$B$5*ARCH_AG!I24)/(ARCH_AG!I24*(INPUTS!$B$6-0.85*INPUTS!$B$5)))</f>
        <v>-0.0615531448196627</v>
      </c>
      <c r="J24" s="12" t="n">
        <f aca="false">IF(TRIB!J24="","",(PU!J24/(INPUTS!$B$8*INPUTS!$B$7)-0.85*INPUTS!$B$5*ARCH_AG!J24)/(ARCH_AG!J24*(INPUTS!$B$6-0.85*INPUTS!$B$5)))</f>
        <v>-0.0552563044190531</v>
      </c>
      <c r="K24" s="12" t="n">
        <f aca="false">IF(TRIB!K24="","",(PU!K24/(INPUTS!$B$8*INPUTS!$B$7)-0.85*INPUTS!$B$5*ARCH_AG!K24)/(ARCH_AG!K24*(INPUTS!$B$6-0.85*INPUTS!$B$5)))</f>
        <v>-0.0493089627731637</v>
      </c>
      <c r="L24" s="12" t="n">
        <f aca="false">IF(TRIB!L24="","",(PU!L24/(INPUTS!$B$8*INPUTS!$B$7)-0.85*INPUTS!$B$5*ARCH_AG!L24)/(ARCH_AG!L24*(INPUTS!$B$6-0.85*INPUTS!$B$5)))</f>
        <v>-0.0430997671451964</v>
      </c>
      <c r="M24" s="12" t="n">
        <f aca="false">IF(TRIB!M24="","",(PU!M24/(INPUTS!$B$8*INPUTS!$B$7)-0.85*INPUTS!$B$5*ARCH_AG!M24)/(ARCH_AG!M24*(INPUTS!$B$6-0.85*INPUTS!$B$5)))</f>
        <v>-0.0369062415771786</v>
      </c>
      <c r="N24" s="12" t="n">
        <f aca="false">IF(TRIB!N24="","",(PU!N24/(INPUTS!$B$8*INPUTS!$B$7)-0.85*INPUTS!$B$5*ARCH_AG!N24)/(ARCH_AG!N24*(INPUTS!$B$6-0.85*INPUTS!$B$5)))</f>
        <v>-0.0306417512360135</v>
      </c>
      <c r="O24" s="12" t="n">
        <f aca="false">IF(TRIB!O24="","",(PU!O24/(INPUTS!$B$8*INPUTS!$B$7)-0.85*INPUTS!$B$5*ARCH_AG!O24)/(ARCH_AG!O24*(INPUTS!$B$6-0.85*INPUTS!$B$5)))</f>
        <v>-0.0242941712204007</v>
      </c>
      <c r="P24" s="12" t="n">
        <f aca="false">IF(TRIB!P24="","",(PU!P24/(INPUTS!$B$8*INPUTS!$B$7)-0.85*INPUTS!$B$5*ARCH_AG!P24)/(ARCH_AG!P24*(INPUTS!$B$6-0.85*INPUTS!$B$5)))</f>
        <v>-0.0178809123481255</v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12" t="str">
        <f aca="false">IF(TRIB!E25="","",(PU!E25/(INPUTS!$B$8*INPUTS!$B$7)-0.85*INPUTS!$B$5*ARCH_AG!E25)/(ARCH_AG!E25*(INPUTS!$B$6-0.85*INPUTS!$B$5)))</f>
        <v/>
      </c>
      <c r="F25" s="12" t="n">
        <f aca="false">IF(TRIB!F25="","",(PU!F25/(INPUTS!$B$8*INPUTS!$B$7)-0.85*INPUTS!$B$5*ARCH_AG!F25)/(ARCH_AG!F25*(INPUTS!$B$6-0.85*INPUTS!$B$5)))</f>
        <v>-0.0822130396925479</v>
      </c>
      <c r="G25" s="12" t="n">
        <f aca="false">IF(TRIB!G25="","",(PU!G25/(INPUTS!$B$8*INPUTS!$B$7)-0.85*INPUTS!$B$5*ARCH_AG!G25)/(ARCH_AG!G25*(INPUTS!$B$6-0.85*INPUTS!$B$5)))</f>
        <v>-0.0755833391816197</v>
      </c>
      <c r="H25" s="12" t="n">
        <f aca="false">IF(TRIB!H25="","",(PU!H25/(INPUTS!$B$8*INPUTS!$B$7)-0.85*INPUTS!$B$5*ARCH_AG!H25)/(ARCH_AG!H25*(INPUTS!$B$6-0.85*INPUTS!$B$5)))</f>
        <v>-0.0695486348711536</v>
      </c>
      <c r="I25" s="12" t="n">
        <f aca="false">IF(TRIB!I25="","",(PU!I25/(INPUTS!$B$8*INPUTS!$B$7)-0.85*INPUTS!$B$5*ARCH_AG!I25)/(ARCH_AG!I25*(INPUTS!$B$6-0.85*INPUTS!$B$5)))</f>
        <v>-0.0636118221110063</v>
      </c>
      <c r="J25" s="12" t="n">
        <f aca="false">IF(TRIB!J25="","",(PU!J25/(INPUTS!$B$8*INPUTS!$B$7)-0.85*INPUTS!$B$5*ARCH_AG!J25)/(ARCH_AG!J25*(INPUTS!$B$6-0.85*INPUTS!$B$5)))</f>
        <v>-0.0577256817460133</v>
      </c>
      <c r="K25" s="12" t="n">
        <f aca="false">IF(TRIB!K25="","",(PU!K25/(INPUTS!$B$8*INPUTS!$B$7)-0.85*INPUTS!$B$5*ARCH_AG!K25)/(ARCH_AG!K25*(INPUTS!$B$6-0.85*INPUTS!$B$5)))</f>
        <v>-0.0518719238339618</v>
      </c>
      <c r="L25" s="12" t="n">
        <f aca="false">IF(TRIB!L25="","",(PU!L25/(INPUTS!$B$8*INPUTS!$B$7)-0.85*INPUTS!$B$5*ARCH_AG!L25)/(ARCH_AG!L25*(INPUTS!$B$6-0.85*INPUTS!$B$5)))</f>
        <v>-0.0460411681789756</v>
      </c>
      <c r="M25" s="12" t="n">
        <f aca="false">IF(TRIB!M25="","",(PU!M25/(INPUTS!$B$8*INPUTS!$B$7)-0.85*INPUTS!$B$5*ARCH_AG!M25)/(ARCH_AG!M25*(INPUTS!$B$6-0.85*INPUTS!$B$5)))</f>
        <v>-0.0402278425144423</v>
      </c>
      <c r="N25" s="12" t="n">
        <f aca="false">IF(TRIB!N25="","",(PU!N25/(INPUTS!$B$8*INPUTS!$B$7)-0.85*INPUTS!$B$5*ARCH_AG!N25)/(ARCH_AG!N25*(INPUTS!$B$6-0.85*INPUTS!$B$5)))</f>
        <v>-0.0344283162004029</v>
      </c>
      <c r="O25" s="12" t="n">
        <f aca="false">IF(TRIB!O25="","",(PU!O25/(INPUTS!$B$8*INPUTS!$B$7)-0.85*INPUTS!$B$5*ARCH_AG!O25)/(ARCH_AG!O25*(INPUTS!$B$6-0.85*INPUTS!$B$5)))</f>
        <v>-0.0286400673857286</v>
      </c>
      <c r="P25" s="12" t="n">
        <f aca="false">IF(TRIB!P25="","",(PU!P25/(INPUTS!$B$8*INPUTS!$B$7)-0.85*INPUTS!$B$5*ARCH_AG!P25)/(ARCH_AG!P25*(INPUTS!$B$6-0.85*INPUTS!$B$5)))</f>
        <v>-0.0227955810693006</v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12" t="str">
        <f aca="false">IF(TRIB!E26="","",(PU!E26/(INPUTS!$B$8*INPUTS!$B$7)-0.85*INPUTS!$B$5*ARCH_AG!E26)/(ARCH_AG!E26*(INPUTS!$B$6-0.85*INPUTS!$B$5)))</f>
        <v/>
      </c>
      <c r="F26" s="12" t="n">
        <f aca="false">IF(TRIB!F26="","",(PU!F26/(INPUTS!$B$8*INPUTS!$B$7)-0.85*INPUTS!$B$5*ARCH_AG!F26)/(ARCH_AG!F26*(INPUTS!$B$6-0.85*INPUTS!$B$5)))</f>
        <v>-0.0841047297672981</v>
      </c>
      <c r="G26" s="12" t="n">
        <f aca="false">IF(TRIB!G26="","",(PU!G26/(INPUTS!$B$8*INPUTS!$B$7)-0.85*INPUTS!$B$5*ARCH_AG!G26)/(ARCH_AG!G26*(INPUTS!$B$6-0.85*INPUTS!$B$5)))</f>
        <v>-0.0778472463264633</v>
      </c>
      <c r="H26" s="12" t="n">
        <f aca="false">IF(TRIB!H26="","",(PU!H26/(INPUTS!$B$8*INPUTS!$B$7)-0.85*INPUTS!$B$5*ARCH_AG!H26)/(ARCH_AG!H26*(INPUTS!$B$6-0.85*INPUTS!$B$5)))</f>
        <v>-0.0720522166711805</v>
      </c>
      <c r="I26" s="12" t="n">
        <f aca="false">IF(TRIB!I26="","",(PU!I26/(INPUTS!$B$8*INPUTS!$B$7)-0.85*INPUTS!$B$5*ARCH_AG!I26)/(ARCH_AG!I26*(INPUTS!$B$6-0.85*INPUTS!$B$5)))</f>
        <v>-0.0663332720698582</v>
      </c>
      <c r="J26" s="12" t="n">
        <f aca="false">IF(TRIB!J26="","",(PU!J26/(INPUTS!$B$8*INPUTS!$B$7)-0.85*INPUTS!$B$5*ARCH_AG!J26)/(ARCH_AG!J26*(INPUTS!$B$6-0.85*INPUTS!$B$5)))</f>
        <v>-0.0606537119905612</v>
      </c>
      <c r="K26" s="12" t="n">
        <f aca="false">IF(TRIB!K26="","",(PU!K26/(INPUTS!$B$8*INPUTS!$B$7)-0.85*INPUTS!$B$5*ARCH_AG!K26)/(ARCH_AG!K26*(INPUTS!$B$6-0.85*INPUTS!$B$5)))</f>
        <v>-0.054999320791228</v>
      </c>
      <c r="L26" s="12" t="n">
        <f aca="false">IF(TRIB!L26="","",(PU!L26/(INPUTS!$B$8*INPUTS!$B$7)-0.85*INPUTS!$B$5*ARCH_AG!L26)/(ARCH_AG!L26*(INPUTS!$B$6-0.85*INPUTS!$B$5)))</f>
        <v>-0.0493628078251469</v>
      </c>
      <c r="M26" s="12" t="n">
        <f aca="false">IF(TRIB!M26="","",(PU!M26/(INPUTS!$B$8*INPUTS!$B$7)-0.85*INPUTS!$B$5*ARCH_AG!M26)/(ARCH_AG!M26*(INPUTS!$B$6-0.85*INPUTS!$B$5)))</f>
        <v>-0.0437398421137557</v>
      </c>
      <c r="N26" s="12" t="n">
        <f aca="false">IF(TRIB!N26="","",(PU!N26/(INPUTS!$B$8*INPUTS!$B$7)-0.85*INPUTS!$B$5*ARCH_AG!N26)/(ARCH_AG!N26*(INPUTS!$B$6-0.85*INPUTS!$B$5)))</f>
        <v>-0.0381186878796168</v>
      </c>
      <c r="O26" s="12" t="n">
        <f aca="false">IF(TRIB!O26="","",(PU!O26/(INPUTS!$B$8*INPUTS!$B$7)-0.85*INPUTS!$B$5*ARCH_AG!O26)/(ARCH_AG!O26*(INPUTS!$B$6-0.85*INPUTS!$B$5)))</f>
        <v>-0.0323704326436567</v>
      </c>
      <c r="P26" s="12" t="n">
        <f aca="false">IF(TRIB!P26="","",(PU!P26/(INPUTS!$B$8*INPUTS!$B$7)-0.85*INPUTS!$B$5*ARCH_AG!P26)/(ARCH_AG!P26*(INPUTS!$B$6-0.85*INPUTS!$B$5)))</f>
        <v>-0.0265564985510341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12" t="str">
        <f aca="false">IF(TRIB!E27="","",(PU!E27/(INPUTS!$B$8*INPUTS!$B$7)-0.85*INPUTS!$B$5*ARCH_AG!E27)/(ARCH_AG!E27*(INPUTS!$B$6-0.85*INPUTS!$B$5)))</f>
        <v/>
      </c>
      <c r="F27" s="12" t="n">
        <f aca="false">IF(TRIB!F27="","",(PU!F27/(INPUTS!$B$8*INPUTS!$B$7)-0.85*INPUTS!$B$5*ARCH_AG!F27)/(ARCH_AG!F27*(INPUTS!$B$6-0.85*INPUTS!$B$5)))</f>
        <v>-0.0858239172788353</v>
      </c>
      <c r="G27" s="12" t="n">
        <f aca="false">IF(TRIB!G27="","",(PU!G27/(INPUTS!$B$8*INPUTS!$B$7)-0.85*INPUTS!$B$5*ARCH_AG!G27)/(ARCH_AG!G27*(INPUTS!$B$6-0.85*INPUTS!$B$5)))</f>
        <v>-0.0810606802853648</v>
      </c>
      <c r="H27" s="12" t="n">
        <f aca="false">IF(TRIB!H27="","",(PU!H27/(INPUTS!$B$8*INPUTS!$B$7)-0.85*INPUTS!$B$5*ARCH_AG!H27)/(ARCH_AG!H27*(INPUTS!$B$6-0.85*INPUTS!$B$5)))</f>
        <v>-0.0767615457592728</v>
      </c>
      <c r="I27" s="12" t="n">
        <f aca="false">IF(TRIB!I27="","",(PU!I27/(INPUTS!$B$8*INPUTS!$B$7)-0.85*INPUTS!$B$5*ARCH_AG!I27)/(ARCH_AG!I27*(INPUTS!$B$6-0.85*INPUTS!$B$5)))</f>
        <v>-0.072538767535966</v>
      </c>
      <c r="J27" s="12" t="n">
        <f aca="false">IF(TRIB!J27="","",(PU!J27/(INPUTS!$B$8*INPUTS!$B$7)-0.85*INPUTS!$B$5*ARCH_AG!J27)/(ARCH_AG!J27*(INPUTS!$B$6-0.85*INPUTS!$B$5)))</f>
        <v>-0.0683555142434079</v>
      </c>
      <c r="K27" s="12" t="n">
        <f aca="false">IF(TRIB!K27="","",(PU!K27/(INPUTS!$B$8*INPUTS!$B$7)-0.85*INPUTS!$B$5*ARCH_AG!K27)/(ARCH_AG!K27*(INPUTS!$B$6-0.85*INPUTS!$B$5)))</f>
        <v>-0.064461916479371</v>
      </c>
      <c r="L27" s="12" t="n">
        <f aca="false">IF(TRIB!L27="","",(PU!L27/(INPUTS!$B$8*INPUTS!$B$7)-0.85*INPUTS!$B$5*ARCH_AG!L27)/(ARCH_AG!L27*(INPUTS!$B$6-0.85*INPUTS!$B$5)))</f>
        <v>-0.0605838577830779</v>
      </c>
      <c r="M27" s="12" t="n">
        <f aca="false">IF(TRIB!M27="","",(PU!M27/(INPUTS!$B$8*INPUTS!$B$7)-0.85*INPUTS!$B$5*ARCH_AG!M27)/(ARCH_AG!M27*(INPUTS!$B$6-0.85*INPUTS!$B$5)))</f>
        <v>-0.0567177754450299</v>
      </c>
      <c r="N27" s="12" t="n">
        <f aca="false">IF(TRIB!N27="","",(PU!N27/(INPUTS!$B$8*INPUTS!$B$7)-0.85*INPUTS!$B$5*ARCH_AG!N27)/(ARCH_AG!N27*(INPUTS!$B$6-0.85*INPUTS!$B$5)))</f>
        <v>-0.0528612902350722</v>
      </c>
      <c r="O27" s="12" t="n">
        <f aca="false">IF(TRIB!O27="","",(PU!O27/(INPUTS!$B$8*INPUTS!$B$7)-0.85*INPUTS!$B$5*ARCH_AG!O27)/(ARCH_AG!O27*(INPUTS!$B$6-0.85*INPUTS!$B$5)))</f>
        <v>-0.0490127197436077</v>
      </c>
      <c r="P27" s="12" t="n">
        <f aca="false">IF(TRIB!P27="","",(PU!P27/(INPUTS!$B$8*INPUTS!$B$7)-0.85*INPUTS!$B$5*ARCH_AG!P27)/(ARCH_AG!P27*(INPUTS!$B$6-0.85*INPUTS!$B$5)))</f>
        <v>-0.0451051434228653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12" t="str">
        <f aca="false">IF(TRIB!E28="","",(PU!E28/(INPUTS!$B$8*INPUTS!$B$7)-0.85*INPUTS!$B$5*ARCH_AG!E28)/(ARCH_AG!E28*(INPUTS!$B$6-0.85*INPUTS!$B$5)))</f>
        <v/>
      </c>
      <c r="F28" s="12" t="n">
        <f aca="false">IF(TRIB!F28="","",(PU!F28/(INPUTS!$B$8*INPUTS!$B$7)-0.85*INPUTS!$B$5*ARCH_AG!F28)/(ARCH_AG!F28*(INPUTS!$B$6-0.85*INPUTS!$B$5)))</f>
        <v>-0.0853207268849345</v>
      </c>
      <c r="G28" s="12" t="n">
        <f aca="false">IF(TRIB!G28="","",(PU!G28/(INPUTS!$B$8*INPUTS!$B$7)-0.85*INPUTS!$B$5*ARCH_AG!G28)/(ARCH_AG!G28*(INPUTS!$B$6-0.85*INPUTS!$B$5)))</f>
        <v>-0.0805890154251855</v>
      </c>
      <c r="H28" s="12" t="n">
        <f aca="false">IF(TRIB!H28="","",(PU!H28/(INPUTS!$B$8*INPUTS!$B$7)-0.85*INPUTS!$B$5*ARCH_AG!H28)/(ARCH_AG!H28*(INPUTS!$B$6-0.85*INPUTS!$B$5)))</f>
        <v>-0.0762622262043393</v>
      </c>
      <c r="I28" s="12" t="n">
        <f aca="false">IF(TRIB!I28="","",(PU!I28/(INPUTS!$B$8*INPUTS!$B$7)-0.85*INPUTS!$B$5*ARCH_AG!I28)/(ARCH_AG!I28*(INPUTS!$B$6-0.85*INPUTS!$B$5)))</f>
        <v>-0.0720020566790373</v>
      </c>
      <c r="J28" s="12" t="n">
        <f aca="false">IF(TRIB!J28="","",(PU!J28/(INPUTS!$B$8*INPUTS!$B$7)-0.85*INPUTS!$B$5*ARCH_AG!J28)/(ARCH_AG!J28*(INPUTS!$B$6-0.85*INPUTS!$B$5)))</f>
        <v>-0.0677763720457068</v>
      </c>
      <c r="K28" s="12" t="n">
        <f aca="false">IF(TRIB!K28="","",(PU!K28/(INPUTS!$B$8*INPUTS!$B$7)-0.85*INPUTS!$B$5*ARCH_AG!K28)/(ARCH_AG!K28*(INPUTS!$B$6-0.85*INPUTS!$B$5)))</f>
        <v>-0.0637798059310142</v>
      </c>
      <c r="L28" s="12" t="n">
        <f aca="false">IF(TRIB!L28="","",(PU!L28/(INPUTS!$B$8*INPUTS!$B$7)-0.85*INPUTS!$B$5*ARCH_AG!L28)/(ARCH_AG!L28*(INPUTS!$B$6-0.85*INPUTS!$B$5)))</f>
        <v>-0.0596115779844471</v>
      </c>
      <c r="M28" s="12" t="n">
        <f aca="false">IF(TRIB!M28="","",(PU!M28/(INPUTS!$B$8*INPUTS!$B$7)-0.85*INPUTS!$B$5*ARCH_AG!M28)/(ARCH_AG!M28*(INPUTS!$B$6-0.85*INPUTS!$B$5)))</f>
        <v>-0.0554536227523721</v>
      </c>
      <c r="N28" s="12" t="n">
        <f aca="false">IF(TRIB!N28="","",(PU!N28/(INPUTS!$B$8*INPUTS!$B$7)-0.85*INPUTS!$B$5*ARCH_AG!N28)/(ARCH_AG!N28*(INPUTS!$B$6-0.85*INPUTS!$B$5)))</f>
        <v>-0.0512782565036663</v>
      </c>
      <c r="O28" s="12" t="n">
        <f aca="false">IF(TRIB!O28="","",(PU!O28/(INPUTS!$B$8*INPUTS!$B$7)-0.85*INPUTS!$B$5*ARCH_AG!O28)/(ARCH_AG!O28*(INPUTS!$B$6-0.85*INPUTS!$B$5)))</f>
        <v>-0.0470229477060078</v>
      </c>
      <c r="P28" s="12" t="n">
        <f aca="false">IF(TRIB!P28="","",(PU!P28/(INPUTS!$B$8*INPUTS!$B$7)-0.85*INPUTS!$B$5*ARCH_AG!P28)/(ARCH_AG!P28*(INPUTS!$B$6-0.85*INPUTS!$B$5)))</f>
        <v>-0.0427019600516868</v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12" t="str">
        <f aca="false">IF(TRIB!E29="","",(PU!E29/(INPUTS!$B$8*INPUTS!$B$7)-0.85*INPUTS!$B$5*ARCH_AG!E29)/(ARCH_AG!E29*(INPUTS!$B$6-0.85*INPUTS!$B$5)))</f>
        <v/>
      </c>
      <c r="F29" s="12" t="n">
        <f aca="false">IF(TRIB!F29="","",(PU!F29/(INPUTS!$B$8*INPUTS!$B$7)-0.85*INPUTS!$B$5*ARCH_AG!F29)/(ARCH_AG!F29*(INPUTS!$B$6-0.85*INPUTS!$B$5)))</f>
        <v>-0.0821581335584068</v>
      </c>
      <c r="G29" s="12" t="n">
        <f aca="false">IF(TRIB!G29="","",(PU!G29/(INPUTS!$B$8*INPUTS!$B$7)-0.85*INPUTS!$B$5*ARCH_AG!G29)/(ARCH_AG!G29*(INPUTS!$B$6-0.85*INPUTS!$B$5)))</f>
        <v>-0.0756367450929532</v>
      </c>
      <c r="H29" s="12" t="n">
        <f aca="false">IF(TRIB!H29="","",(PU!H29/(INPUTS!$B$8*INPUTS!$B$7)-0.85*INPUTS!$B$5*ARCH_AG!H29)/(ARCH_AG!H29*(INPUTS!$B$6-0.85*INPUTS!$B$5)))</f>
        <v>-0.0696045635823729</v>
      </c>
      <c r="I29" s="12" t="n">
        <f aca="false">IF(TRIB!I29="","",(PU!I29/(INPUTS!$B$8*INPUTS!$B$7)-0.85*INPUTS!$B$5*ARCH_AG!I29)/(ARCH_AG!I29*(INPUTS!$B$6-0.85*INPUTS!$B$5)))</f>
        <v>-0.0636528686819628</v>
      </c>
      <c r="J29" s="12" t="n">
        <f aca="false">IF(TRIB!J29="","",(PU!J29/(INPUTS!$B$8*INPUTS!$B$7)-0.85*INPUTS!$B$5*ARCH_AG!J29)/(ARCH_AG!J29*(INPUTS!$B$6-0.85*INPUTS!$B$5)))</f>
        <v>-0.0577428367167283</v>
      </c>
      <c r="K29" s="12" t="n">
        <f aca="false">IF(TRIB!K29="","",(PU!K29/(INPUTS!$B$8*INPUTS!$B$7)-0.85*INPUTS!$B$5*ARCH_AG!K29)/(ARCH_AG!K29*(INPUTS!$B$6-0.85*INPUTS!$B$5)))</f>
        <v>-0.0521096143757605</v>
      </c>
      <c r="L29" s="12" t="n">
        <f aca="false">IF(TRIB!L29="","",(PU!L29/(INPUTS!$B$8*INPUTS!$B$7)-0.85*INPUTS!$B$5*ARCH_AG!L29)/(ARCH_AG!L29*(INPUTS!$B$6-0.85*INPUTS!$B$5)))</f>
        <v>-0.0461590309609435</v>
      </c>
      <c r="M29" s="12" t="n">
        <f aca="false">IF(TRIB!M29="","",(PU!M29/(INPUTS!$B$8*INPUTS!$B$7)-0.85*INPUTS!$B$5*ARCH_AG!M29)/(ARCH_AG!M29*(INPUTS!$B$6-0.85*INPUTS!$B$5)))</f>
        <v>-0.040159180528033</v>
      </c>
      <c r="N29" s="12" t="n">
        <f aca="false">IF(TRIB!N29="","",(PU!N29/(INPUTS!$B$8*INPUTS!$B$7)-0.85*INPUTS!$B$5*ARCH_AG!N29)/(ARCH_AG!N29*(INPUTS!$B$6-0.85*INPUTS!$B$5)))</f>
        <v>-0.0341593300951224</v>
      </c>
      <c r="O29" s="12" t="n">
        <f aca="false">IF(TRIB!O29="","",(PU!O29/(INPUTS!$B$8*INPUTS!$B$7)-0.85*INPUTS!$B$5*ARCH_AG!O29)/(ARCH_AG!O29*(INPUTS!$B$6-0.85*INPUTS!$B$5)))</f>
        <v>-0.0281594796622119</v>
      </c>
      <c r="P29" s="12" t="n">
        <f aca="false">IF(TRIB!P29="","",(PU!P29/(INPUTS!$B$8*INPUTS!$B$7)-0.85*INPUTS!$B$5*ARCH_AG!P29)/(ARCH_AG!P29*(INPUTS!$B$6-0.85*INPUTS!$B$5)))</f>
        <v>-0.0220939503726389</v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12" t="str">
        <f aca="false">IF(TRIB!E30="","",(PU!E30/(INPUTS!$B$8*INPUTS!$B$7)-0.85*INPUTS!$B$5*ARCH_AG!E30)/(ARCH_AG!E30*(INPUTS!$B$6-0.85*INPUTS!$B$5)))</f>
        <v/>
      </c>
      <c r="F30" s="12" t="n">
        <f aca="false">IF(TRIB!F30="","",(PU!F30/(INPUTS!$B$8*INPUTS!$B$7)-0.85*INPUTS!$B$5*ARCH_AG!F30)/(ARCH_AG!F30*(INPUTS!$B$6-0.85*INPUTS!$B$5)))</f>
        <v>-0.0833660685095111</v>
      </c>
      <c r="G30" s="12" t="n">
        <f aca="false">IF(TRIB!G30="","",(PU!G30/(INPUTS!$B$8*INPUTS!$B$7)-0.85*INPUTS!$B$5*ARCH_AG!G30)/(ARCH_AG!G30*(INPUTS!$B$6-0.85*INPUTS!$B$5)))</f>
        <v>-0.0773794330559838</v>
      </c>
      <c r="H30" s="12" t="n">
        <f aca="false">IF(TRIB!H30="","",(PU!H30/(INPUTS!$B$8*INPUTS!$B$7)-0.85*INPUTS!$B$5*ARCH_AG!H30)/(ARCH_AG!H30*(INPUTS!$B$6-0.85*INPUTS!$B$5)))</f>
        <v>-0.0719530842001966</v>
      </c>
      <c r="I30" s="12" t="n">
        <f aca="false">IF(TRIB!I30="","",(PU!I30/(INPUTS!$B$8*INPUTS!$B$7)-0.85*INPUTS!$B$5*ARCH_AG!I30)/(ARCH_AG!I30*(INPUTS!$B$6-0.85*INPUTS!$B$5)))</f>
        <v>-0.066618916308982</v>
      </c>
      <c r="J30" s="12" t="n">
        <f aca="false">IF(TRIB!J30="","",(PU!J30/(INPUTS!$B$8*INPUTS!$B$7)-0.85*INPUTS!$B$5*ARCH_AG!J30)/(ARCH_AG!J30*(INPUTS!$B$6-0.85*INPUTS!$B$5)))</f>
        <v>-0.061332464796222</v>
      </c>
      <c r="K30" s="12" t="n">
        <f aca="false">IF(TRIB!K30="","",(PU!K30/(INPUTS!$B$8*INPUTS!$B$7)-0.85*INPUTS!$B$5*ARCH_AG!K30)/(ARCH_AG!K30*(INPUTS!$B$6-0.85*INPUTS!$B$5)))</f>
        <v>-0.0560765066788334</v>
      </c>
      <c r="L30" s="12" t="n">
        <f aca="false">IF(TRIB!L30="","",(PU!L30/(INPUTS!$B$8*INPUTS!$B$7)-0.85*INPUTS!$B$5*ARCH_AG!L30)/(ARCH_AG!L30*(INPUTS!$B$6-0.85*INPUTS!$B$5)))</f>
        <v>-0.0508422089625387</v>
      </c>
      <c r="M30" s="12" t="n">
        <f aca="false">IF(TRIB!M30="","",(PU!M30/(INPUTS!$B$8*INPUTS!$B$7)-0.85*INPUTS!$B$5*ARCH_AG!M30)/(ARCH_AG!M30*(INPUTS!$B$6-0.85*INPUTS!$B$5)))</f>
        <v>-0.0456243244435753</v>
      </c>
      <c r="N30" s="12" t="n">
        <f aca="false">IF(TRIB!N30="","",(PU!N30/(INPUTS!$B$8*INPUTS!$B$7)-0.85*INPUTS!$B$5*ARCH_AG!N30)/(ARCH_AG!N30*(INPUTS!$B$6-0.85*INPUTS!$B$5)))</f>
        <v>-0.0404194342784132</v>
      </c>
      <c r="O30" s="12" t="n">
        <f aca="false">IF(TRIB!O30="","",(PU!O30/(INPUTS!$B$8*INPUTS!$B$7)-0.85*INPUTS!$B$5*ARCH_AG!O30)/(ARCH_AG!O30*(INPUTS!$B$6-0.85*INPUTS!$B$5)))</f>
        <v>-0.0352251637302258</v>
      </c>
      <c r="P30" s="12" t="n">
        <f aca="false">IF(TRIB!P30="","",(PU!P30/(INPUTS!$B$8*INPUTS!$B$7)-0.85*INPUTS!$B$5*ARCH_AG!P30)/(ARCH_AG!P30*(INPUTS!$B$6-0.85*INPUTS!$B$5)))</f>
        <v>-0.0299741049109221</v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12" t="str">
        <f aca="false">IF(TRIB!E31="","",(PU!E31/(INPUTS!$B$8*INPUTS!$B$7)-0.85*INPUTS!$B$5*ARCH_AG!E31)/(ARCH_AG!E31*(INPUTS!$B$6-0.85*INPUTS!$B$5)))</f>
        <v/>
      </c>
      <c r="F31" s="12" t="n">
        <f aca="false">IF(TRIB!F31="","",(PU!F31/(INPUTS!$B$8*INPUTS!$B$7)-0.85*INPUTS!$B$5*ARCH_AG!F31)/(ARCH_AG!F31*(INPUTS!$B$6-0.85*INPUTS!$B$5)))</f>
        <v>-0.0883554375699184</v>
      </c>
      <c r="G31" s="12" t="n">
        <f aca="false">IF(TRIB!G31="","",(PU!G31/(INPUTS!$B$8*INPUTS!$B$7)-0.85*INPUTS!$B$5*ARCH_AG!G31)/(ARCH_AG!G31*(INPUTS!$B$6-0.85*INPUTS!$B$5)))</f>
        <v>-0.0852275183094629</v>
      </c>
      <c r="H31" s="12" t="n">
        <f aca="false">IF(TRIB!H31="","",(PU!H31/(INPUTS!$B$8*INPUTS!$B$7)-0.85*INPUTS!$B$5*ARCH_AG!H31)/(ARCH_AG!H31*(INPUTS!$B$6-0.85*INPUTS!$B$5)))</f>
        <v>-0.0823964009957682</v>
      </c>
      <c r="I31" s="12" t="n">
        <f aca="false">IF(TRIB!I31="","",(PU!I31/(INPUTS!$B$8*INPUTS!$B$7)-0.85*INPUTS!$B$5*ARCH_AG!I31)/(ARCH_AG!I31*(INPUTS!$B$6-0.85*INPUTS!$B$5)))</f>
        <v>-0.0796141149228168</v>
      </c>
      <c r="J31" s="12" t="n">
        <f aca="false">IF(TRIB!J31="","",(PU!J31/(INPUTS!$B$8*INPUTS!$B$7)-0.85*INPUTS!$B$5*ARCH_AG!J31)/(ARCH_AG!J31*(INPUTS!$B$6-0.85*INPUTS!$B$5)))</f>
        <v>-0.076857105760066</v>
      </c>
      <c r="K31" s="12" t="n">
        <f aca="false">IF(TRIB!K31="","",(PU!K31/(INPUTS!$B$8*INPUTS!$B$7)-0.85*INPUTS!$B$5*ARCH_AG!K31)/(ARCH_AG!K31*(INPUTS!$B$6-0.85*INPUTS!$B$5)))</f>
        <v>-0.0742811389698077</v>
      </c>
      <c r="L31" s="12" t="n">
        <f aca="false">IF(TRIB!L31="","",(PU!L31/(INPUTS!$B$8*INPUTS!$B$7)-0.85*INPUTS!$B$5*ARCH_AG!L31)/(ARCH_AG!L31*(INPUTS!$B$6-0.85*INPUTS!$B$5)))</f>
        <v>-0.0717150883551603</v>
      </c>
      <c r="M31" s="12" t="n">
        <f aca="false">IF(TRIB!M31="","",(PU!M31/(INPUTS!$B$8*INPUTS!$B$7)-0.85*INPUTS!$B$5*ARCH_AG!M31)/(ARCH_AG!M31*(INPUTS!$B$6-0.85*INPUTS!$B$5)))</f>
        <v>-0.069156682277735</v>
      </c>
      <c r="N31" s="12" t="n">
        <f aca="false">IF(TRIB!N31="","",(PU!N31/(INPUTS!$B$8*INPUTS!$B$7)-0.85*INPUTS!$B$5*ARCH_AG!N31)/(ARCH_AG!N31*(INPUTS!$B$6-0.85*INPUTS!$B$5)))</f>
        <v>-0.0666044031583179</v>
      </c>
      <c r="O31" s="12" t="n">
        <f aca="false">IF(TRIB!O31="","",(PU!O31/(INPUTS!$B$8*INPUTS!$B$7)-0.85*INPUTS!$B$5*ARCH_AG!O31)/(ARCH_AG!O31*(INPUTS!$B$6-0.85*INPUTS!$B$5)))</f>
        <v>-0.0640571775985645</v>
      </c>
      <c r="P31" s="12" t="n">
        <f aca="false">IF(TRIB!P31="","",(PU!P31/(INPUTS!$B$8*INPUTS!$B$7)-0.85*INPUTS!$B$5*ARCH_AG!P31)/(ARCH_AG!P31*(INPUTS!$B$6-0.85*INPUTS!$B$5)))</f>
        <v>-0.0614485343678918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12" t="str">
        <f aca="false">IF(TRIB!E32="","",(PU!E32/(INPUTS!$B$8*INPUTS!$B$7)-0.85*INPUTS!$B$5*ARCH_AG!E32)/(ARCH_AG!E32*(INPUTS!$B$6-0.85*INPUTS!$B$5)))</f>
        <v/>
      </c>
      <c r="F32" s="12" t="n">
        <f aca="false">IF(TRIB!F32="","",(PU!F32/(INPUTS!$B$8*INPUTS!$B$7)-0.85*INPUTS!$B$5*ARCH_AG!F32)/(ARCH_AG!F32*(INPUTS!$B$6-0.85*INPUTS!$B$5)))</f>
        <v>-0.0865926031568108</v>
      </c>
      <c r="G32" s="12" t="n">
        <f aca="false">IF(TRIB!G32="","",(PU!G32/(INPUTS!$B$8*INPUTS!$B$7)-0.85*INPUTS!$B$5*ARCH_AG!G32)/(ARCH_AG!G32*(INPUTS!$B$6-0.85*INPUTS!$B$5)))</f>
        <v>-0.0801418322193893</v>
      </c>
      <c r="H32" s="12" t="n">
        <f aca="false">IF(TRIB!H32="","",(PU!H32/(INPUTS!$B$8*INPUTS!$B$7)-0.85*INPUTS!$B$5*ARCH_AG!H32)/(ARCH_AG!H32*(INPUTS!$B$6-0.85*INPUTS!$B$5)))</f>
        <v>-0.0741617007257556</v>
      </c>
      <c r="I32" s="12" t="n">
        <f aca="false">IF(TRIB!I32="","",(PU!I32/(INPUTS!$B$8*INPUTS!$B$7)-0.85*INPUTS!$B$5*ARCH_AG!I32)/(ARCH_AG!I32*(INPUTS!$B$6-0.85*INPUTS!$B$5)))</f>
        <v>-0.0682590010287582</v>
      </c>
      <c r="J32" s="12" t="n">
        <f aca="false">IF(TRIB!J32="","",(PU!J32/(INPUTS!$B$8*INPUTS!$B$7)-0.85*INPUTS!$B$5*ARCH_AG!J32)/(ARCH_AG!J32*(INPUTS!$B$6-0.85*INPUTS!$B$5)))</f>
        <v>-0.0623963829790928</v>
      </c>
      <c r="K32" s="12" t="n">
        <f aca="false">IF(TRIB!K32="","",(PU!K32/(INPUTS!$B$8*INPUTS!$B$7)-0.85*INPUTS!$B$5*ARCH_AG!K32)/(ARCH_AG!K32*(INPUTS!$B$6-0.85*INPUTS!$B$5)))</f>
        <v>-0.056559379310879</v>
      </c>
      <c r="L32" s="12" t="n">
        <f aca="false">IF(TRIB!L32="","",(PU!L32/(INPUTS!$B$8*INPUTS!$B$7)-0.85*INPUTS!$B$5*ARCH_AG!L32)/(ARCH_AG!L32*(INPUTS!$B$6-0.85*INPUTS!$B$5)))</f>
        <v>-0.050740570329392</v>
      </c>
      <c r="M32" s="12" t="n">
        <f aca="false">IF(TRIB!M32="","",(PU!M32/(INPUTS!$B$8*INPUTS!$B$7)-0.85*INPUTS!$B$5*ARCH_AG!M32)/(ARCH_AG!M32*(INPUTS!$B$6-0.85*INPUTS!$B$5)))</f>
        <v>-0.0449355483956301</v>
      </c>
      <c r="N32" s="12" t="n">
        <f aca="false">IF(TRIB!N32="","",(PU!N32/(INPUTS!$B$8*INPUTS!$B$7)-0.85*INPUTS!$B$5*ARCH_AG!N32)/(ARCH_AG!N32*(INPUTS!$B$6-0.85*INPUTS!$B$5)))</f>
        <v>-0.0390919859840625</v>
      </c>
      <c r="O32" s="12" t="n">
        <f aca="false">IF(TRIB!O32="","",(PU!O32/(INPUTS!$B$8*INPUTS!$B$7)-0.85*INPUTS!$B$5*ARCH_AG!O32)/(ARCH_AG!O32*(INPUTS!$B$6-0.85*INPUTS!$B$5)))</f>
        <v>-0.0331544088374689</v>
      </c>
      <c r="P32" s="12" t="n">
        <f aca="false">IF(TRIB!P32="","",(PU!P32/(INPUTS!$B$8*INPUTS!$B$7)-0.85*INPUTS!$B$5*ARCH_AG!P32)/(ARCH_AG!P32*(INPUTS!$B$6-0.85*INPUTS!$B$5)))</f>
        <v>-0.0271511528342129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12" t="str">
        <f aca="false">IF(TRIB!E33="","",(PU!E33/(INPUTS!$B$8*INPUTS!$B$7)-0.85*INPUTS!$B$5*ARCH_AG!E33)/(ARCH_AG!E33*(INPUTS!$B$6-0.85*INPUTS!$B$5)))</f>
        <v/>
      </c>
      <c r="F33" s="12" t="n">
        <f aca="false">IF(TRIB!F33="","",(PU!F33/(INPUTS!$B$8*INPUTS!$B$7)-0.85*INPUTS!$B$5*ARCH_AG!F33)/(ARCH_AG!F33*(INPUTS!$B$6-0.85*INPUTS!$B$5)))</f>
        <v>-0.0847826467703517</v>
      </c>
      <c r="G33" s="12" t="n">
        <f aca="false">IF(TRIB!G33="","",(PU!G33/(INPUTS!$B$8*INPUTS!$B$7)-0.85*INPUTS!$B$5*ARCH_AG!G33)/(ARCH_AG!G33*(INPUTS!$B$6-0.85*INPUTS!$B$5)))</f>
        <v>-0.081278321552967</v>
      </c>
      <c r="H33" s="12" t="n">
        <f aca="false">IF(TRIB!H33="","",(PU!H33/(INPUTS!$B$8*INPUTS!$B$7)-0.85*INPUTS!$B$5*ARCH_AG!H33)/(ARCH_AG!H33*(INPUTS!$B$6-0.85*INPUTS!$B$5)))</f>
        <v>-0.0755449701732697</v>
      </c>
      <c r="I33" s="12" t="n">
        <f aca="false">IF(TRIB!I33="","",(PU!I33/(INPUTS!$B$8*INPUTS!$B$7)-0.85*INPUTS!$B$5*ARCH_AG!I33)/(ARCH_AG!I33*(INPUTS!$B$6-0.85*INPUTS!$B$5)))</f>
        <v>-0.0698898475079094</v>
      </c>
      <c r="J33" s="12" t="n">
        <f aca="false">IF(TRIB!J33="","",(PU!J33/(INPUTS!$B$8*INPUTS!$B$7)-0.85*INPUTS!$B$5*ARCH_AG!J33)/(ARCH_AG!J33*(INPUTS!$B$6-0.85*INPUTS!$B$5)))</f>
        <v>-0.0642752190048378</v>
      </c>
      <c r="K33" s="12" t="n">
        <f aca="false">IF(TRIB!K33="","",(PU!K33/(INPUTS!$B$8*INPUTS!$B$7)-0.85*INPUTS!$B$5*ARCH_AG!K33)/(ARCH_AG!K33*(INPUTS!$B$6-0.85*INPUTS!$B$5)))</f>
        <v>-0.0589296347685916</v>
      </c>
      <c r="L33" s="12" t="n">
        <f aca="false">IF(TRIB!L33="","",(PU!L33/(INPUTS!$B$8*INPUTS!$B$7)-0.85*INPUTS!$B$5*ARCH_AG!L33)/(ARCH_AG!L33*(INPUTS!$B$6-0.85*INPUTS!$B$5)))</f>
        <v>-0.0533268947203373</v>
      </c>
      <c r="M33" s="12" t="n">
        <f aca="false">IF(TRIB!M33="","",(PU!M33/(INPUTS!$B$8*INPUTS!$B$7)-0.85*INPUTS!$B$5*ARCH_AG!M33)/(ARCH_AG!M33*(INPUTS!$B$6-0.85*INPUTS!$B$5)))</f>
        <v>-0.047633517817944</v>
      </c>
      <c r="N33" s="12" t="n">
        <f aca="false">IF(TRIB!N33="","",(PU!N33/(INPUTS!$B$8*INPUTS!$B$7)-0.85*INPUTS!$B$5*ARCH_AG!N33)/(ARCH_AG!N33*(INPUTS!$B$6-0.85*INPUTS!$B$5)))</f>
        <v>-0.0419401409155507</v>
      </c>
      <c r="O33" s="12" t="n">
        <f aca="false">IF(TRIB!O33="","",(PU!O33/(INPUTS!$B$8*INPUTS!$B$7)-0.85*INPUTS!$B$5*ARCH_AG!O33)/(ARCH_AG!O33*(INPUTS!$B$6-0.85*INPUTS!$B$5)))</f>
        <v>-0.0362467640131575</v>
      </c>
      <c r="P33" s="12" t="n">
        <f aca="false">IF(TRIB!P33="","",(PU!P33/(INPUTS!$B$8*INPUTS!$B$7)-0.85*INPUTS!$B$5*ARCH_AG!P33)/(ARCH_AG!P33*(INPUTS!$B$6-0.85*INPUTS!$B$5)))</f>
        <v>-0.0304877082541017</v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12" t="str">
        <f aca="false">IF(TRIB!E34="","",(PU!E34/(INPUTS!$B$8*INPUTS!$B$7)-0.85*INPUTS!$B$5*ARCH_AG!E34)/(ARCH_AG!E34*(INPUTS!$B$6-0.85*INPUTS!$B$5)))</f>
        <v/>
      </c>
      <c r="F34" s="12" t="n">
        <f aca="false">IF(TRIB!F34="","",(PU!F34/(INPUTS!$B$8*INPUTS!$B$7)-0.85*INPUTS!$B$5*ARCH_AG!F34)/(ARCH_AG!F34*(INPUTS!$B$6-0.85*INPUTS!$B$5)))</f>
        <v>-0.0877844137748509</v>
      </c>
      <c r="G34" s="12" t="n">
        <f aca="false">IF(TRIB!G34="","",(PU!G34/(INPUTS!$B$8*INPUTS!$B$7)-0.85*INPUTS!$B$5*ARCH_AG!G34)/(ARCH_AG!G34*(INPUTS!$B$6-0.85*INPUTS!$B$5)))</f>
        <v>-0.0829733744268713</v>
      </c>
      <c r="H34" s="12" t="n">
        <f aca="false">IF(TRIB!H34="","",(PU!H34/(INPUTS!$B$8*INPUTS!$B$7)-0.85*INPUTS!$B$5*ARCH_AG!H34)/(ARCH_AG!H34*(INPUTS!$B$6-0.85*INPUTS!$B$5)))</f>
        <v>-0.0789364121475532</v>
      </c>
      <c r="I34" s="12" t="n">
        <f aca="false">IF(TRIB!I34="","",(PU!I34/(INPUTS!$B$8*INPUTS!$B$7)-0.85*INPUTS!$B$5*ARCH_AG!I34)/(ARCH_AG!I34*(INPUTS!$B$6-0.85*INPUTS!$B$5)))</f>
        <v>-0.0749541563039068</v>
      </c>
      <c r="J34" s="12" t="n">
        <f aca="false">IF(TRIB!J34="","",(PU!J34/(INPUTS!$B$8*INPUTS!$B$7)-0.85*INPUTS!$B$5*ARCH_AG!J34)/(ARCH_AG!J34*(INPUTS!$B$6-0.85*INPUTS!$B$5)))</f>
        <v>-0.0710013988432828</v>
      </c>
      <c r="K34" s="12" t="n">
        <f aca="false">IF(TRIB!K34="","",(PU!K34/(INPUTS!$B$8*INPUTS!$B$7)-0.85*INPUTS!$B$5*ARCH_AG!K34)/(ARCH_AG!K34*(INPUTS!$B$6-0.85*INPUTS!$B$5)))</f>
        <v>-0.0670678405695867</v>
      </c>
      <c r="L34" s="12" t="n">
        <f aca="false">IF(TRIB!L34="","",(PU!L34/(INPUTS!$B$8*INPUTS!$B$7)-0.85*INPUTS!$B$5*ARCH_AG!L34)/(ARCH_AG!L34*(INPUTS!$B$6-0.85*INPUTS!$B$5)))</f>
        <v>-0.0631480652235802</v>
      </c>
      <c r="M34" s="12" t="n">
        <f aca="false">IF(TRIB!M34="","",(PU!M34/(INPUTS!$B$8*INPUTS!$B$7)-0.85*INPUTS!$B$5*ARCH_AG!M34)/(ARCH_AG!M34*(INPUTS!$B$6-0.85*INPUTS!$B$5)))</f>
        <v>-0.0592388066977106</v>
      </c>
      <c r="N34" s="12" t="n">
        <f aca="false">IF(TRIB!N34="","",(PU!N34/(INPUTS!$B$8*INPUTS!$B$7)-0.85*INPUTS!$B$5*ARCH_AG!N34)/(ARCH_AG!N34*(INPUTS!$B$6-0.85*INPUTS!$B$5)))</f>
        <v>-0.0553379154179682</v>
      </c>
      <c r="O34" s="12" t="n">
        <f aca="false">IF(TRIB!O34="","",(PU!O34/(INPUTS!$B$8*INPUTS!$B$7)-0.85*INPUTS!$B$5*ARCH_AG!O34)/(ARCH_AG!O34*(INPUTS!$B$6-0.85*INPUTS!$B$5)))</f>
        <v>-0.0514438874164446</v>
      </c>
      <c r="P34" s="12" t="n">
        <f aca="false">IF(TRIB!P34="","",(PU!P34/(INPUTS!$B$8*INPUTS!$B$7)-0.85*INPUTS!$B$5*ARCH_AG!P34)/(ARCH_AG!P34*(INPUTS!$B$6-0.85*INPUTS!$B$5)))</f>
        <v>-0.0474899427812074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12" t="str">
        <f aca="false">IF(TRIB!E35="","",(PU!E35/(INPUTS!$B$8*INPUTS!$B$7)-0.85*INPUTS!$B$5*ARCH_AG!E35)/(ARCH_AG!E35*(INPUTS!$B$6-0.85*INPUTS!$B$5)))</f>
        <v/>
      </c>
      <c r="F35" s="12" t="str">
        <f aca="false">IF(TRIB!F35="","",(PU!F35/(INPUTS!$B$8*INPUTS!$B$7)-0.85*INPUTS!$B$5*ARCH_AG!F35)/(ARCH_AG!F35*(INPUTS!$B$6-0.85*INPUTS!$B$5)))</f>
        <v/>
      </c>
      <c r="G35" s="12" t="n">
        <f aca="false">IF(TRIB!G35="","",(PU!G35/(INPUTS!$B$8*INPUTS!$B$7)-0.85*INPUTS!$B$5*ARCH_AG!G35)/(ARCH_AG!G35*(INPUTS!$B$6-0.85*INPUTS!$B$5)))</f>
        <v>-0.0870367827723454</v>
      </c>
      <c r="H35" s="12" t="n">
        <f aca="false">IF(TRIB!H35="","",(PU!H35/(INPUTS!$B$8*INPUTS!$B$7)-0.85*INPUTS!$B$5*ARCH_AG!H35)/(ARCH_AG!H35*(INPUTS!$B$6-0.85*INPUTS!$B$5)))</f>
        <v>-0.0816370835240564</v>
      </c>
      <c r="I35" s="12" t="n">
        <f aca="false">IF(TRIB!I35="","",(PU!I35/(INPUTS!$B$8*INPUTS!$B$7)-0.85*INPUTS!$B$5*ARCH_AG!I35)/(ARCH_AG!I35*(INPUTS!$B$6-0.85*INPUTS!$B$5)))</f>
        <v>-0.0763130150865401</v>
      </c>
      <c r="J35" s="12" t="n">
        <f aca="false">IF(TRIB!J35="","",(PU!J35/(INPUTS!$B$8*INPUTS!$B$7)-0.85*INPUTS!$B$5*ARCH_AG!J35)/(ARCH_AG!J35*(INPUTS!$B$6-0.85*INPUTS!$B$5)))</f>
        <v>-0.0710280960374727</v>
      </c>
      <c r="K35" s="12" t="n">
        <f aca="false">IF(TRIB!K35="","",(PU!K35/(INPUTS!$B$8*INPUTS!$B$7)-0.85*INPUTS!$B$5*ARCH_AG!K35)/(ARCH_AG!K35*(INPUTS!$B$6-0.85*INPUTS!$B$5)))</f>
        <v>-0.0660032865428856</v>
      </c>
      <c r="L35" s="12" t="n">
        <f aca="false">IF(TRIB!L35="","",(PU!L35/(INPUTS!$B$8*INPUTS!$B$7)-0.85*INPUTS!$B$5*ARCH_AG!L35)/(ARCH_AG!L35*(INPUTS!$B$6-0.85*INPUTS!$B$5)))</f>
        <v>-0.0607835958886454</v>
      </c>
      <c r="M35" s="12" t="n">
        <f aca="false">IF(TRIB!M35="","",(PU!M35/(INPUTS!$B$8*INPUTS!$B$7)-0.85*INPUTS!$B$5*ARCH_AG!M35)/(ARCH_AG!M35*(INPUTS!$B$6-0.85*INPUTS!$B$5)))</f>
        <v>-0.0554353875733657</v>
      </c>
      <c r="N35" s="12" t="n">
        <f aca="false">IF(TRIB!N35="","",(PU!N35/(INPUTS!$B$8*INPUTS!$B$7)-0.85*INPUTS!$B$5*ARCH_AG!N35)/(ARCH_AG!N35*(INPUTS!$B$6-0.85*INPUTS!$B$5)))</f>
        <v>-0.050083846531934</v>
      </c>
      <c r="O35" s="12" t="n">
        <f aca="false">IF(TRIB!O35="","",(PU!O35/(INPUTS!$B$8*INPUTS!$B$7)-0.85*INPUTS!$B$5*ARCH_AG!O35)/(ARCH_AG!O35*(INPUTS!$B$6-0.85*INPUTS!$B$5)))</f>
        <v>-0.0447323054905022</v>
      </c>
      <c r="P35" s="12" t="n">
        <f aca="false">IF(TRIB!P35="","",(PU!P35/(INPUTS!$B$8*INPUTS!$B$7)-0.85*INPUTS!$B$5*ARCH_AG!P35)/(ARCH_AG!P35*(INPUTS!$B$6-0.85*INPUTS!$B$5)))</f>
        <v>-0.039315085592408</v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12" t="str">
        <f aca="false">IF(TRIB!E36="","",(PU!E36/(INPUTS!$B$8*INPUTS!$B$7)-0.85*INPUTS!$B$5*ARCH_AG!E36)/(ARCH_AG!E36*(INPUTS!$B$6-0.85*INPUTS!$B$5)))</f>
        <v/>
      </c>
      <c r="F36" s="12" t="n">
        <f aca="false">IF(TRIB!F36="","",(PU!F36/(INPUTS!$B$8*INPUTS!$B$7)-0.85*INPUTS!$B$5*ARCH_AG!F36)/(ARCH_AG!F36*(INPUTS!$B$6-0.85*INPUTS!$B$5)))</f>
        <v>-0.0789516153245661</v>
      </c>
      <c r="G36" s="12" t="n">
        <f aca="false">IF(TRIB!G36="","",(PU!G36/(INPUTS!$B$8*INPUTS!$B$7)-0.85*INPUTS!$B$5*ARCH_AG!G36)/(ARCH_AG!G36*(INPUTS!$B$6-0.85*INPUTS!$B$5)))</f>
        <v>-0.0707571097350402</v>
      </c>
      <c r="H36" s="12" t="n">
        <f aca="false">IF(TRIB!H36="","",(PU!H36/(INPUTS!$B$8*INPUTS!$B$7)-0.85*INPUTS!$B$5*ARCH_AG!H36)/(ARCH_AG!H36*(INPUTS!$B$6-0.85*INPUTS!$B$5)))</f>
        <v>-0.0631199292564566</v>
      </c>
      <c r="I36" s="12" t="n">
        <f aca="false">IF(TRIB!I36="","",(PU!I36/(INPUTS!$B$8*INPUTS!$B$7)-0.85*INPUTS!$B$5*ARCH_AG!I36)/(ARCH_AG!I36*(INPUTS!$B$6-0.85*INPUTS!$B$5)))</f>
        <v>-0.0555744425048235</v>
      </c>
      <c r="J36" s="12" t="n">
        <f aca="false">IF(TRIB!J36="","",(PU!J36/(INPUTS!$B$8*INPUTS!$B$7)-0.85*INPUTS!$B$5*ARCH_AG!J36)/(ARCH_AG!J36*(INPUTS!$B$6-0.85*INPUTS!$B$5)))</f>
        <v>-0.0480764199188928</v>
      </c>
      <c r="K36" s="12" t="n">
        <f aca="false">IF(TRIB!K36="","",(PU!K36/(INPUTS!$B$8*INPUTS!$B$7)-0.85*INPUTS!$B$5*ARCH_AG!K36)/(ARCH_AG!K36*(INPUTS!$B$6-0.85*INPUTS!$B$5)))</f>
        <v>-0.0407011527230106</v>
      </c>
      <c r="L36" s="12" t="n">
        <f aca="false">IF(TRIB!L36="","",(PU!L36/(INPUTS!$B$8*INPUTS!$B$7)-0.85*INPUTS!$B$5*ARCH_AG!L36)/(ARCH_AG!L36*(INPUTS!$B$6-0.85*INPUTS!$B$5)))</f>
        <v>-0.0330510602026995</v>
      </c>
      <c r="M36" s="12" t="n">
        <f aca="false">IF(TRIB!M36="","",(PU!M36/(INPUTS!$B$8*INPUTS!$B$7)-0.85*INPUTS!$B$5*ARCH_AG!M36)/(ARCH_AG!M36*(INPUTS!$B$6-0.85*INPUTS!$B$5)))</f>
        <v>-0.0254009676823884</v>
      </c>
      <c r="N36" s="12" t="n">
        <f aca="false">IF(TRIB!N36="","",(PU!N36/(INPUTS!$B$8*INPUTS!$B$7)-0.85*INPUTS!$B$5*ARCH_AG!N36)/(ARCH_AG!N36*(INPUTS!$B$6-0.85*INPUTS!$B$5)))</f>
        <v>-0.0177508751620773</v>
      </c>
      <c r="O36" s="12" t="n">
        <f aca="false">IF(TRIB!O36="","",(PU!O36/(INPUTS!$B$8*INPUTS!$B$7)-0.85*INPUTS!$B$5*ARCH_AG!O36)/(ARCH_AG!O36*(INPUTS!$B$6-0.85*INPUTS!$B$5)))</f>
        <v>-0.0101007826417663</v>
      </c>
      <c r="P36" s="12" t="n">
        <f aca="false">IF(TRIB!P36="","",(PU!P36/(INPUTS!$B$8*INPUTS!$B$7)-0.85*INPUTS!$B$5*ARCH_AG!P36)/(ARCH_AG!P36*(INPUTS!$B$6-0.85*INPUTS!$B$5)))</f>
        <v>-0.00238501126479267</v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12" t="str">
        <f aca="false">IF(TRIB!E37="","",(PU!E37/(INPUTS!$B$8*INPUTS!$B$7)-0.85*INPUTS!$B$5*ARCH_AG!E37)/(ARCH_AG!E37*(INPUTS!$B$6-0.85*INPUTS!$B$5)))</f>
        <v/>
      </c>
      <c r="F37" s="12" t="n">
        <f aca="false">IF(TRIB!F37="","",(PU!F37/(INPUTS!$B$8*INPUTS!$B$7)-0.85*INPUTS!$B$5*ARCH_AG!F37)/(ARCH_AG!F37*(INPUTS!$B$6-0.85*INPUTS!$B$5)))</f>
        <v>-0.0860557740680691</v>
      </c>
      <c r="G37" s="12" t="n">
        <f aca="false">IF(TRIB!G37="","",(PU!G37/(INPUTS!$B$8*INPUTS!$B$7)-0.85*INPUTS!$B$5*ARCH_AG!G37)/(ARCH_AG!G37*(INPUTS!$B$6-0.85*INPUTS!$B$5)))</f>
        <v>-0.0815012113703364</v>
      </c>
      <c r="H37" s="12" t="n">
        <f aca="false">IF(TRIB!H37="","",(PU!H37/(INPUTS!$B$8*INPUTS!$B$7)-0.85*INPUTS!$B$5*ARCH_AG!H37)/(ARCH_AG!H37*(INPUTS!$B$6-0.85*INPUTS!$B$5)))</f>
        <v>-0.0773275970461051</v>
      </c>
      <c r="I37" s="12" t="n">
        <f aca="false">IF(TRIB!I37="","",(PU!I37/(INPUTS!$B$8*INPUTS!$B$7)-0.85*INPUTS!$B$5*ARCH_AG!I37)/(ARCH_AG!I37*(INPUTS!$B$6-0.85*INPUTS!$B$5)))</f>
        <v>-0.0732166581252538</v>
      </c>
      <c r="J37" s="12" t="n">
        <f aca="false">IF(TRIB!J37="","",(PU!J37/(INPUTS!$B$8*INPUTS!$B$7)-0.85*INPUTS!$B$5*ARCH_AG!J37)/(ARCH_AG!J37*(INPUTS!$B$6-0.85*INPUTS!$B$5)))</f>
        <v>-0.0691381623805108</v>
      </c>
      <c r="K37" s="12" t="n">
        <f aca="false">IF(TRIB!K37="","",(PU!K37/(INPUTS!$B$8*INPUTS!$B$7)-0.85*INPUTS!$B$5*ARCH_AG!K37)/(ARCH_AG!K37*(INPUTS!$B$6-0.85*INPUTS!$B$5)))</f>
        <v>-0.0651850810342881</v>
      </c>
      <c r="L37" s="12" t="n">
        <f aca="false">IF(TRIB!L37="","",(PU!L37/(INPUTS!$B$8*INPUTS!$B$7)-0.85*INPUTS!$B$5*ARCH_AG!L37)/(ARCH_AG!L37*(INPUTS!$B$6-0.85*INPUTS!$B$5)))</f>
        <v>-0.0612459343879264</v>
      </c>
      <c r="M37" s="12" t="n">
        <f aca="false">IF(TRIB!M37="","",(PU!M37/(INPUTS!$B$8*INPUTS!$B$7)-0.85*INPUTS!$B$5*ARCH_AG!M37)/(ARCH_AG!M37*(INPUTS!$B$6-0.85*INPUTS!$B$5)))</f>
        <v>-0.0573174171520826</v>
      </c>
      <c r="N37" s="12" t="n">
        <f aca="false">IF(TRIB!N37="","",(PU!N37/(INPUTS!$B$8*INPUTS!$B$7)-0.85*INPUTS!$B$5*ARCH_AG!N37)/(ARCH_AG!N37*(INPUTS!$B$6-0.85*INPUTS!$B$5)))</f>
        <v>-0.0533973549202109</v>
      </c>
      <c r="O37" s="12" t="n">
        <f aca="false">IF(TRIB!O37="","",(PU!O37/(INPUTS!$B$8*INPUTS!$B$7)-0.85*INPUTS!$B$5*ARCH_AG!O37)/(ARCH_AG!O37*(INPUTS!$B$6-0.85*INPUTS!$B$5)))</f>
        <v>-0.0494842268331779</v>
      </c>
      <c r="P37" s="12" t="n">
        <f aca="false">IF(TRIB!P37="","",(PU!P37/(INPUTS!$B$8*INPUTS!$B$7)-0.85*INPUTS!$B$5*ARCH_AG!P37)/(ARCH_AG!P37*(INPUTS!$B$6-0.85*INPUTS!$B$5)))</f>
        <v>-0.0455112408811927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12" t="str">
        <f aca="false">IF(TRIB!E38="","",(PU!E38/(INPUTS!$B$8*INPUTS!$B$7)-0.85*INPUTS!$B$5*ARCH_AG!E38)/(ARCH_AG!E38*(INPUTS!$B$6-0.85*INPUTS!$B$5)))</f>
        <v/>
      </c>
      <c r="F38" s="12" t="n">
        <f aca="false">IF(TRIB!F38="","",(PU!F38/(INPUTS!$B$8*INPUTS!$B$7)-0.85*INPUTS!$B$5*ARCH_AG!F38)/(ARCH_AG!F38*(INPUTS!$B$6-0.85*INPUTS!$B$5)))</f>
        <v>-0.0868309930809931</v>
      </c>
      <c r="G38" s="12" t="n">
        <f aca="false">IF(TRIB!G38="","",(PU!G38/(INPUTS!$B$8*INPUTS!$B$7)-0.85*INPUTS!$B$5*ARCH_AG!G38)/(ARCH_AG!G38*(INPUTS!$B$6-0.85*INPUTS!$B$5)))</f>
        <v>-0.0806722347471947</v>
      </c>
      <c r="H38" s="12" t="n">
        <f aca="false">IF(TRIB!H38="","",(PU!H38/(INPUTS!$B$8*INPUTS!$B$7)-0.85*INPUTS!$B$5*ARCH_AG!H38)/(ARCH_AG!H38*(INPUTS!$B$6-0.85*INPUTS!$B$5)))</f>
        <v>-0.0754723512125919</v>
      </c>
      <c r="I38" s="12" t="n">
        <f aca="false">IF(TRIB!I38="","",(PU!I38/(INPUTS!$B$8*INPUTS!$B$7)-0.85*INPUTS!$B$5*ARCH_AG!I38)/(ARCH_AG!I38*(INPUTS!$B$6-0.85*INPUTS!$B$5)))</f>
        <v>-0.0703501250859744</v>
      </c>
      <c r="J38" s="12" t="n">
        <f aca="false">IF(TRIB!J38="","",(PU!J38/(INPUTS!$B$8*INPUTS!$B$7)-0.85*INPUTS!$B$5*ARCH_AG!J38)/(ARCH_AG!J38*(INPUTS!$B$6-0.85*INPUTS!$B$5)))</f>
        <v>-0.0652695627080873</v>
      </c>
      <c r="K38" s="12" t="n">
        <f aca="false">IF(TRIB!K38="","",(PU!K38/(INPUTS!$B$8*INPUTS!$B$7)-0.85*INPUTS!$B$5*ARCH_AG!K38)/(ARCH_AG!K38*(INPUTS!$B$6-0.85*INPUTS!$B$5)))</f>
        <v>-0.0602160549059172</v>
      </c>
      <c r="L38" s="12" t="n">
        <f aca="false">IF(TRIB!L38="","",(PU!L38/(INPUTS!$B$8*INPUTS!$B$7)-0.85*INPUTS!$B$5*ARCH_AG!L38)/(ARCH_AG!L38*(INPUTS!$B$6-0.85*INPUTS!$B$5)))</f>
        <v>-0.0551819431704792</v>
      </c>
      <c r="M38" s="12" t="n">
        <f aca="false">IF(TRIB!M38="","",(PU!M38/(INPUTS!$B$8*INPUTS!$B$7)-0.85*INPUTS!$B$5*ARCH_AG!M38)/(ARCH_AG!M38*(INPUTS!$B$6-0.85*INPUTS!$B$5)))</f>
        <v>-0.0501626181002691</v>
      </c>
      <c r="N38" s="12" t="n">
        <f aca="false">IF(TRIB!N38="","",(PU!N38/(INPUTS!$B$8*INPUTS!$B$7)-0.85*INPUTS!$B$5*ARCH_AG!N38)/(ARCH_AG!N38*(INPUTS!$B$6-0.85*INPUTS!$B$5)))</f>
        <v>-0.0451550499514902</v>
      </c>
      <c r="O38" s="12" t="n">
        <f aca="false">IF(TRIB!O38="","",(PU!O38/(INPUTS!$B$8*INPUTS!$B$7)-0.85*INPUTS!$B$5*ARCH_AG!O38)/(ARCH_AG!O38*(INPUTS!$B$6-0.85*INPUTS!$B$5)))</f>
        <v>-0.040157120915604</v>
      </c>
      <c r="P38" s="12" t="n">
        <f aca="false">IF(TRIB!P38="","",(PU!P38/(INPUTS!$B$8*INPUTS!$B$7)-0.85*INPUTS!$B$5*ARCH_AG!P38)/(ARCH_AG!P38*(INPUTS!$B$6-0.85*INPUTS!$B$5)))</f>
        <v>-0.0351016027850172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12" t="str">
        <f aca="false">IF(TRIB!E39="","",(PU!E39/(INPUTS!$B$8*INPUTS!$B$7)-0.85*INPUTS!$B$5*ARCH_AG!E39)/(ARCH_AG!E39*(INPUTS!$B$6-0.85*INPUTS!$B$5)))</f>
        <v/>
      </c>
      <c r="F39" s="12" t="n">
        <f aca="false">IF(TRIB!F39="","",(PU!F39/(INPUTS!$B$8*INPUTS!$B$7)-0.85*INPUTS!$B$5*ARCH_AG!F39)/(ARCH_AG!F39*(INPUTS!$B$6-0.85*INPUTS!$B$5)))</f>
        <v>-0.080631743029284</v>
      </c>
      <c r="G39" s="12" t="n">
        <f aca="false">IF(TRIB!G39="","",(PU!G39/(INPUTS!$B$8*INPUTS!$B$7)-0.85*INPUTS!$B$5*ARCH_AG!G39)/(ARCH_AG!G39*(INPUTS!$B$6-0.85*INPUTS!$B$5)))</f>
        <v>-0.0730707228777494</v>
      </c>
      <c r="H39" s="12" t="n">
        <f aca="false">IF(TRIB!H39="","",(PU!H39/(INPUTS!$B$8*INPUTS!$B$7)-0.85*INPUTS!$B$5*ARCH_AG!H39)/(ARCH_AG!H39*(INPUTS!$B$6-0.85*INPUTS!$B$5)))</f>
        <v>-0.0661519262410347</v>
      </c>
      <c r="I39" s="12" t="n">
        <f aca="false">IF(TRIB!I39="","",(PU!I39/(INPUTS!$B$8*INPUTS!$B$7)-0.85*INPUTS!$B$5*ARCH_AG!I39)/(ARCH_AG!I39*(INPUTS!$B$6-0.85*INPUTS!$B$5)))</f>
        <v>-0.0593387912126934</v>
      </c>
      <c r="J39" s="12" t="n">
        <f aca="false">IF(TRIB!J39="","",(PU!J39/(INPUTS!$B$8*INPUTS!$B$7)-0.85*INPUTS!$B$5*ARCH_AG!J39)/(ARCH_AG!J39*(INPUTS!$B$6-0.85*INPUTS!$B$5)))</f>
        <v>-0.0525803506575185</v>
      </c>
      <c r="K39" s="12" t="n">
        <f aca="false">IF(TRIB!K39="","",(PU!K39/(INPUTS!$B$8*INPUTS!$B$7)-0.85*INPUTS!$B$5*ARCH_AG!K39)/(ARCH_AG!K39*(INPUTS!$B$6-0.85*INPUTS!$B$5)))</f>
        <v>-0.0458568628847823</v>
      </c>
      <c r="L39" s="12" t="n">
        <f aca="false">IF(TRIB!L39="","",(PU!L39/(INPUTS!$B$8*INPUTS!$B$7)-0.85*INPUTS!$B$5*ARCH_AG!L39)/(ARCH_AG!L39*(INPUTS!$B$6-0.85*INPUTS!$B$5)))</f>
        <v>-0.0391582031535862</v>
      </c>
      <c r="M39" s="12" t="n">
        <f aca="false">IF(TRIB!M39="","",(PU!M39/(INPUTS!$B$8*INPUTS!$B$7)-0.85*INPUTS!$B$5*ARCH_AG!M39)/(ARCH_AG!M39*(INPUTS!$B$6-0.85*INPUTS!$B$5)))</f>
        <v>-0.0324783569034229</v>
      </c>
      <c r="N39" s="12" t="n">
        <f aca="false">IF(TRIB!N39="","",(PU!N39/(INPUTS!$B$8*INPUTS!$B$7)-0.85*INPUTS!$B$5*ARCH_AG!N39)/(ARCH_AG!N39*(INPUTS!$B$6-0.85*INPUTS!$B$5)))</f>
        <v>-0.0258134053153927</v>
      </c>
      <c r="O39" s="12" t="n">
        <f aca="false">IF(TRIB!O39="","",(PU!O39/(INPUTS!$B$8*INPUTS!$B$7)-0.85*INPUTS!$B$5*ARCH_AG!O39)/(ARCH_AG!O39*(INPUTS!$B$6-0.85*INPUTS!$B$5)))</f>
        <v>-0.0191606263685913</v>
      </c>
      <c r="P39" s="12" t="n">
        <f aca="false">IF(TRIB!P39="","",(PU!P39/(INPUTS!$B$8*INPUTS!$B$7)-0.85*INPUTS!$B$5*ARCH_AG!P39)/(ARCH_AG!P39*(INPUTS!$B$6-0.85*INPUTS!$B$5)))</f>
        <v>-0.0123163494065133</v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12" t="str">
        <f aca="false">IF(TRIB!E40="","",(PU!E40/(INPUTS!$B$8*INPUTS!$B$7)-0.85*INPUTS!$B$5*ARCH_AG!E40)/(ARCH_AG!E40*(INPUTS!$B$6-0.85*INPUTS!$B$5)))</f>
        <v/>
      </c>
      <c r="F40" s="12" t="n">
        <f aca="false">IF(TRIB!F40="","",(PU!F40/(INPUTS!$B$8*INPUTS!$B$7)-0.85*INPUTS!$B$5*ARCH_AG!F40)/(ARCH_AG!F40*(INPUTS!$B$6-0.85*INPUTS!$B$5)))</f>
        <v>-0.0896576164677258</v>
      </c>
      <c r="G40" s="12" t="n">
        <f aca="false">IF(TRIB!G40="","",(PU!G40/(INPUTS!$B$8*INPUTS!$B$7)-0.85*INPUTS!$B$5*ARCH_AG!G40)/(ARCH_AG!G40*(INPUTS!$B$6-0.85*INPUTS!$B$5)))</f>
        <v>-0.0870886349028426</v>
      </c>
      <c r="H40" s="12" t="n">
        <f aca="false">IF(TRIB!H40="","",(PU!H40/(INPUTS!$B$8*INPUTS!$B$7)-0.85*INPUTS!$B$5*ARCH_AG!H40)/(ARCH_AG!H40*(INPUTS!$B$6-0.85*INPUTS!$B$5)))</f>
        <v>-0.0847488311711218</v>
      </c>
      <c r="I40" s="12" t="n">
        <f aca="false">IF(TRIB!I40="","",(PU!I40/(INPUTS!$B$8*INPUTS!$B$7)-0.85*INPUTS!$B$5*ARCH_AG!I40)/(ARCH_AG!I40*(INPUTS!$B$6-0.85*INPUTS!$B$5)))</f>
        <v>-0.0824627602082382</v>
      </c>
      <c r="J40" s="12" t="n">
        <f aca="false">IF(TRIB!J40="","",(PU!J40/(INPUTS!$B$8*INPUTS!$B$7)-0.85*INPUTS!$B$5*ARCH_AG!J40)/(ARCH_AG!J40*(INPUTS!$B$6-0.85*INPUTS!$B$5)))</f>
        <v>-0.0801982610364844</v>
      </c>
      <c r="K40" s="12" t="n">
        <f aca="false">IF(TRIB!K40="","",(PU!K40/(INPUTS!$B$8*INPUTS!$B$7)-0.85*INPUTS!$B$5*ARCH_AG!K40)/(ARCH_AG!K40*(INPUTS!$B$6-0.85*INPUTS!$B$5)))</f>
        <v>-0.0781265444215277</v>
      </c>
      <c r="L40" s="12" t="n">
        <f aca="false">IF(TRIB!L40="","",(PU!L40/(INPUTS!$B$8*INPUTS!$B$7)-0.85*INPUTS!$B$5*ARCH_AG!L40)/(ARCH_AG!L40*(INPUTS!$B$6-0.85*INPUTS!$B$5)))</f>
        <v>-0.0760746467055131</v>
      </c>
      <c r="M40" s="12" t="n">
        <f aca="false">IF(TRIB!M40="","",(PU!M40/(INPUTS!$B$8*INPUTS!$B$7)-0.85*INPUTS!$B$5*ARCH_AG!M40)/(ARCH_AG!M40*(INPUTS!$B$6-0.85*INPUTS!$B$5)))</f>
        <v>-0.0740288468867385</v>
      </c>
      <c r="N40" s="12" t="n">
        <f aca="false">IF(TRIB!N40="","",(PU!N40/(INPUTS!$B$8*INPUTS!$B$7)-0.85*INPUTS!$B$5*ARCH_AG!N40)/(ARCH_AG!N40*(INPUTS!$B$6-0.85*INPUTS!$B$5)))</f>
        <v>-0.071987965436373</v>
      </c>
      <c r="O40" s="12" t="n">
        <f aca="false">IF(TRIB!O40="","",(PU!O40/(INPUTS!$B$8*INPUTS!$B$7)-0.85*INPUTS!$B$5*ARCH_AG!O40)/(ARCH_AG!O40*(INPUTS!$B$6-0.85*INPUTS!$B$5)))</f>
        <v>-0.0699511602020437</v>
      </c>
      <c r="P40" s="12" t="n">
        <f aca="false">IF(TRIB!P40="","",(PU!P40/(INPUTS!$B$8*INPUTS!$B$7)-0.85*INPUTS!$B$5*ARCH_AG!P40)/(ARCH_AG!P40*(INPUTS!$B$6-0.85*INPUTS!$B$5)))</f>
        <v>-0.0678521261645449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12" t="str">
        <f aca="false">IF(TRIB!E41="","",(PU!E41/(INPUTS!$B$8*INPUTS!$B$7)-0.85*INPUTS!$B$5*ARCH_AG!E41)/(ARCH_AG!E41*(INPUTS!$B$6-0.85*INPUTS!$B$5)))</f>
        <v/>
      </c>
      <c r="F41" s="12" t="n">
        <f aca="false">IF(TRIB!F41="","",(PU!F41/(INPUTS!$B$8*INPUTS!$B$7)-0.85*INPUTS!$B$5*ARCH_AG!F41)/(ARCH_AG!F41*(INPUTS!$B$6-0.85*INPUTS!$B$5)))</f>
        <v>-0.0895697666531</v>
      </c>
      <c r="G41" s="12" t="n">
        <f aca="false">IF(TRIB!G41="","",(PU!G41/(INPUTS!$B$8*INPUTS!$B$7)-0.85*INPUTS!$B$5*ARCH_AG!G41)/(ARCH_AG!G41*(INPUTS!$B$6-0.85*INPUTS!$B$5)))</f>
        <v>-0.086944905933977</v>
      </c>
      <c r="H41" s="12" t="n">
        <f aca="false">IF(TRIB!H41="","",(PU!H41/(INPUTS!$B$8*INPUTS!$B$7)-0.85*INPUTS!$B$5*ARCH_AG!H41)/(ARCH_AG!H41*(INPUTS!$B$6-0.85*INPUTS!$B$5)))</f>
        <v>-0.0807796578593526</v>
      </c>
      <c r="I41" s="12" t="n">
        <f aca="false">IF(TRIB!I41="","",(PU!I41/(INPUTS!$B$8*INPUTS!$B$7)-0.85*INPUTS!$B$5*ARCH_AG!I41)/(ARCH_AG!I41*(INPUTS!$B$6-0.85*INPUTS!$B$5)))</f>
        <v>-0.0784590926830435</v>
      </c>
      <c r="J41" s="12" t="n">
        <f aca="false">IF(TRIB!J41="","",(PU!J41/(INPUTS!$B$8*INPUTS!$B$7)-0.85*INPUTS!$B$5*ARCH_AG!J41)/(ARCH_AG!J41*(INPUTS!$B$6-0.85*INPUTS!$B$5)))</f>
        <v>-0.0761727592598248</v>
      </c>
      <c r="K41" s="12" t="n">
        <f aca="false">IF(TRIB!K41="","",(PU!K41/(INPUTS!$B$8*INPUTS!$B$7)-0.85*INPUTS!$B$5*ARCH_AG!K41)/(ARCH_AG!K41*(INPUTS!$B$6-0.85*INPUTS!$B$5)))</f>
        <v>-0.0740944968826758</v>
      </c>
      <c r="L41" s="12" t="n">
        <f aca="false">IF(TRIB!L41="","",(PU!L41/(INPUTS!$B$8*INPUTS!$B$7)-0.85*INPUTS!$B$5*ARCH_AG!L41)/(ARCH_AG!L41*(INPUTS!$B$6-0.85*INPUTS!$B$5)))</f>
        <v>-0.0719966431825527</v>
      </c>
      <c r="M41" s="12" t="n">
        <f aca="false">IF(TRIB!M41="","",(PU!M41/(INPUTS!$B$8*INPUTS!$B$7)-0.85*INPUTS!$B$5*ARCH_AG!M41)/(ARCH_AG!M41*(INPUTS!$B$6-0.85*INPUTS!$B$5)))</f>
        <v>-0.0699027322596233</v>
      </c>
      <c r="N41" s="12" t="n">
        <f aca="false">IF(TRIB!N41="","",(PU!N41/(INPUTS!$B$8*INPUTS!$B$7)-0.85*INPUTS!$B$5*ARCH_AG!N41)/(ARCH_AG!N41*(INPUTS!$B$6-0.85*INPUTS!$B$5)))</f>
        <v>-0.067812176212639</v>
      </c>
      <c r="O41" s="12" t="n">
        <f aca="false">IF(TRIB!O41="","",(PU!O41/(INPUTS!$B$8*INPUTS!$B$7)-0.85*INPUTS!$B$5*ARCH_AG!O41)/(ARCH_AG!O41*(INPUTS!$B$6-0.85*INPUTS!$B$5)))</f>
        <v>-0.0657245201674709</v>
      </c>
      <c r="P41" s="12" t="n">
        <f aca="false">IF(TRIB!P41="","",(PU!P41/(INPUTS!$B$8*INPUTS!$B$7)-0.85*INPUTS!$B$5*ARCH_AG!P41)/(ARCH_AG!P41*(INPUTS!$B$6-0.85*INPUTS!$B$5)))</f>
        <v>-0.0635737247440107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12" t="str">
        <f aca="false">IF(TRIB!E42="","",(PU!E42/(INPUTS!$B$8*INPUTS!$B$7)-0.85*INPUTS!$B$5*ARCH_AG!E42)/(ARCH_AG!E42*(INPUTS!$B$6-0.85*INPUTS!$B$5)))</f>
        <v/>
      </c>
      <c r="F42" s="12" t="n">
        <f aca="false">IF(TRIB!F42="","",(PU!F42/(INPUTS!$B$8*INPUTS!$B$7)-0.85*INPUTS!$B$5*ARCH_AG!F42)/(ARCH_AG!F42*(INPUTS!$B$6-0.85*INPUTS!$B$5)))</f>
        <v>-0.0857859694949859</v>
      </c>
      <c r="G42" s="12" t="n">
        <f aca="false">IF(TRIB!G42="","",(PU!G42/(INPUTS!$B$8*INPUTS!$B$7)-0.85*INPUTS!$B$5*ARCH_AG!G42)/(ARCH_AG!G42*(INPUTS!$B$6-0.85*INPUTS!$B$5)))</f>
        <v>-0.0810414539922737</v>
      </c>
      <c r="H42" s="12" t="n">
        <f aca="false">IF(TRIB!H42="","",(PU!H42/(INPUTS!$B$8*INPUTS!$B$7)-0.85*INPUTS!$B$5*ARCH_AG!H42)/(ARCH_AG!H42*(INPUTS!$B$6-0.85*INPUTS!$B$5)))</f>
        <v>-0.0767659522309309</v>
      </c>
      <c r="I42" s="12" t="n">
        <f aca="false">IF(TRIB!I42="","",(PU!I42/(INPUTS!$B$8*INPUTS!$B$7)-0.85*INPUTS!$B$5*ARCH_AG!I42)/(ARCH_AG!I42*(INPUTS!$B$6-0.85*INPUTS!$B$5)))</f>
        <v>-0.0725676147980793</v>
      </c>
      <c r="J42" s="12" t="n">
        <f aca="false">IF(TRIB!J42="","",(PU!J42/(INPUTS!$B$8*INPUTS!$B$7)-0.85*INPUTS!$B$5*ARCH_AG!J42)/(ARCH_AG!J42*(INPUTS!$B$6-0.85*INPUTS!$B$5)))</f>
        <v>-0.0684092205608599</v>
      </c>
      <c r="K42" s="12" t="n">
        <f aca="false">IF(TRIB!K42="","",(PU!K42/(INPUTS!$B$8*INPUTS!$B$7)-0.85*INPUTS!$B$5*ARCH_AG!K42)/(ARCH_AG!K42*(INPUTS!$B$6-0.85*INPUTS!$B$5)))</f>
        <v>-0.0642587396653711</v>
      </c>
      <c r="L42" s="12" t="n">
        <f aca="false">IF(TRIB!L42="","",(PU!L42/(INPUTS!$B$8*INPUTS!$B$7)-0.85*INPUTS!$B$5*ARCH_AG!L42)/(ARCH_AG!L42*(INPUTS!$B$6-0.85*INPUTS!$B$5)))</f>
        <v>-0.060126553349299</v>
      </c>
      <c r="M42" s="12" t="n">
        <f aca="false">IF(TRIB!M42="","",(PU!M42/(INPUTS!$B$8*INPUTS!$B$7)-0.85*INPUTS!$B$5*ARCH_AG!M42)/(ARCH_AG!M42*(INPUTS!$B$6-0.85*INPUTS!$B$5)))</f>
        <v>-0.0560082147260336</v>
      </c>
      <c r="N42" s="12" t="n">
        <f aca="false">IF(TRIB!N42="","",(PU!N42/(INPUTS!$B$8*INPUTS!$B$7)-0.85*INPUTS!$B$5*ARCH_AG!N42)/(ARCH_AG!N42*(INPUTS!$B$6-0.85*INPUTS!$B$5)))</f>
        <v>-0.0519008309523187</v>
      </c>
      <c r="O42" s="12" t="n">
        <f aca="false">IF(TRIB!O42="","",(PU!O42/(INPUTS!$B$8*INPUTS!$B$7)-0.85*INPUTS!$B$5*ARCH_AG!O42)/(ARCH_AG!O42*(INPUTS!$B$6-0.85*INPUTS!$B$5)))</f>
        <v>-0.0478023949163834</v>
      </c>
      <c r="P42" s="12" t="n">
        <f aca="false">IF(TRIB!P42="","",(PU!P42/(INPUTS!$B$8*INPUTS!$B$7)-0.85*INPUTS!$B$5*ARCH_AG!P42)/(ARCH_AG!P42*(INPUTS!$B$6-0.85*INPUTS!$B$5)))</f>
        <v>-0.0436457676375989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12" t="str">
        <f aca="false">IF(TRIB!E43="","",(PU!E43/(INPUTS!$B$8*INPUTS!$B$7)-0.85*INPUTS!$B$5*ARCH_AG!E43)/(ARCH_AG!E43*(INPUTS!$B$6-0.85*INPUTS!$B$5)))</f>
        <v/>
      </c>
      <c r="F43" s="12" t="n">
        <f aca="false">IF(TRIB!F43="","",(PU!F43/(INPUTS!$B$8*INPUTS!$B$7)-0.85*INPUTS!$B$5*ARCH_AG!F43)/(ARCH_AG!F43*(INPUTS!$B$6-0.85*INPUTS!$B$5)))</f>
        <v>-0.088468307901368</v>
      </c>
      <c r="G43" s="12" t="n">
        <f aca="false">IF(TRIB!G43="","",(PU!G43/(INPUTS!$B$8*INPUTS!$B$7)-0.85*INPUTS!$B$5*ARCH_AG!G43)/(ARCH_AG!G43*(INPUTS!$B$6-0.85*INPUTS!$B$5)))</f>
        <v>-0.0853527586293032</v>
      </c>
      <c r="H43" s="12" t="n">
        <f aca="false">IF(TRIB!H43="","",(PU!H43/(INPUTS!$B$8*INPUTS!$B$7)-0.85*INPUTS!$B$5*ARCH_AG!H43)/(ARCH_AG!H43*(INPUTS!$B$6-0.85*INPUTS!$B$5)))</f>
        <v>-0.0825357219922105</v>
      </c>
      <c r="I43" s="12" t="n">
        <f aca="false">IF(TRIB!I43="","",(PU!I43/(INPUTS!$B$8*INPUTS!$B$7)-0.85*INPUTS!$B$5*ARCH_AG!I43)/(ARCH_AG!I43*(INPUTS!$B$6-0.85*INPUTS!$B$5)))</f>
        <v>-0.0797677980462653</v>
      </c>
      <c r="J43" s="12" t="n">
        <f aca="false">IF(TRIB!J43="","",(PU!J43/(INPUTS!$B$8*INPUTS!$B$7)-0.85*INPUTS!$B$5*ARCH_AG!J43)/(ARCH_AG!J43*(INPUTS!$B$6-0.85*INPUTS!$B$5)))</f>
        <v>-0.0770252966999705</v>
      </c>
      <c r="K43" s="12" t="n">
        <f aca="false">IF(TRIB!K43="","",(PU!K43/(INPUTS!$B$8*INPUTS!$B$7)-0.85*INPUTS!$B$5*ARCH_AG!K43)/(ARCH_AG!K43*(INPUTS!$B$6-0.85*INPUTS!$B$5)))</f>
        <v>-0.074368940235689</v>
      </c>
      <c r="L43" s="12" t="n">
        <f aca="false">IF(TRIB!L43="","",(PU!L43/(INPUTS!$B$8*INPUTS!$B$7)-0.85*INPUTS!$B$5*ARCH_AG!L43)/(ARCH_AG!L43*(INPUTS!$B$6-0.85*INPUTS!$B$5)))</f>
        <v>-0.0717358497421426</v>
      </c>
      <c r="M43" s="12" t="n">
        <f aca="false">IF(TRIB!M43="","",(PU!M43/(INPUTS!$B$8*INPUTS!$B$7)-0.85*INPUTS!$B$5*ARCH_AG!M43)/(ARCH_AG!M43*(INPUTS!$B$6-0.85*INPUTS!$B$5)))</f>
        <v>-0.0691109784066208</v>
      </c>
      <c r="N43" s="12" t="n">
        <f aca="false">IF(TRIB!N43="","",(PU!N43/(INPUTS!$B$8*INPUTS!$B$7)-0.85*INPUTS!$B$5*ARCH_AG!N43)/(ARCH_AG!N43*(INPUTS!$B$6-0.85*INPUTS!$B$5)))</f>
        <v>-0.0664926532038631</v>
      </c>
      <c r="O43" s="12" t="n">
        <f aca="false">IF(TRIB!O43="","",(PU!O43/(INPUTS!$B$8*INPUTS!$B$7)-0.85*INPUTS!$B$5*ARCH_AG!O43)/(ARCH_AG!O43*(INPUTS!$B$6-0.85*INPUTS!$B$5)))</f>
        <v>-0.0638797017582892</v>
      </c>
      <c r="P43" s="12" t="n">
        <f aca="false">IF(TRIB!P43="","",(PU!P43/(INPUTS!$B$8*INPUTS!$B$7)-0.85*INPUTS!$B$5*ARCH_AG!P43)/(ARCH_AG!P43*(INPUTS!$B$6-0.85*INPUTS!$B$5)))</f>
        <v>-0.0612055858988216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12" t="str">
        <f aca="false">IF(TRIB!E44="","",(PU!E44/(INPUTS!$B$8*INPUTS!$B$7)-0.85*INPUTS!$B$5*ARCH_AG!E44)/(ARCH_AG!E44*(INPUTS!$B$6-0.85*INPUTS!$B$5)))</f>
        <v/>
      </c>
      <c r="F44" s="12" t="n">
        <f aca="false">IF(TRIB!F44="","",(PU!F44/(INPUTS!$B$8*INPUTS!$B$7)-0.85*INPUTS!$B$5*ARCH_AG!F44)/(ARCH_AG!F44*(INPUTS!$B$6-0.85*INPUTS!$B$5)))</f>
        <v>-0.076414951927247</v>
      </c>
      <c r="G44" s="12" t="n">
        <f aca="false">IF(TRIB!G44="","",(PU!G44/(INPUTS!$B$8*INPUTS!$B$7)-0.85*INPUTS!$B$5*ARCH_AG!G44)/(ARCH_AG!G44*(INPUTS!$B$6-0.85*INPUTS!$B$5)))</f>
        <v>-0.066592707278451</v>
      </c>
      <c r="H44" s="12" t="n">
        <f aca="false">IF(TRIB!H44="","",(PU!H44/(INPUTS!$B$8*INPUTS!$B$7)-0.85*INPUTS!$B$5*ARCH_AG!H44)/(ARCH_AG!H44*(INPUTS!$B$6-0.85*INPUTS!$B$5)))</f>
        <v>-0.0575158908359173</v>
      </c>
      <c r="I44" s="12" t="n">
        <f aca="false">IF(TRIB!I44="","",(PU!I44/(INPUTS!$B$8*INPUTS!$B$7)-0.85*INPUTS!$B$5*ARCH_AG!I44)/(ARCH_AG!I44*(INPUTS!$B$6-0.85*INPUTS!$B$5)))</f>
        <v>-0.0485617157190017</v>
      </c>
      <c r="J44" s="12" t="n">
        <f aca="false">IF(TRIB!J44="","",(PU!J44/(INPUTS!$B$8*INPUTS!$B$7)-0.85*INPUTS!$B$5*ARCH_AG!J44)/(ARCH_AG!J44*(INPUTS!$B$6-0.85*INPUTS!$B$5)))</f>
        <v>-0.0396536882226138</v>
      </c>
      <c r="K44" s="12" t="n">
        <f aca="false">IF(TRIB!K44="","",(PU!K44/(INPUTS!$B$8*INPUTS!$B$7)-0.85*INPUTS!$B$5*ARCH_AG!K44)/(ARCH_AG!K44*(INPUTS!$B$6-0.85*INPUTS!$B$5)))</f>
        <v>-0.0311677446299125</v>
      </c>
      <c r="L44" s="12" t="n">
        <f aca="false">IF(TRIB!L44="","",(PU!L44/(INPUTS!$B$8*INPUTS!$B$7)-0.85*INPUTS!$B$5*ARCH_AG!L44)/(ARCH_AG!L44*(INPUTS!$B$6-0.85*INPUTS!$B$5)))</f>
        <v>-0.022151205655304</v>
      </c>
      <c r="M44" s="12" t="n">
        <f aca="false">IF(TRIB!M44="","",(PU!M44/(INPUTS!$B$8*INPUTS!$B$7)-0.85*INPUTS!$B$5*ARCH_AG!M44)/(ARCH_AG!M44*(INPUTS!$B$6-0.85*INPUTS!$B$5)))</f>
        <v>-0.0130984073607024</v>
      </c>
      <c r="N44" s="12" t="n">
        <f aca="false">IF(TRIB!N44="","",(PU!N44/(INPUTS!$B$8*INPUTS!$B$7)-0.85*INPUTS!$B$5*ARCH_AG!N44)/(ARCH_AG!N44*(INPUTS!$B$6-0.85*INPUTS!$B$5)))</f>
        <v>-0.00404560906610087</v>
      </c>
      <c r="O44" s="12" t="n">
        <f aca="false">IF(TRIB!O44="","",(PU!O44/(INPUTS!$B$8*INPUTS!$B$7)-0.85*INPUTS!$B$5*ARCH_AG!O44)/(ARCH_AG!O44*(INPUTS!$B$6-0.85*INPUTS!$B$5)))</f>
        <v>0.0050071892285007</v>
      </c>
      <c r="P44" s="12" t="n">
        <f aca="false">IF(TRIB!P44="","",(PU!P44/(INPUTS!$B$8*INPUTS!$B$7)-0.85*INPUTS!$B$5*ARCH_AG!P44)/(ARCH_AG!P44*(INPUTS!$B$6-0.85*INPUTS!$B$5)))</f>
        <v>0.0141256663797647</v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12" t="str">
        <f aca="false">IF(TRIB!E45="","",(PU!E45/(INPUTS!$B$8*INPUTS!$B$7)-0.85*INPUTS!$B$5*ARCH_AG!E45)/(ARCH_AG!E45*(INPUTS!$B$6-0.85*INPUTS!$B$5)))</f>
        <v/>
      </c>
      <c r="F45" s="12" t="n">
        <f aca="false">IF(TRIB!F45="","",(PU!F45/(INPUTS!$B$8*INPUTS!$B$7)-0.85*INPUTS!$B$5*ARCH_AG!F45)/(ARCH_AG!F45*(INPUTS!$B$6-0.85*INPUTS!$B$5)))</f>
        <v>-0.0850132525337444</v>
      </c>
      <c r="G45" s="12" t="n">
        <f aca="false">IF(TRIB!G45="","",(PU!G45/(INPUTS!$B$8*INPUTS!$B$7)-0.85*INPUTS!$B$5*ARCH_AG!G45)/(ARCH_AG!G45*(INPUTS!$B$6-0.85*INPUTS!$B$5)))</f>
        <v>-0.0799522954558194</v>
      </c>
      <c r="H45" s="12" t="n">
        <f aca="false">IF(TRIB!H45="","",(PU!H45/(INPUTS!$B$8*INPUTS!$B$7)-0.85*INPUTS!$B$5*ARCH_AG!H45)/(ARCH_AG!H45*(INPUTS!$B$6-0.85*INPUTS!$B$5)))</f>
        <v>-0.0753979311181954</v>
      </c>
      <c r="I45" s="12" t="n">
        <f aca="false">IF(TRIB!I45="","",(PU!I45/(INPUTS!$B$8*INPUTS!$B$7)-0.85*INPUTS!$B$5*ARCH_AG!I45)/(ARCH_AG!I45*(INPUTS!$B$6-0.85*INPUTS!$B$5)))</f>
        <v>-0.0709269137812577</v>
      </c>
      <c r="J45" s="12" t="n">
        <f aca="false">IF(TRIB!J45="","",(PU!J45/(INPUTS!$B$8*INPUTS!$B$7)-0.85*INPUTS!$B$5*ARCH_AG!J45)/(ARCH_AG!J45*(INPUTS!$B$6-0.85*INPUTS!$B$5)))</f>
        <v>-0.0664990400265797</v>
      </c>
      <c r="K45" s="12" t="n">
        <f aca="false">IF(TRIB!K45="","",(PU!K45/(INPUTS!$B$8*INPUTS!$B$7)-0.85*INPUTS!$B$5*ARCH_AG!K45)/(ARCH_AG!K45*(INPUTS!$B$6-0.85*INPUTS!$B$5)))</f>
        <v>-0.0620987373985082</v>
      </c>
      <c r="L45" s="12" t="n">
        <f aca="false">IF(TRIB!L45="","",(PU!L45/(INPUTS!$B$8*INPUTS!$B$7)-0.85*INPUTS!$B$5*ARCH_AG!L45)/(ARCH_AG!L45*(INPUTS!$B$6-0.85*INPUTS!$B$5)))</f>
        <v>-0.0577180193937178</v>
      </c>
      <c r="M45" s="12" t="n">
        <f aca="false">IF(TRIB!M45="","",(PU!M45/(INPUTS!$B$8*INPUTS!$B$7)-0.85*INPUTS!$B$5*ARCH_AG!M45)/(ARCH_AG!M45*(INPUTS!$B$6-0.85*INPUTS!$B$5)))</f>
        <v>-0.0533521416628993</v>
      </c>
      <c r="N45" s="12" t="n">
        <f aca="false">IF(TRIB!N45="","",(PU!N45/(INPUTS!$B$8*INPUTS!$B$7)-0.85*INPUTS!$B$5*ARCH_AG!N45)/(ARCH_AG!N45*(INPUTS!$B$6-0.85*INPUTS!$B$5)))</f>
        <v>-0.0489980130000169</v>
      </c>
      <c r="O45" s="12" t="n">
        <f aca="false">IF(TRIB!O45="","",(PU!O45/(INPUTS!$B$8*INPUTS!$B$7)-0.85*INPUTS!$B$5*ARCH_AG!O45)/(ARCH_AG!O45*(INPUTS!$B$6-0.85*INPUTS!$B$5)))</f>
        <v>-0.0446534862460253</v>
      </c>
      <c r="P45" s="12" t="n">
        <f aca="false">IF(TRIB!P45="","",(PU!P45/(INPUTS!$B$8*INPUTS!$B$7)-0.85*INPUTS!$B$5*ARCH_AG!P45)/(ARCH_AG!P45*(INPUTS!$B$6-0.85*INPUTS!$B$5)))</f>
        <v>-0.0402513192108303</v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12" t="str">
        <f aca="false">IF(TRIB!E46="","",(PU!E46/(INPUTS!$B$8*INPUTS!$B$7)-0.85*INPUTS!$B$5*ARCH_AG!E46)/(ARCH_AG!E46*(INPUTS!$B$6-0.85*INPUTS!$B$5)))</f>
        <v/>
      </c>
      <c r="F46" s="12" t="n">
        <f aca="false">IF(TRIB!F46="","",(PU!F46/(INPUTS!$B$8*INPUTS!$B$7)-0.85*INPUTS!$B$5*ARCH_AG!F46)/(ARCH_AG!F46*(INPUTS!$B$6-0.85*INPUTS!$B$5)))</f>
        <v>-0.0890771404774137</v>
      </c>
      <c r="G46" s="12" t="n">
        <f aca="false">IF(TRIB!G46="","",(PU!G46/(INPUTS!$B$8*INPUTS!$B$7)-0.85*INPUTS!$B$5*ARCH_AG!G46)/(ARCH_AG!G46*(INPUTS!$B$6-0.85*INPUTS!$B$5)))</f>
        <v>-0.0850147480172975</v>
      </c>
      <c r="H46" s="12" t="n">
        <f aca="false">IF(TRIB!H46="","",(PU!H46/(INPUTS!$B$8*INPUTS!$B$7)-0.85*INPUTS!$B$5*ARCH_AG!H46)/(ARCH_AG!H46*(INPUTS!$B$6-0.85*INPUTS!$B$5)))</f>
        <v>-0.0813175512586007</v>
      </c>
      <c r="I46" s="12" t="n">
        <f aca="false">IF(TRIB!I46="","",(PU!I46/(INPUTS!$B$8*INPUTS!$B$7)-0.85*INPUTS!$B$5*ARCH_AG!I46)/(ARCH_AG!I46*(INPUTS!$B$6-0.85*INPUTS!$B$5)))</f>
        <v>-0.0776781461609459</v>
      </c>
      <c r="J46" s="12" t="n">
        <f aca="false">IF(TRIB!J46="","",(PU!J46/(INPUTS!$B$8*INPUTS!$B$7)-0.85*INPUTS!$B$5*ARCH_AG!J46)/(ARCH_AG!J46*(INPUTS!$B$6-0.85*INPUTS!$B$5)))</f>
        <v>-0.0740686955362385</v>
      </c>
      <c r="K46" s="12" t="n">
        <f aca="false">IF(TRIB!K46="","",(PU!K46/(INPUTS!$B$8*INPUTS!$B$7)-0.85*INPUTS!$B$5*ARCH_AG!K46)/(ARCH_AG!K46*(INPUTS!$B$6-0.85*INPUTS!$B$5)))</f>
        <v>-0.070478398442156</v>
      </c>
      <c r="L46" s="12" t="n">
        <f aca="false">IF(TRIB!L46="","",(PU!L46/(INPUTS!$B$8*INPUTS!$B$7)-0.85*INPUTS!$B$5*ARCH_AG!L46)/(ARCH_AG!L46*(INPUTS!$B$6-0.85*INPUTS!$B$5)))</f>
        <v>-0.0669017111547943</v>
      </c>
      <c r="M46" s="12" t="n">
        <f aca="false">IF(TRIB!M46="","",(PU!M46/(INPUTS!$B$8*INPUTS!$B$7)-0.85*INPUTS!$B$5*ARCH_AG!M46)/(ARCH_AG!M46*(INPUTS!$B$6-0.85*INPUTS!$B$5)))</f>
        <v>-0.0633353389210314</v>
      </c>
      <c r="N46" s="12" t="n">
        <f aca="false">IF(TRIB!N46="","",(PU!N46/(INPUTS!$B$8*INPUTS!$B$7)-0.85*INPUTS!$B$5*ARCH_AG!N46)/(ARCH_AG!N46*(INPUTS!$B$6-0.85*INPUTS!$B$5)))</f>
        <v>-0.0597771343627766</v>
      </c>
      <c r="O46" s="12" t="n">
        <f aca="false">IF(TRIB!O46="","",(PU!O46/(INPUTS!$B$8*INPUTS!$B$7)-0.85*INPUTS!$B$5*ARCH_AG!O46)/(ARCH_AG!O46*(INPUTS!$B$6-0.85*INPUTS!$B$5)))</f>
        <v>-0.0562256055748118</v>
      </c>
      <c r="P46" s="12" t="n">
        <f aca="false">IF(TRIB!P46="","",(PU!P46/(INPUTS!$B$8*INPUTS!$B$7)-0.85*INPUTS!$B$5*ARCH_AG!P46)/(ARCH_AG!P46*(INPUTS!$B$6-0.85*INPUTS!$B$5)))</f>
        <v>-0.0526139872713247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12" t="str">
        <f aca="false">IF(TRIB!E47="","",(PU!E47/(INPUTS!$B$8*INPUTS!$B$7)-0.85*INPUTS!$B$5*ARCH_AG!E47)/(ARCH_AG!E47*(INPUTS!$B$6-0.85*INPUTS!$B$5)))</f>
        <v/>
      </c>
      <c r="F47" s="12" t="n">
        <f aca="false">IF(TRIB!F47="","",(PU!F47/(INPUTS!$B$8*INPUTS!$B$7)-0.85*INPUTS!$B$5*ARCH_AG!F47)/(ARCH_AG!F47*(INPUTS!$B$6-0.85*INPUTS!$B$5)))</f>
        <v>-0.0819824339291552</v>
      </c>
      <c r="G47" s="12" t="n">
        <f aca="false">IF(TRIB!G47="","",(PU!G47/(INPUTS!$B$8*INPUTS!$B$7)-0.85*INPUTS!$B$5*ARCH_AG!G47)/(ARCH_AG!G47*(INPUTS!$B$6-0.85*INPUTS!$B$5)))</f>
        <v>-0.0754130183357035</v>
      </c>
      <c r="H47" s="12" t="n">
        <f aca="false">IF(TRIB!H47="","",(PU!H47/(INPUTS!$B$8*INPUTS!$B$7)-0.85*INPUTS!$B$5*ARCH_AG!H47)/(ARCH_AG!H47*(INPUTS!$B$6-0.85*INPUTS!$B$5)))</f>
        <v>-0.0693348870183796</v>
      </c>
      <c r="I47" s="12" t="n">
        <f aca="false">IF(TRIB!I47="","",(PU!I47/(INPUTS!$B$8*INPUTS!$B$7)-0.85*INPUTS!$B$5*ARCH_AG!I47)/(ARCH_AG!I47*(INPUTS!$B$6-0.85*INPUTS!$B$5)))</f>
        <v>-0.0633375840818086</v>
      </c>
      <c r="J47" s="12" t="n">
        <f aca="false">IF(TRIB!J47="","",(PU!J47/(INPUTS!$B$8*INPUTS!$B$7)-0.85*INPUTS!$B$5*ARCH_AG!J47)/(ARCH_AG!J47*(INPUTS!$B$6-0.85*INPUTS!$B$5)))</f>
        <v>-0.0573705584835083</v>
      </c>
      <c r="K47" s="12" t="n">
        <f aca="false">IF(TRIB!K47="","",(PU!K47/(INPUTS!$B$8*INPUTS!$B$7)-0.85*INPUTS!$B$5*ARCH_AG!K47)/(ARCH_AG!K47*(INPUTS!$B$6-0.85*INPUTS!$B$5)))</f>
        <v>-0.0516817173644318</v>
      </c>
      <c r="L47" s="12" t="n">
        <f aca="false">IF(TRIB!L47="","",(PU!L47/(INPUTS!$B$8*INPUTS!$B$7)-0.85*INPUTS!$B$5*ARCH_AG!L47)/(ARCH_AG!L47*(INPUTS!$B$6-0.85*INPUTS!$B$5)))</f>
        <v>-0.0456650703576933</v>
      </c>
      <c r="M47" s="12" t="n">
        <f aca="false">IF(TRIB!M47="","",(PU!M47/(INPUTS!$B$8*INPUTS!$B$7)-0.85*INPUTS!$B$5*ARCH_AG!M47)/(ARCH_AG!M47*(INPUTS!$B$6-0.85*INPUTS!$B$5)))</f>
        <v>-0.0396062827073756</v>
      </c>
      <c r="N47" s="12" t="n">
        <f aca="false">IF(TRIB!N47="","",(PU!N47/(INPUTS!$B$8*INPUTS!$B$7)-0.85*INPUTS!$B$5*ARCH_AG!N47)/(ARCH_AG!N47*(INPUTS!$B$6-0.85*INPUTS!$B$5)))</f>
        <v>-0.0335474950570579</v>
      </c>
      <c r="O47" s="12" t="n">
        <f aca="false">IF(TRIB!O47="","",(PU!O47/(INPUTS!$B$8*INPUTS!$B$7)-0.85*INPUTS!$B$5*ARCH_AG!O47)/(ARCH_AG!O47*(INPUTS!$B$6-0.85*INPUTS!$B$5)))</f>
        <v>-0.0274887074067402</v>
      </c>
      <c r="P47" s="12" t="n">
        <f aca="false">IF(TRIB!P47="","",(PU!P47/(INPUTS!$B$8*INPUTS!$B$7)-0.85*INPUTS!$B$5*ARCH_AG!P47)/(ARCH_AG!P47*(INPUTS!$B$6-0.85*INPUTS!$B$5)))</f>
        <v>-0.02136424089976</v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12" t="str">
        <f aca="false">IF(TRIB!E48="","",(PU!E48/(INPUTS!$B$8*INPUTS!$B$7)-0.85*INPUTS!$B$5*ARCH_AG!E48)/(ARCH_AG!E48*(INPUTS!$B$6-0.85*INPUTS!$B$5)))</f>
        <v/>
      </c>
      <c r="F48" s="12" t="n">
        <f aca="false">IF(TRIB!F48="","",(PU!F48/(INPUTS!$B$8*INPUTS!$B$7)-0.85*INPUTS!$B$5*ARCH_AG!F48)/(ARCH_AG!F48*(INPUTS!$B$6-0.85*INPUTS!$B$5)))</f>
        <v>-0.085540351421499</v>
      </c>
      <c r="G48" s="12" t="n">
        <f aca="false">IF(TRIB!G48="","",(PU!G48/(INPUTS!$B$8*INPUTS!$B$7)-0.85*INPUTS!$B$5*ARCH_AG!G48)/(ARCH_AG!G48*(INPUTS!$B$6-0.85*INPUTS!$B$5)))</f>
        <v>-0.0807777380120501</v>
      </c>
      <c r="H48" s="12" t="n">
        <f aca="false">IF(TRIB!H48="","",(PU!H48/(INPUTS!$B$8*INPUTS!$B$7)-0.85*INPUTS!$B$5*ARCH_AG!H48)/(ARCH_AG!H48*(INPUTS!$B$6-0.85*INPUTS!$B$5)))</f>
        <v>-0.0765032895819468</v>
      </c>
      <c r="I48" s="12" t="n">
        <f aca="false">IF(TRIB!I48="","",(PU!I48/(INPUTS!$B$8*INPUTS!$B$7)-0.85*INPUTS!$B$5*ARCH_AG!I48)/(ARCH_AG!I48*(INPUTS!$B$6-0.85*INPUTS!$B$5)))</f>
        <v>-0.0723091563313394</v>
      </c>
      <c r="J48" s="12" t="n">
        <f aca="false">IF(TRIB!J48="","",(PU!J48/(INPUTS!$B$8*INPUTS!$B$7)-0.85*INPUTS!$B$5*ARCH_AG!J48)/(ARCH_AG!J48*(INPUTS!$B$6-0.85*INPUTS!$B$5)))</f>
        <v>-0.0681565972768608</v>
      </c>
      <c r="K48" s="12" t="n">
        <f aca="false">IF(TRIB!K48="","",(PU!K48/(INPUTS!$B$8*INPUTS!$B$7)-0.85*INPUTS!$B$5*ARCH_AG!K48)/(ARCH_AG!K48*(INPUTS!$B$6-0.85*INPUTS!$B$5)))</f>
        <v>-0.0640306064247658</v>
      </c>
      <c r="L48" s="12" t="n">
        <f aca="false">IF(TRIB!L48="","",(PU!L48/(INPUTS!$B$8*INPUTS!$B$7)-0.85*INPUTS!$B$5*ARCH_AG!L48)/(ARCH_AG!L48*(INPUTS!$B$6-0.85*INPUTS!$B$5)))</f>
        <v>-0.0599234877878823</v>
      </c>
      <c r="M48" s="12" t="n">
        <f aca="false">IF(TRIB!M48="","",(PU!M48/(INPUTS!$B$8*INPUTS!$B$7)-0.85*INPUTS!$B$5*ARCH_AG!M48)/(ARCH_AG!M48*(INPUTS!$B$6-0.85*INPUTS!$B$5)))</f>
        <v>-0.0558306695968216</v>
      </c>
      <c r="N48" s="12" t="n">
        <f aca="false">IF(TRIB!N48="","",(PU!N48/(INPUTS!$B$8*INPUTS!$B$7)-0.85*INPUTS!$B$5*ARCH_AG!N48)/(ARCH_AG!N48*(INPUTS!$B$6-0.85*INPUTS!$B$5)))</f>
        <v>-0.0517491730909138</v>
      </c>
      <c r="O48" s="12" t="n">
        <f aca="false">IF(TRIB!O48="","",(PU!O48/(INPUTS!$B$8*INPUTS!$B$7)-0.85*INPUTS!$B$5*ARCH_AG!O48)/(ARCH_AG!O48*(INPUTS!$B$6-0.85*INPUTS!$B$5)))</f>
        <v>-0.047676929215931</v>
      </c>
      <c r="P48" s="12" t="n">
        <f aca="false">IF(TRIB!P48="","",(PU!P48/(INPUTS!$B$8*INPUTS!$B$7)-0.85*INPUTS!$B$5*ARCH_AG!P48)/(ARCH_AG!P48*(INPUTS!$B$6-0.85*INPUTS!$B$5)))</f>
        <v>-0.0435467526494217</v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12" t="str">
        <f aca="false">IF(TRIB!E49="","",(PU!E49/(INPUTS!$B$8*INPUTS!$B$7)-0.85*INPUTS!$B$5*ARCH_AG!E49)/(ARCH_AG!E49*(INPUTS!$B$6-0.85*INPUTS!$B$5)))</f>
        <v/>
      </c>
      <c r="F49" s="12" t="n">
        <f aca="false">IF(TRIB!F49="","",(PU!F49/(INPUTS!$B$8*INPUTS!$B$7)-0.85*INPUTS!$B$5*ARCH_AG!F49)/(ARCH_AG!F49*(INPUTS!$B$6-0.85*INPUTS!$B$5)))</f>
        <v>-0.0833990121899958</v>
      </c>
      <c r="G49" s="12" t="n">
        <f aca="false">IF(TRIB!G49="","",(PU!G49/(INPUTS!$B$8*INPUTS!$B$7)-0.85*INPUTS!$B$5*ARCH_AG!G49)/(ARCH_AG!G49*(INPUTS!$B$6-0.85*INPUTS!$B$5)))</f>
        <v>-0.0774308040579105</v>
      </c>
      <c r="H49" s="12" t="n">
        <f aca="false">IF(TRIB!H49="","",(PU!H49/(INPUTS!$B$8*INPUTS!$B$7)-0.85*INPUTS!$B$5*ARCH_AG!H49)/(ARCH_AG!H49*(INPUTS!$B$6-0.85*INPUTS!$B$5)))</f>
        <v>-0.0720218591681947</v>
      </c>
      <c r="I49" s="12" t="n">
        <f aca="false">IF(TRIB!I49="","",(PU!I49/(INPUTS!$B$8*INPUTS!$B$7)-0.85*INPUTS!$B$5*ARCH_AG!I49)/(ARCH_AG!I49*(INPUTS!$B$6-0.85*INPUTS!$B$5)))</f>
        <v>-0.0667049268758524</v>
      </c>
      <c r="J49" s="12" t="n">
        <f aca="false">IF(TRIB!J49="","",(PU!J49/(INPUTS!$B$8*INPUTS!$B$7)-0.85*INPUTS!$B$5*ARCH_AG!J49)/(ARCH_AG!J49*(INPUTS!$B$6-0.85*INPUTS!$B$5)))</f>
        <v>-0.0614180693765928</v>
      </c>
      <c r="K49" s="12" t="n">
        <f aca="false">IF(TRIB!K49="","",(PU!K49/(INPUTS!$B$8*INPUTS!$B$7)-0.85*INPUTS!$B$5*ARCH_AG!K49)/(ARCH_AG!K49*(INPUTS!$B$6-0.85*INPUTS!$B$5)))</f>
        <v>-0.05616183435129</v>
      </c>
      <c r="L49" s="12" t="n">
        <f aca="false">IF(TRIB!L49="","",(PU!L49/(INPUTS!$B$8*INPUTS!$B$7)-0.85*INPUTS!$B$5*ARCH_AG!L49)/(ARCH_AG!L49*(INPUTS!$B$6-0.85*INPUTS!$B$5)))</f>
        <v>-0.0509273322997805</v>
      </c>
      <c r="M49" s="12" t="n">
        <f aca="false">IF(TRIB!M49="","",(PU!M49/(INPUTS!$B$8*INPUTS!$B$7)-0.85*INPUTS!$B$5*ARCH_AG!M49)/(ARCH_AG!M49*(INPUTS!$B$6-0.85*INPUTS!$B$5)))</f>
        <v>-0.0457092890087689</v>
      </c>
      <c r="N49" s="12" t="n">
        <f aca="false">IF(TRIB!N49="","",(PU!N49/(INPUTS!$B$8*INPUTS!$B$7)-0.85*INPUTS!$B$5*ARCH_AG!N49)/(ARCH_AG!N49*(INPUTS!$B$6-0.85*INPUTS!$B$5)))</f>
        <v>-0.040504270883012</v>
      </c>
      <c r="O49" s="12" t="n">
        <f aca="false">IF(TRIB!O49="","",(PU!O49/(INPUTS!$B$8*INPUTS!$B$7)-0.85*INPUTS!$B$5*ARCH_AG!O49)/(ARCH_AG!O49*(INPUTS!$B$6-0.85*INPUTS!$B$5)))</f>
        <v>-0.0353098943569939</v>
      </c>
      <c r="P49" s="12" t="n">
        <f aca="false">IF(TRIB!P49="","",(PU!P49/(INPUTS!$B$8*INPUTS!$B$7)-0.85*INPUTS!$B$5*ARCH_AG!P49)/(ARCH_AG!P49*(INPUTS!$B$6-0.85*INPUTS!$B$5)))</f>
        <v>-0.0300587458927942</v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12" t="str">
        <f aca="false">IF(TRIB!E50="","",(PU!E50/(INPUTS!$B$8*INPUTS!$B$7)-0.85*INPUTS!$B$5*ARCH_AG!E50)/(ARCH_AG!E50*(INPUTS!$B$6-0.85*INPUTS!$B$5)))</f>
        <v/>
      </c>
      <c r="F50" s="12" t="n">
        <f aca="false">IF(TRIB!F50="","",(PU!F50/(INPUTS!$B$8*INPUTS!$B$7)-0.85*INPUTS!$B$5*ARCH_AG!F50)/(ARCH_AG!F50*(INPUTS!$B$6-0.85*INPUTS!$B$5)))</f>
        <v>-0.0859369266131561</v>
      </c>
      <c r="G50" s="12" t="n">
        <f aca="false">IF(TRIB!G50="","",(PU!G50/(INPUTS!$B$8*INPUTS!$B$7)-0.85*INPUTS!$B$5*ARCH_AG!G50)/(ARCH_AG!G50*(INPUTS!$B$6-0.85*INPUTS!$B$5)))</f>
        <v>-0.0812677514598272</v>
      </c>
      <c r="H50" s="12" t="n">
        <f aca="false">IF(TRIB!H50="","",(PU!H50/(INPUTS!$B$8*INPUTS!$B$7)-0.85*INPUTS!$B$5*ARCH_AG!H50)/(ARCH_AG!H50*(INPUTS!$B$6-0.85*INPUTS!$B$5)))</f>
        <v>-0.0660981709990432</v>
      </c>
      <c r="I50" s="12" t="n">
        <f aca="false">IF(TRIB!I50="","",(PU!I50/(INPUTS!$B$8*INPUTS!$B$7)-0.85*INPUTS!$B$5*ARCH_AG!I50)/(ARCH_AG!I50*(INPUTS!$B$6-0.85*INPUTS!$B$5)))</f>
        <v>-0.0620667847727191</v>
      </c>
      <c r="J50" s="12" t="n">
        <f aca="false">IF(TRIB!J50="","",(PU!J50/(INPUTS!$B$8*INPUTS!$B$7)-0.85*INPUTS!$B$5*ARCH_AG!J50)/(ARCH_AG!J50*(INPUTS!$B$6-0.85*INPUTS!$B$5)))</f>
        <v>-0.0580645937249215</v>
      </c>
      <c r="K50" s="12" t="n">
        <f aca="false">IF(TRIB!K50="","",(PU!K50/(INPUTS!$B$8*INPUTS!$B$7)-0.85*INPUTS!$B$5*ARCH_AG!K50)/(ARCH_AG!K50*(INPUTS!$B$6-0.85*INPUTS!$B$5)))</f>
        <v>-0.0541240146948019</v>
      </c>
      <c r="L50" s="12" t="n">
        <f aca="false">IF(TRIB!L50="","",(PU!L50/(INPUTS!$B$8*INPUTS!$B$7)-0.85*INPUTS!$B$5*ARCH_AG!L50)/(ARCH_AG!L50*(INPUTS!$B$6-0.85*INPUTS!$B$5)))</f>
        <v>-0.0501562076108012</v>
      </c>
      <c r="M50" s="12" t="n">
        <f aca="false">IF(TRIB!M50="","",(PU!M50/(INPUTS!$B$8*INPUTS!$B$7)-0.85*INPUTS!$B$5*ARCH_AG!M50)/(ARCH_AG!M50*(INPUTS!$B$6-0.85*INPUTS!$B$5)))</f>
        <v>-0.0461949226081998</v>
      </c>
      <c r="N50" s="12" t="n">
        <f aca="false">IF(TRIB!N50="","",(PU!N50/(INPUTS!$B$8*INPUTS!$B$7)-0.85*INPUTS!$B$5*ARCH_AG!N50)/(ARCH_AG!N50*(INPUTS!$B$6-0.85*INPUTS!$B$5)))</f>
        <v>-0.0422392552350329</v>
      </c>
      <c r="O50" s="12" t="n">
        <f aca="false">IF(TRIB!O50="","",(PU!O50/(INPUTS!$B$8*INPUTS!$B$7)-0.85*INPUTS!$B$5*ARCH_AG!O50)/(ARCH_AG!O50*(INPUTS!$B$6-0.85*INPUTS!$B$5)))</f>
        <v>-0.0382884925619037</v>
      </c>
      <c r="P50" s="12" t="n">
        <f aca="false">IF(TRIB!P50="","",(PU!P50/(INPUTS!$B$8*INPUTS!$B$7)-0.85*INPUTS!$B$5*ARCH_AG!P50)/(ARCH_AG!P50*(INPUTS!$B$6-0.85*INPUTS!$B$5)))</f>
        <v>-0.0342763819409798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12" t="str">
        <f aca="false">IF(TRIB!E51="","",(PU!E51/(INPUTS!$B$8*INPUTS!$B$7)-0.85*INPUTS!$B$5*ARCH_AG!E51)/(ARCH_AG!E51*(INPUTS!$B$6-0.85*INPUTS!$B$5)))</f>
        <v/>
      </c>
      <c r="F51" s="12" t="n">
        <f aca="false">IF(TRIB!F51="","",(PU!F51/(INPUTS!$B$8*INPUTS!$B$7)-0.85*INPUTS!$B$5*ARCH_AG!F51)/(ARCH_AG!F51*(INPUTS!$B$6-0.85*INPUTS!$B$5)))</f>
        <v>-0.0894935930796587</v>
      </c>
      <c r="G51" s="12" t="n">
        <f aca="false">IF(TRIB!G51="","",(PU!G51/(INPUTS!$B$8*INPUTS!$B$7)-0.85*INPUTS!$B$5*ARCH_AG!G51)/(ARCH_AG!G51*(INPUTS!$B$6-0.85*INPUTS!$B$5)))</f>
        <v>-0.0871256096665933</v>
      </c>
      <c r="H51" s="12" t="n">
        <f aca="false">IF(TRIB!H51="","",(PU!H51/(INPUTS!$B$8*INPUTS!$B$7)-0.85*INPUTS!$B$5*ARCH_AG!H51)/(ARCH_AG!H51*(INPUTS!$B$6-0.85*INPUTS!$B$5)))</f>
        <v>-0.0848717781718959</v>
      </c>
      <c r="I51" s="12" t="n">
        <f aca="false">IF(TRIB!I51="","",(PU!I51/(INPUTS!$B$8*INPUTS!$B$7)-0.85*INPUTS!$B$5*ARCH_AG!I51)/(ARCH_AG!I51*(INPUTS!$B$6-0.85*INPUTS!$B$5)))</f>
        <v>-0.0827718731173249</v>
      </c>
      <c r="J51" s="12" t="n">
        <f aca="false">IF(TRIB!J51="","",(PU!J51/(INPUTS!$B$8*INPUTS!$B$7)-0.85*INPUTS!$B$5*ARCH_AG!J51)/(ARCH_AG!J51*(INPUTS!$B$6-0.85*INPUTS!$B$5)))</f>
        <v>-0.0807536803720809</v>
      </c>
      <c r="K51" s="12" t="n">
        <f aca="false">IF(TRIB!K51="","",(PU!K51/(INPUTS!$B$8*INPUTS!$B$7)-0.85*INPUTS!$B$5*ARCH_AG!K51)/(ARCH_AG!K51*(INPUTS!$B$6-0.85*INPUTS!$B$5)))</f>
        <v>-0.078913075389019</v>
      </c>
      <c r="L51" s="12" t="n">
        <f aca="false">IF(TRIB!L51="","",(PU!L51/(INPUTS!$B$8*INPUTS!$B$7)-0.85*INPUTS!$B$5*ARCH_AG!L51)/(ARCH_AG!L51*(INPUTS!$B$6-0.85*INPUTS!$B$5)))</f>
        <v>-0.076937968892836</v>
      </c>
      <c r="M51" s="12" t="n">
        <f aca="false">IF(TRIB!M51="","",(PU!M51/(INPUTS!$B$8*INPUTS!$B$7)-0.85*INPUTS!$B$5*ARCH_AG!M51)/(ARCH_AG!M51*(INPUTS!$B$6-0.85*INPUTS!$B$5)))</f>
        <v>-0.0749705719629318</v>
      </c>
      <c r="N51" s="12" t="n">
        <f aca="false">IF(TRIB!N51="","",(PU!N51/(INPUTS!$B$8*INPUTS!$B$7)-0.85*INPUTS!$B$5*ARCH_AG!N51)/(ARCH_AG!N51*(INPUTS!$B$6-0.85*INPUTS!$B$5)))</f>
        <v>-0.0730093021529247</v>
      </c>
      <c r="O51" s="12" t="n">
        <f aca="false">IF(TRIB!O51="","",(PU!O51/(INPUTS!$B$8*INPUTS!$B$7)-0.85*INPUTS!$B$5*ARCH_AG!O51)/(ARCH_AG!O51*(INPUTS!$B$6-0.85*INPUTS!$B$5)))</f>
        <v>-0.0710530540633409</v>
      </c>
      <c r="P51" s="12" t="n">
        <f aca="false">IF(TRIB!P51="","",(PU!P51/(INPUTS!$B$8*INPUTS!$B$7)-0.85*INPUTS!$B$5*ARCH_AG!P51)/(ARCH_AG!P51*(INPUTS!$B$6-0.85*INPUTS!$B$5)))</f>
        <v>-0.0690353405569481</v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12" t="str">
        <f aca="false">IF(TRIB!E52="","",(PU!E52/(INPUTS!$B$8*INPUTS!$B$7)-0.85*INPUTS!$B$5*ARCH_AG!E52)/(ARCH_AG!E52*(INPUTS!$B$6-0.85*INPUTS!$B$5)))</f>
        <v/>
      </c>
      <c r="F52" s="12" t="n">
        <f aca="false">IF(TRIB!F52="","",(PU!F52/(INPUTS!$B$8*INPUTS!$B$7)-0.85*INPUTS!$B$5*ARCH_AG!F52)/(ARCH_AG!F52*(INPUTS!$B$6-0.85*INPUTS!$B$5)))</f>
        <v>-0.0869907073800516</v>
      </c>
      <c r="G52" s="12" t="n">
        <f aca="false">IF(TRIB!G52="","",(PU!G52/(INPUTS!$B$8*INPUTS!$B$7)-0.85*INPUTS!$B$5*ARCH_AG!G52)/(ARCH_AG!G52*(INPUTS!$B$6-0.85*INPUTS!$B$5)))</f>
        <v>-0.0814438060511385</v>
      </c>
      <c r="H52" s="12" t="n">
        <f aca="false">IF(TRIB!H52="","",(PU!H52/(INPUTS!$B$8*INPUTS!$B$7)-0.85*INPUTS!$B$5*ARCH_AG!H52)/(ARCH_AG!H52*(INPUTS!$B$6-0.85*INPUTS!$B$5)))</f>
        <v>-0.0764345524426351</v>
      </c>
      <c r="I52" s="12" t="n">
        <f aca="false">IF(TRIB!I52="","",(PU!I52/(INPUTS!$B$8*INPUTS!$B$7)-0.85*INPUTS!$B$5*ARCH_AG!I52)/(ARCH_AG!I52*(INPUTS!$B$6-0.85*INPUTS!$B$5)))</f>
        <v>-0.0714919023882828</v>
      </c>
      <c r="J52" s="12" t="n">
        <f aca="false">IF(TRIB!J52="","",(PU!J52/(INPUTS!$B$8*INPUTS!$B$7)-0.85*INPUTS!$B$5*ARCH_AG!J52)/(ARCH_AG!J52*(INPUTS!$B$6-0.85*INPUTS!$B$5)))</f>
        <v>-0.0666122079375286</v>
      </c>
      <c r="K52" s="12" t="n">
        <f aca="false">IF(TRIB!K52="","",(PU!K52/(INPUTS!$B$8*INPUTS!$B$7)-0.85*INPUTS!$B$5*ARCH_AG!K52)/(ARCH_AG!K52*(INPUTS!$B$6-0.85*INPUTS!$B$5)))</f>
        <v>-0.0617607534700057</v>
      </c>
      <c r="L52" s="12" t="n">
        <f aca="false">IF(TRIB!L52="","",(PU!L52/(INPUTS!$B$8*INPUTS!$B$7)-0.85*INPUTS!$B$5*ARCH_AG!L52)/(ARCH_AG!L52*(INPUTS!$B$6-0.85*INPUTS!$B$5)))</f>
        <v>-0.0569105933476772</v>
      </c>
      <c r="M52" s="12" t="n">
        <f aca="false">IF(TRIB!M52="","",(PU!M52/(INPUTS!$B$8*INPUTS!$B$7)-0.85*INPUTS!$B$5*ARCH_AG!M52)/(ARCH_AG!M52*(INPUTS!$B$6-0.85*INPUTS!$B$5)))</f>
        <v>-0.0520756335141905</v>
      </c>
      <c r="N52" s="12" t="n">
        <f aca="false">IF(TRIB!N52="","",(PU!N52/(INPUTS!$B$8*INPUTS!$B$7)-0.85*INPUTS!$B$5*ARCH_AG!N52)/(ARCH_AG!N52*(INPUTS!$B$6-0.85*INPUTS!$B$5)))</f>
        <v>-0.0472527077729714</v>
      </c>
      <c r="O52" s="12" t="n">
        <f aca="false">IF(TRIB!O52="","",(PU!O52/(INPUTS!$B$8*INPUTS!$B$7)-0.85*INPUTS!$B$5*ARCH_AG!O52)/(ARCH_AG!O52*(INPUTS!$B$6-0.85*INPUTS!$B$5)))</f>
        <v>-0.0424396168763683</v>
      </c>
      <c r="P52" s="12" t="n">
        <f aca="false">IF(TRIB!P52="","",(PU!P52/(INPUTS!$B$8*INPUTS!$B$7)-0.85*INPUTS!$B$5*ARCH_AG!P52)/(ARCH_AG!P52*(INPUTS!$B$6-0.85*INPUTS!$B$5)))</f>
        <v>-0.0375690807088902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12" t="n">
        <f aca="false">IF(TRIB!E53="","",(PU!E53/(INPUTS!$B$8*INPUTS!$B$7)-0.85*INPUTS!$B$5*ARCH_AG!E53)/(ARCH_AG!E53*(INPUTS!$B$6-0.85*INPUTS!$B$5)))</f>
        <v>-0.0814586711103105</v>
      </c>
      <c r="F53" s="12" t="n">
        <f aca="false">IF(TRIB!F53="","",(PU!F53/(INPUTS!$B$8*INPUTS!$B$7)-0.85*INPUTS!$B$5*ARCH_AG!F53)/(ARCH_AG!F53*(INPUTS!$B$6-0.85*INPUTS!$B$5)))</f>
        <v>-0.0647230729197942</v>
      </c>
      <c r="G53" s="12" t="n">
        <f aca="false">IF(TRIB!G53="","",(PU!G53/(INPUTS!$B$8*INPUTS!$B$7)-0.85*INPUTS!$B$5*ARCH_AG!G53)/(ARCH_AG!G53*(INPUTS!$B$6-0.85*INPUTS!$B$5)))</f>
        <v>-0.051693221775189</v>
      </c>
      <c r="H53" s="12" t="n">
        <f aca="false">IF(TRIB!H53="","",(PU!H53/(INPUTS!$B$8*INPUTS!$B$7)-0.85*INPUTS!$B$5*ARCH_AG!H53)/(ARCH_AG!H53*(INPUTS!$B$6-0.85*INPUTS!$B$5)))</f>
        <v>-0.0429537637529441</v>
      </c>
      <c r="I53" s="12" t="n">
        <f aca="false">IF(TRIB!I53="","",(PU!I53/(INPUTS!$B$8*INPUTS!$B$7)-0.85*INPUTS!$B$5*ARCH_AG!I53)/(ARCH_AG!I53*(INPUTS!$B$6-0.85*INPUTS!$B$5)))</f>
        <v>-0.0351777624318608</v>
      </c>
      <c r="J53" s="12" t="n">
        <f aca="false">IF(TRIB!J53="","",(PU!J53/(INPUTS!$B$8*INPUTS!$B$7)-0.85*INPUTS!$B$5*ARCH_AG!J53)/(ARCH_AG!J53*(INPUTS!$B$6-0.85*INPUTS!$B$5)))</f>
        <v>-0.027049639037344</v>
      </c>
      <c r="K53" s="12" t="n">
        <f aca="false">IF(TRIB!K53="","",(PU!K53/(INPUTS!$B$8*INPUTS!$B$7)-0.85*INPUTS!$B$5*ARCH_AG!K53)/(ARCH_AG!K53*(INPUTS!$B$6-0.85*INPUTS!$B$5)))</f>
        <v>-0.0197255194085108</v>
      </c>
      <c r="L53" s="12" t="n">
        <f aca="false">IF(TRIB!L53="","",(PU!L53/(INPUTS!$B$8*INPUTS!$B$7)-0.85*INPUTS!$B$5*ARCH_AG!L53)/(ARCH_AG!L53*(INPUTS!$B$6-0.85*INPUTS!$B$5)))</f>
        <v>-0.0129537057792916</v>
      </c>
      <c r="M53" s="12" t="n">
        <f aca="false">IF(TRIB!M53="","",(PU!M53/(INPUTS!$B$8*INPUTS!$B$7)-0.85*INPUTS!$B$5*ARCH_AG!M53)/(ARCH_AG!M53*(INPUTS!$B$6-0.85*INPUTS!$B$5)))</f>
        <v>-0.00627276010941499</v>
      </c>
      <c r="N53" s="12" t="n">
        <f aca="false">IF(TRIB!N53="","",(PU!N53/(INPUTS!$B$8*INPUTS!$B$7)-0.85*INPUTS!$B$5*ARCH_AG!N53)/(ARCH_AG!N53*(INPUTS!$B$6-0.85*INPUTS!$B$5)))</f>
        <v>0.000361148843526706</v>
      </c>
      <c r="O53" s="12" t="n">
        <f aca="false">IF(TRIB!O53="","",(PU!O53/(INPUTS!$B$8*INPUTS!$B$7)-0.85*INPUTS!$B$5*ARCH_AG!O53)/(ARCH_AG!O53*(INPUTS!$B$6-0.85*INPUTS!$B$5)))</f>
        <v>0.00696499874226274</v>
      </c>
      <c r="P53" s="12" t="n">
        <f aca="false">IF(TRIB!P53="","",(PU!P53/(INPUTS!$B$8*INPUTS!$B$7)-0.85*INPUTS!$B$5*ARCH_AG!P53)/(ARCH_AG!P53*(INPUTS!$B$6-0.85*INPUTS!$B$5)))</f>
        <v>0.01361317562252</v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12" t="n">
        <f aca="false">IF(TRIB!E54="","",(PU!E54/(INPUTS!$B$8*INPUTS!$B$7)-0.85*INPUTS!$B$5*ARCH_AG!E54)/(ARCH_AG!E54*(INPUTS!$B$6-0.85*INPUTS!$B$5)))</f>
        <v>-0.0894846273944635</v>
      </c>
      <c r="F54" s="12" t="n">
        <f aca="false">IF(TRIB!F54="","",(PU!F54/(INPUTS!$B$8*INPUTS!$B$7)-0.85*INPUTS!$B$5*ARCH_AG!F54)/(ARCH_AG!F54*(INPUTS!$B$6-0.85*INPUTS!$B$5)))</f>
        <v>-0.0843537534111305</v>
      </c>
      <c r="G54" s="12" t="n">
        <f aca="false">IF(TRIB!G54="","",(PU!G54/(INPUTS!$B$8*INPUTS!$B$7)-0.85*INPUTS!$B$5*ARCH_AG!G54)/(ARCH_AG!G54*(INPUTS!$B$6-0.85*INPUTS!$B$5)))</f>
        <v>-0.0767020623578001</v>
      </c>
      <c r="H54" s="12" t="n">
        <f aca="false">IF(TRIB!H54="","",(PU!H54/(INPUTS!$B$8*INPUTS!$B$7)-0.85*INPUTS!$B$5*ARCH_AG!H54)/(ARCH_AG!H54*(INPUTS!$B$6-0.85*INPUTS!$B$5)))</f>
        <v>-0.0713966702696211</v>
      </c>
      <c r="I54" s="12" t="n">
        <f aca="false">IF(TRIB!I54="","",(PU!I54/(INPUTS!$B$8*INPUTS!$B$7)-0.85*INPUTS!$B$5*ARCH_AG!I54)/(ARCH_AG!I54*(INPUTS!$B$6-0.85*INPUTS!$B$5)))</f>
        <v>-0.0666411457395064</v>
      </c>
      <c r="J54" s="12" t="n">
        <f aca="false">IF(TRIB!J54="","",(PU!J54/(INPUTS!$B$8*INPUTS!$B$7)-0.85*INPUTS!$B$5*ARCH_AG!J54)/(ARCH_AG!J54*(INPUTS!$B$6-0.85*INPUTS!$B$5)))</f>
        <v>-0.0616200701241685</v>
      </c>
      <c r="K54" s="12" t="n">
        <f aca="false">IF(TRIB!K54="","",(PU!K54/(INPUTS!$B$8*INPUTS!$B$7)-0.85*INPUTS!$B$5*ARCH_AG!K54)/(ARCH_AG!K54*(INPUTS!$B$6-0.85*INPUTS!$B$5)))</f>
        <v>-0.0567443275670803</v>
      </c>
      <c r="L54" s="12" t="n">
        <f aca="false">IF(TRIB!L54="","",(PU!L54/(INPUTS!$B$8*INPUTS!$B$7)-0.85*INPUTS!$B$5*ARCH_AG!L54)/(ARCH_AG!L54*(INPUTS!$B$6-0.85*INPUTS!$B$5)))</f>
        <v>-0.0523648373303995</v>
      </c>
      <c r="M54" s="12" t="n">
        <f aca="false">IF(TRIB!M54="","",(PU!M54/(INPUTS!$B$8*INPUTS!$B$7)-0.85*INPUTS!$B$5*ARCH_AG!M54)/(ARCH_AG!M54*(INPUTS!$B$6-0.85*INPUTS!$B$5)))</f>
        <v>-0.0480639054711865</v>
      </c>
      <c r="N54" s="12" t="n">
        <f aca="false">IF(TRIB!N54="","",(PU!N54/(INPUTS!$B$8*INPUTS!$B$7)-0.85*INPUTS!$B$5*ARCH_AG!N54)/(ARCH_AG!N54*(INPUTS!$B$6-0.85*INPUTS!$B$5)))</f>
        <v>-0.0438036384204554</v>
      </c>
      <c r="O54" s="12" t="n">
        <f aca="false">IF(TRIB!O54="","",(PU!O54/(INPUTS!$B$8*INPUTS!$B$7)-0.85*INPUTS!$B$5*ARCH_AG!O54)/(ARCH_AG!O54*(INPUTS!$B$6-0.85*INPUTS!$B$5)))</f>
        <v>-0.0395693584232874</v>
      </c>
      <c r="P54" s="12" t="n">
        <f aca="false">IF(TRIB!P54="","",(PU!P54/(INPUTS!$B$8*INPUTS!$B$7)-0.85*INPUTS!$B$5*ARCH_AG!P54)/(ARCH_AG!P54*(INPUTS!$B$6-0.85*INPUTS!$B$5)))</f>
        <v>-0.0352878589767016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12" t="n">
        <f aca="false">IF(TRIB!E55="","",(PU!E55/(INPUTS!$B$8*INPUTS!$B$7)-0.85*INPUTS!$B$5*ARCH_AG!E55)/(ARCH_AG!E55*(INPUTS!$B$6-0.85*INPUTS!$B$5)))</f>
        <v>-0.0822881012430193</v>
      </c>
      <c r="F55" s="12" t="n">
        <f aca="false">IF(TRIB!F55="","",(PU!F55/(INPUTS!$B$8*INPUTS!$B$7)-0.85*INPUTS!$B$5*ARCH_AG!F55)/(ARCH_AG!F55*(INPUTS!$B$6-0.85*INPUTS!$B$5)))</f>
        <v>-0.0667789253854828</v>
      </c>
      <c r="G55" s="12" t="n">
        <f aca="false">IF(TRIB!G55="","",(PU!G55/(INPUTS!$B$8*INPUTS!$B$7)-0.85*INPUTS!$B$5*ARCH_AG!G55)/(ARCH_AG!G55*(INPUTS!$B$6-0.85*INPUTS!$B$5)))</f>
        <v>-0.0519036026208157</v>
      </c>
      <c r="H55" s="12" t="n">
        <f aca="false">IF(TRIB!H55="","",(PU!H55/(INPUTS!$B$8*INPUTS!$B$7)-0.85*INPUTS!$B$5*ARCH_AG!H55)/(ARCH_AG!H55*(INPUTS!$B$6-0.85*INPUTS!$B$5)))</f>
        <v>-0.0419485644895481</v>
      </c>
      <c r="I55" s="12" t="n">
        <f aca="false">IF(TRIB!I55="","",(PU!I55/(INPUTS!$B$8*INPUTS!$B$7)-0.85*INPUTS!$B$5*ARCH_AG!I55)/(ARCH_AG!I55*(INPUTS!$B$6-0.85*INPUTS!$B$5)))</f>
        <v>-0.0330984323812193</v>
      </c>
      <c r="J55" s="12" t="n">
        <f aca="false">IF(TRIB!J55="","",(PU!J55/(INPUTS!$B$8*INPUTS!$B$7)-0.85*INPUTS!$B$5*ARCH_AG!J55)/(ARCH_AG!J55*(INPUTS!$B$6-0.85*INPUTS!$B$5)))</f>
        <v>-0.023695847261421</v>
      </c>
      <c r="K55" s="12" t="n">
        <f aca="false">IF(TRIB!K55="","",(PU!K55/(INPUTS!$B$8*INPUTS!$B$7)-0.85*INPUTS!$B$5*ARCH_AG!K55)/(ARCH_AG!K55*(INPUTS!$B$6-0.85*INPUTS!$B$5)))</f>
        <v>-0.0153122482127323</v>
      </c>
      <c r="L55" s="12" t="n">
        <f aca="false">IF(TRIB!L55="","",(PU!L55/(INPUTS!$B$8*INPUTS!$B$7)-0.85*INPUTS!$B$5*ARCH_AG!L55)/(ARCH_AG!L55*(INPUTS!$B$6-0.85*INPUTS!$B$5)))</f>
        <v>-0.00752508778165381</v>
      </c>
      <c r="M55" s="12" t="n">
        <f aca="false">IF(TRIB!M55="","",(PU!M55/(INPUTS!$B$8*INPUTS!$B$7)-0.85*INPUTS!$B$5*ARCH_AG!M55)/(ARCH_AG!M55*(INPUTS!$B$6-0.85*INPUTS!$B$5)))</f>
        <v>0.000163943785908386</v>
      </c>
      <c r="N55" s="12" t="n">
        <f aca="false">IF(TRIB!N55="","",(PU!N55/(INPUTS!$B$8*INPUTS!$B$7)-0.85*INPUTS!$B$5*ARCH_AG!N55)/(ARCH_AG!N55*(INPUTS!$B$6-0.85*INPUTS!$B$5)))</f>
        <v>0.007802180115966</v>
      </c>
      <c r="O55" s="12" t="n">
        <f aca="false">IF(TRIB!O55="","",(PU!O55/(INPUTS!$B$8*INPUTS!$B$7)-0.85*INPUTS!$B$5*ARCH_AG!O55)/(ARCH_AG!O55*(INPUTS!$B$6-0.85*INPUTS!$B$5)))</f>
        <v>0.0154079554900506</v>
      </c>
      <c r="P55" s="12" t="n">
        <f aca="false">IF(TRIB!P55="","",(PU!P55/(INPUTS!$B$8*INPUTS!$B$7)-0.85*INPUTS!$B$5*ARCH_AG!P55)/(ARCH_AG!P55*(INPUTS!$B$6-0.85*INPUTS!$B$5)))</f>
        <v>0.0230563517006033</v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12" t="n">
        <f aca="false">IF(TRIB!E56="","",(PU!E56/(INPUTS!$B$8*INPUTS!$B$7)-0.85*INPUTS!$B$5*ARCH_AG!E56)/(ARCH_AG!E56*(INPUTS!$B$6-0.85*INPUTS!$B$5)))</f>
        <v>-0.0887609089453352</v>
      </c>
      <c r="F56" s="12" t="n">
        <f aca="false">IF(TRIB!F56="","",(PU!F56/(INPUTS!$B$8*INPUTS!$B$7)-0.85*INPUTS!$B$5*ARCH_AG!F56)/(ARCH_AG!F56*(INPUTS!$B$6-0.85*INPUTS!$B$5)))</f>
        <v>-0.0826349829082069</v>
      </c>
      <c r="G56" s="12" t="n">
        <f aca="false">IF(TRIB!G56="","",(PU!G56/(INPUTS!$B$8*INPUTS!$B$7)-0.85*INPUTS!$B$5*ARCH_AG!G56)/(ARCH_AG!G56*(INPUTS!$B$6-0.85*INPUTS!$B$5)))</f>
        <v>-0.0779020046438079</v>
      </c>
      <c r="H56" s="12" t="n">
        <f aca="false">IF(TRIB!H56="","",(PU!H56/(INPUTS!$B$8*INPUTS!$B$7)-0.85*INPUTS!$B$5*ARCH_AG!H56)/(ARCH_AG!H56*(INPUTS!$B$6-0.85*INPUTS!$B$5)))</f>
        <v>-0.0740172218997355</v>
      </c>
      <c r="I56" s="12" t="n">
        <f aca="false">IF(TRIB!I56="","",(PU!I56/(INPUTS!$B$8*INPUTS!$B$7)-0.85*INPUTS!$B$5*ARCH_AG!I56)/(ARCH_AG!I56*(INPUTS!$B$6-0.85*INPUTS!$B$5)))</f>
        <v>-0.0724458361411913</v>
      </c>
      <c r="J56" s="12" t="n">
        <f aca="false">IF(TRIB!J56="","",(PU!J56/(INPUTS!$B$8*INPUTS!$B$7)-0.85*INPUTS!$B$5*ARCH_AG!J56)/(ARCH_AG!J56*(INPUTS!$B$6-0.85*INPUTS!$B$5)))</f>
        <v>-0.0706895765638935</v>
      </c>
      <c r="K56" s="12" t="n">
        <f aca="false">IF(TRIB!K56="","",(PU!K56/(INPUTS!$B$8*INPUTS!$B$7)-0.85*INPUTS!$B$5*ARCH_AG!K56)/(ARCH_AG!K56*(INPUTS!$B$6-0.85*INPUTS!$B$5)))</f>
        <v>-0.0690157734898172</v>
      </c>
      <c r="L56" s="12" t="n">
        <f aca="false">IF(TRIB!L56="","",(PU!L56/(INPUTS!$B$8*INPUTS!$B$7)-0.85*INPUTS!$B$5*ARCH_AG!L56)/(ARCH_AG!L56*(INPUTS!$B$6-0.85*INPUTS!$B$5)))</f>
        <v>-0.0673130578185223</v>
      </c>
      <c r="M56" s="12" t="n">
        <f aca="false">IF(TRIB!M56="","",(PU!M56/(INPUTS!$B$8*INPUTS!$B$7)-0.85*INPUTS!$B$5*ARCH_AG!M56)/(ARCH_AG!M56*(INPUTS!$B$6-0.85*INPUTS!$B$5)))</f>
        <v>-0.0656392769852612</v>
      </c>
      <c r="N56" s="12" t="n">
        <f aca="false">IF(TRIB!N56="","",(PU!N56/(INPUTS!$B$8*INPUTS!$B$7)-0.85*INPUTS!$B$5*ARCH_AG!N56)/(ARCH_AG!N56*(INPUTS!$B$6-0.85*INPUTS!$B$5)))</f>
        <v>-0.0640716546738019</v>
      </c>
      <c r="O56" s="12" t="n">
        <f aca="false">IF(TRIB!O56="","",(PU!O56/(INPUTS!$B$8*INPUTS!$B$7)-0.85*INPUTS!$B$5*ARCH_AG!O56)/(ARCH_AG!O56*(INPUTS!$B$6-0.85*INPUTS!$B$5)))</f>
        <v>-0.0625170204955636</v>
      </c>
      <c r="P56" s="12" t="n">
        <f aca="false">IF(TRIB!P56="","",(PU!P56/(INPUTS!$B$8*INPUTS!$B$7)-0.85*INPUTS!$B$5*ARCH_AG!P56)/(ARCH_AG!P56*(INPUTS!$B$6-0.85*INPUTS!$B$5)))</f>
        <v>-0.0609059129779597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12" t="n">
        <f aca="false">IF(TRIB!E57="","",(PU!E57/(INPUTS!$B$8*INPUTS!$B$7)-0.85*INPUTS!$B$5*ARCH_AG!E57)/(ARCH_AG!E57*(INPUTS!$B$6-0.85*INPUTS!$B$5)))</f>
        <v>-0.0845812316099202</v>
      </c>
      <c r="F57" s="12" t="n">
        <f aca="false">IF(TRIB!F57="","",(PU!F57/(INPUTS!$B$8*INPUTS!$B$7)-0.85*INPUTS!$B$5*ARCH_AG!F57)/(ARCH_AG!F57*(INPUTS!$B$6-0.85*INPUTS!$B$5)))</f>
        <v>-0.0724627527906216</v>
      </c>
      <c r="G57" s="12" t="n">
        <f aca="false">IF(TRIB!G57="","",(PU!G57/(INPUTS!$B$8*INPUTS!$B$7)-0.85*INPUTS!$B$5*ARCH_AG!G57)/(ARCH_AG!G57*(INPUTS!$B$6-0.85*INPUTS!$B$5)))</f>
        <v>-0.0711324953128232</v>
      </c>
      <c r="H57" s="12" t="n">
        <f aca="false">IF(TRIB!H57="","",(PU!H57/(INPUTS!$B$8*INPUTS!$B$7)-0.85*INPUTS!$B$5*ARCH_AG!H57)/(ARCH_AG!H57*(INPUTS!$B$6-0.85*INPUTS!$B$5)))</f>
        <v>-0.0701222919460624</v>
      </c>
      <c r="I57" s="12" t="n">
        <f aca="false">IF(TRIB!I57="","",(PU!I57/(INPUTS!$B$8*INPUTS!$B$7)-0.85*INPUTS!$B$5*ARCH_AG!I57)/(ARCH_AG!I57*(INPUTS!$B$6-0.85*INPUTS!$B$5)))</f>
        <v>-0.0691761411023706</v>
      </c>
      <c r="J57" s="12" t="n">
        <f aca="false">IF(TRIB!J57="","",(PU!J57/(INPUTS!$B$8*INPUTS!$B$7)-0.85*INPUTS!$B$5*ARCH_AG!J57)/(ARCH_AG!J57*(INPUTS!$B$6-0.85*INPUTS!$B$5)))</f>
        <v>-0.0656625516256664</v>
      </c>
      <c r="K57" s="12" t="n">
        <f aca="false">IF(TRIB!K57="","",(PU!K57/(INPUTS!$B$8*INPUTS!$B$7)-0.85*INPUTS!$B$5*ARCH_AG!K57)/(ARCH_AG!K57*(INPUTS!$B$6-0.85*INPUTS!$B$5)))</f>
        <v>-0.0645134843905336</v>
      </c>
      <c r="L57" s="12" t="n">
        <f aca="false">IF(TRIB!L57="","",(PU!L57/(INPUTS!$B$8*INPUTS!$B$7)-0.85*INPUTS!$B$5*ARCH_AG!L57)/(ARCH_AG!L57*(INPUTS!$B$6-0.85*INPUTS!$B$5)))</f>
        <v>-0.0633644171554008</v>
      </c>
      <c r="M57" s="12" t="n">
        <f aca="false">IF(TRIB!M57="","",(PU!M57/(INPUTS!$B$8*INPUTS!$B$7)-0.85*INPUTS!$B$5*ARCH_AG!M57)/(ARCH_AG!M57*(INPUTS!$B$6-0.85*INPUTS!$B$5)))</f>
        <v>-0.062215349920268</v>
      </c>
      <c r="N57" s="12" t="n">
        <f aca="false">IF(TRIB!N57="","",(PU!N57/(INPUTS!$B$8*INPUTS!$B$7)-0.85*INPUTS!$B$5*ARCH_AG!N57)/(ARCH_AG!N57*(INPUTS!$B$6-0.85*INPUTS!$B$5)))</f>
        <v>-0.0610662826851352</v>
      </c>
      <c r="O57" s="12" t="n">
        <f aca="false">IF(TRIB!O57="","",(PU!O57/(INPUTS!$B$8*INPUTS!$B$7)-0.85*INPUTS!$B$5*ARCH_AG!O57)/(ARCH_AG!O57*(INPUTS!$B$6-0.85*INPUTS!$B$5)))</f>
        <v>-0.0599172154500023</v>
      </c>
      <c r="P57" s="12" t="n">
        <f aca="false">IF(TRIB!P57="","",(PU!P57/(INPUTS!$B$8*INPUTS!$B$7)-0.85*INPUTS!$B$5*ARCH_AG!P57)/(ARCH_AG!P57*(INPUTS!$B$6-0.85*INPUTS!$B$5)))</f>
        <v>-0.0587024693582071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12" t="n">
        <f aca="false">IF(TRIB!E58="","",(PU!E58/(INPUTS!$B$8*INPUTS!$B$7)-0.85*INPUTS!$B$5*ARCH_AG!E58)/(ARCH_AG!E58*(INPUTS!$B$6-0.85*INPUTS!$B$5)))</f>
        <v>-0.0885982755859805</v>
      </c>
      <c r="F58" s="12" t="n">
        <f aca="false">IF(TRIB!F58="","",(PU!F58/(INPUTS!$B$8*INPUTS!$B$7)-0.85*INPUTS!$B$5*ARCH_AG!F58)/(ARCH_AG!F58*(INPUTS!$B$6-0.85*INPUTS!$B$5)))</f>
        <v>-0.0822193643231894</v>
      </c>
      <c r="G58" s="12" t="n">
        <f aca="false">IF(TRIB!G58="","",(PU!G58/(INPUTS!$B$8*INPUTS!$B$7)-0.85*INPUTS!$B$5*ARCH_AG!G58)/(ARCH_AG!G58*(INPUTS!$B$6-0.85*INPUTS!$B$5)))</f>
        <v>-0.0756006731075037</v>
      </c>
      <c r="H58" s="12" t="n">
        <f aca="false">IF(TRIB!H58="","",(PU!H58/(INPUTS!$B$8*INPUTS!$B$7)-0.85*INPUTS!$B$5*ARCH_AG!H58)/(ARCH_AG!H58*(INPUTS!$B$6-0.85*INPUTS!$B$5)))</f>
        <v>-0.0701701784352058</v>
      </c>
      <c r="I58" s="12" t="n">
        <f aca="false">IF(TRIB!I58="","",(PU!I58/(INPUTS!$B$8*INPUTS!$B$7)-0.85*INPUTS!$B$5*ARCH_AG!I58)/(ARCH_AG!I58*(INPUTS!$B$6-0.85*INPUTS!$B$5)))</f>
        <v>-0.0652948056295051</v>
      </c>
      <c r="J58" s="12" t="n">
        <f aca="false">IF(TRIB!J58="","",(PU!J58/(INPUTS!$B$8*INPUTS!$B$7)-0.85*INPUTS!$B$5*ARCH_AG!J58)/(ARCH_AG!J58*(INPUTS!$B$6-0.85*INPUTS!$B$5)))</f>
        <v>-0.0601562725879666</v>
      </c>
      <c r="K58" s="12" t="n">
        <f aca="false">IF(TRIB!K58="","",(PU!K58/(INPUTS!$B$8*INPUTS!$B$7)-0.85*INPUTS!$B$5*ARCH_AG!K58)/(ARCH_AG!K58*(INPUTS!$B$6-0.85*INPUTS!$B$5)))</f>
        <v>-0.0553586291047859</v>
      </c>
      <c r="L58" s="12" t="n">
        <f aca="false">IF(TRIB!L58="","",(PU!L58/(INPUTS!$B$8*INPUTS!$B$7)-0.85*INPUTS!$B$5*ARCH_AG!L58)/(ARCH_AG!L58*(INPUTS!$B$6-0.85*INPUTS!$B$5)))</f>
        <v>-0.0509589313874508</v>
      </c>
      <c r="M58" s="12" t="n">
        <f aca="false">IF(TRIB!M58="","",(PU!M58/(INPUTS!$B$8*INPUTS!$B$7)-0.85*INPUTS!$B$5*ARCH_AG!M58)/(ARCH_AG!M58*(INPUTS!$B$6-0.85*INPUTS!$B$5)))</f>
        <v>-0.0466247055637702</v>
      </c>
      <c r="N58" s="12" t="n">
        <f aca="false">IF(TRIB!N58="","",(PU!N58/(INPUTS!$B$8*INPUTS!$B$7)-0.85*INPUTS!$B$5*ARCH_AG!N58)/(ARCH_AG!N58*(INPUTS!$B$6-0.85*INPUTS!$B$5)))</f>
        <v>-0.0423243704860829</v>
      </c>
      <c r="O58" s="12" t="n">
        <f aca="false">IF(TRIB!O58="","",(PU!O58/(INPUTS!$B$8*INPUTS!$B$7)-0.85*INPUTS!$B$5*ARCH_AG!O58)/(ARCH_AG!O58*(INPUTS!$B$6-0.85*INPUTS!$B$5)))</f>
        <v>-0.0380456934627257</v>
      </c>
      <c r="P58" s="12" t="n">
        <f aca="false">IF(TRIB!P58="","",(PU!P58/(INPUTS!$B$8*INPUTS!$B$7)-0.85*INPUTS!$B$5*ARCH_AG!P58)/(ARCH_AG!P58*(INPUTS!$B$6-0.85*INPUTS!$B$5)))</f>
        <v>-0.0337167219680129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12" t="n">
        <f aca="false">IF(TRIB!E59="","",(PU!E59/(INPUTS!$B$8*INPUTS!$B$7)-0.85*INPUTS!$B$5*ARCH_AG!E59)/(ARCH_AG!E59*(INPUTS!$B$6-0.85*INPUTS!$B$5)))</f>
        <v>-0.0866954652815309</v>
      </c>
      <c r="F59" s="12" t="n">
        <f aca="false">IF(TRIB!F59="","",(PU!F59/(INPUTS!$B$8*INPUTS!$B$7)-0.85*INPUTS!$B$5*ARCH_AG!F59)/(ARCH_AG!F59*(INPUTS!$B$6-0.85*INPUTS!$B$5)))</f>
        <v>-0.0777031610364944</v>
      </c>
      <c r="G59" s="12" t="n">
        <f aca="false">IF(TRIB!G59="","",(PU!G59/(INPUTS!$B$8*INPUTS!$B$7)-0.85*INPUTS!$B$5*ARCH_AG!G59)/(ARCH_AG!G59*(INPUTS!$B$6-0.85*INPUTS!$B$5)))</f>
        <v>-0.0728792748943022</v>
      </c>
      <c r="H59" s="12" t="n">
        <f aca="false">IF(TRIB!H59="","",(PU!H59/(INPUTS!$B$8*INPUTS!$B$7)-0.85*INPUTS!$B$5*ARCH_AG!H59)/(ARCH_AG!H59*(INPUTS!$B$6-0.85*INPUTS!$B$5)))</f>
        <v>-0.0695449435203533</v>
      </c>
      <c r="I59" s="12" t="n">
        <f aca="false">IF(TRIB!I59="","",(PU!I59/(INPUTS!$B$8*INPUTS!$B$7)-0.85*INPUTS!$B$5*ARCH_AG!I59)/(ARCH_AG!I59*(INPUTS!$B$6-0.85*INPUTS!$B$5)))</f>
        <v>-0.0665451086557644</v>
      </c>
      <c r="J59" s="12" t="n">
        <f aca="false">IF(TRIB!J59="","",(PU!J59/(INPUTS!$B$8*INPUTS!$B$7)-0.85*INPUTS!$B$5*ARCH_AG!J59)/(ARCH_AG!J59*(INPUTS!$B$6-0.85*INPUTS!$B$5)))</f>
        <v>-0.0634788304187211</v>
      </c>
      <c r="K59" s="12" t="n">
        <f aca="false">IF(TRIB!K59="","",(PU!K59/(INPUTS!$B$8*INPUTS!$B$7)-0.85*INPUTS!$B$5*ARCH_AG!K59)/(ARCH_AG!K59*(INPUTS!$B$6-0.85*INPUTS!$B$5)))</f>
        <v>-0.0604880616462063</v>
      </c>
      <c r="L59" s="12" t="n">
        <f aca="false">IF(TRIB!L59="","",(PU!L59/(INPUTS!$B$8*INPUTS!$B$7)-0.85*INPUTS!$B$5*ARCH_AG!L59)/(ARCH_AG!L59*(INPUTS!$B$6-0.85*INPUTS!$B$5)))</f>
        <v>-0.0578008797412419</v>
      </c>
      <c r="M59" s="12" t="n">
        <f aca="false">IF(TRIB!M59="","",(PU!M59/(INPUTS!$B$8*INPUTS!$B$7)-0.85*INPUTS!$B$5*ARCH_AG!M59)/(ARCH_AG!M59*(INPUTS!$B$6-0.85*INPUTS!$B$5)))</f>
        <v>-0.0551636453638379</v>
      </c>
      <c r="N59" s="12" t="n">
        <f aca="false">IF(TRIB!N59="","",(PU!N59/(INPUTS!$B$8*INPUTS!$B$7)-0.85*INPUTS!$B$5*ARCH_AG!N59)/(ARCH_AG!N59*(INPUTS!$B$6-0.85*INPUTS!$B$5)))</f>
        <v>-0.0525522657292107</v>
      </c>
      <c r="O59" s="12" t="n">
        <f aca="false">IF(TRIB!O59="","",(PU!O59/(INPUTS!$B$8*INPUTS!$B$7)-0.85*INPUTS!$B$5*ARCH_AG!O59)/(ARCH_AG!O59*(INPUTS!$B$6-0.85*INPUTS!$B$5)))</f>
        <v>-0.0499574087000129</v>
      </c>
      <c r="P59" s="12" t="n">
        <f aca="false">IF(TRIB!P59="","",(PU!P59/(INPUTS!$B$8*INPUTS!$B$7)-0.85*INPUTS!$B$5*ARCH_AG!P59)/(ARCH_AG!P59*(INPUTS!$B$6-0.85*INPUTS!$B$5)))</f>
        <v>-0.0473086093314002</v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12" t="n">
        <f aca="false">IF(TRIB!E60="","",(PU!E60/(INPUTS!$B$8*INPUTS!$B$7)-0.85*INPUTS!$B$5*ARCH_AG!E60)/(ARCH_AG!E60*(INPUTS!$B$6-0.85*INPUTS!$B$5)))</f>
        <v>-0.0836542214615985</v>
      </c>
      <c r="F60" s="12" t="n">
        <f aca="false">IF(TRIB!F60="","",(PU!F60/(INPUTS!$B$8*INPUTS!$B$7)-0.85*INPUTS!$B$5*ARCH_AG!F60)/(ARCH_AG!F60*(INPUTS!$B$6-0.85*INPUTS!$B$5)))</f>
        <v>-0.0701650353289698</v>
      </c>
      <c r="G60" s="12" t="n">
        <f aca="false">IF(TRIB!G60="","",(PU!G60/(INPUTS!$B$8*INPUTS!$B$7)-0.85*INPUTS!$B$5*ARCH_AG!G60)/(ARCH_AG!G60*(INPUTS!$B$6-0.85*INPUTS!$B$5)))</f>
        <v>-0.0690785193858964</v>
      </c>
      <c r="H60" s="12" t="n">
        <f aca="false">IF(TRIB!H60="","",(PU!H60/(INPUTS!$B$8*INPUTS!$B$7)-0.85*INPUTS!$B$5*ARCH_AG!H60)/(ARCH_AG!H60*(INPUTS!$B$6-0.85*INPUTS!$B$5)))</f>
        <v>-0.0682059288616666</v>
      </c>
      <c r="I60" s="12" t="n">
        <f aca="false">IF(TRIB!I60="","",(PU!I60/(INPUTS!$B$8*INPUTS!$B$7)-0.85*INPUTS!$B$5*ARCH_AG!I60)/(ARCH_AG!I60*(INPUTS!$B$6-0.85*INPUTS!$B$5)))</f>
        <v>-0.0673813777297384</v>
      </c>
      <c r="J60" s="12" t="n">
        <f aca="false">IF(TRIB!J60="","",(PU!J60/(INPUTS!$B$8*INPUTS!$B$7)-0.85*INPUTS!$B$5*ARCH_AG!J60)/(ARCH_AG!J60*(INPUTS!$B$6-0.85*INPUTS!$B$5)))</f>
        <v>-0.0666408121326154</v>
      </c>
      <c r="K60" s="12" t="n">
        <f aca="false">IF(TRIB!K60="","",(PU!K60/(INPUTS!$B$8*INPUTS!$B$7)-0.85*INPUTS!$B$5*ARCH_AG!K60)/(ARCH_AG!K60*(INPUTS!$B$6-0.85*INPUTS!$B$5)))</f>
        <v>-0.065883315985775</v>
      </c>
      <c r="L60" s="12" t="n">
        <f aca="false">IF(TRIB!L60="","",(PU!L60/(INPUTS!$B$8*INPUTS!$B$7)-0.85*INPUTS!$B$5*ARCH_AG!L60)/(ARCH_AG!L60*(INPUTS!$B$6-0.85*INPUTS!$B$5)))</f>
        <v>-0.0651258198389346</v>
      </c>
      <c r="M60" s="12" t="n">
        <f aca="false">IF(TRIB!M60="","",(PU!M60/(INPUTS!$B$8*INPUTS!$B$7)-0.85*INPUTS!$B$5*ARCH_AG!M60)/(ARCH_AG!M60*(INPUTS!$B$6-0.85*INPUTS!$B$5)))</f>
        <v>-0.0643683236920942</v>
      </c>
      <c r="N60" s="12" t="n">
        <f aca="false">IF(TRIB!N60="","",(PU!N60/(INPUTS!$B$8*INPUTS!$B$7)-0.85*INPUTS!$B$5*ARCH_AG!N60)/(ARCH_AG!N60*(INPUTS!$B$6-0.85*INPUTS!$B$5)))</f>
        <v>-0.0636108275452538</v>
      </c>
      <c r="O60" s="12" t="n">
        <f aca="false">IF(TRIB!O60="","",(PU!O60/(INPUTS!$B$8*INPUTS!$B$7)-0.85*INPUTS!$B$5*ARCH_AG!O60)/(ARCH_AG!O60*(INPUTS!$B$6-0.85*INPUTS!$B$5)))</f>
        <v>-0.0628533313984134</v>
      </c>
      <c r="P60" s="12" t="n">
        <f aca="false">IF(TRIB!P60="","",(PU!P60/(INPUTS!$B$8*INPUTS!$B$7)-0.85*INPUTS!$B$5*ARCH_AG!P60)/(ARCH_AG!P60*(INPUTS!$B$6-0.85*INPUTS!$B$5)))</f>
        <v>-0.0620301563949105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12" t="n">
        <f aca="false">IF(TRIB!E61="","",(PU!E61/(INPUTS!$B$8*INPUTS!$B$7)-0.85*INPUTS!$B$5*ARCH_AG!E61)/(ARCH_AG!E61*(INPUTS!$B$6-0.85*INPUTS!$B$5)))</f>
        <v>-0.0864515152424989</v>
      </c>
      <c r="F61" s="12" t="n">
        <f aca="false">IF(TRIB!F61="","",(PU!F61/(INPUTS!$B$8*INPUTS!$B$7)-0.85*INPUTS!$B$5*ARCH_AG!F61)/(ARCH_AG!F61*(INPUTS!$B$6-0.85*INPUTS!$B$5)))</f>
        <v>-0.0767982523447004</v>
      </c>
      <c r="G61" s="12" t="n">
        <f aca="false">IF(TRIB!G61="","",(PU!G61/(INPUTS!$B$8*INPUTS!$B$7)-0.85*INPUTS!$B$5*ARCH_AG!G61)/(ARCH_AG!G61*(INPUTS!$B$6-0.85*INPUTS!$B$5)))</f>
        <v>-0.0680403069405802</v>
      </c>
      <c r="H61" s="12" t="n">
        <f aca="false">IF(TRIB!H61="","",(PU!H61/(INPUTS!$B$8*INPUTS!$B$7)-0.85*INPUTS!$B$5*ARCH_AG!H61)/(ARCH_AG!H61*(INPUTS!$B$6-0.85*INPUTS!$B$5)))</f>
        <v>-0.0610126692776966</v>
      </c>
      <c r="I61" s="12" t="n">
        <f aca="false">IF(TRIB!I61="","",(PU!I61/(INPUTS!$B$8*INPUTS!$B$7)-0.85*INPUTS!$B$5*ARCH_AG!I61)/(ARCH_AG!I61*(INPUTS!$B$6-0.85*INPUTS!$B$5)))</f>
        <v>-0.0547056224993383</v>
      </c>
      <c r="J61" s="12" t="n">
        <f aca="false">IF(TRIB!J61="","",(PU!J61/(INPUTS!$B$8*INPUTS!$B$7)-0.85*INPUTS!$B$5*ARCH_AG!J61)/(ARCH_AG!J61*(INPUTS!$B$6-0.85*INPUTS!$B$5)))</f>
        <v>-0.0480382802787174</v>
      </c>
      <c r="K61" s="12" t="n">
        <f aca="false">IF(TRIB!K61="","",(PU!K61/(INPUTS!$B$8*INPUTS!$B$7)-0.85*INPUTS!$B$5*ARCH_AG!K61)/(ARCH_AG!K61*(INPUTS!$B$6-0.85*INPUTS!$B$5)))</f>
        <v>-0.0419242951416636</v>
      </c>
      <c r="L61" s="12" t="n">
        <f aca="false">IF(TRIB!L61="","",(PU!L61/(INPUTS!$B$8*INPUTS!$B$7)-0.85*INPUTS!$B$5*ARCH_AG!L61)/(ARCH_AG!L61*(INPUTS!$B$6-0.85*INPUTS!$B$5)))</f>
        <v>-0.0362644306069763</v>
      </c>
      <c r="M61" s="12" t="n">
        <f aca="false">IF(TRIB!M61="","",(PU!M61/(INPUTS!$B$8*INPUTS!$B$7)-0.85*INPUTS!$B$5*ARCH_AG!M61)/(ARCH_AG!M61*(INPUTS!$B$6-0.85*INPUTS!$B$5)))</f>
        <v>-0.0306792801120809</v>
      </c>
      <c r="N61" s="12" t="n">
        <f aca="false">IF(TRIB!N61="","",(PU!N61/(INPUTS!$B$8*INPUTS!$B$7)-0.85*INPUTS!$B$5*ARCH_AG!N61)/(ARCH_AG!N61*(INPUTS!$B$6-0.85*INPUTS!$B$5)))</f>
        <v>-0.025132804450055</v>
      </c>
      <c r="O61" s="12" t="n">
        <f aca="false">IF(TRIB!O61="","",(PU!O61/(INPUTS!$B$8*INPUTS!$B$7)-0.85*INPUTS!$B$5*ARCH_AG!O61)/(ARCH_AG!O61*(INPUTS!$B$6-0.85*INPUTS!$B$5)))</f>
        <v>-0.0196110441375128</v>
      </c>
      <c r="P61" s="12" t="n">
        <f aca="false">IF(TRIB!P61="","",(PU!P61/(INPUTS!$B$8*INPUTS!$B$7)-0.85*INPUTS!$B$5*ARCH_AG!P61)/(ARCH_AG!P61*(INPUTS!$B$6-0.85*INPUTS!$B$5)))</f>
        <v>-0.0140411610448446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12" t="n">
        <f aca="false">IF(TRIB!E62="","",(PU!E62/(INPUTS!$B$8*INPUTS!$B$7)-0.85*INPUTS!$B$5*ARCH_AG!E62)/(ARCH_AG!E62*(INPUTS!$B$6-0.85*INPUTS!$B$5)))</f>
        <v>-0.0863701985628215</v>
      </c>
      <c r="F62" s="12" t="n">
        <f aca="false">IF(TRIB!F62="","",(PU!F62/(INPUTS!$B$8*INPUTS!$B$7)-0.85*INPUTS!$B$5*ARCH_AG!F62)/(ARCH_AG!F62*(INPUTS!$B$6-0.85*INPUTS!$B$5)))</f>
        <v>-0.0765841879229857</v>
      </c>
      <c r="G62" s="12" t="n">
        <f aca="false">IF(TRIB!G62="","",(PU!G62/(INPUTS!$B$8*INPUTS!$B$7)-0.85*INPUTS!$B$5*ARCH_AG!G62)/(ARCH_AG!G62*(INPUTS!$B$6-0.85*INPUTS!$B$5)))</f>
        <v>-0.0677226853797892</v>
      </c>
      <c r="H62" s="12" t="n">
        <f aca="false">IF(TRIB!H62="","",(PU!H62/(INPUTS!$B$8*INPUTS!$B$7)-0.85*INPUTS!$B$5*ARCH_AG!H62)/(ARCH_AG!H62*(INPUTS!$B$6-0.85*INPUTS!$B$5)))</f>
        <v>-0.0606644670852321</v>
      </c>
      <c r="I62" s="12" t="n">
        <f aca="false">IF(TRIB!I62="","",(PU!I62/(INPUTS!$B$8*INPUTS!$B$7)-0.85*INPUTS!$B$5*ARCH_AG!I62)/(ARCH_AG!I62*(INPUTS!$B$6-0.85*INPUTS!$B$5)))</f>
        <v>-0.0543303981487042</v>
      </c>
      <c r="J62" s="12" t="n">
        <f aca="false">IF(TRIB!J62="","",(PU!J62/(INPUTS!$B$8*INPUTS!$B$7)-0.85*INPUTS!$B$5*ARCH_AG!J62)/(ARCH_AG!J62*(INPUTS!$B$6-0.85*INPUTS!$B$5)))</f>
        <v>-0.0476342545331616</v>
      </c>
      <c r="K62" s="12" t="n">
        <f aca="false">IF(TRIB!K62="","",(PU!K62/(INPUTS!$B$8*INPUTS!$B$7)-0.85*INPUTS!$B$5*ARCH_AG!K62)/(ARCH_AG!K62*(INPUTS!$B$6-0.85*INPUTS!$B$5)))</f>
        <v>-0.0415806707911292</v>
      </c>
      <c r="L62" s="12" t="n">
        <f aca="false">IF(TRIB!L62="","",(PU!L62/(INPUTS!$B$8*INPUTS!$B$7)-0.85*INPUTS!$B$5*ARCH_AG!L62)/(ARCH_AG!L62*(INPUTS!$B$6-0.85*INPUTS!$B$5)))</f>
        <v>-0.03508267840803</v>
      </c>
      <c r="M62" s="12" t="n">
        <f aca="false">IF(TRIB!M62="","",(PU!M62/(INPUTS!$B$8*INPUTS!$B$7)-0.85*INPUTS!$B$5*ARCH_AG!M62)/(ARCH_AG!M62*(INPUTS!$B$6-0.85*INPUTS!$B$5)))</f>
        <v>-0.0286781025260188</v>
      </c>
      <c r="N62" s="12" t="n">
        <f aca="false">IF(TRIB!N62="","",(PU!N62/(INPUTS!$B$8*INPUTS!$B$7)-0.85*INPUTS!$B$5*ARCH_AG!N62)/(ARCH_AG!N62*(INPUTS!$B$6-0.85*INPUTS!$B$5)))</f>
        <v>-0.0223192399028026</v>
      </c>
      <c r="O62" s="12" t="n">
        <f aca="false">IF(TRIB!O62="","",(PU!O62/(INPUTS!$B$8*INPUTS!$B$7)-0.85*INPUTS!$B$5*ARCH_AG!O62)/(ARCH_AG!O62*(INPUTS!$B$6-0.85*INPUTS!$B$5)))</f>
        <v>-0.0159889094888185</v>
      </c>
      <c r="P62" s="12" t="n">
        <f aca="false">IF(TRIB!P62="","",(PU!P62/(INPUTS!$B$8*INPUTS!$B$7)-0.85*INPUTS!$B$5*ARCH_AG!P62)/(ARCH_AG!P62*(INPUTS!$B$6-0.85*INPUTS!$B$5)))</f>
        <v>-0.00961289978994671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12" t="n">
        <f aca="false">IF(TRIB!E63="","",(PU!E63/(INPUTS!$B$8*INPUTS!$B$7)-0.85*INPUTS!$B$5*ARCH_AG!E63)/(ARCH_AG!E63*(INPUTS!$B$6-0.85*INPUTS!$B$5)))</f>
        <v>-0.0882567455313357</v>
      </c>
      <c r="F63" s="12" t="n">
        <f aca="false">IF(TRIB!F63="","",(PU!F63/(INPUTS!$B$8*INPUTS!$B$7)-0.85*INPUTS!$B$5*ARCH_AG!F63)/(ARCH_AG!F63*(INPUTS!$B$6-0.85*INPUTS!$B$5)))</f>
        <v>-0.0813603265789058</v>
      </c>
      <c r="G63" s="12" t="n">
        <f aca="false">IF(TRIB!G63="","",(PU!G63/(INPUTS!$B$8*INPUTS!$B$7)-0.85*INPUTS!$B$5*ARCH_AG!G63)/(ARCH_AG!G63*(INPUTS!$B$6-0.85*INPUTS!$B$5)))</f>
        <v>-0.0749541707533511</v>
      </c>
      <c r="H63" s="12" t="n">
        <f aca="false">IF(TRIB!H63="","",(PU!H63/(INPUTS!$B$8*INPUTS!$B$7)-0.85*INPUTS!$B$5*ARCH_AG!H63)/(ARCH_AG!H63*(INPUTS!$B$6-0.85*INPUTS!$B$5)))</f>
        <v>-0.0690524563475383</v>
      </c>
      <c r="I63" s="12" t="n">
        <f aca="false">IF(TRIB!I63="","",(PU!I63/(INPUTS!$B$8*INPUTS!$B$7)-0.85*INPUTS!$B$5*ARCH_AG!I63)/(ARCH_AG!I63*(INPUTS!$B$6-0.85*INPUTS!$B$5)))</f>
        <v>-0.0637592409108802</v>
      </c>
      <c r="J63" s="12" t="n">
        <f aca="false">IF(TRIB!J63="","",(PU!J63/(INPUTS!$B$8*INPUTS!$B$7)-0.85*INPUTS!$B$5*ARCH_AG!J63)/(ARCH_AG!J63*(INPUTS!$B$6-0.85*INPUTS!$B$5)))</f>
        <v>-0.0581617759896448</v>
      </c>
      <c r="K63" s="12" t="n">
        <f aca="false">IF(TRIB!K63="","",(PU!K63/(INPUTS!$B$8*INPUTS!$B$7)-0.85*INPUTS!$B$5*ARCH_AG!K63)/(ARCH_AG!K63*(INPUTS!$B$6-0.85*INPUTS!$B$5)))</f>
        <v>-0.0527279277253966</v>
      </c>
      <c r="L63" s="12" t="n">
        <f aca="false">IF(TRIB!L63="","",(PU!L63/(INPUTS!$B$8*INPUTS!$B$7)-0.85*INPUTS!$B$5*ARCH_AG!L63)/(ARCH_AG!L63*(INPUTS!$B$6-0.85*INPUTS!$B$5)))</f>
        <v>-0.0507509842393802</v>
      </c>
      <c r="M63" s="12" t="n">
        <f aca="false">IF(TRIB!M63="","",(PU!M63/(INPUTS!$B$8*INPUTS!$B$7)-0.85*INPUTS!$B$5*ARCH_AG!M63)/(ARCH_AG!M63*(INPUTS!$B$6-0.85*INPUTS!$B$5)))</f>
        <v>-0.0489397801048491</v>
      </c>
      <c r="N63" s="12" t="n">
        <f aca="false">IF(TRIB!N63="","",(PU!N63/(INPUTS!$B$8*INPUTS!$B$7)-0.85*INPUTS!$B$5*ARCH_AG!N63)/(ARCH_AG!N63*(INPUTS!$B$6-0.85*INPUTS!$B$5)))</f>
        <v>-0.047137146405121</v>
      </c>
      <c r="O63" s="12" t="n">
        <f aca="false">IF(TRIB!O63="","",(PU!O63/(INPUTS!$B$8*INPUTS!$B$7)-0.85*INPUTS!$B$5*ARCH_AG!O63)/(ARCH_AG!O63*(INPUTS!$B$6-0.85*INPUTS!$B$5)))</f>
        <v>-0.0453411812356458</v>
      </c>
      <c r="P63" s="12" t="n">
        <f aca="false">IF(TRIB!P63="","",(PU!P63/(INPUTS!$B$8*INPUTS!$B$7)-0.85*INPUTS!$B$5*ARCH_AG!P63)/(ARCH_AG!P63*(INPUTS!$B$6-0.85*INPUTS!$B$5)))</f>
        <v>-0.0434849178795984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12" t="n">
        <f aca="false">IF(TRIB!E64="","",(PU!E64/(INPUTS!$B$8*INPUTS!$B$7)-0.85*INPUTS!$B$5*ARCH_AG!E64)/(ARCH_AG!E64*(INPUTS!$B$6-0.85*INPUTS!$B$5)))</f>
        <v>-0.0799136541964411</v>
      </c>
      <c r="F64" s="12" t="n">
        <f aca="false">IF(TRIB!F64="","",(PU!F64/(INPUTS!$B$8*INPUTS!$B$7)-0.85*INPUTS!$B$5*ARCH_AG!F64)/(ARCH_AG!F64*(INPUTS!$B$6-0.85*INPUTS!$B$5)))</f>
        <v>-0.0608935438170411</v>
      </c>
      <c r="G64" s="12" t="n">
        <f aca="false">IF(TRIB!G64="","",(PU!G64/(INPUTS!$B$8*INPUTS!$B$7)-0.85*INPUTS!$B$5*ARCH_AG!G64)/(ARCH_AG!G64*(INPUTS!$B$6-0.85*INPUTS!$B$5)))</f>
        <v>-0.0479217263711799</v>
      </c>
      <c r="H64" s="12" t="n">
        <f aca="false">IF(TRIB!H64="","",(PU!H64/(INPUTS!$B$8*INPUTS!$B$7)-0.85*INPUTS!$B$5*ARCH_AG!H64)/(ARCH_AG!H64*(INPUTS!$B$6-0.85*INPUTS!$B$5)))</f>
        <v>-0.0392204941385269</v>
      </c>
      <c r="I64" s="12" t="n">
        <f aca="false">IF(TRIB!I64="","",(PU!I64/(INPUTS!$B$8*INPUTS!$B$7)-0.85*INPUTS!$B$5*ARCH_AG!I64)/(ARCH_AG!I64*(INPUTS!$B$6-0.85*INPUTS!$B$5)))</f>
        <v>-0.0314782705151558</v>
      </c>
      <c r="J64" s="12" t="n">
        <f aca="false">IF(TRIB!J64="","",(PU!J64/(INPUTS!$B$8*INPUTS!$B$7)-0.85*INPUTS!$B$5*ARCH_AG!J64)/(ARCH_AG!J64*(INPUTS!$B$6-0.85*INPUTS!$B$5)))</f>
        <v>-0.0230549328226924</v>
      </c>
      <c r="K64" s="12" t="str">
        <f aca="false">IF(TRIB!K64="","",(PU!K64/(INPUTS!$B$8*INPUTS!$B$7)-0.85*INPUTS!$B$5*ARCH_AG!K64)/(ARCH_AG!K64*(INPUTS!$B$6-0.85*INPUTS!$B$5)))</f>
        <v/>
      </c>
      <c r="L64" s="12" t="str">
        <f aca="false">IF(TRIB!L64="","",(PU!L64/(INPUTS!$B$8*INPUTS!$B$7)-0.85*INPUTS!$B$5*ARCH_AG!L64)/(ARCH_AG!L64*(INPUTS!$B$6-0.85*INPUTS!$B$5)))</f>
        <v/>
      </c>
      <c r="M64" s="12" t="str">
        <f aca="false">IF(TRIB!M64="","",(PU!M64/(INPUTS!$B$8*INPUTS!$B$7)-0.85*INPUTS!$B$5*ARCH_AG!M64)/(ARCH_AG!M64*(INPUTS!$B$6-0.85*INPUTS!$B$5)))</f>
        <v/>
      </c>
      <c r="N64" s="12" t="str">
        <f aca="false">IF(TRIB!N64="","",(PU!N64/(INPUTS!$B$8*INPUTS!$B$7)-0.85*INPUTS!$B$5*ARCH_AG!N64)/(ARCH_AG!N64*(INPUTS!$B$6-0.85*INPUTS!$B$5)))</f>
        <v/>
      </c>
      <c r="O64" s="12" t="str">
        <f aca="false">IF(TRIB!O64="","",(PU!O64/(INPUTS!$B$8*INPUTS!$B$7)-0.85*INPUTS!$B$5*ARCH_AG!O64)/(ARCH_AG!O64*(INPUTS!$B$6-0.85*INPUTS!$B$5)))</f>
        <v/>
      </c>
      <c r="P64" s="12" t="str">
        <f aca="false">IF(TRIB!P64="","",(PU!P64/(INPUTS!$B$8*INPUTS!$B$7)-0.85*INPUTS!$B$5*ARCH_AG!P64)/(ARCH_AG!P64*(INPUTS!$B$6-0.85*INPUTS!$B$5)))</f>
        <v/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12" t="n">
        <f aca="false">IF(TRIB!E65="","",(PU!E65/(INPUTS!$B$8*INPUTS!$B$7)-0.85*INPUTS!$B$5*ARCH_AG!E65)/(ARCH_AG!E65*(INPUTS!$B$6-0.85*INPUTS!$B$5)))</f>
        <v>-0.0824995246101803</v>
      </c>
      <c r="F65" s="12" t="n">
        <f aca="false">IF(TRIB!F65="","",(PU!F65/(INPUTS!$B$8*INPUTS!$B$7)-0.85*INPUTS!$B$5*ARCH_AG!F65)/(ARCH_AG!F65*(INPUTS!$B$6-0.85*INPUTS!$B$5)))</f>
        <v>-0.06730296621007</v>
      </c>
      <c r="G65" s="12" t="n">
        <f aca="false">IF(TRIB!G65="","",(PU!G65/(INPUTS!$B$8*INPUTS!$B$7)-0.85*INPUTS!$B$5*ARCH_AG!G65)/(ARCH_AG!G65*(INPUTS!$B$6-0.85*INPUTS!$B$5)))</f>
        <v>-0.0540758004897349</v>
      </c>
      <c r="H65" s="12" t="n">
        <f aca="false">IF(TRIB!H65="","",(PU!H65/(INPUTS!$B$8*INPUTS!$B$7)-0.85*INPUTS!$B$5*ARCH_AG!H65)/(ARCH_AG!H65*(INPUTS!$B$6-0.85*INPUTS!$B$5)))</f>
        <v>-0.0451910844670407</v>
      </c>
      <c r="I65" s="12" t="n">
        <f aca="false">IF(TRIB!I65="","",(PU!I65/(INPUTS!$B$8*INPUTS!$B$7)-0.85*INPUTS!$B$5*ARCH_AG!I65)/(ARCH_AG!I65*(INPUTS!$B$6-0.85*INPUTS!$B$5)))</f>
        <v>-0.0372867278946514</v>
      </c>
      <c r="J65" s="12" t="n">
        <f aca="false">IF(TRIB!J65="","",(PU!J65/(INPUTS!$B$8*INPUTS!$B$7)-0.85*INPUTS!$B$5*ARCH_AG!J65)/(ARCH_AG!J65*(INPUTS!$B$6-0.85*INPUTS!$B$5)))</f>
        <v>-0.0286329790428151</v>
      </c>
      <c r="K65" s="12" t="str">
        <f aca="false">IF(TRIB!K65="","",(PU!K65/(INPUTS!$B$8*INPUTS!$B$7)-0.85*INPUTS!$B$5*ARCH_AG!K65)/(ARCH_AG!K65*(INPUTS!$B$6-0.85*INPUTS!$B$5)))</f>
        <v/>
      </c>
      <c r="L65" s="12" t="str">
        <f aca="false">IF(TRIB!L65="","",(PU!L65/(INPUTS!$B$8*INPUTS!$B$7)-0.85*INPUTS!$B$5*ARCH_AG!L65)/(ARCH_AG!L65*(INPUTS!$B$6-0.85*INPUTS!$B$5)))</f>
        <v/>
      </c>
      <c r="M65" s="12" t="str">
        <f aca="false">IF(TRIB!M65="","",(PU!M65/(INPUTS!$B$8*INPUTS!$B$7)-0.85*INPUTS!$B$5*ARCH_AG!M65)/(ARCH_AG!M65*(INPUTS!$B$6-0.85*INPUTS!$B$5)))</f>
        <v/>
      </c>
      <c r="N65" s="12" t="str">
        <f aca="false">IF(TRIB!N65="","",(PU!N65/(INPUTS!$B$8*INPUTS!$B$7)-0.85*INPUTS!$B$5*ARCH_AG!N65)/(ARCH_AG!N65*(INPUTS!$B$6-0.85*INPUTS!$B$5)))</f>
        <v/>
      </c>
      <c r="O65" s="12" t="str">
        <f aca="false">IF(TRIB!O65="","",(PU!O65/(INPUTS!$B$8*INPUTS!$B$7)-0.85*INPUTS!$B$5*ARCH_AG!O65)/(ARCH_AG!O65*(INPUTS!$B$6-0.85*INPUTS!$B$5)))</f>
        <v/>
      </c>
      <c r="P65" s="12" t="str">
        <f aca="false">IF(TRIB!P65="","",(PU!P65/(INPUTS!$B$8*INPUTS!$B$7)-0.85*INPUTS!$B$5*ARCH_AG!P65)/(ARCH_AG!P65*(INPUTS!$B$6-0.85*INPUTS!$B$5)))</f>
        <v/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12" t="n">
        <f aca="false">IF(TRIB!E66="","",(PU!E66/(INPUTS!$B$8*INPUTS!$B$7)-0.85*INPUTS!$B$5*ARCH_AG!E66)/(ARCH_AG!E66*(INPUTS!$B$6-0.85*INPUTS!$B$5)))</f>
        <v>-0.0859473518284994</v>
      </c>
      <c r="F66" s="12" t="n">
        <f aca="false">IF(TRIB!F66="","",(PU!F66/(INPUTS!$B$8*INPUTS!$B$7)-0.85*INPUTS!$B$5*ARCH_AG!F66)/(ARCH_AG!F66*(INPUTS!$B$6-0.85*INPUTS!$B$5)))</f>
        <v>-0.0758488627341086</v>
      </c>
      <c r="G66" s="12" t="n">
        <f aca="false">IF(TRIB!G66="","",(PU!G66/(INPUTS!$B$8*INPUTS!$B$7)-0.85*INPUTS!$B$5*ARCH_AG!G66)/(ARCH_AG!G66*(INPUTS!$B$6-0.85*INPUTS!$B$5)))</f>
        <v>-0.067519741187774</v>
      </c>
      <c r="H66" s="12" t="n">
        <f aca="false">IF(TRIB!H66="","",(PU!H66/(INPUTS!$B$8*INPUTS!$B$7)-0.85*INPUTS!$B$5*ARCH_AG!H66)/(ARCH_AG!H66*(INPUTS!$B$6-0.85*INPUTS!$B$5)))</f>
        <v>-0.0617542495957796</v>
      </c>
      <c r="I66" s="12" t="n">
        <f aca="false">IF(TRIB!I66="","",(PU!I66/(INPUTS!$B$8*INPUTS!$B$7)-0.85*INPUTS!$B$5*ARCH_AG!I66)/(ARCH_AG!I66*(INPUTS!$B$6-0.85*INPUTS!$B$5)))</f>
        <v>-0.0566061531566996</v>
      </c>
      <c r="J66" s="12" t="n">
        <f aca="false">IF(TRIB!J66="","",(PU!J66/(INPUTS!$B$8*INPUTS!$B$7)-0.85*INPUTS!$B$5*ARCH_AG!J66)/(ARCH_AG!J66*(INPUTS!$B$6-0.85*INPUTS!$B$5)))</f>
        <v>-0.0454597492165798</v>
      </c>
      <c r="K66" s="12" t="str">
        <f aca="false">IF(TRIB!K66="","",(PU!K66/(INPUTS!$B$8*INPUTS!$B$7)-0.85*INPUTS!$B$5*ARCH_AG!K66)/(ARCH_AG!K66*(INPUTS!$B$6-0.85*INPUTS!$B$5)))</f>
        <v/>
      </c>
      <c r="L66" s="12" t="str">
        <f aca="false">IF(TRIB!L66="","",(PU!L66/(INPUTS!$B$8*INPUTS!$B$7)-0.85*INPUTS!$B$5*ARCH_AG!L66)/(ARCH_AG!L66*(INPUTS!$B$6-0.85*INPUTS!$B$5)))</f>
        <v/>
      </c>
      <c r="M66" s="12" t="str">
        <f aca="false">IF(TRIB!M66="","",(PU!M66/(INPUTS!$B$8*INPUTS!$B$7)-0.85*INPUTS!$B$5*ARCH_AG!M66)/(ARCH_AG!M66*(INPUTS!$B$6-0.85*INPUTS!$B$5)))</f>
        <v/>
      </c>
      <c r="N66" s="12" t="str">
        <f aca="false">IF(TRIB!N66="","",(PU!N66/(INPUTS!$B$8*INPUTS!$B$7)-0.85*INPUTS!$B$5*ARCH_AG!N66)/(ARCH_AG!N66*(INPUTS!$B$6-0.85*INPUTS!$B$5)))</f>
        <v/>
      </c>
      <c r="O66" s="12" t="str">
        <f aca="false">IF(TRIB!O66="","",(PU!O66/(INPUTS!$B$8*INPUTS!$B$7)-0.85*INPUTS!$B$5*ARCH_AG!O66)/(ARCH_AG!O66*(INPUTS!$B$6-0.85*INPUTS!$B$5)))</f>
        <v/>
      </c>
      <c r="P66" s="12" t="str">
        <f aca="false">IF(TRIB!P66="","",(PU!P66/(INPUTS!$B$8*INPUTS!$B$7)-0.85*INPUTS!$B$5*ARCH_AG!P66)/(ARCH_AG!P66*(INPUTS!$B$6-0.85*INPUTS!$B$5)))</f>
        <v/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12" t="n">
        <f aca="false">IF(TRIB!E67="","",(PU!E67/(INPUTS!$B$8*INPUTS!$B$7)-0.85*INPUTS!$B$5*ARCH_AG!E67)/(ARCH_AG!E67*(INPUTS!$B$6-0.85*INPUTS!$B$5)))</f>
        <v>-0.0832151113913409</v>
      </c>
      <c r="F67" s="12" t="n">
        <f aca="false">IF(TRIB!F67="","",(PU!F67/(INPUTS!$B$8*INPUTS!$B$7)-0.85*INPUTS!$B$5*ARCH_AG!F67)/(ARCH_AG!F67*(INPUTS!$B$6-0.85*INPUTS!$B$5)))</f>
        <v>-0.0690766428471346</v>
      </c>
      <c r="G67" s="12" t="n">
        <f aca="false">IF(TRIB!G67="","",(PU!G67/(INPUTS!$B$8*INPUTS!$B$7)-0.85*INPUTS!$B$5*ARCH_AG!G67)/(ARCH_AG!G67*(INPUTS!$B$6-0.85*INPUTS!$B$5)))</f>
        <v>-0.0592850720924491</v>
      </c>
      <c r="H67" s="12" t="n">
        <f aca="false">IF(TRIB!H67="","",(PU!H67/(INPUTS!$B$8*INPUTS!$B$7)-0.85*INPUTS!$B$5*ARCH_AG!H67)/(ARCH_AG!H67*(INPUTS!$B$6-0.85*INPUTS!$B$5)))</f>
        <v>-0.0526786131294328</v>
      </c>
      <c r="I67" s="12" t="n">
        <f aca="false">IF(TRIB!I67="","",(PU!I67/(INPUTS!$B$8*INPUTS!$B$7)-0.85*INPUTS!$B$5*ARCH_AG!I67)/(ARCH_AG!I67*(INPUTS!$B$6-0.85*INPUTS!$B$5)))</f>
        <v>-0.046787407340686</v>
      </c>
      <c r="J67" s="12" t="n">
        <f aca="false">IF(TRIB!J67="","",(PU!J67/(INPUTS!$B$8*INPUTS!$B$7)-0.85*INPUTS!$B$5*ARCH_AG!J67)/(ARCH_AG!J67*(INPUTS!$B$6-0.85*INPUTS!$B$5)))</f>
        <v>-0.0406249791495693</v>
      </c>
      <c r="K67" s="12" t="str">
        <f aca="false">IF(TRIB!K67="","",(PU!K67/(INPUTS!$B$8*INPUTS!$B$7)-0.85*INPUTS!$B$5*ARCH_AG!K67)/(ARCH_AG!K67*(INPUTS!$B$6-0.85*INPUTS!$B$5)))</f>
        <v/>
      </c>
      <c r="L67" s="12" t="str">
        <f aca="false">IF(TRIB!L67="","",(PU!L67/(INPUTS!$B$8*INPUTS!$B$7)-0.85*INPUTS!$B$5*ARCH_AG!L67)/(ARCH_AG!L67*(INPUTS!$B$6-0.85*INPUTS!$B$5)))</f>
        <v/>
      </c>
      <c r="M67" s="12" t="str">
        <f aca="false">IF(TRIB!M67="","",(PU!M67/(INPUTS!$B$8*INPUTS!$B$7)-0.85*INPUTS!$B$5*ARCH_AG!M67)/(ARCH_AG!M67*(INPUTS!$B$6-0.85*INPUTS!$B$5)))</f>
        <v/>
      </c>
      <c r="N67" s="12" t="str">
        <f aca="false">IF(TRIB!N67="","",(PU!N67/(INPUTS!$B$8*INPUTS!$B$7)-0.85*INPUTS!$B$5*ARCH_AG!N67)/(ARCH_AG!N67*(INPUTS!$B$6-0.85*INPUTS!$B$5)))</f>
        <v/>
      </c>
      <c r="O67" s="12" t="str">
        <f aca="false">IF(TRIB!O67="","",(PU!O67/(INPUTS!$B$8*INPUTS!$B$7)-0.85*INPUTS!$B$5*ARCH_AG!O67)/(ARCH_AG!O67*(INPUTS!$B$6-0.85*INPUTS!$B$5)))</f>
        <v/>
      </c>
      <c r="P67" s="12" t="str">
        <f aca="false">IF(TRIB!P67="","",(PU!P67/(INPUTS!$B$8*INPUTS!$B$7)-0.85*INPUTS!$B$5*ARCH_AG!P67)/(ARCH_AG!P67*(INPUTS!$B$6-0.85*INPUTS!$B$5)))</f>
        <v/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12" t="n">
        <f aca="false">IF(TRIB!E68="","",(PU!E68/(INPUTS!$B$8*INPUTS!$B$7)-0.85*INPUTS!$B$5*ARCH_AG!E68)/(ARCH_AG!E68*(INPUTS!$B$6-0.85*INPUTS!$B$5)))</f>
        <v>-0.080434080946376</v>
      </c>
      <c r="F68" s="12" t="n">
        <f aca="false">IF(TRIB!F68="","",(PU!F68/(INPUTS!$B$8*INPUTS!$B$7)-0.85*INPUTS!$B$5*ARCH_AG!F68)/(ARCH_AG!F68*(INPUTS!$B$6-0.85*INPUTS!$B$5)))</f>
        <v>-0.062183490462179</v>
      </c>
      <c r="G68" s="12" t="n">
        <f aca="false">IF(TRIB!G68="","",(PU!G68/(INPUTS!$B$8*INPUTS!$B$7)-0.85*INPUTS!$B$5*ARCH_AG!G68)/(ARCH_AG!G68*(INPUTS!$B$6-0.85*INPUTS!$B$5)))</f>
        <v>-0.0496527291267728</v>
      </c>
      <c r="H68" s="12" t="n">
        <f aca="false">IF(TRIB!H68="","",(PU!H68/(INPUTS!$B$8*INPUTS!$B$7)-0.85*INPUTS!$B$5*ARCH_AG!H68)/(ARCH_AG!H68*(INPUTS!$B$6-0.85*INPUTS!$B$5)))</f>
        <v>-0.0412420128950183</v>
      </c>
      <c r="I68" s="12" t="n">
        <f aca="false">IF(TRIB!I68="","",(PU!I68/(INPUTS!$B$8*INPUTS!$B$7)-0.85*INPUTS!$B$5*ARCH_AG!I68)/(ARCH_AG!I68*(INPUTS!$B$6-0.85*INPUTS!$B$5)))</f>
        <v>-0.0337564997742593</v>
      </c>
      <c r="J68" s="12" t="n">
        <f aca="false">IF(TRIB!J68="","",(PU!J68/(INPUTS!$B$8*INPUTS!$B$7)-0.85*INPUTS!$B$5*ARCH_AG!J68)/(ARCH_AG!J68*(INPUTS!$B$6-0.85*INPUTS!$B$5)))</f>
        <v>-0.0222082107328009</v>
      </c>
      <c r="K68" s="12" t="str">
        <f aca="false">IF(TRIB!K68="","",(PU!K68/(INPUTS!$B$8*INPUTS!$B$7)-0.85*INPUTS!$B$5*ARCH_AG!K68)/(ARCH_AG!K68*(INPUTS!$B$6-0.85*INPUTS!$B$5)))</f>
        <v/>
      </c>
      <c r="L68" s="12" t="str">
        <f aca="false">IF(TRIB!L68="","",(PU!L68/(INPUTS!$B$8*INPUTS!$B$7)-0.85*INPUTS!$B$5*ARCH_AG!L68)/(ARCH_AG!L68*(INPUTS!$B$6-0.85*INPUTS!$B$5)))</f>
        <v/>
      </c>
      <c r="M68" s="12" t="str">
        <f aca="false">IF(TRIB!M68="","",(PU!M68/(INPUTS!$B$8*INPUTS!$B$7)-0.85*INPUTS!$B$5*ARCH_AG!M68)/(ARCH_AG!M68*(INPUTS!$B$6-0.85*INPUTS!$B$5)))</f>
        <v/>
      </c>
      <c r="N68" s="12" t="str">
        <f aca="false">IF(TRIB!N68="","",(PU!N68/(INPUTS!$B$8*INPUTS!$B$7)-0.85*INPUTS!$B$5*ARCH_AG!N68)/(ARCH_AG!N68*(INPUTS!$B$6-0.85*INPUTS!$B$5)))</f>
        <v/>
      </c>
      <c r="O68" s="12" t="str">
        <f aca="false">IF(TRIB!O68="","",(PU!O68/(INPUTS!$B$8*INPUTS!$B$7)-0.85*INPUTS!$B$5*ARCH_AG!O68)/(ARCH_AG!O68*(INPUTS!$B$6-0.85*INPUTS!$B$5)))</f>
        <v/>
      </c>
      <c r="P68" s="12" t="str">
        <f aca="false">IF(TRIB!P68="","",(PU!P68/(INPUTS!$B$8*INPUTS!$B$7)-0.85*INPUTS!$B$5*ARCH_AG!P68)/(ARCH_AG!P68*(INPUTS!$B$6-0.85*INPUTS!$B$5)))</f>
        <v/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12" t="n">
        <f aca="false">IF(TRIB!E69="","",(PU!E69/(INPUTS!$B$8*INPUTS!$B$7)-0.85*INPUTS!$B$5*ARCH_AG!E69)/(ARCH_AG!E69*(INPUTS!$B$6-0.85*INPUTS!$B$5)))</f>
        <v>-0.0802389209151504</v>
      </c>
      <c r="F69" s="12" t="n">
        <f aca="false">IF(TRIB!F69="","",(PU!F69/(INPUTS!$B$8*INPUTS!$B$7)-0.85*INPUTS!$B$5*ARCH_AG!F69)/(ARCH_AG!F69*(INPUTS!$B$6-0.85*INPUTS!$B$5)))</f>
        <v>-0.0616997604702523</v>
      </c>
      <c r="G69" s="12" t="n">
        <f aca="false">IF(TRIB!G69="","",(PU!G69/(INPUTS!$B$8*INPUTS!$B$7)-0.85*INPUTS!$B$5*ARCH_AG!G69)/(ARCH_AG!G69*(INPUTS!$B$6-0.85*INPUTS!$B$5)))</f>
        <v>-0.048356527352429</v>
      </c>
      <c r="H69" s="12" t="n">
        <f aca="false">IF(TRIB!H69="","",(PU!H69/(INPUTS!$B$8*INPUTS!$B$7)-0.85*INPUTS!$B$5*ARCH_AG!H69)/(ARCH_AG!H69*(INPUTS!$B$6-0.85*INPUTS!$B$5)))</f>
        <v>-0.0394106500663878</v>
      </c>
      <c r="I69" s="12" t="n">
        <f aca="false">IF(TRIB!I69="","",(PU!I69/(INPUTS!$B$8*INPUTS!$B$7)-0.85*INPUTS!$B$5*ARCH_AG!I69)/(ARCH_AG!I69*(INPUTS!$B$6-0.85*INPUTS!$B$5)))</f>
        <v>-0.031452249177659</v>
      </c>
      <c r="J69" s="12" t="n">
        <f aca="false">IF(TRIB!J69="","",(PU!J69/(INPUTS!$B$8*INPUTS!$B$7)-0.85*INPUTS!$B$5*ARCH_AG!J69)/(ARCH_AG!J69*(INPUTS!$B$6-0.85*INPUTS!$B$5)))</f>
        <v>-0.020091169203191</v>
      </c>
      <c r="K69" s="12" t="str">
        <f aca="false">IF(TRIB!K69="","",(PU!K69/(INPUTS!$B$8*INPUTS!$B$7)-0.85*INPUTS!$B$5*ARCH_AG!K69)/(ARCH_AG!K69*(INPUTS!$B$6-0.85*INPUTS!$B$5)))</f>
        <v/>
      </c>
      <c r="L69" s="12" t="str">
        <f aca="false">IF(TRIB!L69="","",(PU!L69/(INPUTS!$B$8*INPUTS!$B$7)-0.85*INPUTS!$B$5*ARCH_AG!L69)/(ARCH_AG!L69*(INPUTS!$B$6-0.85*INPUTS!$B$5)))</f>
        <v/>
      </c>
      <c r="M69" s="12" t="str">
        <f aca="false">IF(TRIB!M69="","",(PU!M69/(INPUTS!$B$8*INPUTS!$B$7)-0.85*INPUTS!$B$5*ARCH_AG!M69)/(ARCH_AG!M69*(INPUTS!$B$6-0.85*INPUTS!$B$5)))</f>
        <v/>
      </c>
      <c r="N69" s="12" t="str">
        <f aca="false">IF(TRIB!N69="","",(PU!N69/(INPUTS!$B$8*INPUTS!$B$7)-0.85*INPUTS!$B$5*ARCH_AG!N69)/(ARCH_AG!N69*(INPUTS!$B$6-0.85*INPUTS!$B$5)))</f>
        <v/>
      </c>
      <c r="O69" s="12" t="str">
        <f aca="false">IF(TRIB!O69="","",(PU!O69/(INPUTS!$B$8*INPUTS!$B$7)-0.85*INPUTS!$B$5*ARCH_AG!O69)/(ARCH_AG!O69*(INPUTS!$B$6-0.85*INPUTS!$B$5)))</f>
        <v/>
      </c>
      <c r="P69" s="12" t="str">
        <f aca="false">IF(TRIB!P69="","",(PU!P69/(INPUTS!$B$8*INPUTS!$B$7)-0.85*INPUTS!$B$5*ARCH_AG!P69)/(ARCH_AG!P69*(INPUTS!$B$6-0.85*INPUTS!$B$5)))</f>
        <v/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12" t="n">
        <f aca="false">IF(TRIB!E70="","",(PU!E70/(INPUTS!$B$8*INPUTS!$B$7)-0.85*INPUTS!$B$5*ARCH_AG!E70)/(ARCH_AG!E70*(INPUTS!$B$6-0.85*INPUTS!$B$5)))</f>
        <v>-0.0863701985628215</v>
      </c>
      <c r="F70" s="12" t="n">
        <f aca="false">IF(TRIB!F70="","",(PU!F70/(INPUTS!$B$8*INPUTS!$B$7)-0.85*INPUTS!$B$5*ARCH_AG!F70)/(ARCH_AG!F70*(INPUTS!$B$6-0.85*INPUTS!$B$5)))</f>
        <v>-0.0768969443832832</v>
      </c>
      <c r="G70" s="12" t="n">
        <f aca="false">IF(TRIB!G70="","",(PU!G70/(INPUTS!$B$8*INPUTS!$B$7)-0.85*INPUTS!$B$5*ARCH_AG!G70)/(ARCH_AG!G70*(INPUTS!$B$6-0.85*INPUTS!$B$5)))</f>
        <v>-0.067778564534029</v>
      </c>
      <c r="H70" s="12" t="n">
        <f aca="false">IF(TRIB!H70="","",(PU!H70/(INPUTS!$B$8*INPUTS!$B$7)-0.85*INPUTS!$B$5*ARCH_AG!H70)/(ARCH_AG!H70*(INPUTS!$B$6-0.85*INPUTS!$B$5)))</f>
        <v>-0.0616155247302788</v>
      </c>
      <c r="I70" s="12" t="n">
        <f aca="false">IF(TRIB!I70="","",(PU!I70/(INPUTS!$B$8*INPUTS!$B$7)-0.85*INPUTS!$B$5*ARCH_AG!I70)/(ARCH_AG!I70*(INPUTS!$B$6-0.85*INPUTS!$B$5)))</f>
        <v>-0.0561161402349927</v>
      </c>
      <c r="J70" s="12" t="n">
        <f aca="false">IF(TRIB!J70="","",(PU!J70/(INPUTS!$B$8*INPUTS!$B$7)-0.85*INPUTS!$B$5*ARCH_AG!J70)/(ARCH_AG!J70*(INPUTS!$B$6-0.85*INPUTS!$B$5)))</f>
        <v>-0.0455662810171007</v>
      </c>
      <c r="K70" s="12" t="str">
        <f aca="false">IF(TRIB!K70="","",(PU!K70/(INPUTS!$B$8*INPUTS!$B$7)-0.85*INPUTS!$B$5*ARCH_AG!K70)/(ARCH_AG!K70*(INPUTS!$B$6-0.85*INPUTS!$B$5)))</f>
        <v/>
      </c>
      <c r="L70" s="12" t="str">
        <f aca="false">IF(TRIB!L70="","",(PU!L70/(INPUTS!$B$8*INPUTS!$B$7)-0.85*INPUTS!$B$5*ARCH_AG!L70)/(ARCH_AG!L70*(INPUTS!$B$6-0.85*INPUTS!$B$5)))</f>
        <v/>
      </c>
      <c r="M70" s="12" t="str">
        <f aca="false">IF(TRIB!M70="","",(PU!M70/(INPUTS!$B$8*INPUTS!$B$7)-0.85*INPUTS!$B$5*ARCH_AG!M70)/(ARCH_AG!M70*(INPUTS!$B$6-0.85*INPUTS!$B$5)))</f>
        <v/>
      </c>
      <c r="N70" s="12" t="str">
        <f aca="false">IF(TRIB!N70="","",(PU!N70/(INPUTS!$B$8*INPUTS!$B$7)-0.85*INPUTS!$B$5*ARCH_AG!N70)/(ARCH_AG!N70*(INPUTS!$B$6-0.85*INPUTS!$B$5)))</f>
        <v/>
      </c>
      <c r="O70" s="12" t="str">
        <f aca="false">IF(TRIB!O70="","",(PU!O70/(INPUTS!$B$8*INPUTS!$B$7)-0.85*INPUTS!$B$5*ARCH_AG!O70)/(ARCH_AG!O70*(INPUTS!$B$6-0.85*INPUTS!$B$5)))</f>
        <v/>
      </c>
      <c r="P70" s="12" t="str">
        <f aca="false">IF(TRIB!P70="","",(PU!P70/(INPUTS!$B$8*INPUTS!$B$7)-0.85*INPUTS!$B$5*ARCH_AG!P70)/(ARCH_AG!P70*(INPUTS!$B$6-0.85*INPUTS!$B$5)))</f>
        <v/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12" t="n">
        <f aca="false">IF(TRIB!E71="","",(PU!E71/(INPUTS!$B$8*INPUTS!$B$7)-0.85*INPUTS!$B$5*ARCH_AG!E71)/(ARCH_AG!E71*(INPUTS!$B$6-0.85*INPUTS!$B$5)))</f>
        <v>-0.0835241147741148</v>
      </c>
      <c r="F71" s="12" t="n">
        <f aca="false">IF(TRIB!F71="","",(PU!F71/(INPUTS!$B$8*INPUTS!$B$7)-0.85*INPUTS!$B$5*ARCH_AG!F71)/(ARCH_AG!F71*(INPUTS!$B$6-0.85*INPUTS!$B$5)))</f>
        <v>-0.0698425486676853</v>
      </c>
      <c r="G71" s="12" t="n">
        <f aca="false">IF(TRIB!G71="","",(PU!G71/(INPUTS!$B$8*INPUTS!$B$7)-0.85*INPUTS!$B$5*ARCH_AG!G71)/(ARCH_AG!G71*(INPUTS!$B$6-0.85*INPUTS!$B$5)))</f>
        <v>-0.0575903490862507</v>
      </c>
      <c r="H71" s="12" t="n">
        <f aca="false">IF(TRIB!H71="","",(PU!H71/(INPUTS!$B$8*INPUTS!$B$7)-0.85*INPUTS!$B$5*ARCH_AG!H71)/(ARCH_AG!H71*(INPUTS!$B$6-0.85*INPUTS!$B$5)))</f>
        <v>-0.0493631166445374</v>
      </c>
      <c r="I71" s="12" t="n">
        <f aca="false">IF(TRIB!I71="","",(PU!I71/(INPUTS!$B$8*INPUTS!$B$7)-0.85*INPUTS!$B$5*ARCH_AG!I71)/(ARCH_AG!I71*(INPUTS!$B$6-0.85*INPUTS!$B$5)))</f>
        <v>-0.0420397364727966</v>
      </c>
      <c r="J71" s="12" t="n">
        <f aca="false">IF(TRIB!J71="","",(PU!J71/(INPUTS!$B$8*INPUTS!$B$7)-0.85*INPUTS!$B$5*ARCH_AG!J71)/(ARCH_AG!J71*(INPUTS!$B$6-0.85*INPUTS!$B$5)))</f>
        <v>-0.0343364336533735</v>
      </c>
      <c r="K71" s="12" t="str">
        <f aca="false">IF(TRIB!K71="","",(PU!K71/(INPUTS!$B$8*INPUTS!$B$7)-0.85*INPUTS!$B$5*ARCH_AG!K71)/(ARCH_AG!K71*(INPUTS!$B$6-0.85*INPUTS!$B$5)))</f>
        <v/>
      </c>
      <c r="L71" s="12" t="str">
        <f aca="false">IF(TRIB!L71="","",(PU!L71/(INPUTS!$B$8*INPUTS!$B$7)-0.85*INPUTS!$B$5*ARCH_AG!L71)/(ARCH_AG!L71*(INPUTS!$B$6-0.85*INPUTS!$B$5)))</f>
        <v/>
      </c>
      <c r="M71" s="12" t="str">
        <f aca="false">IF(TRIB!M71="","",(PU!M71/(INPUTS!$B$8*INPUTS!$B$7)-0.85*INPUTS!$B$5*ARCH_AG!M71)/(ARCH_AG!M71*(INPUTS!$B$6-0.85*INPUTS!$B$5)))</f>
        <v/>
      </c>
      <c r="N71" s="12" t="str">
        <f aca="false">IF(TRIB!N71="","",(PU!N71/(INPUTS!$B$8*INPUTS!$B$7)-0.85*INPUTS!$B$5*ARCH_AG!N71)/(ARCH_AG!N71*(INPUTS!$B$6-0.85*INPUTS!$B$5)))</f>
        <v/>
      </c>
      <c r="O71" s="12" t="str">
        <f aca="false">IF(TRIB!O71="","",(PU!O71/(INPUTS!$B$8*INPUTS!$B$7)-0.85*INPUTS!$B$5*ARCH_AG!O71)/(ARCH_AG!O71*(INPUTS!$B$6-0.85*INPUTS!$B$5)))</f>
        <v/>
      </c>
      <c r="P71" s="12" t="str">
        <f aca="false">IF(TRIB!P71="","",(PU!P71/(INPUTS!$B$8*INPUTS!$B$7)-0.85*INPUTS!$B$5*ARCH_AG!P71)/(ARCH_AG!P71*(INPUTS!$B$6-0.85*INPUTS!$B$5)))</f>
        <v/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12" t="n">
        <f aca="false">IF(TRIB!E72="","",(PU!E72/(INPUTS!$B$8*INPUTS!$B$7)-0.85*INPUTS!$B$5*ARCH_AG!E72)/(ARCH_AG!E72*(INPUTS!$B$6-0.85*INPUTS!$B$5)))</f>
        <v>-0.0840608048599852</v>
      </c>
      <c r="F72" s="12" t="n">
        <f aca="false">IF(TRIB!F72="","",(PU!F72/(INPUTS!$B$8*INPUTS!$B$7)-0.85*INPUTS!$B$5*ARCH_AG!F72)/(ARCH_AG!F72*(INPUTS!$B$6-0.85*INPUTS!$B$5)))</f>
        <v>-0.0711728061454837</v>
      </c>
      <c r="G72" s="12" t="n">
        <f aca="false">IF(TRIB!G72="","",(PU!G72/(INPUTS!$B$8*INPUTS!$B$7)-0.85*INPUTS!$B$5*ARCH_AG!G72)/(ARCH_AG!G72*(INPUTS!$B$6-0.85*INPUTS!$B$5)))</f>
        <v>-0.0589670335230445</v>
      </c>
      <c r="H72" s="12" t="n">
        <f aca="false">IF(TRIB!H72="","",(PU!H72/(INPUTS!$B$8*INPUTS!$B$7)-0.85*INPUTS!$B$5*ARCH_AG!H72)/(ARCH_AG!H72*(INPUTS!$B$6-0.85*INPUTS!$B$5)))</f>
        <v>-0.0507703817130047</v>
      </c>
      <c r="I72" s="12" t="n">
        <f aca="false">IF(TRIB!I72="","",(PU!I72/(INPUTS!$B$8*INPUTS!$B$7)-0.85*INPUTS!$B$5*ARCH_AG!I72)/(ARCH_AG!I72*(INPUTS!$B$6-0.85*INPUTS!$B$5)))</f>
        <v>-0.0434740236994335</v>
      </c>
      <c r="J72" s="12" t="n">
        <f aca="false">IF(TRIB!J72="","",(PU!J72/(INPUTS!$B$8*INPUTS!$B$7)-0.85*INPUTS!$B$5*ARCH_AG!J72)/(ARCH_AG!J72*(INPUTS!$B$6-0.85*INPUTS!$B$5)))</f>
        <v>-0.0358139229723929</v>
      </c>
      <c r="K72" s="12" t="str">
        <f aca="false">IF(TRIB!K72="","",(PU!K72/(INPUTS!$B$8*INPUTS!$B$7)-0.85*INPUTS!$B$5*ARCH_AG!K72)/(ARCH_AG!K72*(INPUTS!$B$6-0.85*INPUTS!$B$5)))</f>
        <v/>
      </c>
      <c r="L72" s="12" t="str">
        <f aca="false">IF(TRIB!L72="","",(PU!L72/(INPUTS!$B$8*INPUTS!$B$7)-0.85*INPUTS!$B$5*ARCH_AG!L72)/(ARCH_AG!L72*(INPUTS!$B$6-0.85*INPUTS!$B$5)))</f>
        <v/>
      </c>
      <c r="M72" s="12" t="str">
        <f aca="false">IF(TRIB!M72="","",(PU!M72/(INPUTS!$B$8*INPUTS!$B$7)-0.85*INPUTS!$B$5*ARCH_AG!M72)/(ARCH_AG!M72*(INPUTS!$B$6-0.85*INPUTS!$B$5)))</f>
        <v/>
      </c>
      <c r="N72" s="12" t="str">
        <f aca="false">IF(TRIB!N72="","",(PU!N72/(INPUTS!$B$8*INPUTS!$B$7)-0.85*INPUTS!$B$5*ARCH_AG!N72)/(ARCH_AG!N72*(INPUTS!$B$6-0.85*INPUTS!$B$5)))</f>
        <v/>
      </c>
      <c r="O72" s="12" t="str">
        <f aca="false">IF(TRIB!O72="","",(PU!O72/(INPUTS!$B$8*INPUTS!$B$7)-0.85*INPUTS!$B$5*ARCH_AG!O72)/(ARCH_AG!O72*(INPUTS!$B$6-0.85*INPUTS!$B$5)))</f>
        <v/>
      </c>
      <c r="P72" s="12" t="str">
        <f aca="false">IF(TRIB!P72="","",(PU!P72/(INPUTS!$B$8*INPUTS!$B$7)-0.85*INPUTS!$B$5*ARCH_AG!P72)/(ARCH_AG!P72*(INPUTS!$B$6-0.85*INPUTS!$B$5)))</f>
        <v/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12" t="n">
        <f aca="false">IF(TRIB!E73="","",(PU!E73/(INPUTS!$B$8*INPUTS!$B$7)-0.85*INPUTS!$B$5*ARCH_AG!E73)/(ARCH_AG!E73*(INPUTS!$B$6-0.85*INPUTS!$B$5)))</f>
        <v>-0.0912166726715907</v>
      </c>
      <c r="F73" s="12" t="n">
        <f aca="false">IF(TRIB!F73="","",(PU!F73/(INPUTS!$B$8*INPUTS!$B$7)-0.85*INPUTS!$B$5*ARCH_AG!F73)/(ARCH_AG!F73*(INPUTS!$B$6-0.85*INPUTS!$B$5)))</f>
        <v>-0.0889095725161299</v>
      </c>
      <c r="G73" s="12" t="n">
        <f aca="false">IF(TRIB!G73="","",(PU!G73/(INPUTS!$B$8*INPUTS!$B$7)-0.85*INPUTS!$B$5*ARCH_AG!G73)/(ARCH_AG!G73*(INPUTS!$B$6-0.85*INPUTS!$B$5)))</f>
        <v>-0.0768198672911788</v>
      </c>
      <c r="H73" s="12" t="n">
        <f aca="false">IF(TRIB!H73="","",(PU!H73/(INPUTS!$B$8*INPUTS!$B$7)-0.85*INPUTS!$B$5*ARCH_AG!H73)/(ARCH_AG!H73*(INPUTS!$B$6-0.85*INPUTS!$B$5)))</f>
        <v>-0.0686996670603228</v>
      </c>
      <c r="I73" s="12" t="n">
        <f aca="false">IF(TRIB!I73="","",(PU!I73/(INPUTS!$B$8*INPUTS!$B$7)-0.85*INPUTS!$B$5*ARCH_AG!I73)/(ARCH_AG!I73*(INPUTS!$B$6-0.85*INPUTS!$B$5)))</f>
        <v>-0.0614708644421759</v>
      </c>
      <c r="J73" s="12" t="n">
        <f aca="false">IF(TRIB!J73="","",(PU!J73/(INPUTS!$B$8*INPUTS!$B$7)-0.85*INPUTS!$B$5*ARCH_AG!J73)/(ARCH_AG!J73*(INPUTS!$B$6-0.85*INPUTS!$B$5)))</f>
        <v>-0.0529755232624085</v>
      </c>
      <c r="K73" s="12" t="str">
        <f aca="false">IF(TRIB!K73="","",(PU!K73/(INPUTS!$B$8*INPUTS!$B$7)-0.85*INPUTS!$B$5*ARCH_AG!K73)/(ARCH_AG!K73*(INPUTS!$B$6-0.85*INPUTS!$B$5)))</f>
        <v/>
      </c>
      <c r="L73" s="12" t="str">
        <f aca="false">IF(TRIB!L73="","",(PU!L73/(INPUTS!$B$8*INPUTS!$B$7)-0.85*INPUTS!$B$5*ARCH_AG!L73)/(ARCH_AG!L73*(INPUTS!$B$6-0.85*INPUTS!$B$5)))</f>
        <v/>
      </c>
      <c r="M73" s="12" t="str">
        <f aca="false">IF(TRIB!M73="","",(PU!M73/(INPUTS!$B$8*INPUTS!$B$7)-0.85*INPUTS!$B$5*ARCH_AG!M73)/(ARCH_AG!M73*(INPUTS!$B$6-0.85*INPUTS!$B$5)))</f>
        <v/>
      </c>
      <c r="N73" s="12" t="str">
        <f aca="false">IF(TRIB!N73="","",(PU!N73/(INPUTS!$B$8*INPUTS!$B$7)-0.85*INPUTS!$B$5*ARCH_AG!N73)/(ARCH_AG!N73*(INPUTS!$B$6-0.85*INPUTS!$B$5)))</f>
        <v/>
      </c>
      <c r="O73" s="12" t="str">
        <f aca="false">IF(TRIB!O73="","",(PU!O73/(INPUTS!$B$8*INPUTS!$B$7)-0.85*INPUTS!$B$5*ARCH_AG!O73)/(ARCH_AG!O73*(INPUTS!$B$6-0.85*INPUTS!$B$5)))</f>
        <v/>
      </c>
      <c r="P73" s="12" t="str">
        <f aca="false">IF(TRIB!P73="","",(PU!P73/(INPUTS!$B$8*INPUTS!$B$7)-0.85*INPUTS!$B$5*ARCH_AG!P73)/(ARCH_AG!P73*(INPUTS!$B$6-0.85*INPUTS!$B$5)))</f>
        <v/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12" t="n">
        <f aca="false">IF(TRIB!E74="","",(PU!E74/(INPUTS!$B$8*INPUTS!$B$7)-0.85*INPUTS!$B$5*ARCH_AG!E74)/(ARCH_AG!E74*(INPUTS!$B$6-0.85*INPUTS!$B$5)))</f>
        <v>-0.0833126914069537</v>
      </c>
      <c r="F74" s="12" t="n">
        <f aca="false">IF(TRIB!F74="","",(PU!F74/(INPUTS!$B$8*INPUTS!$B$7)-0.85*INPUTS!$B$5*ARCH_AG!F74)/(ARCH_AG!F74*(INPUTS!$B$6-0.85*INPUTS!$B$5)))</f>
        <v>-0.069318507843098</v>
      </c>
      <c r="G74" s="12" t="n">
        <f aca="false">IF(TRIB!G74="","",(PU!G74/(INPUTS!$B$8*INPUTS!$B$7)-0.85*INPUTS!$B$5*ARCH_AG!G74)/(ARCH_AG!G74*(INPUTS!$B$6-0.85*INPUTS!$B$5)))</f>
        <v>-0.0564859712742226</v>
      </c>
      <c r="H74" s="12" t="n">
        <f aca="false">IF(TRIB!H74="","",(PU!H74/(INPUTS!$B$8*INPUTS!$B$7)-0.85*INPUTS!$B$5*ARCH_AG!H74)/(ARCH_AG!H74*(INPUTS!$B$6-0.85*INPUTS!$B$5)))</f>
        <v>-0.0478764809365902</v>
      </c>
      <c r="I74" s="12" t="n">
        <f aca="false">IF(TRIB!I74="","",(PU!I74/(INPUTS!$B$8*INPUTS!$B$7)-0.85*INPUTS!$B$5*ARCH_AG!I74)/(ARCH_AG!I74*(INPUTS!$B$6-0.85*INPUTS!$B$5)))</f>
        <v>-0.0402153237877282</v>
      </c>
      <c r="J74" s="12" t="n">
        <f aca="false">IF(TRIB!J74="","",(PU!J74/(INPUTS!$B$8*INPUTS!$B$7)-0.85*INPUTS!$B$5*ARCH_AG!J74)/(ARCH_AG!J74*(INPUTS!$B$6-0.85*INPUTS!$B$5)))</f>
        <v>-0.0312879616841365</v>
      </c>
      <c r="K74" s="12" t="str">
        <f aca="false">IF(TRIB!K74="","",(PU!K74/(INPUTS!$B$8*INPUTS!$B$7)-0.85*INPUTS!$B$5*ARCH_AG!K74)/(ARCH_AG!K74*(INPUTS!$B$6-0.85*INPUTS!$B$5)))</f>
        <v/>
      </c>
      <c r="L74" s="12" t="str">
        <f aca="false">IF(TRIB!L74="","",(PU!L74/(INPUTS!$B$8*INPUTS!$B$7)-0.85*INPUTS!$B$5*ARCH_AG!L74)/(ARCH_AG!L74*(INPUTS!$B$6-0.85*INPUTS!$B$5)))</f>
        <v/>
      </c>
      <c r="M74" s="12" t="str">
        <f aca="false">IF(TRIB!M74="","",(PU!M74/(INPUTS!$B$8*INPUTS!$B$7)-0.85*INPUTS!$B$5*ARCH_AG!M74)/(ARCH_AG!M74*(INPUTS!$B$6-0.85*INPUTS!$B$5)))</f>
        <v/>
      </c>
      <c r="N74" s="12" t="str">
        <f aca="false">IF(TRIB!N74="","",(PU!N74/(INPUTS!$B$8*INPUTS!$B$7)-0.85*INPUTS!$B$5*ARCH_AG!N74)/(ARCH_AG!N74*(INPUTS!$B$6-0.85*INPUTS!$B$5)))</f>
        <v/>
      </c>
      <c r="O74" s="12" t="str">
        <f aca="false">IF(TRIB!O74="","",(PU!O74/(INPUTS!$B$8*INPUTS!$B$7)-0.85*INPUTS!$B$5*ARCH_AG!O74)/(ARCH_AG!O74*(INPUTS!$B$6-0.85*INPUTS!$B$5)))</f>
        <v/>
      </c>
      <c r="P74" s="12" t="str">
        <f aca="false">IF(TRIB!P74="","",(PU!P74/(INPUTS!$B$8*INPUTS!$B$7)-0.85*INPUTS!$B$5*ARCH_AG!P74)/(ARCH_AG!P74*(INPUTS!$B$6-0.85*INPUTS!$B$5)))</f>
        <v/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12" t="n">
        <f aca="false">IF(TRIB!E75="","",(PU!E75/(INPUTS!$B$8*INPUTS!$B$7)-0.85*INPUTS!$B$5*ARCH_AG!E75)/(ARCH_AG!E75*(INPUTS!$B$6-0.85*INPUTS!$B$5)))</f>
        <v>-0.0841095948677916</v>
      </c>
      <c r="F75" s="12" t="n">
        <f aca="false">IF(TRIB!F75="","",(PU!F75/(INPUTS!$B$8*INPUTS!$B$7)-0.85*INPUTS!$B$5*ARCH_AG!F75)/(ARCH_AG!F75*(INPUTS!$B$6-0.85*INPUTS!$B$5)))</f>
        <v>-0.0712937386434654</v>
      </c>
      <c r="G75" s="12" t="n">
        <f aca="false">IF(TRIB!G75="","",(PU!G75/(INPUTS!$B$8*INPUTS!$B$7)-0.85*INPUTS!$B$5*ARCH_AG!G75)/(ARCH_AG!G75*(INPUTS!$B$6-0.85*INPUTS!$B$5)))</f>
        <v>-0.0589486851440403</v>
      </c>
      <c r="H75" s="12" t="n">
        <f aca="false">IF(TRIB!H75="","",(PU!H75/(INPUTS!$B$8*INPUTS!$B$7)-0.85*INPUTS!$B$5*ARCH_AG!H75)/(ARCH_AG!H75*(INPUTS!$B$6-0.85*INPUTS!$B$5)))</f>
        <v>-0.05066029143898</v>
      </c>
      <c r="I75" s="12" t="n">
        <f aca="false">IF(TRIB!I75="","",(PU!I75/(INPUTS!$B$8*INPUTS!$B$7)-0.85*INPUTS!$B$5*ARCH_AG!I75)/(ARCH_AG!I75*(INPUTS!$B$6-0.85*INPUTS!$B$5)))</f>
        <v>-0.0432828669508997</v>
      </c>
      <c r="J75" s="12" t="n">
        <f aca="false">IF(TRIB!J75="","",(PU!J75/(INPUTS!$B$8*INPUTS!$B$7)-0.85*INPUTS!$B$5*ARCH_AG!J75)/(ARCH_AG!J75*(INPUTS!$B$6-0.85*INPUTS!$B$5)))</f>
        <v>-0.0306479646643581</v>
      </c>
      <c r="K75" s="12" t="str">
        <f aca="false">IF(TRIB!K75="","",(PU!K75/(INPUTS!$B$8*INPUTS!$B$7)-0.85*INPUTS!$B$5*ARCH_AG!K75)/(ARCH_AG!K75*(INPUTS!$B$6-0.85*INPUTS!$B$5)))</f>
        <v/>
      </c>
      <c r="L75" s="12" t="str">
        <f aca="false">IF(TRIB!L75="","",(PU!L75/(INPUTS!$B$8*INPUTS!$B$7)-0.85*INPUTS!$B$5*ARCH_AG!L75)/(ARCH_AG!L75*(INPUTS!$B$6-0.85*INPUTS!$B$5)))</f>
        <v/>
      </c>
      <c r="M75" s="12" t="str">
        <f aca="false">IF(TRIB!M75="","",(PU!M75/(INPUTS!$B$8*INPUTS!$B$7)-0.85*INPUTS!$B$5*ARCH_AG!M75)/(ARCH_AG!M75*(INPUTS!$B$6-0.85*INPUTS!$B$5)))</f>
        <v/>
      </c>
      <c r="N75" s="12" t="str">
        <f aca="false">IF(TRIB!N75="","",(PU!N75/(INPUTS!$B$8*INPUTS!$B$7)-0.85*INPUTS!$B$5*ARCH_AG!N75)/(ARCH_AG!N75*(INPUTS!$B$6-0.85*INPUTS!$B$5)))</f>
        <v/>
      </c>
      <c r="O75" s="12" t="str">
        <f aca="false">IF(TRIB!O75="","",(PU!O75/(INPUTS!$B$8*INPUTS!$B$7)-0.85*INPUTS!$B$5*ARCH_AG!O75)/(ARCH_AG!O75*(INPUTS!$B$6-0.85*INPUTS!$B$5)))</f>
        <v/>
      </c>
      <c r="P75" s="12" t="str">
        <f aca="false">IF(TRIB!P75="","",(PU!P75/(INPUTS!$B$8*INPUTS!$B$7)-0.85*INPUTS!$B$5*ARCH_AG!P75)/(ARCH_AG!P75*(INPUTS!$B$6-0.85*INPUTS!$B$5)))</f>
        <v/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12" t="n">
        <f aca="false">IF(TRIB!E76="","",(PU!E76/(INPUTS!$B$8*INPUTS!$B$7)-0.85*INPUTS!$B$5*ARCH_AG!E76)/(ARCH_AG!E76*(INPUTS!$B$6-0.85*INPUTS!$B$5)))</f>
        <v>-0.0918021527652675</v>
      </c>
      <c r="F76" s="12" t="n">
        <f aca="false">IF(TRIB!F76="","",(PU!F76/(INPUTS!$B$8*INPUTS!$B$7)-0.85*INPUTS!$B$5*ARCH_AG!F76)/(ARCH_AG!F76*(INPUTS!$B$6-0.85*INPUTS!$B$5)))</f>
        <v>-0.09036076249191</v>
      </c>
      <c r="G76" s="12" t="n">
        <f aca="false">IF(TRIB!G76="","",(PU!G76/(INPUTS!$B$8*INPUTS!$B$7)-0.85*INPUTS!$B$5*ARCH_AG!G76)/(ARCH_AG!G76*(INPUTS!$B$6-0.85*INPUTS!$B$5)))</f>
        <v>-0.089320673507832</v>
      </c>
      <c r="H76" s="12" t="n">
        <f aca="false">IF(TRIB!H76="","",(PU!H76/(INPUTS!$B$8*INPUTS!$B$7)-0.85*INPUTS!$B$5*ARCH_AG!H76)/(ARCH_AG!H76*(INPUTS!$B$6-0.85*INPUTS!$B$5)))</f>
        <v>-0.0884786636152756</v>
      </c>
      <c r="I76" s="12" t="n">
        <f aca="false">IF(TRIB!I76="","",(PU!I76/(INPUTS!$B$8*INPUTS!$B$7)-0.85*INPUTS!$B$5*ARCH_AG!I76)/(ARCH_AG!I76*(INPUTS!$B$6-0.85*INPUTS!$B$5)))</f>
        <v>-0.0876811346415171</v>
      </c>
      <c r="J76" s="12" t="n">
        <f aca="false">IF(TRIB!J76="","",(PU!J76/(INPUTS!$B$8*INPUTS!$B$7)-0.85*INPUTS!$B$5*ARCH_AG!J76)/(ARCH_AG!J76*(INPUTS!$B$6-0.85*INPUTS!$B$5)))</f>
        <v>-0.0806978666951345</v>
      </c>
      <c r="K76" s="12" t="str">
        <f aca="false">IF(TRIB!K76="","",(PU!K76/(INPUTS!$B$8*INPUTS!$B$7)-0.85*INPUTS!$B$5*ARCH_AG!K76)/(ARCH_AG!K76*(INPUTS!$B$6-0.85*INPUTS!$B$5)))</f>
        <v/>
      </c>
      <c r="L76" s="12" t="str">
        <f aca="false">IF(TRIB!L76="","",(PU!L76/(INPUTS!$B$8*INPUTS!$B$7)-0.85*INPUTS!$B$5*ARCH_AG!L76)/(ARCH_AG!L76*(INPUTS!$B$6-0.85*INPUTS!$B$5)))</f>
        <v/>
      </c>
      <c r="M76" s="12" t="str">
        <f aca="false">IF(TRIB!M76="","",(PU!M76/(INPUTS!$B$8*INPUTS!$B$7)-0.85*INPUTS!$B$5*ARCH_AG!M76)/(ARCH_AG!M76*(INPUTS!$B$6-0.85*INPUTS!$B$5)))</f>
        <v/>
      </c>
      <c r="N76" s="12" t="str">
        <f aca="false">IF(TRIB!N76="","",(PU!N76/(INPUTS!$B$8*INPUTS!$B$7)-0.85*INPUTS!$B$5*ARCH_AG!N76)/(ARCH_AG!N76*(INPUTS!$B$6-0.85*INPUTS!$B$5)))</f>
        <v/>
      </c>
      <c r="O76" s="12" t="str">
        <f aca="false">IF(TRIB!O76="","",(PU!O76/(INPUTS!$B$8*INPUTS!$B$7)-0.85*INPUTS!$B$5*ARCH_AG!O76)/(ARCH_AG!O76*(INPUTS!$B$6-0.85*INPUTS!$B$5)))</f>
        <v/>
      </c>
      <c r="P76" s="12" t="str">
        <f aca="false">IF(TRIB!P76="","",(PU!P76/(INPUTS!$B$8*INPUTS!$B$7)-0.85*INPUTS!$B$5*ARCH_AG!P76)/(ARCH_AG!P76*(INPUTS!$B$6-0.85*INPUTS!$B$5)))</f>
        <v/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12" t="n">
        <f aca="false">IF(TRIB!E77="","",(PU!E77/(INPUTS!$B$8*INPUTS!$B$7)-0.85*INPUTS!$B$5*ARCH_AG!E77)/(ARCH_AG!E77*(INPUTS!$B$6-0.85*INPUTS!$B$5)))</f>
        <v>-0.0874598420704978</v>
      </c>
      <c r="F77" s="12" t="n">
        <f aca="false">IF(TRIB!F77="","",(PU!F77/(INPUTS!$B$8*INPUTS!$B$7)-0.85*INPUTS!$B$5*ARCH_AG!F77)/(ARCH_AG!F77*(INPUTS!$B$6-0.85*INPUTS!$B$5)))</f>
        <v>-0.0793850957785384</v>
      </c>
      <c r="G77" s="12" t="n">
        <f aca="false">IF(TRIB!G77="","",(PU!G77/(INPUTS!$B$8*INPUTS!$B$7)-0.85*INPUTS!$B$5*ARCH_AG!G77)/(ARCH_AG!G77*(INPUTS!$B$6-0.85*INPUTS!$B$5)))</f>
        <v>-0.0728503622970836</v>
      </c>
      <c r="H77" s="12" t="n">
        <f aca="false">IF(TRIB!H77="","",(PU!H77/(INPUTS!$B$8*INPUTS!$B$7)-0.85*INPUTS!$B$5*ARCH_AG!H77)/(ARCH_AG!H77*(INPUTS!$B$6-0.85*INPUTS!$B$5)))</f>
        <v>-0.0668416156804135</v>
      </c>
      <c r="I77" s="12" t="n">
        <f aca="false">IF(TRIB!I77="","",(PU!I77/(INPUTS!$B$8*INPUTS!$B$7)-0.85*INPUTS!$B$5*ARCH_AG!I77)/(ARCH_AG!I77*(INPUTS!$B$6-0.85*INPUTS!$B$5)))</f>
        <v>-0.0614538226901615</v>
      </c>
      <c r="J77" s="12" t="n">
        <f aca="false">IF(TRIB!J77="","",(PU!J77/(INPUTS!$B$8*INPUTS!$B$7)-0.85*INPUTS!$B$5*ARCH_AG!J77)/(ARCH_AG!J77*(INPUTS!$B$6-0.85*INPUTS!$B$5)))</f>
        <v>-0.0557574433257493</v>
      </c>
      <c r="K77" s="12" t="str">
        <f aca="false">IF(TRIB!K77="","",(PU!K77/(INPUTS!$B$8*INPUTS!$B$7)-0.85*INPUTS!$B$5*ARCH_AG!K77)/(ARCH_AG!K77*(INPUTS!$B$6-0.85*INPUTS!$B$5)))</f>
        <v/>
      </c>
      <c r="L77" s="12" t="str">
        <f aca="false">IF(TRIB!L77="","",(PU!L77/(INPUTS!$B$8*INPUTS!$B$7)-0.85*INPUTS!$B$5*ARCH_AG!L77)/(ARCH_AG!L77*(INPUTS!$B$6-0.85*INPUTS!$B$5)))</f>
        <v/>
      </c>
      <c r="M77" s="12" t="str">
        <f aca="false">IF(TRIB!M77="","",(PU!M77/(INPUTS!$B$8*INPUTS!$B$7)-0.85*INPUTS!$B$5*ARCH_AG!M77)/(ARCH_AG!M77*(INPUTS!$B$6-0.85*INPUTS!$B$5)))</f>
        <v/>
      </c>
      <c r="N77" s="12" t="str">
        <f aca="false">IF(TRIB!N77="","",(PU!N77/(INPUTS!$B$8*INPUTS!$B$7)-0.85*INPUTS!$B$5*ARCH_AG!N77)/(ARCH_AG!N77*(INPUTS!$B$6-0.85*INPUTS!$B$5)))</f>
        <v/>
      </c>
      <c r="O77" s="12" t="str">
        <f aca="false">IF(TRIB!O77="","",(PU!O77/(INPUTS!$B$8*INPUTS!$B$7)-0.85*INPUTS!$B$5*ARCH_AG!O77)/(ARCH_AG!O77*(INPUTS!$B$6-0.85*INPUTS!$B$5)))</f>
        <v/>
      </c>
      <c r="P77" s="12" t="str">
        <f aca="false">IF(TRIB!P77="","",(PU!P77/(INPUTS!$B$8*INPUTS!$B$7)-0.85*INPUTS!$B$5*ARCH_AG!P77)/(ARCH_AG!P77*(INPUTS!$B$6-0.85*INPUTS!$B$5)))</f>
        <v/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12" t="n">
        <f aca="false">IF(TRIB!E78="","",(PU!E78/(INPUTS!$B$8*INPUTS!$B$7)-0.85*INPUTS!$B$5*ARCH_AG!E78)/(ARCH_AG!E78*(INPUTS!$B$6-0.85*INPUTS!$B$5)))</f>
        <v>-0.0822067845633419</v>
      </c>
      <c r="F78" s="12" t="n">
        <f aca="false">IF(TRIB!F78="","",(PU!F78/(INPUTS!$B$8*INPUTS!$B$7)-0.85*INPUTS!$B$5*ARCH_AG!F78)/(ARCH_AG!F78*(INPUTS!$B$6-0.85*INPUTS!$B$5)))</f>
        <v>-0.06657737122218</v>
      </c>
      <c r="G78" s="12" t="n">
        <f aca="false">IF(TRIB!G78="","",(PU!G78/(INPUTS!$B$8*INPUTS!$B$7)-0.85*INPUTS!$B$5*ARCH_AG!G78)/(ARCH_AG!G78*(INPUTS!$B$6-0.85*INPUTS!$B$5)))</f>
        <v>-0.053466272899333</v>
      </c>
      <c r="H78" s="12" t="n">
        <f aca="false">IF(TRIB!H78="","",(PU!H78/(INPUTS!$B$8*INPUTS!$B$7)-0.85*INPUTS!$B$5*ARCH_AG!H78)/(ARCH_AG!H78*(INPUTS!$B$6-0.85*INPUTS!$B$5)))</f>
        <v>-0.0446732987716594</v>
      </c>
      <c r="I78" s="12" t="n">
        <f aca="false">IF(TRIB!I78="","",(PU!I78/(INPUTS!$B$8*INPUTS!$B$7)-0.85*INPUTS!$B$5*ARCH_AG!I78)/(ARCH_AG!I78*(INPUTS!$B$6-0.85*INPUTS!$B$5)))</f>
        <v>-0.0368500086737792</v>
      </c>
      <c r="J78" s="12" t="n">
        <f aca="false">IF(TRIB!J78="","",(PU!J78/(INPUTS!$B$8*INPUTS!$B$7)-0.85*INPUTS!$B$5*ARCH_AG!J78)/(ARCH_AG!J78*(INPUTS!$B$6-0.85*INPUTS!$B$5)))</f>
        <v>-0.0286282807457671</v>
      </c>
      <c r="K78" s="12" t="str">
        <f aca="false">IF(TRIB!K78="","",(PU!K78/(INPUTS!$B$8*INPUTS!$B$7)-0.85*INPUTS!$B$5*ARCH_AG!K78)/(ARCH_AG!K78*(INPUTS!$B$6-0.85*INPUTS!$B$5)))</f>
        <v/>
      </c>
      <c r="L78" s="12" t="str">
        <f aca="false">IF(TRIB!L78="","",(PU!L78/(INPUTS!$B$8*INPUTS!$B$7)-0.85*INPUTS!$B$5*ARCH_AG!L78)/(ARCH_AG!L78*(INPUTS!$B$6-0.85*INPUTS!$B$5)))</f>
        <v/>
      </c>
      <c r="M78" s="12" t="str">
        <f aca="false">IF(TRIB!M78="","",(PU!M78/(INPUTS!$B$8*INPUTS!$B$7)-0.85*INPUTS!$B$5*ARCH_AG!M78)/(ARCH_AG!M78*(INPUTS!$B$6-0.85*INPUTS!$B$5)))</f>
        <v/>
      </c>
      <c r="N78" s="12" t="str">
        <f aca="false">IF(TRIB!N78="","",(PU!N78/(INPUTS!$B$8*INPUTS!$B$7)-0.85*INPUTS!$B$5*ARCH_AG!N78)/(ARCH_AG!N78*(INPUTS!$B$6-0.85*INPUTS!$B$5)))</f>
        <v/>
      </c>
      <c r="O78" s="12" t="str">
        <f aca="false">IF(TRIB!O78="","",(PU!O78/(INPUTS!$B$8*INPUTS!$B$7)-0.85*INPUTS!$B$5*ARCH_AG!O78)/(ARCH_AG!O78*(INPUTS!$B$6-0.85*INPUTS!$B$5)))</f>
        <v/>
      </c>
      <c r="P78" s="12" t="str">
        <f aca="false">IF(TRIB!P78="","",(PU!P78/(INPUTS!$B$8*INPUTS!$B$7)-0.85*INPUTS!$B$5*ARCH_AG!P78)/(ARCH_AG!P78*(INPUTS!$B$6-0.85*INPUTS!$B$5)))</f>
        <v/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12" t="n">
        <f aca="false">IF(TRIB!E79="","",(PU!E79/(INPUTS!$B$8*INPUTS!$B$7)-0.85*INPUTS!$B$5*ARCH_AG!E79)/(ARCH_AG!E79*(INPUTS!$B$6-0.85*INPUTS!$B$5)))</f>
        <v>-0.0842071748834044</v>
      </c>
      <c r="F79" s="12" t="n">
        <f aca="false">IF(TRIB!F79="","",(PU!F79/(INPUTS!$B$8*INPUTS!$B$7)-0.85*INPUTS!$B$5*ARCH_AG!F79)/(ARCH_AG!F79*(INPUTS!$B$6-0.85*INPUTS!$B$5)))</f>
        <v>-0.0715356036394288</v>
      </c>
      <c r="G79" s="12" t="n">
        <f aca="false">IF(TRIB!G79="","",(PU!G79/(INPUTS!$B$8*INPUTS!$B$7)-0.85*INPUTS!$B$5*ARCH_AG!G79)/(ARCH_AG!G79*(INPUTS!$B$6-0.85*INPUTS!$B$5)))</f>
        <v>-0.0592137636195013</v>
      </c>
      <c r="H79" s="12" t="n">
        <f aca="false">IF(TRIB!H79="","",(PU!H79/(INPUTS!$B$8*INPUTS!$B$7)-0.85*INPUTS!$B$5*ARCH_AG!H79)/(ARCH_AG!H79*(INPUTS!$B$6-0.85*INPUTS!$B$5)))</f>
        <v>-0.0509406602302777</v>
      </c>
      <c r="I79" s="12" t="n">
        <f aca="false">IF(TRIB!I79="","",(PU!I79/(INPUTS!$B$8*INPUTS!$B$7)-0.85*INPUTS!$B$5*ARCH_AG!I79)/(ARCH_AG!I79*(INPUTS!$B$6-0.85*INPUTS!$B$5)))</f>
        <v>-0.0435767468212823</v>
      </c>
      <c r="J79" s="12" t="n">
        <f aca="false">IF(TRIB!J79="","",(PU!J79/(INPUTS!$B$8*INPUTS!$B$7)-0.85*INPUTS!$B$5*ARCH_AG!J79)/(ARCH_AG!J79*(INPUTS!$B$6-0.85*INPUTS!$B$5)))</f>
        <v>-0.0350814056415149</v>
      </c>
      <c r="K79" s="12" t="str">
        <f aca="false">IF(TRIB!K79="","",(PU!K79/(INPUTS!$B$8*INPUTS!$B$7)-0.85*INPUTS!$B$5*ARCH_AG!K79)/(ARCH_AG!K79*(INPUTS!$B$6-0.85*INPUTS!$B$5)))</f>
        <v/>
      </c>
      <c r="L79" s="12" t="str">
        <f aca="false">IF(TRIB!L79="","",(PU!L79/(INPUTS!$B$8*INPUTS!$B$7)-0.85*INPUTS!$B$5*ARCH_AG!L79)/(ARCH_AG!L79*(INPUTS!$B$6-0.85*INPUTS!$B$5)))</f>
        <v/>
      </c>
      <c r="M79" s="12" t="str">
        <f aca="false">IF(TRIB!M79="","",(PU!M79/(INPUTS!$B$8*INPUTS!$B$7)-0.85*INPUTS!$B$5*ARCH_AG!M79)/(ARCH_AG!M79*(INPUTS!$B$6-0.85*INPUTS!$B$5)))</f>
        <v/>
      </c>
      <c r="N79" s="12" t="str">
        <f aca="false">IF(TRIB!N79="","",(PU!N79/(INPUTS!$B$8*INPUTS!$B$7)-0.85*INPUTS!$B$5*ARCH_AG!N79)/(ARCH_AG!N79*(INPUTS!$B$6-0.85*INPUTS!$B$5)))</f>
        <v/>
      </c>
      <c r="O79" s="12" t="str">
        <f aca="false">IF(TRIB!O79="","",(PU!O79/(INPUTS!$B$8*INPUTS!$B$7)-0.85*INPUTS!$B$5*ARCH_AG!O79)/(ARCH_AG!O79*(INPUTS!$B$6-0.85*INPUTS!$B$5)))</f>
        <v/>
      </c>
      <c r="P79" s="12" t="str">
        <f aca="false">IF(TRIB!P79="","",(PU!P79/(INPUTS!$B$8*INPUTS!$B$7)-0.85*INPUTS!$B$5*ARCH_AG!P79)/(ARCH_AG!P79*(INPUTS!$B$6-0.85*INPUTS!$B$5)))</f>
        <v/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12" t="n">
        <f aca="false">IF(TRIB!E80="","",(PU!E80/(INPUTS!$B$8*INPUTS!$B$7)-0.85*INPUTS!$B$5*ARCH_AG!E80)/(ARCH_AG!E80*(INPUTS!$B$6-0.85*INPUTS!$B$5)))</f>
        <v>-0.0837843281490822</v>
      </c>
      <c r="F80" s="12" t="n">
        <f aca="false">IF(TRIB!F80="","",(PU!F80/(INPUTS!$B$8*INPUTS!$B$7)-0.85*INPUTS!$B$5*ARCH_AG!F80)/(ARCH_AG!F80*(INPUTS!$B$6-0.85*INPUTS!$B$5)))</f>
        <v>-0.0704875219902542</v>
      </c>
      <c r="G80" s="12" t="n">
        <f aca="false">IF(TRIB!G80="","",(PU!G80/(INPUTS!$B$8*INPUTS!$B$7)-0.85*INPUTS!$B$5*ARCH_AG!G80)/(ARCH_AG!G80*(INPUTS!$B$6-0.85*INPUTS!$B$5)))</f>
        <v>-0.0576781989008765</v>
      </c>
      <c r="H80" s="12" t="n">
        <f aca="false">IF(TRIB!H80="","",(PU!H80/(INPUTS!$B$8*INPUTS!$B$7)-0.85*INPUTS!$B$5*ARCH_AG!H80)/(ARCH_AG!H80*(INPUTS!$B$6-0.85*INPUTS!$B$5)))</f>
        <v>-0.0490839988790808</v>
      </c>
      <c r="I80" s="12" t="n">
        <f aca="false">IF(TRIB!I80="","",(PU!I80/(INPUTS!$B$8*INPUTS!$B$7)-0.85*INPUTS!$B$5*ARCH_AG!I80)/(ARCH_AG!I80*(INPUTS!$B$6-0.85*INPUTS!$B$5)))</f>
        <v>-0.0414363528093036</v>
      </c>
      <c r="J80" s="12" t="n">
        <f aca="false">IF(TRIB!J80="","",(PU!J80/(INPUTS!$B$8*INPUTS!$B$7)-0.85*INPUTS!$B$5*ARCH_AG!J80)/(ARCH_AG!J80*(INPUTS!$B$6-0.85*INPUTS!$B$5)))</f>
        <v>-0.0325233914031728</v>
      </c>
      <c r="K80" s="12" t="str">
        <f aca="false">IF(TRIB!K80="","",(PU!K80/(INPUTS!$B$8*INPUTS!$B$7)-0.85*INPUTS!$B$5*ARCH_AG!K80)/(ARCH_AG!K80*(INPUTS!$B$6-0.85*INPUTS!$B$5)))</f>
        <v/>
      </c>
      <c r="L80" s="12" t="str">
        <f aca="false">IF(TRIB!L80="","",(PU!L80/(INPUTS!$B$8*INPUTS!$B$7)-0.85*INPUTS!$B$5*ARCH_AG!L80)/(ARCH_AG!L80*(INPUTS!$B$6-0.85*INPUTS!$B$5)))</f>
        <v/>
      </c>
      <c r="M80" s="12" t="str">
        <f aca="false">IF(TRIB!M80="","",(PU!M80/(INPUTS!$B$8*INPUTS!$B$7)-0.85*INPUTS!$B$5*ARCH_AG!M80)/(ARCH_AG!M80*(INPUTS!$B$6-0.85*INPUTS!$B$5)))</f>
        <v/>
      </c>
      <c r="N80" s="12" t="str">
        <f aca="false">IF(TRIB!N80="","",(PU!N80/(INPUTS!$B$8*INPUTS!$B$7)-0.85*INPUTS!$B$5*ARCH_AG!N80)/(ARCH_AG!N80*(INPUTS!$B$6-0.85*INPUTS!$B$5)))</f>
        <v/>
      </c>
      <c r="O80" s="12" t="str">
        <f aca="false">IF(TRIB!O80="","",(PU!O80/(INPUTS!$B$8*INPUTS!$B$7)-0.85*INPUTS!$B$5*ARCH_AG!O80)/(ARCH_AG!O80*(INPUTS!$B$6-0.85*INPUTS!$B$5)))</f>
        <v/>
      </c>
      <c r="P80" s="12" t="str">
        <f aca="false">IF(TRIB!P80="","",(PU!P80/(INPUTS!$B$8*INPUTS!$B$7)-0.85*INPUTS!$B$5*ARCH_AG!P80)/(ARCH_AG!P80*(INPUTS!$B$6-0.85*INPUTS!$B$5)))</f>
        <v/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12" t="n">
        <f aca="false">IF(TRIB!E81="","",(PU!E81/(INPUTS!$B$8*INPUTS!$B$7)-0.85*INPUTS!$B$5*ARCH_AG!E81)/(ARCH_AG!E81*(INPUTS!$B$6-0.85*INPUTS!$B$5)))</f>
        <v>-0.0837843281490822</v>
      </c>
      <c r="F81" s="12" t="n">
        <f aca="false">IF(TRIB!F81="","",(PU!F81/(INPUTS!$B$8*INPUTS!$B$7)-0.85*INPUTS!$B$5*ARCH_AG!F81)/(ARCH_AG!F81*(INPUTS!$B$6-0.85*INPUTS!$B$5)))</f>
        <v>-0.0704875219902542</v>
      </c>
      <c r="G81" s="12" t="n">
        <f aca="false">IF(TRIB!G81="","",(PU!G81/(INPUTS!$B$8*INPUTS!$B$7)-0.85*INPUTS!$B$5*ARCH_AG!G81)/(ARCH_AG!G81*(INPUTS!$B$6-0.85*INPUTS!$B$5)))</f>
        <v>-0.0576781989008765</v>
      </c>
      <c r="H81" s="12" t="n">
        <f aca="false">IF(TRIB!H81="","",(PU!H81/(INPUTS!$B$8*INPUTS!$B$7)-0.85*INPUTS!$B$5*ARCH_AG!H81)/(ARCH_AG!H81*(INPUTS!$B$6-0.85*INPUTS!$B$5)))</f>
        <v>-0.0490839988790808</v>
      </c>
      <c r="I81" s="12" t="n">
        <f aca="false">IF(TRIB!I81="","",(PU!I81/(INPUTS!$B$8*INPUTS!$B$7)-0.85*INPUTS!$B$5*ARCH_AG!I81)/(ARCH_AG!I81*(INPUTS!$B$6-0.85*INPUTS!$B$5)))</f>
        <v>-0.0414363528093036</v>
      </c>
      <c r="J81" s="12" t="n">
        <f aca="false">IF(TRIB!J81="","",(PU!J81/(INPUTS!$B$8*INPUTS!$B$7)-0.85*INPUTS!$B$5*ARCH_AG!J81)/(ARCH_AG!J81*(INPUTS!$B$6-0.85*INPUTS!$B$5)))</f>
        <v>-0.0288158512202228</v>
      </c>
      <c r="K81" s="12" t="str">
        <f aca="false">IF(TRIB!K81="","",(PU!K81/(INPUTS!$B$8*INPUTS!$B$7)-0.85*INPUTS!$B$5*ARCH_AG!K81)/(ARCH_AG!K81*(INPUTS!$B$6-0.85*INPUTS!$B$5)))</f>
        <v/>
      </c>
      <c r="L81" s="12" t="str">
        <f aca="false">IF(TRIB!L81="","",(PU!L81/(INPUTS!$B$8*INPUTS!$B$7)-0.85*INPUTS!$B$5*ARCH_AG!L81)/(ARCH_AG!L81*(INPUTS!$B$6-0.85*INPUTS!$B$5)))</f>
        <v/>
      </c>
      <c r="M81" s="12" t="str">
        <f aca="false">IF(TRIB!M81="","",(PU!M81/(INPUTS!$B$8*INPUTS!$B$7)-0.85*INPUTS!$B$5*ARCH_AG!M81)/(ARCH_AG!M81*(INPUTS!$B$6-0.85*INPUTS!$B$5)))</f>
        <v/>
      </c>
      <c r="N81" s="12" t="str">
        <f aca="false">IF(TRIB!N81="","",(PU!N81/(INPUTS!$B$8*INPUTS!$B$7)-0.85*INPUTS!$B$5*ARCH_AG!N81)/(ARCH_AG!N81*(INPUTS!$B$6-0.85*INPUTS!$B$5)))</f>
        <v/>
      </c>
      <c r="O81" s="12" t="str">
        <f aca="false">IF(TRIB!O81="","",(PU!O81/(INPUTS!$B$8*INPUTS!$B$7)-0.85*INPUTS!$B$5*ARCH_AG!O81)/(ARCH_AG!O81*(INPUTS!$B$6-0.85*INPUTS!$B$5)))</f>
        <v/>
      </c>
      <c r="P81" s="12" t="str">
        <f aca="false">IF(TRIB!P81="","",(PU!P81/(INPUTS!$B$8*INPUTS!$B$7)-0.85*INPUTS!$B$5*ARCH_AG!P81)/(ARCH_AG!P81*(INPUTS!$B$6-0.85*INPUTS!$B$5)))</f>
        <v/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12" t="n">
        <f aca="false">IF(TRIB!E82="","",(PU!E82/(INPUTS!$B$8*INPUTS!$B$7)-0.85*INPUTS!$B$5*ARCH_AG!E82)/(ARCH_AG!E82*(INPUTS!$B$6-0.85*INPUTS!$B$5)))</f>
        <v>-0.0918509427730739</v>
      </c>
      <c r="F82" s="12" t="n">
        <f aca="false">IF(TRIB!F82="","",(PU!F82/(INPUTS!$B$8*INPUTS!$B$7)-0.85*INPUTS!$B$5*ARCH_AG!F82)/(ARCH_AG!F82*(INPUTS!$B$6-0.85*INPUTS!$B$5)))</f>
        <v>-0.0904816949898917</v>
      </c>
      <c r="G82" s="12" t="n">
        <f aca="false">IF(TRIB!G82="","",(PU!G82/(INPUTS!$B$8*INPUTS!$B$7)-0.85*INPUTS!$B$5*ARCH_AG!G82)/(ARCH_AG!G82*(INPUTS!$B$6-0.85*INPUTS!$B$5)))</f>
        <v>-0.0891862577313397</v>
      </c>
      <c r="H82" s="12" t="n">
        <f aca="false">IF(TRIB!H82="","",(PU!H82/(INPUTS!$B$8*INPUTS!$B$7)-0.85*INPUTS!$B$5*ARCH_AG!H82)/(ARCH_AG!H82*(INPUTS!$B$6-0.85*INPUTS!$B$5)))</f>
        <v>-0.088176054364579</v>
      </c>
      <c r="I82" s="12" t="n">
        <f aca="false">IF(TRIB!I82="","",(PU!I82/(INPUTS!$B$8*INPUTS!$B$7)-0.85*INPUTS!$B$5*ARCH_AG!I82)/(ARCH_AG!I82*(INPUTS!$B$6-0.85*INPUTS!$B$5)))</f>
        <v>-0.0872299035208871</v>
      </c>
      <c r="J82" s="12" t="n">
        <f aca="false">IF(TRIB!J82="","",(PU!J82/(INPUTS!$B$8*INPUTS!$B$7)-0.85*INPUTS!$B$5*ARCH_AG!J82)/(ARCH_AG!J82*(INPUTS!$B$6-0.85*INPUTS!$B$5)))</f>
        <v>-0.0809234683551623</v>
      </c>
      <c r="K82" s="12" t="str">
        <f aca="false">IF(TRIB!K82="","",(PU!K82/(INPUTS!$B$8*INPUTS!$B$7)-0.85*INPUTS!$B$5*ARCH_AG!K82)/(ARCH_AG!K82*(INPUTS!$B$6-0.85*INPUTS!$B$5)))</f>
        <v/>
      </c>
      <c r="L82" s="12" t="str">
        <f aca="false">IF(TRIB!L82="","",(PU!L82/(INPUTS!$B$8*INPUTS!$B$7)-0.85*INPUTS!$B$5*ARCH_AG!L82)/(ARCH_AG!L82*(INPUTS!$B$6-0.85*INPUTS!$B$5)))</f>
        <v/>
      </c>
      <c r="M82" s="12" t="str">
        <f aca="false">IF(TRIB!M82="","",(PU!M82/(INPUTS!$B$8*INPUTS!$B$7)-0.85*INPUTS!$B$5*ARCH_AG!M82)/(ARCH_AG!M82*(INPUTS!$B$6-0.85*INPUTS!$B$5)))</f>
        <v/>
      </c>
      <c r="N82" s="12" t="str">
        <f aca="false">IF(TRIB!N82="","",(PU!N82/(INPUTS!$B$8*INPUTS!$B$7)-0.85*INPUTS!$B$5*ARCH_AG!N82)/(ARCH_AG!N82*(INPUTS!$B$6-0.85*INPUTS!$B$5)))</f>
        <v/>
      </c>
      <c r="O82" s="12" t="str">
        <f aca="false">IF(TRIB!O82="","",(PU!O82/(INPUTS!$B$8*INPUTS!$B$7)-0.85*INPUTS!$B$5*ARCH_AG!O82)/(ARCH_AG!O82*(INPUTS!$B$6-0.85*INPUTS!$B$5)))</f>
        <v/>
      </c>
      <c r="P82" s="12" t="str">
        <f aca="false">IF(TRIB!P82="","",(PU!P82/(INPUTS!$B$8*INPUTS!$B$7)-0.85*INPUTS!$B$5*ARCH_AG!P82)/(ARCH_AG!P82*(INPUTS!$B$6-0.85*INPUTS!$B$5)))</f>
        <v/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12" t="n">
        <f aca="false">IF(TRIB!E83="","",(PU!E83/(INPUTS!$B$8*INPUTS!$B$7)-0.85*INPUTS!$B$5*ARCH_AG!E83)/(ARCH_AG!E83*(INPUTS!$B$6-0.85*INPUTS!$B$5)))</f>
        <v>-0.0861262485237895</v>
      </c>
      <c r="F83" s="12" t="n">
        <f aca="false">IF(TRIB!F83="","",(PU!F83/(INPUTS!$B$8*INPUTS!$B$7)-0.85*INPUTS!$B$5*ARCH_AG!F83)/(ARCH_AG!F83*(INPUTS!$B$6-0.85*INPUTS!$B$5)))</f>
        <v>-0.0758794433657822</v>
      </c>
      <c r="G83" s="12" t="n">
        <f aca="false">IF(TRIB!G83="","",(PU!G83/(INPUTS!$B$8*INPUTS!$B$7)-0.85*INPUTS!$B$5*ARCH_AG!G83)/(ARCH_AG!G83*(INPUTS!$B$6-0.85*INPUTS!$B$5)))</f>
        <v>-0.0668429362076903</v>
      </c>
      <c r="H83" s="12" t="n">
        <f aca="false">IF(TRIB!H83="","",(PU!H83/(INPUTS!$B$8*INPUTS!$B$7)-0.85*INPUTS!$B$5*ARCH_AG!H83)/(ARCH_AG!H83*(INPUTS!$B$6-0.85*INPUTS!$B$5)))</f>
        <v>-0.0595428529171699</v>
      </c>
      <c r="I83" s="12" t="n">
        <f aca="false">IF(TRIB!I83="","",(PU!I83/(INPUTS!$B$8*INPUTS!$B$7)-0.85*INPUTS!$B$5*ARCH_AG!I83)/(ARCH_AG!I83*(INPUTS!$B$6-0.85*INPUTS!$B$5)))</f>
        <v>-0.0529936075359573</v>
      </c>
      <c r="J83" s="12" t="n">
        <f aca="false">IF(TRIB!J83="","",(PU!J83/(INPUTS!$B$8*INPUTS!$B$7)-0.85*INPUTS!$B$5*ARCH_AG!J83)/(ARCH_AG!J83*(INPUTS!$B$6-0.85*INPUTS!$B$5)))</f>
        <v>-0.0475113481944083</v>
      </c>
      <c r="K83" s="12" t="str">
        <f aca="false">IF(TRIB!K83="","",(PU!K83/(INPUTS!$B$8*INPUTS!$B$7)-0.85*INPUTS!$B$5*ARCH_AG!K83)/(ARCH_AG!K83*(INPUTS!$B$6-0.85*INPUTS!$B$5)))</f>
        <v/>
      </c>
      <c r="L83" s="12" t="str">
        <f aca="false">IF(TRIB!L83="","",(PU!L83/(INPUTS!$B$8*INPUTS!$B$7)-0.85*INPUTS!$B$5*ARCH_AG!L83)/(ARCH_AG!L83*(INPUTS!$B$6-0.85*INPUTS!$B$5)))</f>
        <v/>
      </c>
      <c r="M83" s="12" t="str">
        <f aca="false">IF(TRIB!M83="","",(PU!M83/(INPUTS!$B$8*INPUTS!$B$7)-0.85*INPUTS!$B$5*ARCH_AG!M83)/(ARCH_AG!M83*(INPUTS!$B$6-0.85*INPUTS!$B$5)))</f>
        <v/>
      </c>
      <c r="N83" s="12" t="str">
        <f aca="false">IF(TRIB!N83="","",(PU!N83/(INPUTS!$B$8*INPUTS!$B$7)-0.85*INPUTS!$B$5*ARCH_AG!N83)/(ARCH_AG!N83*(INPUTS!$B$6-0.85*INPUTS!$B$5)))</f>
        <v/>
      </c>
      <c r="O83" s="12" t="str">
        <f aca="false">IF(TRIB!O83="","",(PU!O83/(INPUTS!$B$8*INPUTS!$B$7)-0.85*INPUTS!$B$5*ARCH_AG!O83)/(ARCH_AG!O83*(INPUTS!$B$6-0.85*INPUTS!$B$5)))</f>
        <v/>
      </c>
      <c r="P83" s="12" t="str">
        <f aca="false">IF(TRIB!P83="","",(PU!P83/(INPUTS!$B$8*INPUTS!$B$7)-0.85*INPUTS!$B$5*ARCH_AG!P83)/(ARCH_AG!P83*(INPUTS!$B$6-0.85*INPUTS!$B$5)))</f>
        <v/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12" t="n">
        <f aca="false">IF(TRIB!E84="","",(PU!E84/(INPUTS!$B$8*INPUTS!$B$7)-0.85*INPUTS!$B$5*ARCH_AG!E84)/(ARCH_AG!E84*(INPUTS!$B$6-0.85*INPUTS!$B$5)))</f>
        <v>-0.0912817260153326</v>
      </c>
      <c r="F84" s="12" t="n">
        <f aca="false">IF(TRIB!F84="","",(PU!F84/(INPUTS!$B$8*INPUTS!$B$7)-0.85*INPUTS!$B$5*ARCH_AG!F84)/(ARCH_AG!F84*(INPUTS!$B$6-0.85*INPUTS!$B$5)))</f>
        <v>-0.0890708158467721</v>
      </c>
      <c r="G84" s="12" t="n">
        <f aca="false">IF(TRIB!G84="","",(PU!G84/(INPUTS!$B$8*INPUTS!$B$7)-0.85*INPUTS!$B$5*ARCH_AG!G84)/(ARCH_AG!G84*(INPUTS!$B$6-0.85*INPUTS!$B$5)))</f>
        <v>-0.0758900770854323</v>
      </c>
      <c r="H84" s="12" t="n">
        <f aca="false">IF(TRIB!H84="","",(PU!H84/(INPUTS!$B$8*INPUTS!$B$7)-0.85*INPUTS!$B$5*ARCH_AG!H84)/(ARCH_AG!H84*(INPUTS!$B$6-0.85*INPUTS!$B$5)))</f>
        <v>-0.0670512320102484</v>
      </c>
      <c r="I84" s="12" t="n">
        <f aca="false">IF(TRIB!I84="","",(PU!I84/(INPUTS!$B$8*INPUTS!$B$7)-0.85*INPUTS!$B$5*ARCH_AG!I84)/(ARCH_AG!I84*(INPUTS!$B$6-0.85*INPUTS!$B$5)))</f>
        <v>-0.0591730079776528</v>
      </c>
      <c r="J84" s="12" t="n">
        <f aca="false">IF(TRIB!J84="","",(PU!J84/(INPUTS!$B$8*INPUTS!$B$7)-0.85*INPUTS!$B$5*ARCH_AG!J84)/(ARCH_AG!J84*(INPUTS!$B$6-0.85*INPUTS!$B$5)))</f>
        <v>-0.0499720326223058</v>
      </c>
      <c r="K84" s="12" t="str">
        <f aca="false">IF(TRIB!K84="","",(PU!K84/(INPUTS!$B$8*INPUTS!$B$7)-0.85*INPUTS!$B$5*ARCH_AG!K84)/(ARCH_AG!K84*(INPUTS!$B$6-0.85*INPUTS!$B$5)))</f>
        <v/>
      </c>
      <c r="L84" s="12" t="str">
        <f aca="false">IF(TRIB!L84="","",(PU!L84/(INPUTS!$B$8*INPUTS!$B$7)-0.85*INPUTS!$B$5*ARCH_AG!L84)/(ARCH_AG!L84*(INPUTS!$B$6-0.85*INPUTS!$B$5)))</f>
        <v/>
      </c>
      <c r="M84" s="12" t="str">
        <f aca="false">IF(TRIB!M84="","",(PU!M84/(INPUTS!$B$8*INPUTS!$B$7)-0.85*INPUTS!$B$5*ARCH_AG!M84)/(ARCH_AG!M84*(INPUTS!$B$6-0.85*INPUTS!$B$5)))</f>
        <v/>
      </c>
      <c r="N84" s="12" t="str">
        <f aca="false">IF(TRIB!N84="","",(PU!N84/(INPUTS!$B$8*INPUTS!$B$7)-0.85*INPUTS!$B$5*ARCH_AG!N84)/(ARCH_AG!N84*(INPUTS!$B$6-0.85*INPUTS!$B$5)))</f>
        <v/>
      </c>
      <c r="O84" s="12" t="str">
        <f aca="false">IF(TRIB!O84="","",(PU!O84/(INPUTS!$B$8*INPUTS!$B$7)-0.85*INPUTS!$B$5*ARCH_AG!O84)/(ARCH_AG!O84*(INPUTS!$B$6-0.85*INPUTS!$B$5)))</f>
        <v/>
      </c>
      <c r="P84" s="12" t="str">
        <f aca="false">IF(TRIB!P84="","",(PU!P84/(INPUTS!$B$8*INPUTS!$B$7)-0.85*INPUTS!$B$5*ARCH_AG!P84)/(ARCH_AG!P84*(INPUTS!$B$6-0.85*INPUTS!$B$5)))</f>
        <v/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12" t="n">
        <f aca="false">IF(TRIB!E85="","",(PU!E85/(INPUTS!$B$8*INPUTS!$B$7)-0.85*INPUTS!$B$5*ARCH_AG!E85)/(ARCH_AG!E85*(INPUTS!$B$6-0.85*INPUTS!$B$5)))</f>
        <v>-0.0849390250005004</v>
      </c>
      <c r="F85" s="12" t="n">
        <f aca="false">IF(TRIB!F85="","",(PU!F85/(INPUTS!$B$8*INPUTS!$B$7)-0.85*INPUTS!$B$5*ARCH_AG!F85)/(ARCH_AG!F85*(INPUTS!$B$6-0.85*INPUTS!$B$5)))</f>
        <v>-0.0733495911091539</v>
      </c>
      <c r="G85" s="12" t="n">
        <f aca="false">IF(TRIB!G85="","",(PU!G85/(INPUTS!$B$8*INPUTS!$B$7)-0.85*INPUTS!$B$5*ARCH_AG!G85)/(ARCH_AG!G85*(INPUTS!$B$6-0.85*INPUTS!$B$5)))</f>
        <v>-0.0612134589252076</v>
      </c>
      <c r="H85" s="12" t="n">
        <f aca="false">IF(TRIB!H85="","",(PU!H85/(INPUTS!$B$8*INPUTS!$B$7)-0.85*INPUTS!$B$5*ARCH_AG!H85)/(ARCH_AG!H85*(INPUTS!$B$6-0.85*INPUTS!$B$5)))</f>
        <v>-0.053062678062678</v>
      </c>
      <c r="I85" s="12" t="n">
        <f aca="false">IF(TRIB!I85="","",(PU!I85/(INPUTS!$B$8*INPUTS!$B$7)-0.85*INPUTS!$B$5*ARCH_AG!I85)/(ARCH_AG!I85*(INPUTS!$B$6-0.85*INPUTS!$B$5)))</f>
        <v>-0.0458068532863615</v>
      </c>
      <c r="J85" s="12" t="n">
        <f aca="false">IF(TRIB!J85="","",(PU!J85/(INPUTS!$B$8*INPUTS!$B$7)-0.85*INPUTS!$B$5*ARCH_AG!J85)/(ARCH_AG!J85*(INPUTS!$B$6-0.85*INPUTS!$B$5)))</f>
        <v>-0.0374555190812021</v>
      </c>
      <c r="K85" s="12" t="str">
        <f aca="false">IF(TRIB!K85="","",(PU!K85/(INPUTS!$B$8*INPUTS!$B$7)-0.85*INPUTS!$B$5*ARCH_AG!K85)/(ARCH_AG!K85*(INPUTS!$B$6-0.85*INPUTS!$B$5)))</f>
        <v/>
      </c>
      <c r="L85" s="12" t="str">
        <f aca="false">IF(TRIB!L85="","",(PU!L85/(INPUTS!$B$8*INPUTS!$B$7)-0.85*INPUTS!$B$5*ARCH_AG!L85)/(ARCH_AG!L85*(INPUTS!$B$6-0.85*INPUTS!$B$5)))</f>
        <v/>
      </c>
      <c r="M85" s="12" t="str">
        <f aca="false">IF(TRIB!M85="","",(PU!M85/(INPUTS!$B$8*INPUTS!$B$7)-0.85*INPUTS!$B$5*ARCH_AG!M85)/(ARCH_AG!M85*(INPUTS!$B$6-0.85*INPUTS!$B$5)))</f>
        <v/>
      </c>
      <c r="N85" s="12" t="str">
        <f aca="false">IF(TRIB!N85="","",(PU!N85/(INPUTS!$B$8*INPUTS!$B$7)-0.85*INPUTS!$B$5*ARCH_AG!N85)/(ARCH_AG!N85*(INPUTS!$B$6-0.85*INPUTS!$B$5)))</f>
        <v/>
      </c>
      <c r="O85" s="12" t="str">
        <f aca="false">IF(TRIB!O85="","",(PU!O85/(INPUTS!$B$8*INPUTS!$B$7)-0.85*INPUTS!$B$5*ARCH_AG!O85)/(ARCH_AG!O85*(INPUTS!$B$6-0.85*INPUTS!$B$5)))</f>
        <v/>
      </c>
      <c r="P85" s="12" t="str">
        <f aca="false">IF(TRIB!P85="","",(PU!P85/(INPUTS!$B$8*INPUTS!$B$7)-0.85*INPUTS!$B$5*ARCH_AG!P85)/(ARCH_AG!P85*(INPUTS!$B$6-0.85*INPUTS!$B$5)))</f>
        <v/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12" t="n">
        <f aca="false">IF(TRIB!E86="","",(PU!E86/(INPUTS!$B$8*INPUTS!$B$7)-0.85*INPUTS!$B$5*ARCH_AG!E86)/(ARCH_AG!E86*(INPUTS!$B$6-0.85*INPUTS!$B$5)))</f>
        <v>-0.0920135761324286</v>
      </c>
      <c r="F86" s="12" t="n">
        <f aca="false">IF(TRIB!F86="","",(PU!F86/(INPUTS!$B$8*INPUTS!$B$7)-0.85*INPUTS!$B$5*ARCH_AG!F86)/(ARCH_AG!F86*(INPUTS!$B$6-0.85*INPUTS!$B$5)))</f>
        <v>-0.0908848033164973</v>
      </c>
      <c r="G86" s="12" t="n">
        <f aca="false">IF(TRIB!G86="","",(PU!G86/(INPUTS!$B$8*INPUTS!$B$7)-0.85*INPUTS!$B$5*ARCH_AG!G86)/(ARCH_AG!G86*(INPUTS!$B$6-0.85*INPUTS!$B$5)))</f>
        <v>-0.0898215008529216</v>
      </c>
      <c r="H86" s="12" t="n">
        <f aca="false">IF(TRIB!H86="","",(PU!H86/(INPUTS!$B$8*INPUTS!$B$7)-0.85*INPUTS!$B$5*ARCH_AG!H86)/(ARCH_AG!H86*(INPUTS!$B$6-0.85*INPUTS!$B$5)))</f>
        <v>-0.0889642006445285</v>
      </c>
      <c r="I86" s="12" t="n">
        <f aca="false">IF(TRIB!I86="","",(PU!I86/(INPUTS!$B$8*INPUTS!$B$7)-0.85*INPUTS!$B$5*ARCH_AG!I86)/(ARCH_AG!I86*(INPUTS!$B$6-0.85*INPUTS!$B$5)))</f>
        <v>-0.0882145442596262</v>
      </c>
      <c r="J86" s="12" t="n">
        <f aca="false">IF(TRIB!J86="","",(PU!J86/(INPUTS!$B$8*INPUTS!$B$7)-0.85*INPUTS!$B$5*ARCH_AG!J86)/(ARCH_AG!J86*(INPUTS!$B$6-0.85*INPUTS!$B$5)))</f>
        <v>-0.0845944785835496</v>
      </c>
      <c r="K86" s="12" t="str">
        <f aca="false">IF(TRIB!K86="","",(PU!K86/(INPUTS!$B$8*INPUTS!$B$7)-0.85*INPUTS!$B$5*ARCH_AG!K86)/(ARCH_AG!K86*(INPUTS!$B$6-0.85*INPUTS!$B$5)))</f>
        <v/>
      </c>
      <c r="L86" s="12" t="str">
        <f aca="false">IF(TRIB!L86="","",(PU!L86/(INPUTS!$B$8*INPUTS!$B$7)-0.85*INPUTS!$B$5*ARCH_AG!L86)/(ARCH_AG!L86*(INPUTS!$B$6-0.85*INPUTS!$B$5)))</f>
        <v/>
      </c>
      <c r="M86" s="12" t="str">
        <f aca="false">IF(TRIB!M86="","",(PU!M86/(INPUTS!$B$8*INPUTS!$B$7)-0.85*INPUTS!$B$5*ARCH_AG!M86)/(ARCH_AG!M86*(INPUTS!$B$6-0.85*INPUTS!$B$5)))</f>
        <v/>
      </c>
      <c r="N86" s="12" t="str">
        <f aca="false">IF(TRIB!N86="","",(PU!N86/(INPUTS!$B$8*INPUTS!$B$7)-0.85*INPUTS!$B$5*ARCH_AG!N86)/(ARCH_AG!N86*(INPUTS!$B$6-0.85*INPUTS!$B$5)))</f>
        <v/>
      </c>
      <c r="O86" s="12" t="str">
        <f aca="false">IF(TRIB!O86="","",(PU!O86/(INPUTS!$B$8*INPUTS!$B$7)-0.85*INPUTS!$B$5*ARCH_AG!O86)/(ARCH_AG!O86*(INPUTS!$B$6-0.85*INPUTS!$B$5)))</f>
        <v/>
      </c>
      <c r="P86" s="12" t="str">
        <f aca="false">IF(TRIB!P86="","",(PU!P86/(INPUTS!$B$8*INPUTS!$B$7)-0.85*INPUTS!$B$5*ARCH_AG!P86)/(ARCH_AG!P86*(INPUTS!$B$6-0.85*INPUTS!$B$5)))</f>
        <v/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12" t="n">
        <f aca="false">IF(TRIB!E87="","",(PU!E87/(INPUTS!$B$8*INPUTS!$B$7)-0.85*INPUTS!$B$5*ARCH_AG!E87)/(ARCH_AG!E87*(INPUTS!$B$6-0.85*INPUTS!$B$5)))</f>
        <v>-0.0837843281490822</v>
      </c>
      <c r="F87" s="12" t="n">
        <f aca="false">IF(TRIB!F87="","",(PU!F87/(INPUTS!$B$8*INPUTS!$B$7)-0.85*INPUTS!$B$5*ARCH_AG!F87)/(ARCH_AG!F87*(INPUTS!$B$6-0.85*INPUTS!$B$5)))</f>
        <v>-0.0704875219902542</v>
      </c>
      <c r="G87" s="12" t="n">
        <f aca="false">IF(TRIB!G87="","",(PU!G87/(INPUTS!$B$8*INPUTS!$B$7)-0.85*INPUTS!$B$5*ARCH_AG!G87)/(ARCH_AG!G87*(INPUTS!$B$6-0.85*INPUTS!$B$5)))</f>
        <v>-0.0576781989008765</v>
      </c>
      <c r="H87" s="12" t="n">
        <f aca="false">IF(TRIB!H87="","",(PU!H87/(INPUTS!$B$8*INPUTS!$B$7)-0.85*INPUTS!$B$5*ARCH_AG!H87)/(ARCH_AG!H87*(INPUTS!$B$6-0.85*INPUTS!$B$5)))</f>
        <v>-0.0490839988790808</v>
      </c>
      <c r="I87" s="12" t="str">
        <f aca="false">IF(TRIB!I87="","",(PU!I87/(INPUTS!$B$8*INPUTS!$B$7)-0.85*INPUTS!$B$5*ARCH_AG!I87)/(ARCH_AG!I87*(INPUTS!$B$6-0.85*INPUTS!$B$5)))</f>
        <v/>
      </c>
      <c r="J87" s="12" t="str">
        <f aca="false">IF(TRIB!J87="","",(PU!J87/(INPUTS!$B$8*INPUTS!$B$7)-0.85*INPUTS!$B$5*ARCH_AG!J87)/(ARCH_AG!J87*(INPUTS!$B$6-0.85*INPUTS!$B$5)))</f>
        <v/>
      </c>
      <c r="K87" s="12" t="str">
        <f aca="false">IF(TRIB!K87="","",(PU!K87/(INPUTS!$B$8*INPUTS!$B$7)-0.85*INPUTS!$B$5*ARCH_AG!K87)/(ARCH_AG!K87*(INPUTS!$B$6-0.85*INPUTS!$B$5)))</f>
        <v/>
      </c>
      <c r="L87" s="12" t="str">
        <f aca="false">IF(TRIB!L87="","",(PU!L87/(INPUTS!$B$8*INPUTS!$B$7)-0.85*INPUTS!$B$5*ARCH_AG!L87)/(ARCH_AG!L87*(INPUTS!$B$6-0.85*INPUTS!$B$5)))</f>
        <v/>
      </c>
      <c r="M87" s="12" t="str">
        <f aca="false">IF(TRIB!M87="","",(PU!M87/(INPUTS!$B$8*INPUTS!$B$7)-0.85*INPUTS!$B$5*ARCH_AG!M87)/(ARCH_AG!M87*(INPUTS!$B$6-0.85*INPUTS!$B$5)))</f>
        <v/>
      </c>
      <c r="N87" s="12" t="str">
        <f aca="false">IF(TRIB!N87="","",(PU!N87/(INPUTS!$B$8*INPUTS!$B$7)-0.85*INPUTS!$B$5*ARCH_AG!N87)/(ARCH_AG!N87*(INPUTS!$B$6-0.85*INPUTS!$B$5)))</f>
        <v/>
      </c>
      <c r="O87" s="12" t="str">
        <f aca="false">IF(TRIB!O87="","",(PU!O87/(INPUTS!$B$8*INPUTS!$B$7)-0.85*INPUTS!$B$5*ARCH_AG!O87)/(ARCH_AG!O87*(INPUTS!$B$6-0.85*INPUTS!$B$5)))</f>
        <v/>
      </c>
      <c r="P87" s="12" t="str">
        <f aca="false">IF(TRIB!P87="","",(PU!P87/(INPUTS!$B$8*INPUTS!$B$7)-0.85*INPUTS!$B$5*ARCH_AG!P87)/(ARCH_AG!P87*(INPUTS!$B$6-0.85*INPUTS!$B$5)))</f>
        <v/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12" t="n">
        <f aca="false">IF(TRIB!E88="","",(PU!E88/(INPUTS!$B$8*INPUTS!$B$7)-0.85*INPUTS!$B$5*ARCH_AG!E88)/(ARCH_AG!E88*(INPUTS!$B$6-0.85*INPUTS!$B$5)))</f>
        <v>-0.0837843281490822</v>
      </c>
      <c r="F88" s="12" t="n">
        <f aca="false">IF(TRIB!F88="","",(PU!F88/(INPUTS!$B$8*INPUTS!$B$7)-0.85*INPUTS!$B$5*ARCH_AG!F88)/(ARCH_AG!F88*(INPUTS!$B$6-0.85*INPUTS!$B$5)))</f>
        <v>-0.0704875219902542</v>
      </c>
      <c r="G88" s="12" t="n">
        <f aca="false">IF(TRIB!G88="","",(PU!G88/(INPUTS!$B$8*INPUTS!$B$7)-0.85*INPUTS!$B$5*ARCH_AG!G88)/(ARCH_AG!G88*(INPUTS!$B$6-0.85*INPUTS!$B$5)))</f>
        <v>-0.0591779008787205</v>
      </c>
      <c r="H88" s="12" t="n">
        <f aca="false">IF(TRIB!H88="","",(PU!H88/(INPUTS!$B$8*INPUTS!$B$7)-0.85*INPUTS!$B$5*ARCH_AG!H88)/(ARCH_AG!H88*(INPUTS!$B$6-0.85*INPUTS!$B$5)))</f>
        <v>-0.0515191901803924</v>
      </c>
      <c r="I88" s="12" t="str">
        <f aca="false">IF(TRIB!I88="","",(PU!I88/(INPUTS!$B$8*INPUTS!$B$7)-0.85*INPUTS!$B$5*ARCH_AG!I88)/(ARCH_AG!I88*(INPUTS!$B$6-0.85*INPUTS!$B$5)))</f>
        <v/>
      </c>
      <c r="J88" s="12" t="str">
        <f aca="false">IF(TRIB!J88="","",(PU!J88/(INPUTS!$B$8*INPUTS!$B$7)-0.85*INPUTS!$B$5*ARCH_AG!J88)/(ARCH_AG!J88*(INPUTS!$B$6-0.85*INPUTS!$B$5)))</f>
        <v/>
      </c>
      <c r="K88" s="12" t="str">
        <f aca="false">IF(TRIB!K88="","",(PU!K88/(INPUTS!$B$8*INPUTS!$B$7)-0.85*INPUTS!$B$5*ARCH_AG!K88)/(ARCH_AG!K88*(INPUTS!$B$6-0.85*INPUTS!$B$5)))</f>
        <v/>
      </c>
      <c r="L88" s="12" t="str">
        <f aca="false">IF(TRIB!L88="","",(PU!L88/(INPUTS!$B$8*INPUTS!$B$7)-0.85*INPUTS!$B$5*ARCH_AG!L88)/(ARCH_AG!L88*(INPUTS!$B$6-0.85*INPUTS!$B$5)))</f>
        <v/>
      </c>
      <c r="M88" s="12" t="str">
        <f aca="false">IF(TRIB!M88="","",(PU!M88/(INPUTS!$B$8*INPUTS!$B$7)-0.85*INPUTS!$B$5*ARCH_AG!M88)/(ARCH_AG!M88*(INPUTS!$B$6-0.85*INPUTS!$B$5)))</f>
        <v/>
      </c>
      <c r="N88" s="12" t="str">
        <f aca="false">IF(TRIB!N88="","",(PU!N88/(INPUTS!$B$8*INPUTS!$B$7)-0.85*INPUTS!$B$5*ARCH_AG!N88)/(ARCH_AG!N88*(INPUTS!$B$6-0.85*INPUTS!$B$5)))</f>
        <v/>
      </c>
      <c r="O88" s="12" t="str">
        <f aca="false">IF(TRIB!O88="","",(PU!O88/(INPUTS!$B$8*INPUTS!$B$7)-0.85*INPUTS!$B$5*ARCH_AG!O88)/(ARCH_AG!O88*(INPUTS!$B$6-0.85*INPUTS!$B$5)))</f>
        <v/>
      </c>
      <c r="P88" s="12" t="str">
        <f aca="false">IF(TRIB!P88="","",(PU!P88/(INPUTS!$B$8*INPUTS!$B$7)-0.85*INPUTS!$B$5*ARCH_AG!P88)/(ARCH_AG!P88*(INPUTS!$B$6-0.85*INPUTS!$B$5)))</f>
        <v/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12" t="n">
        <f aca="false">IF(TRIB!E89="","",(PU!E89/(INPUTS!$B$8*INPUTS!$B$7)-0.85*INPUTS!$B$5*ARCH_AG!E89)/(ARCH_AG!E89*(INPUTS!$B$6-0.85*INPUTS!$B$5)))</f>
        <v>-0.0832476380632118</v>
      </c>
      <c r="F89" s="12" t="n">
        <f aca="false">IF(TRIB!F89="","",(PU!F89/(INPUTS!$B$8*INPUTS!$B$7)-0.85*INPUTS!$B$5*ARCH_AG!F89)/(ARCH_AG!F89*(INPUTS!$B$6-0.85*INPUTS!$B$5)))</f>
        <v>-0.0688445080521583</v>
      </c>
      <c r="G89" s="12" t="n">
        <f aca="false">IF(TRIB!G89="","",(PU!G89/(INPUTS!$B$8*INPUTS!$B$7)-0.85*INPUTS!$B$5*ARCH_AG!G89)/(ARCH_AG!G89*(INPUTS!$B$6-0.85*INPUTS!$B$5)))</f>
        <v>-0.0598544278530617</v>
      </c>
      <c r="H89" s="12" t="n">
        <f aca="false">IF(TRIB!H89="","",(PU!H89/(INPUTS!$B$8*INPUTS!$B$7)-0.85*INPUTS!$B$5*ARCH_AG!H89)/(ARCH_AG!H89*(INPUTS!$B$6-0.85*INPUTS!$B$5)))</f>
        <v>-0.0525543445625413</v>
      </c>
      <c r="I89" s="12" t="n">
        <f aca="false">IF(TRIB!I89="","",(PU!I89/(INPUTS!$B$8*INPUTS!$B$7)-0.85*INPUTS!$B$5*ARCH_AG!I89)/(ARCH_AG!I89*(INPUTS!$B$6-0.85*INPUTS!$B$5)))</f>
        <v>-0.0460050991813287</v>
      </c>
      <c r="J89" s="12" t="n">
        <f aca="false">IF(TRIB!J89="","",(PU!J89/(INPUTS!$B$8*INPUTS!$B$7)-0.85*INPUTS!$B$5*ARCH_AG!J89)/(ARCH_AG!J89*(INPUTS!$B$6-0.85*INPUTS!$B$5)))</f>
        <v>-0.0398304387375426</v>
      </c>
      <c r="K89" s="12" t="str">
        <f aca="false">IF(TRIB!K89="","",(PU!K89/(INPUTS!$B$8*INPUTS!$B$7)-0.85*INPUTS!$B$5*ARCH_AG!K89)/(ARCH_AG!K89*(INPUTS!$B$6-0.85*INPUTS!$B$5)))</f>
        <v/>
      </c>
      <c r="L89" s="12" t="str">
        <f aca="false">IF(TRIB!L89="","",(PU!L89/(INPUTS!$B$8*INPUTS!$B$7)-0.85*INPUTS!$B$5*ARCH_AG!L89)/(ARCH_AG!L89*(INPUTS!$B$6-0.85*INPUTS!$B$5)))</f>
        <v/>
      </c>
      <c r="M89" s="12" t="str">
        <f aca="false">IF(TRIB!M89="","",(PU!M89/(INPUTS!$B$8*INPUTS!$B$7)-0.85*INPUTS!$B$5*ARCH_AG!M89)/(ARCH_AG!M89*(INPUTS!$B$6-0.85*INPUTS!$B$5)))</f>
        <v/>
      </c>
      <c r="N89" s="12" t="str">
        <f aca="false">IF(TRIB!N89="","",(PU!N89/(INPUTS!$B$8*INPUTS!$B$7)-0.85*INPUTS!$B$5*ARCH_AG!N89)/(ARCH_AG!N89*(INPUTS!$B$6-0.85*INPUTS!$B$5)))</f>
        <v/>
      </c>
      <c r="O89" s="12" t="str">
        <f aca="false">IF(TRIB!O89="","",(PU!O89/(INPUTS!$B$8*INPUTS!$B$7)-0.85*INPUTS!$B$5*ARCH_AG!O89)/(ARCH_AG!O89*(INPUTS!$B$6-0.85*INPUTS!$B$5)))</f>
        <v/>
      </c>
      <c r="P89" s="12" t="str">
        <f aca="false">IF(TRIB!P89="","",(PU!P89/(INPUTS!$B$8*INPUTS!$B$7)-0.85*INPUTS!$B$5*ARCH_AG!P89)/(ARCH_AG!P89*(INPUTS!$B$6-0.85*INPUTS!$B$5)))</f>
        <v/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12" t="n">
        <f aca="false">IF(TRIB!E90="","",(PU!E90/(INPUTS!$B$8*INPUTS!$B$7)-0.85*INPUTS!$B$5*ARCH_AG!E90)/(ARCH_AG!E90*(INPUTS!$B$6-0.85*INPUTS!$B$5)))</f>
        <v>-0.0920948928121059</v>
      </c>
      <c r="F90" s="12" t="n">
        <f aca="false">IF(TRIB!F90="","",(PU!F90/(INPUTS!$B$8*INPUTS!$B$7)-0.85*INPUTS!$B$5*ARCH_AG!F90)/(ARCH_AG!F90*(INPUTS!$B$6-0.85*INPUTS!$B$5)))</f>
        <v>-0.0910863574798001</v>
      </c>
      <c r="G90" s="12" t="n">
        <f aca="false">IF(TRIB!G90="","",(PU!G90/(INPUTS!$B$8*INPUTS!$B$7)-0.85*INPUTS!$B$5*ARCH_AG!G90)/(ARCH_AG!G90*(INPUTS!$B$6-0.85*INPUTS!$B$5)))</f>
        <v>-0.0901391224137126</v>
      </c>
      <c r="H90" s="12" t="n">
        <f aca="false">IF(TRIB!H90="","",(PU!H90/(INPUTS!$B$8*INPUTS!$B$7)-0.85*INPUTS!$B$5*ARCH_AG!H90)/(ARCH_AG!H90*(INPUTS!$B$6-0.85*INPUTS!$B$5)))</f>
        <v>-0.0893582737845033</v>
      </c>
      <c r="I90" s="12" t="n">
        <f aca="false">IF(TRIB!I90="","",(PU!I90/(INPUTS!$B$8*INPUTS!$B$7)-0.85*INPUTS!$B$5*ARCH_AG!I90)/(ARCH_AG!I90*(INPUTS!$B$6-0.85*INPUTS!$B$5)))</f>
        <v>-0.0886147891270842</v>
      </c>
      <c r="J90" s="12" t="n">
        <f aca="false">IF(TRIB!J90="","",(PU!J90/(INPUTS!$B$8*INPUTS!$B$7)-0.85*INPUTS!$B$5*ARCH_AG!J90)/(ARCH_AG!J90*(INPUTS!$B$6-0.85*INPUTS!$B$5)))</f>
        <v>-0.0854805662865772</v>
      </c>
      <c r="K90" s="12" t="str">
        <f aca="false">IF(TRIB!K90="","",(PU!K90/(INPUTS!$B$8*INPUTS!$B$7)-0.85*INPUTS!$B$5*ARCH_AG!K90)/(ARCH_AG!K90*(INPUTS!$B$6-0.85*INPUTS!$B$5)))</f>
        <v/>
      </c>
      <c r="L90" s="12" t="str">
        <f aca="false">IF(TRIB!L90="","",(PU!L90/(INPUTS!$B$8*INPUTS!$B$7)-0.85*INPUTS!$B$5*ARCH_AG!L90)/(ARCH_AG!L90*(INPUTS!$B$6-0.85*INPUTS!$B$5)))</f>
        <v/>
      </c>
      <c r="M90" s="12" t="str">
        <f aca="false">IF(TRIB!M90="","",(PU!M90/(INPUTS!$B$8*INPUTS!$B$7)-0.85*INPUTS!$B$5*ARCH_AG!M90)/(ARCH_AG!M90*(INPUTS!$B$6-0.85*INPUTS!$B$5)))</f>
        <v/>
      </c>
      <c r="N90" s="12" t="str">
        <f aca="false">IF(TRIB!N90="","",(PU!N90/(INPUTS!$B$8*INPUTS!$B$7)-0.85*INPUTS!$B$5*ARCH_AG!N90)/(ARCH_AG!N90*(INPUTS!$B$6-0.85*INPUTS!$B$5)))</f>
        <v/>
      </c>
      <c r="O90" s="12" t="str">
        <f aca="false">IF(TRIB!O90="","",(PU!O90/(INPUTS!$B$8*INPUTS!$B$7)-0.85*INPUTS!$B$5*ARCH_AG!O90)/(ARCH_AG!O90*(INPUTS!$B$6-0.85*INPUTS!$B$5)))</f>
        <v/>
      </c>
      <c r="P90" s="12" t="str">
        <f aca="false">IF(TRIB!P90="","",(PU!P90/(INPUTS!$B$8*INPUTS!$B$7)-0.85*INPUTS!$B$5*ARCH_AG!P90)/(ARCH_AG!P90*(INPUTS!$B$6-0.85*INPUTS!$B$5)))</f>
        <v/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12" t="n">
        <f aca="false">IF(TRIB!E91="","",(PU!E91/(INPUTS!$B$8*INPUTS!$B$7)-0.85*INPUTS!$B$5*ARCH_AG!E91)/(ARCH_AG!E91*(INPUTS!$B$6-0.85*INPUTS!$B$5)))</f>
        <v>-0.0849390250005004</v>
      </c>
      <c r="F91" s="12" t="n">
        <f aca="false">IF(TRIB!F91="","",(PU!F91/(INPUTS!$B$8*INPUTS!$B$7)-0.85*INPUTS!$B$5*ARCH_AG!F91)/(ARCH_AG!F91*(INPUTS!$B$6-0.85*INPUTS!$B$5)))</f>
        <v>-0.0733495911091539</v>
      </c>
      <c r="G91" s="12" t="n">
        <f aca="false">IF(TRIB!G91="","",(PU!G91/(INPUTS!$B$8*INPUTS!$B$7)-0.85*INPUTS!$B$5*ARCH_AG!G91)/(ARCH_AG!G91*(INPUTS!$B$6-0.85*INPUTS!$B$5)))</f>
        <v>-0.0617009419946578</v>
      </c>
      <c r="H91" s="12" t="n">
        <f aca="false">IF(TRIB!H91="","",(PU!H91/(INPUTS!$B$8*INPUTS!$B$7)-0.85*INPUTS!$B$5*ARCH_AG!H91)/(ARCH_AG!H91*(INPUTS!$B$6-0.85*INPUTS!$B$5)))</f>
        <v>-0.0538712577647004</v>
      </c>
      <c r="I91" s="12" t="n">
        <f aca="false">IF(TRIB!I91="","",(PU!I91/(INPUTS!$B$8*INPUTS!$B$7)-0.85*INPUTS!$B$5*ARCH_AG!I91)/(ARCH_AG!I91*(INPUTS!$B$6-0.85*INPUTS!$B$5)))</f>
        <v>-0.046870364254244</v>
      </c>
      <c r="J91" s="12" t="n">
        <f aca="false">IF(TRIB!J91="","",(PU!J91/(INPUTS!$B$8*INPUTS!$B$7)-0.85*INPUTS!$B$5*ARCH_AG!J91)/(ARCH_AG!J91*(INPUTS!$B$6-0.85*INPUTS!$B$5)))</f>
        <v>-0.0412736221479391</v>
      </c>
      <c r="K91" s="12" t="str">
        <f aca="false">IF(TRIB!K91="","",(PU!K91/(INPUTS!$B$8*INPUTS!$B$7)-0.85*INPUTS!$B$5*ARCH_AG!K91)/(ARCH_AG!K91*(INPUTS!$B$6-0.85*INPUTS!$B$5)))</f>
        <v/>
      </c>
      <c r="L91" s="12" t="str">
        <f aca="false">IF(TRIB!L91="","",(PU!L91/(INPUTS!$B$8*INPUTS!$B$7)-0.85*INPUTS!$B$5*ARCH_AG!L91)/(ARCH_AG!L91*(INPUTS!$B$6-0.85*INPUTS!$B$5)))</f>
        <v/>
      </c>
      <c r="M91" s="12" t="str">
        <f aca="false">IF(TRIB!M91="","",(PU!M91/(INPUTS!$B$8*INPUTS!$B$7)-0.85*INPUTS!$B$5*ARCH_AG!M91)/(ARCH_AG!M91*(INPUTS!$B$6-0.85*INPUTS!$B$5)))</f>
        <v/>
      </c>
      <c r="N91" s="12" t="str">
        <f aca="false">IF(TRIB!N91="","",(PU!N91/(INPUTS!$B$8*INPUTS!$B$7)-0.85*INPUTS!$B$5*ARCH_AG!N91)/(ARCH_AG!N91*(INPUTS!$B$6-0.85*INPUTS!$B$5)))</f>
        <v/>
      </c>
      <c r="O91" s="12" t="str">
        <f aca="false">IF(TRIB!O91="","",(PU!O91/(INPUTS!$B$8*INPUTS!$B$7)-0.85*INPUTS!$B$5*ARCH_AG!O91)/(ARCH_AG!O91*(INPUTS!$B$6-0.85*INPUTS!$B$5)))</f>
        <v/>
      </c>
      <c r="P91" s="12" t="str">
        <f aca="false">IF(TRIB!P91="","",(PU!P91/(INPUTS!$B$8*INPUTS!$B$7)-0.85*INPUTS!$B$5*ARCH_AG!P91)/(ARCH_AG!P91*(INPUTS!$B$6-0.85*INPUTS!$B$5)))</f>
        <v/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12" t="n">
        <f aca="false">IF(TRIB!E92="","",(PU!E92/(INPUTS!$B$8*INPUTS!$B$7)-0.85*INPUTS!$B$5*ARCH_AG!E92)/(ARCH_AG!E92*(INPUTS!$B$6-0.85*INPUTS!$B$5)))</f>
        <v>-0.0827760013210833</v>
      </c>
      <c r="F92" s="12" t="n">
        <f aca="false">IF(TRIB!F92="","",(PU!F92/(INPUTS!$B$8*INPUTS!$B$7)-0.85*INPUTS!$B$5*ARCH_AG!F92)/(ARCH_AG!F92*(INPUTS!$B$6-0.85*INPUTS!$B$5)))</f>
        <v>-0.0679882503652995</v>
      </c>
      <c r="G92" s="12" t="n">
        <f aca="false">IF(TRIB!G92="","",(PU!G92/(INPUTS!$B$8*INPUTS!$B$7)-0.85*INPUTS!$B$5*ARCH_AG!G92)/(ARCH_AG!G92*(INPUTS!$B$6-0.85*INPUTS!$B$5)))</f>
        <v>-0.0537396915470686</v>
      </c>
      <c r="H92" s="12" t="n">
        <f aca="false">IF(TRIB!H92="","",(PU!H92/(INPUTS!$B$8*INPUTS!$B$7)-0.85*INPUTS!$B$5*ARCH_AG!H92)/(ARCH_AG!H92*(INPUTS!$B$6-0.85*INPUTS!$B$5)))</f>
        <v>-0.0441974919433936</v>
      </c>
      <c r="I92" s="12" t="n">
        <f aca="false">IF(TRIB!I92="","",(PU!I92/(INPUTS!$B$8*INPUTS!$B$7)-0.85*INPUTS!$B$5*ARCH_AG!I92)/(ARCH_AG!I92*(INPUTS!$B$6-0.85*INPUTS!$B$5)))</f>
        <v>-0.0357121589703557</v>
      </c>
      <c r="J92" s="12" t="str">
        <f aca="false">IF(TRIB!J92="","",(PU!J92/(INPUTS!$B$8*INPUTS!$B$7)-0.85*INPUTS!$B$5*ARCH_AG!J92)/(ARCH_AG!J92*(INPUTS!$B$6-0.85*INPUTS!$B$5)))</f>
        <v/>
      </c>
      <c r="K92" s="12" t="str">
        <f aca="false">IF(TRIB!K92="","",(PU!K92/(INPUTS!$B$8*INPUTS!$B$7)-0.85*INPUTS!$B$5*ARCH_AG!K92)/(ARCH_AG!K92*(INPUTS!$B$6-0.85*INPUTS!$B$5)))</f>
        <v/>
      </c>
      <c r="L92" s="12" t="str">
        <f aca="false">IF(TRIB!L92="","",(PU!L92/(INPUTS!$B$8*INPUTS!$B$7)-0.85*INPUTS!$B$5*ARCH_AG!L92)/(ARCH_AG!L92*(INPUTS!$B$6-0.85*INPUTS!$B$5)))</f>
        <v/>
      </c>
      <c r="M92" s="12" t="str">
        <f aca="false">IF(TRIB!M92="","",(PU!M92/(INPUTS!$B$8*INPUTS!$B$7)-0.85*INPUTS!$B$5*ARCH_AG!M92)/(ARCH_AG!M92*(INPUTS!$B$6-0.85*INPUTS!$B$5)))</f>
        <v/>
      </c>
      <c r="N92" s="12" t="str">
        <f aca="false">IF(TRIB!N92="","",(PU!N92/(INPUTS!$B$8*INPUTS!$B$7)-0.85*INPUTS!$B$5*ARCH_AG!N92)/(ARCH_AG!N92*(INPUTS!$B$6-0.85*INPUTS!$B$5)))</f>
        <v/>
      </c>
      <c r="O92" s="12" t="str">
        <f aca="false">IF(TRIB!O92="","",(PU!O92/(INPUTS!$B$8*INPUTS!$B$7)-0.85*INPUTS!$B$5*ARCH_AG!O92)/(ARCH_AG!O92*(INPUTS!$B$6-0.85*INPUTS!$B$5)))</f>
        <v/>
      </c>
      <c r="P92" s="12" t="str">
        <f aca="false">IF(TRIB!P92="","",(PU!P92/(INPUTS!$B$8*INPUTS!$B$7)-0.85*INPUTS!$B$5*ARCH_AG!P92)/(ARCH_AG!P92*(INPUTS!$B$6-0.85*INPUTS!$B$5)))</f>
        <v/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12" t="n">
        <f aca="false">IF(TRIB!E93="","",(PU!E93/(INPUTS!$B$8*INPUTS!$B$7)-0.85*INPUTS!$B$5*ARCH_AG!E93)/(ARCH_AG!E93*(INPUTS!$B$6-0.85*INPUTS!$B$5)))</f>
        <v>-0.0827760013210833</v>
      </c>
      <c r="F93" s="12" t="n">
        <f aca="false">IF(TRIB!F93="","",(PU!F93/(INPUTS!$B$8*INPUTS!$B$7)-0.85*INPUTS!$B$5*ARCH_AG!F93)/(ARCH_AG!F93*(INPUTS!$B$6-0.85*INPUTS!$B$5)))</f>
        <v>-0.0679882503652995</v>
      </c>
      <c r="G93" s="12" t="n">
        <f aca="false">IF(TRIB!G93="","",(PU!G93/(INPUTS!$B$8*INPUTS!$B$7)-0.85*INPUTS!$B$5*ARCH_AG!G93)/(ARCH_AG!G93*(INPUTS!$B$6-0.85*INPUTS!$B$5)))</f>
        <v>-0.0537485877308282</v>
      </c>
      <c r="H93" s="12" t="n">
        <f aca="false">IF(TRIB!H93="","",(PU!H93/(INPUTS!$B$8*INPUTS!$B$7)-0.85*INPUTS!$B$5*ARCH_AG!H93)/(ARCH_AG!H93*(INPUTS!$B$6-0.85*INPUTS!$B$5)))</f>
        <v>-0.0442063881271532</v>
      </c>
      <c r="I93" s="12" t="n">
        <f aca="false">IF(TRIB!I93="","",(PU!I93/(INPUTS!$B$8*INPUTS!$B$7)-0.85*INPUTS!$B$5*ARCH_AG!I93)/(ARCH_AG!I93*(INPUTS!$B$6-0.85*INPUTS!$B$5)))</f>
        <v>-0.0357210551541153</v>
      </c>
      <c r="J93" s="12" t="str">
        <f aca="false">IF(TRIB!J93="","",(PU!J93/(INPUTS!$B$8*INPUTS!$B$7)-0.85*INPUTS!$B$5*ARCH_AG!J93)/(ARCH_AG!J93*(INPUTS!$B$6-0.85*INPUTS!$B$5)))</f>
        <v/>
      </c>
      <c r="K93" s="12" t="str">
        <f aca="false">IF(TRIB!K93="","",(PU!K93/(INPUTS!$B$8*INPUTS!$B$7)-0.85*INPUTS!$B$5*ARCH_AG!K93)/(ARCH_AG!K93*(INPUTS!$B$6-0.85*INPUTS!$B$5)))</f>
        <v/>
      </c>
      <c r="L93" s="12" t="str">
        <f aca="false">IF(TRIB!L93="","",(PU!L93/(INPUTS!$B$8*INPUTS!$B$7)-0.85*INPUTS!$B$5*ARCH_AG!L93)/(ARCH_AG!L93*(INPUTS!$B$6-0.85*INPUTS!$B$5)))</f>
        <v/>
      </c>
      <c r="M93" s="12" t="str">
        <f aca="false">IF(TRIB!M93="","",(PU!M93/(INPUTS!$B$8*INPUTS!$B$7)-0.85*INPUTS!$B$5*ARCH_AG!M93)/(ARCH_AG!M93*(INPUTS!$B$6-0.85*INPUTS!$B$5)))</f>
        <v/>
      </c>
      <c r="N93" s="12" t="str">
        <f aca="false">IF(TRIB!N93="","",(PU!N93/(INPUTS!$B$8*INPUTS!$B$7)-0.85*INPUTS!$B$5*ARCH_AG!N93)/(ARCH_AG!N93*(INPUTS!$B$6-0.85*INPUTS!$B$5)))</f>
        <v/>
      </c>
      <c r="O93" s="12" t="str">
        <f aca="false">IF(TRIB!O93="","",(PU!O93/(INPUTS!$B$8*INPUTS!$B$7)-0.85*INPUTS!$B$5*ARCH_AG!O93)/(ARCH_AG!O93*(INPUTS!$B$6-0.85*INPUTS!$B$5)))</f>
        <v/>
      </c>
      <c r="P93" s="12" t="str">
        <f aca="false">IF(TRIB!P93="","",(PU!P93/(INPUTS!$B$8*INPUTS!$B$7)-0.85*INPUTS!$B$5*ARCH_AG!P93)/(ARCH_AG!P93*(INPUTS!$B$6-0.85*INPUTS!$B$5)))</f>
        <v/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12" t="n">
        <f aca="false">IF(TRIB!E94="","",(PU!E94/(INPUTS!$B$8*INPUTS!$B$7)-0.85*INPUTS!$B$5*ARCH_AG!E94)/(ARCH_AG!E94*(INPUTS!$B$6-0.85*INPUTS!$B$5)))</f>
        <v>-0.0923225795152025</v>
      </c>
      <c r="F94" s="12" t="n">
        <f aca="false">IF(TRIB!F94="","",(PU!F94/(INPUTS!$B$8*INPUTS!$B$7)-0.85*INPUTS!$B$5*ARCH_AG!F94)/(ARCH_AG!F94*(INPUTS!$B$6-0.85*INPUTS!$B$5)))</f>
        <v>-0.0916507091370479</v>
      </c>
      <c r="G94" s="12" t="n">
        <f aca="false">IF(TRIB!G94="","",(PU!G94/(INPUTS!$B$8*INPUTS!$B$7)-0.85*INPUTS!$B$5*ARCH_AG!G94)/(ARCH_AG!G94*(INPUTS!$B$6-0.85*INPUTS!$B$5)))</f>
        <v>-0.0890553170266285</v>
      </c>
      <c r="H94" s="12" t="n">
        <f aca="false">IF(TRIB!H94="","",(PU!H94/(INPUTS!$B$8*INPUTS!$B$7)-0.85*INPUTS!$B$5*ARCH_AG!H94)/(ARCH_AG!H94*(INPUTS!$B$6-0.85*INPUTS!$B$5)))</f>
        <v>-0.087188855973009</v>
      </c>
      <c r="I94" s="12" t="n">
        <f aca="false">IF(TRIB!I94="","",(PU!I94/(INPUTS!$B$8*INPUTS!$B$7)-0.85*INPUTS!$B$5*ARCH_AG!I94)/(ARCH_AG!I94*(INPUTS!$B$6-0.85*INPUTS!$B$5)))</f>
        <v>-0.0851692693564278</v>
      </c>
      <c r="J94" s="12" t="n">
        <f aca="false">IF(TRIB!J94="","",(PU!J94/(INPUTS!$B$8*INPUTS!$B$7)-0.85*INPUTS!$B$5*ARCH_AG!J94)/(ARCH_AG!J94*(INPUTS!$B$6-0.85*INPUTS!$B$5)))</f>
        <v>-0.0720461889860797</v>
      </c>
      <c r="K94" s="12" t="str">
        <f aca="false">IF(TRIB!K94="","",(PU!K94/(INPUTS!$B$8*INPUTS!$B$7)-0.85*INPUTS!$B$5*ARCH_AG!K94)/(ARCH_AG!K94*(INPUTS!$B$6-0.85*INPUTS!$B$5)))</f>
        <v/>
      </c>
      <c r="L94" s="12" t="str">
        <f aca="false">IF(TRIB!L94="","",(PU!L94/(INPUTS!$B$8*INPUTS!$B$7)-0.85*INPUTS!$B$5*ARCH_AG!L94)/(ARCH_AG!L94*(INPUTS!$B$6-0.85*INPUTS!$B$5)))</f>
        <v/>
      </c>
      <c r="M94" s="12" t="str">
        <f aca="false">IF(TRIB!M94="","",(PU!M94/(INPUTS!$B$8*INPUTS!$B$7)-0.85*INPUTS!$B$5*ARCH_AG!M94)/(ARCH_AG!M94*(INPUTS!$B$6-0.85*INPUTS!$B$5)))</f>
        <v/>
      </c>
      <c r="N94" s="12" t="str">
        <f aca="false">IF(TRIB!N94="","",(PU!N94/(INPUTS!$B$8*INPUTS!$B$7)-0.85*INPUTS!$B$5*ARCH_AG!N94)/(ARCH_AG!N94*(INPUTS!$B$6-0.85*INPUTS!$B$5)))</f>
        <v/>
      </c>
      <c r="O94" s="12" t="str">
        <f aca="false">IF(TRIB!O94="","",(PU!O94/(INPUTS!$B$8*INPUTS!$B$7)-0.85*INPUTS!$B$5*ARCH_AG!O94)/(ARCH_AG!O94*(INPUTS!$B$6-0.85*INPUTS!$B$5)))</f>
        <v/>
      </c>
      <c r="P94" s="12" t="str">
        <f aca="false">IF(TRIB!P94="","",(PU!P94/(INPUTS!$B$8*INPUTS!$B$7)-0.85*INPUTS!$B$5*ARCH_AG!P94)/(ARCH_AG!P94*(INPUTS!$B$6-0.85*INPUTS!$B$5)))</f>
        <v/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12" t="n">
        <f aca="false">IF(TRIB!E95="","",(PU!E95/(INPUTS!$B$8*INPUTS!$B$7)-0.85*INPUTS!$B$5*ARCH_AG!E95)/(ARCH_AG!E95*(INPUTS!$B$6-0.85*INPUTS!$B$5)))</f>
        <v>-0.0861262485237895</v>
      </c>
      <c r="F95" s="12" t="n">
        <f aca="false">IF(TRIB!F95="","",(PU!F95/(INPUTS!$B$8*INPUTS!$B$7)-0.85*INPUTS!$B$5*ARCH_AG!F95)/(ARCH_AG!F95*(INPUTS!$B$6-0.85*INPUTS!$B$5)))</f>
        <v>-0.0760796075003725</v>
      </c>
      <c r="G95" s="12" t="n">
        <f aca="false">IF(TRIB!G95="","",(PU!G95/(INPUTS!$B$8*INPUTS!$B$7)-0.85*INPUTS!$B$5*ARCH_AG!G95)/(ARCH_AG!G95*(INPUTS!$B$6-0.85*INPUTS!$B$5)))</f>
        <v>-0.0695805977568273</v>
      </c>
      <c r="H95" s="12" t="n">
        <f aca="false">IF(TRIB!H95="","",(PU!H95/(INPUTS!$B$8*INPUTS!$B$7)-0.85*INPUTS!$B$5*ARCH_AG!H95)/(ARCH_AG!H95*(INPUTS!$B$6-0.85*INPUTS!$B$5)))</f>
        <v>-0.0639707893806255</v>
      </c>
      <c r="I95" s="12" t="n">
        <f aca="false">IF(TRIB!I95="","",(PU!I95/(INPUTS!$B$8*INPUTS!$B$7)-0.85*INPUTS!$B$5*ARCH_AG!I95)/(ARCH_AG!I95*(INPUTS!$B$6-0.85*INPUTS!$B$5)))</f>
        <v>-0.0589267782915324</v>
      </c>
      <c r="J95" s="12" t="n">
        <f aca="false">IF(TRIB!J95="","",(PU!J95/(INPUTS!$B$8*INPUTS!$B$7)-0.85*INPUTS!$B$5*ARCH_AG!J95)/(ARCH_AG!J95*(INPUTS!$B$6-0.85*INPUTS!$B$5)))</f>
        <v>-0.0468924796110588</v>
      </c>
      <c r="K95" s="12" t="str">
        <f aca="false">IF(TRIB!K95="","",(PU!K95/(INPUTS!$B$8*INPUTS!$B$7)-0.85*INPUTS!$B$5*ARCH_AG!K95)/(ARCH_AG!K95*(INPUTS!$B$6-0.85*INPUTS!$B$5)))</f>
        <v/>
      </c>
      <c r="L95" s="12" t="str">
        <f aca="false">IF(TRIB!L95="","",(PU!L95/(INPUTS!$B$8*INPUTS!$B$7)-0.85*INPUTS!$B$5*ARCH_AG!L95)/(ARCH_AG!L95*(INPUTS!$B$6-0.85*INPUTS!$B$5)))</f>
        <v/>
      </c>
      <c r="M95" s="12" t="str">
        <f aca="false">IF(TRIB!M95="","",(PU!M95/(INPUTS!$B$8*INPUTS!$B$7)-0.85*INPUTS!$B$5*ARCH_AG!M95)/(ARCH_AG!M95*(INPUTS!$B$6-0.85*INPUTS!$B$5)))</f>
        <v/>
      </c>
      <c r="N95" s="12" t="str">
        <f aca="false">IF(TRIB!N95="","",(PU!N95/(INPUTS!$B$8*INPUTS!$B$7)-0.85*INPUTS!$B$5*ARCH_AG!N95)/(ARCH_AG!N95*(INPUTS!$B$6-0.85*INPUTS!$B$5)))</f>
        <v/>
      </c>
      <c r="O95" s="12" t="str">
        <f aca="false">IF(TRIB!O95="","",(PU!O95/(INPUTS!$B$8*INPUTS!$B$7)-0.85*INPUTS!$B$5*ARCH_AG!O95)/(ARCH_AG!O95*(INPUTS!$B$6-0.85*INPUTS!$B$5)))</f>
        <v/>
      </c>
      <c r="P95" s="12" t="str">
        <f aca="false">IF(TRIB!P95="","",(PU!P95/(INPUTS!$B$8*INPUTS!$B$7)-0.85*INPUTS!$B$5*ARCH_AG!P95)/(ARCH_AG!P95*(INPUTS!$B$6-0.85*INPUTS!$B$5)))</f>
        <v/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12" t="n">
        <f aca="false">IF(TRIB!E96="","",(PU!E96/(INPUTS!$B$8*INPUTS!$B$7)-0.85*INPUTS!$B$5*ARCH_AG!E96)/(ARCH_AG!E96*(INPUTS!$B$6-0.85*INPUTS!$B$5)))</f>
        <v>-0.0830362146960508</v>
      </c>
      <c r="F96" s="12" t="n">
        <f aca="false">IF(TRIB!F96="","",(PU!F96/(INPUTS!$B$8*INPUTS!$B$7)-0.85*INPUTS!$B$5*ARCH_AG!F96)/(ARCH_AG!F96*(INPUTS!$B$6-0.85*INPUTS!$B$5)))</f>
        <v>-0.0686332236878685</v>
      </c>
      <c r="G96" s="12" t="n">
        <f aca="false">IF(TRIB!G96="","",(PU!G96/(INPUTS!$B$8*INPUTS!$B$7)-0.85*INPUTS!$B$5*ARCH_AG!G96)/(ARCH_AG!G96*(INPUTS!$B$6-0.85*INPUTS!$B$5)))</f>
        <v>-0.0583309563842351</v>
      </c>
      <c r="H96" s="12" t="n">
        <f aca="false">IF(TRIB!H96="","",(PU!H96/(INPUTS!$B$8*INPUTS!$B$7)-0.85*INPUTS!$B$5*ARCH_AG!H96)/(ARCH_AG!H96*(INPUTS!$B$6-0.85*INPUTS!$B$5)))</f>
        <v>-0.0513881104728099</v>
      </c>
      <c r="I96" s="12" t="n">
        <f aca="false">IF(TRIB!I96="","",(PU!I96/(INPUTS!$B$8*INPUTS!$B$7)-0.85*INPUTS!$B$5*ARCH_AG!I96)/(ARCH_AG!I96*(INPUTS!$B$6-0.85*INPUTS!$B$5)))</f>
        <v>-0.0451708595492748</v>
      </c>
      <c r="J96" s="12" t="str">
        <f aca="false">IF(TRIB!J96="","",(PU!J96/(INPUTS!$B$8*INPUTS!$B$7)-0.85*INPUTS!$B$5*ARCH_AG!J96)/(ARCH_AG!J96*(INPUTS!$B$6-0.85*INPUTS!$B$5)))</f>
        <v/>
      </c>
      <c r="K96" s="12" t="str">
        <f aca="false">IF(TRIB!K96="","",(PU!K96/(INPUTS!$B$8*INPUTS!$B$7)-0.85*INPUTS!$B$5*ARCH_AG!K96)/(ARCH_AG!K96*(INPUTS!$B$6-0.85*INPUTS!$B$5)))</f>
        <v/>
      </c>
      <c r="L96" s="12" t="str">
        <f aca="false">IF(TRIB!L96="","",(PU!L96/(INPUTS!$B$8*INPUTS!$B$7)-0.85*INPUTS!$B$5*ARCH_AG!L96)/(ARCH_AG!L96*(INPUTS!$B$6-0.85*INPUTS!$B$5)))</f>
        <v/>
      </c>
      <c r="M96" s="12" t="str">
        <f aca="false">IF(TRIB!M96="","",(PU!M96/(INPUTS!$B$8*INPUTS!$B$7)-0.85*INPUTS!$B$5*ARCH_AG!M96)/(ARCH_AG!M96*(INPUTS!$B$6-0.85*INPUTS!$B$5)))</f>
        <v/>
      </c>
      <c r="N96" s="12" t="str">
        <f aca="false">IF(TRIB!N96="","",(PU!N96/(INPUTS!$B$8*INPUTS!$B$7)-0.85*INPUTS!$B$5*ARCH_AG!N96)/(ARCH_AG!N96*(INPUTS!$B$6-0.85*INPUTS!$B$5)))</f>
        <v/>
      </c>
      <c r="O96" s="12" t="str">
        <f aca="false">IF(TRIB!O96="","",(PU!O96/(INPUTS!$B$8*INPUTS!$B$7)-0.85*INPUTS!$B$5*ARCH_AG!O96)/(ARCH_AG!O96*(INPUTS!$B$6-0.85*INPUTS!$B$5)))</f>
        <v/>
      </c>
      <c r="P96" s="12" t="str">
        <f aca="false">IF(TRIB!P96="","",(PU!P96/(INPUTS!$B$8*INPUTS!$B$7)-0.85*INPUTS!$B$5*ARCH_AG!P96)/(ARCH_AG!P96*(INPUTS!$B$6-0.85*INPUTS!$B$5)))</f>
        <v/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12" t="n">
        <f aca="false">IF(TRIB!E97="","",(PU!E97/(INPUTS!$B$8*INPUTS!$B$7)-0.85*INPUTS!$B$5*ARCH_AG!E97)/(ARCH_AG!E97*(INPUTS!$B$6-0.85*INPUTS!$B$5)))</f>
        <v>-0.0838493814928241</v>
      </c>
      <c r="F97" s="12" t="n">
        <f aca="false">IF(TRIB!F97="","",(PU!F97/(INPUTS!$B$8*INPUTS!$B$7)-0.85*INPUTS!$B$5*ARCH_AG!F97)/(ARCH_AG!F97*(INPUTS!$B$6-0.85*INPUTS!$B$5)))</f>
        <v>-0.0706487653208965</v>
      </c>
      <c r="G97" s="12" t="n">
        <f aca="false">IF(TRIB!G97="","",(PU!G97/(INPUTS!$B$8*INPUTS!$B$7)-0.85*INPUTS!$B$5*ARCH_AG!G97)/(ARCH_AG!G97*(INPUTS!$B$6-0.85*INPUTS!$B$5)))</f>
        <v>-0.0579322961495093</v>
      </c>
      <c r="H97" s="12" t="n">
        <f aca="false">IF(TRIB!H97="","",(PU!H97/(INPUTS!$B$8*INPUTS!$B$7)-0.85*INPUTS!$B$5*ARCH_AG!H97)/(ARCH_AG!H97*(INPUTS!$B$6-0.85*INPUTS!$B$5)))</f>
        <v>-0.0493992573910607</v>
      </c>
      <c r="I97" s="12" t="n">
        <f aca="false">IF(TRIB!I97="","",(PU!I97/(INPUTS!$B$8*INPUTS!$B$7)-0.85*INPUTS!$B$5*ARCH_AG!I97)/(ARCH_AG!I97*(INPUTS!$B$6-0.85*INPUTS!$B$5)))</f>
        <v>-0.041791254940162</v>
      </c>
      <c r="J97" s="12" t="str">
        <f aca="false">IF(TRIB!J97="","",(PU!J97/(INPUTS!$B$8*INPUTS!$B$7)-0.85*INPUTS!$B$5*ARCH_AG!J97)/(ARCH_AG!J97*(INPUTS!$B$6-0.85*INPUTS!$B$5)))</f>
        <v/>
      </c>
      <c r="K97" s="12" t="str">
        <f aca="false">IF(TRIB!K97="","",(PU!K97/(INPUTS!$B$8*INPUTS!$B$7)-0.85*INPUTS!$B$5*ARCH_AG!K97)/(ARCH_AG!K97*(INPUTS!$B$6-0.85*INPUTS!$B$5)))</f>
        <v/>
      </c>
      <c r="L97" s="12" t="str">
        <f aca="false">IF(TRIB!L97="","",(PU!L97/(INPUTS!$B$8*INPUTS!$B$7)-0.85*INPUTS!$B$5*ARCH_AG!L97)/(ARCH_AG!L97*(INPUTS!$B$6-0.85*INPUTS!$B$5)))</f>
        <v/>
      </c>
      <c r="M97" s="12" t="str">
        <f aca="false">IF(TRIB!M97="","",(PU!M97/(INPUTS!$B$8*INPUTS!$B$7)-0.85*INPUTS!$B$5*ARCH_AG!M97)/(ARCH_AG!M97*(INPUTS!$B$6-0.85*INPUTS!$B$5)))</f>
        <v/>
      </c>
      <c r="N97" s="12" t="str">
        <f aca="false">IF(TRIB!N97="","",(PU!N97/(INPUTS!$B$8*INPUTS!$B$7)-0.85*INPUTS!$B$5*ARCH_AG!N97)/(ARCH_AG!N97*(INPUTS!$B$6-0.85*INPUTS!$B$5)))</f>
        <v/>
      </c>
      <c r="O97" s="12" t="str">
        <f aca="false">IF(TRIB!O97="","",(PU!O97/(INPUTS!$B$8*INPUTS!$B$7)-0.85*INPUTS!$B$5*ARCH_AG!O97)/(ARCH_AG!O97*(INPUTS!$B$6-0.85*INPUTS!$B$5)))</f>
        <v/>
      </c>
      <c r="P97" s="12" t="str">
        <f aca="false">IF(TRIB!P97="","",(PU!P97/(INPUTS!$B$8*INPUTS!$B$7)-0.85*INPUTS!$B$5*ARCH_AG!P97)/(ARCH_AG!P97*(INPUTS!$B$6-0.85*INPUTS!$B$5)))</f>
        <v/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12" t="n">
        <f aca="false">IF(TRIB!E98="","",(PU!E98/(INPUTS!$B$8*INPUTS!$B$7)-0.85*INPUTS!$B$5*ARCH_AG!E98)/(ARCH_AG!E98*(INPUTS!$B$6-0.85*INPUTS!$B$5)))</f>
        <v>-0.0881103755079165</v>
      </c>
      <c r="F98" s="12" t="n">
        <f aca="false">IF(TRIB!F98="","",(PU!F98/(INPUTS!$B$8*INPUTS!$B$7)-0.85*INPUTS!$B$5*ARCH_AG!F98)/(ARCH_AG!F98*(INPUTS!$B$6-0.85*INPUTS!$B$5)))</f>
        <v>-0.081210203477963</v>
      </c>
      <c r="G98" s="12" t="n">
        <f aca="false">IF(TRIB!G98="","",(PU!G98/(INPUTS!$B$8*INPUTS!$B$7)-0.85*INPUTS!$B$5*ARCH_AG!G98)/(ARCH_AG!G98*(INPUTS!$B$6-0.85*INPUTS!$B$5)))</f>
        <v>-0.0745756659349556</v>
      </c>
      <c r="H98" s="12" t="n">
        <f aca="false">IF(TRIB!H98="","",(PU!H98/(INPUTS!$B$8*INPUTS!$B$7)-0.85*INPUTS!$B$5*ARCH_AG!H98)/(ARCH_AG!H98*(INPUTS!$B$6-0.85*INPUTS!$B$5)))</f>
        <v>-0.0700486899257391</v>
      </c>
      <c r="I98" s="12" t="n">
        <f aca="false">IF(TRIB!I98="","",(PU!I98/(INPUTS!$B$8*INPUTS!$B$7)-0.85*INPUTS!$B$5*ARCH_AG!I98)/(ARCH_AG!I98*(INPUTS!$B$6-0.85*INPUTS!$B$5)))</f>
        <v>-0.0659949908925319</v>
      </c>
      <c r="J98" s="12" t="str">
        <f aca="false">IF(TRIB!J98="","",(PU!J98/(INPUTS!$B$8*INPUTS!$B$7)-0.85*INPUTS!$B$5*ARCH_AG!J98)/(ARCH_AG!J98*(INPUTS!$B$6-0.85*INPUTS!$B$5)))</f>
        <v/>
      </c>
      <c r="K98" s="12" t="str">
        <f aca="false">IF(TRIB!K98="","",(PU!K98/(INPUTS!$B$8*INPUTS!$B$7)-0.85*INPUTS!$B$5*ARCH_AG!K98)/(ARCH_AG!K98*(INPUTS!$B$6-0.85*INPUTS!$B$5)))</f>
        <v/>
      </c>
      <c r="L98" s="12" t="str">
        <f aca="false">IF(TRIB!L98="","",(PU!L98/(INPUTS!$B$8*INPUTS!$B$7)-0.85*INPUTS!$B$5*ARCH_AG!L98)/(ARCH_AG!L98*(INPUTS!$B$6-0.85*INPUTS!$B$5)))</f>
        <v/>
      </c>
      <c r="M98" s="12" t="str">
        <f aca="false">IF(TRIB!M98="","",(PU!M98/(INPUTS!$B$8*INPUTS!$B$7)-0.85*INPUTS!$B$5*ARCH_AG!M98)/(ARCH_AG!M98*(INPUTS!$B$6-0.85*INPUTS!$B$5)))</f>
        <v/>
      </c>
      <c r="N98" s="12" t="str">
        <f aca="false">IF(TRIB!N98="","",(PU!N98/(INPUTS!$B$8*INPUTS!$B$7)-0.85*INPUTS!$B$5*ARCH_AG!N98)/(ARCH_AG!N98*(INPUTS!$B$6-0.85*INPUTS!$B$5)))</f>
        <v/>
      </c>
      <c r="O98" s="12" t="str">
        <f aca="false">IF(TRIB!O98="","",(PU!O98/(INPUTS!$B$8*INPUTS!$B$7)-0.85*INPUTS!$B$5*ARCH_AG!O98)/(ARCH_AG!O98*(INPUTS!$B$6-0.85*INPUTS!$B$5)))</f>
        <v/>
      </c>
      <c r="P98" s="12" t="str">
        <f aca="false">IF(TRIB!P98="","",(PU!P98/(INPUTS!$B$8*INPUTS!$B$7)-0.85*INPUTS!$B$5*ARCH_AG!P98)/(ARCH_AG!P98*(INPUTS!$B$6-0.85*INPUTS!$B$5)))</f>
        <v/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12" t="n">
        <f aca="false">IF(TRIB!E99="","",(PU!E99/(INPUTS!$B$8*INPUTS!$B$7)-0.85*INPUTS!$B$5*ARCH_AG!E99)/(ARCH_AG!E99*(INPUTS!$B$6-0.85*INPUTS!$B$5)))</f>
        <v>-0.0812309844072139</v>
      </c>
      <c r="F99" s="12" t="n">
        <f aca="false">IF(TRIB!F99="","",(PU!F99/(INPUTS!$B$8*INPUTS!$B$7)-0.85*INPUTS!$B$5*ARCH_AG!F99)/(ARCH_AG!F99*(INPUTS!$B$6-0.85*INPUTS!$B$5)))</f>
        <v>-0.0641587212625464</v>
      </c>
      <c r="G99" s="12" t="n">
        <f aca="false">IF(TRIB!G99="","",(PU!G99/(INPUTS!$B$8*INPUTS!$B$7)-0.85*INPUTS!$B$5*ARCH_AG!G99)/(ARCH_AG!G99*(INPUTS!$B$6-0.85*INPUTS!$B$5)))</f>
        <v>-0.0477048818920404</v>
      </c>
      <c r="H99" s="12" t="n">
        <f aca="false">IF(TRIB!H99="","",(PU!H99/(INPUTS!$B$8*INPUTS!$B$7)-0.85*INPUTS!$B$5*ARCH_AG!H99)/(ARCH_AG!H99*(INPUTS!$B$6-0.85*INPUTS!$B$5)))</f>
        <v>-0.0367101022838728</v>
      </c>
      <c r="I99" s="12" t="n">
        <f aca="false">IF(TRIB!I99="","",(PU!I99/(INPUTS!$B$8*INPUTS!$B$7)-0.85*INPUTS!$B$5*ARCH_AG!I99)/(ARCH_AG!I99*(INPUTS!$B$6-0.85*INPUTS!$B$5)))</f>
        <v>-0.0269412167977742</v>
      </c>
      <c r="J99" s="12" t="str">
        <f aca="false">IF(TRIB!J99="","",(PU!J99/(INPUTS!$B$8*INPUTS!$B$7)-0.85*INPUTS!$B$5*ARCH_AG!J99)/(ARCH_AG!J99*(INPUTS!$B$6-0.85*INPUTS!$B$5)))</f>
        <v/>
      </c>
      <c r="K99" s="12" t="str">
        <f aca="false">IF(TRIB!K99="","",(PU!K99/(INPUTS!$B$8*INPUTS!$B$7)-0.85*INPUTS!$B$5*ARCH_AG!K99)/(ARCH_AG!K99*(INPUTS!$B$6-0.85*INPUTS!$B$5)))</f>
        <v/>
      </c>
      <c r="L99" s="12" t="str">
        <f aca="false">IF(TRIB!L99="","",(PU!L99/(INPUTS!$B$8*INPUTS!$B$7)-0.85*INPUTS!$B$5*ARCH_AG!L99)/(ARCH_AG!L99*(INPUTS!$B$6-0.85*INPUTS!$B$5)))</f>
        <v/>
      </c>
      <c r="M99" s="12" t="str">
        <f aca="false">IF(TRIB!M99="","",(PU!M99/(INPUTS!$B$8*INPUTS!$B$7)-0.85*INPUTS!$B$5*ARCH_AG!M99)/(ARCH_AG!M99*(INPUTS!$B$6-0.85*INPUTS!$B$5)))</f>
        <v/>
      </c>
      <c r="N99" s="12" t="str">
        <f aca="false">IF(TRIB!N99="","",(PU!N99/(INPUTS!$B$8*INPUTS!$B$7)-0.85*INPUTS!$B$5*ARCH_AG!N99)/(ARCH_AG!N99*(INPUTS!$B$6-0.85*INPUTS!$B$5)))</f>
        <v/>
      </c>
      <c r="O99" s="12" t="str">
        <f aca="false">IF(TRIB!O99="","",(PU!O99/(INPUTS!$B$8*INPUTS!$B$7)-0.85*INPUTS!$B$5*ARCH_AG!O99)/(ARCH_AG!O99*(INPUTS!$B$6-0.85*INPUTS!$B$5)))</f>
        <v/>
      </c>
      <c r="P99" s="12" t="str">
        <f aca="false">IF(TRIB!P99="","",(PU!P99/(INPUTS!$B$8*INPUTS!$B$7)-0.85*INPUTS!$B$5*ARCH_AG!P99)/(ARCH_AG!P99*(INPUTS!$B$6-0.85*INPUTS!$B$5)))</f>
        <v/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12" t="n">
        <f aca="false">IF(TRIB!E100="","",(PU!E100/(INPUTS!$B$8*INPUTS!$B$7)-0.85*INPUTS!$B$5*ARCH_AG!E100)/(ARCH_AG!E100*(INPUTS!$B$6-0.85*INPUTS!$B$5)))</f>
        <v>-0.0827597379851478</v>
      </c>
      <c r="F100" s="12" t="n">
        <f aca="false">IF(TRIB!F100="","",(PU!F100/(INPUTS!$B$8*INPUTS!$B$7)-0.85*INPUTS!$B$5*ARCH_AG!F100)/(ARCH_AG!F100*(INPUTS!$B$6-0.85*INPUTS!$B$5)))</f>
        <v>-0.067947939532639</v>
      </c>
      <c r="G100" s="12" t="n">
        <f aca="false">IF(TRIB!G100="","",(PU!G100/(INPUTS!$B$8*INPUTS!$B$7)-0.85*INPUTS!$B$5*ARCH_AG!G100)/(ARCH_AG!G100*(INPUTS!$B$6-0.85*INPUTS!$B$5)))</f>
        <v>-0.0536761672349104</v>
      </c>
      <c r="H100" s="12" t="n">
        <f aca="false">IF(TRIB!H100="","",(PU!H100/(INPUTS!$B$8*INPUTS!$B$7)-0.85*INPUTS!$B$5*ARCH_AG!H100)/(ARCH_AG!H100*(INPUTS!$B$6-0.85*INPUTS!$B$5)))</f>
        <v>-0.0441186773153986</v>
      </c>
      <c r="I100" s="12" t="n">
        <f aca="false">IF(TRIB!I100="","",(PU!I100/(INPUTS!$B$8*INPUTS!$B$7)-0.85*INPUTS!$B$5*ARCH_AG!I100)/(ARCH_AG!I100*(INPUTS!$B$6-0.85*INPUTS!$B$5)))</f>
        <v>-0.0356198332632759</v>
      </c>
      <c r="J100" s="12" t="str">
        <f aca="false">IF(TRIB!J100="","",(PU!J100/(INPUTS!$B$8*INPUTS!$B$7)-0.85*INPUTS!$B$5*ARCH_AG!J100)/(ARCH_AG!J100*(INPUTS!$B$6-0.85*INPUTS!$B$5)))</f>
        <v/>
      </c>
      <c r="K100" s="12" t="str">
        <f aca="false">IF(TRIB!K100="","",(PU!K100/(INPUTS!$B$8*INPUTS!$B$7)-0.85*INPUTS!$B$5*ARCH_AG!K100)/(ARCH_AG!K100*(INPUTS!$B$6-0.85*INPUTS!$B$5)))</f>
        <v/>
      </c>
      <c r="L100" s="12" t="str">
        <f aca="false">IF(TRIB!L100="","",(PU!L100/(INPUTS!$B$8*INPUTS!$B$7)-0.85*INPUTS!$B$5*ARCH_AG!L100)/(ARCH_AG!L100*(INPUTS!$B$6-0.85*INPUTS!$B$5)))</f>
        <v/>
      </c>
      <c r="M100" s="12" t="str">
        <f aca="false">IF(TRIB!M100="","",(PU!M100/(INPUTS!$B$8*INPUTS!$B$7)-0.85*INPUTS!$B$5*ARCH_AG!M100)/(ARCH_AG!M100*(INPUTS!$B$6-0.85*INPUTS!$B$5)))</f>
        <v/>
      </c>
      <c r="N100" s="12" t="str">
        <f aca="false">IF(TRIB!N100="","",(PU!N100/(INPUTS!$B$8*INPUTS!$B$7)-0.85*INPUTS!$B$5*ARCH_AG!N100)/(ARCH_AG!N100*(INPUTS!$B$6-0.85*INPUTS!$B$5)))</f>
        <v/>
      </c>
      <c r="O100" s="12" t="str">
        <f aca="false">IF(TRIB!O100="","",(PU!O100/(INPUTS!$B$8*INPUTS!$B$7)-0.85*INPUTS!$B$5*ARCH_AG!O100)/(ARCH_AG!O100*(INPUTS!$B$6-0.85*INPUTS!$B$5)))</f>
        <v/>
      </c>
      <c r="P100" s="12" t="str">
        <f aca="false">IF(TRIB!P100="","",(PU!P100/(INPUTS!$B$8*INPUTS!$B$7)-0.85*INPUTS!$B$5*ARCH_AG!P100)/(ARCH_AG!P100*(INPUTS!$B$6-0.85*INPUTS!$B$5)))</f>
        <v/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12" t="n">
        <f aca="false">IF(TRIB!E101="","",(PU!E101/(INPUTS!$B$8*INPUTS!$B$7)-0.85*INPUTS!$B$5*ARCH_AG!E101)/(ARCH_AG!E101*(INPUTS!$B$6-0.85*INPUTS!$B$5)))</f>
        <v>-0.0846625482895975</v>
      </c>
      <c r="F101" s="12" t="n">
        <f aca="false">IF(TRIB!F101="","",(PU!F101/(INPUTS!$B$8*INPUTS!$B$7)-0.85*INPUTS!$B$5*ARCH_AG!F101)/(ARCH_AG!F101*(INPUTS!$B$6-0.85*INPUTS!$B$5)))</f>
        <v>-0.0724391223025103</v>
      </c>
      <c r="G101" s="12" t="n">
        <f aca="false">IF(TRIB!G101="","",(PU!G101/(INPUTS!$B$8*INPUTS!$B$7)-0.85*INPUTS!$B$5*ARCH_AG!G101)/(ARCH_AG!G101*(INPUTS!$B$6-0.85*INPUTS!$B$5)))</f>
        <v>-0.0656722540260792</v>
      </c>
      <c r="H101" s="12" t="n">
        <f aca="false">IF(TRIB!H101="","",(PU!H101/(INPUTS!$B$8*INPUTS!$B$7)-0.85*INPUTS!$B$5*ARCH_AG!H101)/(ARCH_AG!H101*(INPUTS!$B$6-0.85*INPUTS!$B$5)))</f>
        <v>-0.0602792901290169</v>
      </c>
      <c r="I101" s="12" t="n">
        <f aca="false">IF(TRIB!I101="","",(PU!I101/(INPUTS!$B$8*INPUTS!$B$7)-0.85*INPUTS!$B$5*ARCH_AG!I101)/(ARCH_AG!I101*(INPUTS!$B$6-0.85*INPUTS!$B$5)))</f>
        <v>-0.0554254349677847</v>
      </c>
      <c r="J101" s="12" t="n">
        <f aca="false">IF(TRIB!J101="","",(PU!J101/(INPUTS!$B$8*INPUTS!$B$7)-0.85*INPUTS!$B$5*ARCH_AG!J101)/(ARCH_AG!J101*(INPUTS!$B$6-0.85*INPUTS!$B$5)))</f>
        <v>-0.0424046051095231</v>
      </c>
      <c r="K101" s="12" t="str">
        <f aca="false">IF(TRIB!K101="","",(PU!K101/(INPUTS!$B$8*INPUTS!$B$7)-0.85*INPUTS!$B$5*ARCH_AG!K101)/(ARCH_AG!K101*(INPUTS!$B$6-0.85*INPUTS!$B$5)))</f>
        <v/>
      </c>
      <c r="L101" s="12" t="str">
        <f aca="false">IF(TRIB!L101="","",(PU!L101/(INPUTS!$B$8*INPUTS!$B$7)-0.85*INPUTS!$B$5*ARCH_AG!L101)/(ARCH_AG!L101*(INPUTS!$B$6-0.85*INPUTS!$B$5)))</f>
        <v/>
      </c>
      <c r="M101" s="12" t="str">
        <f aca="false">IF(TRIB!M101="","",(PU!M101/(INPUTS!$B$8*INPUTS!$B$7)-0.85*INPUTS!$B$5*ARCH_AG!M101)/(ARCH_AG!M101*(INPUTS!$B$6-0.85*INPUTS!$B$5)))</f>
        <v/>
      </c>
      <c r="N101" s="12" t="str">
        <f aca="false">IF(TRIB!N101="","",(PU!N101/(INPUTS!$B$8*INPUTS!$B$7)-0.85*INPUTS!$B$5*ARCH_AG!N101)/(ARCH_AG!N101*(INPUTS!$B$6-0.85*INPUTS!$B$5)))</f>
        <v/>
      </c>
      <c r="O101" s="12" t="str">
        <f aca="false">IF(TRIB!O101="","",(PU!O101/(INPUTS!$B$8*INPUTS!$B$7)-0.85*INPUTS!$B$5*ARCH_AG!O101)/(ARCH_AG!O101*(INPUTS!$B$6-0.85*INPUTS!$B$5)))</f>
        <v/>
      </c>
      <c r="P101" s="12" t="str">
        <f aca="false">IF(TRIB!P101="","",(PU!P101/(INPUTS!$B$8*INPUTS!$B$7)-0.85*INPUTS!$B$5*ARCH_AG!P101)/(ARCH_AG!P101*(INPUTS!$B$6-0.85*INPUTS!$B$5)))</f>
        <v/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12" t="n">
        <f aca="false">IF(TRIB!E102="","",(PU!E102/(INPUTS!$B$8*INPUTS!$B$7)-0.85*INPUTS!$B$5*ARCH_AG!E102)/(ARCH_AG!E102*(INPUTS!$B$6-0.85*INPUTS!$B$5)))</f>
        <v>-0.0868906253127565</v>
      </c>
      <c r="F102" s="12" t="n">
        <f aca="false">IF(TRIB!F102="","",(PU!F102/(INPUTS!$B$8*INPUTS!$B$7)-0.85*INPUTS!$B$5*ARCH_AG!F102)/(ARCH_AG!F102*(INPUTS!$B$6-0.85*INPUTS!$B$5)))</f>
        <v>-0.0781868910284211</v>
      </c>
      <c r="G102" s="12" t="n">
        <f aca="false">IF(TRIB!G102="","",(PU!G102/(INPUTS!$B$8*INPUTS!$B$7)-0.85*INPUTS!$B$5*ARCH_AG!G102)/(ARCH_AG!G102*(INPUTS!$B$6-0.85*INPUTS!$B$5)))</f>
        <v>-0.0701595447155556</v>
      </c>
      <c r="H102" s="12" t="n">
        <f aca="false">IF(TRIB!H102="","",(PU!H102/(INPUTS!$B$8*INPUTS!$B$7)-0.85*INPUTS!$B$5*ARCH_AG!H102)/(ARCH_AG!H102*(INPUTS!$B$6-0.85*INPUTS!$B$5)))</f>
        <v>-0.0647151497561334</v>
      </c>
      <c r="I102" s="12" t="n">
        <f aca="false">IF(TRIB!I102="","",(PU!I102/(INPUTS!$B$8*INPUTS!$B$7)-0.85*INPUTS!$B$5*ARCH_AG!I102)/(ARCH_AG!I102*(INPUTS!$B$6-0.85*INPUTS!$B$5)))</f>
        <v>-0.0573859314638003</v>
      </c>
      <c r="J102" s="12" t="str">
        <f aca="false">IF(TRIB!J102="","",(PU!J102/(INPUTS!$B$8*INPUTS!$B$7)-0.85*INPUTS!$B$5*ARCH_AG!J102)/(ARCH_AG!J102*(INPUTS!$B$6-0.85*INPUTS!$B$5)))</f>
        <v/>
      </c>
      <c r="K102" s="12" t="str">
        <f aca="false">IF(TRIB!K102="","",(PU!K102/(INPUTS!$B$8*INPUTS!$B$7)-0.85*INPUTS!$B$5*ARCH_AG!K102)/(ARCH_AG!K102*(INPUTS!$B$6-0.85*INPUTS!$B$5)))</f>
        <v/>
      </c>
      <c r="L102" s="12" t="str">
        <f aca="false">IF(TRIB!L102="","",(PU!L102/(INPUTS!$B$8*INPUTS!$B$7)-0.85*INPUTS!$B$5*ARCH_AG!L102)/(ARCH_AG!L102*(INPUTS!$B$6-0.85*INPUTS!$B$5)))</f>
        <v/>
      </c>
      <c r="M102" s="12" t="str">
        <f aca="false">IF(TRIB!M102="","",(PU!M102/(INPUTS!$B$8*INPUTS!$B$7)-0.85*INPUTS!$B$5*ARCH_AG!M102)/(ARCH_AG!M102*(INPUTS!$B$6-0.85*INPUTS!$B$5)))</f>
        <v/>
      </c>
      <c r="N102" s="12" t="str">
        <f aca="false">IF(TRIB!N102="","",(PU!N102/(INPUTS!$B$8*INPUTS!$B$7)-0.85*INPUTS!$B$5*ARCH_AG!N102)/(ARCH_AG!N102*(INPUTS!$B$6-0.85*INPUTS!$B$5)))</f>
        <v/>
      </c>
      <c r="O102" s="12" t="str">
        <f aca="false">IF(TRIB!O102="","",(PU!O102/(INPUTS!$B$8*INPUTS!$B$7)-0.85*INPUTS!$B$5*ARCH_AG!O102)/(ARCH_AG!O102*(INPUTS!$B$6-0.85*INPUTS!$B$5)))</f>
        <v/>
      </c>
      <c r="P102" s="12" t="str">
        <f aca="false">IF(TRIB!P102="","",(PU!P102/(INPUTS!$B$8*INPUTS!$B$7)-0.85*INPUTS!$B$5*ARCH_AG!P102)/(ARCH_AG!P102*(INPUTS!$B$6-0.85*INPUTS!$B$5)))</f>
        <v/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12" t="n">
        <f aca="false">IF(TRIB!E103="","",(PU!E103/(INPUTS!$B$8*INPUTS!$B$7)-0.85*INPUTS!$B$5*ARCH_AG!E103)/(ARCH_AG!E103*(INPUTS!$B$6-0.85*INPUTS!$B$5)))</f>
        <v>-0.0848577083208231</v>
      </c>
      <c r="F103" s="12" t="n">
        <f aca="false">IF(TRIB!F103="","",(PU!F103/(INPUTS!$B$8*INPUTS!$B$7)-0.85*INPUTS!$B$5*ARCH_AG!F103)/(ARCH_AG!F103*(INPUTS!$B$6-0.85*INPUTS!$B$5)))</f>
        <v>-0.0731480369458512</v>
      </c>
      <c r="G103" s="12" t="n">
        <f aca="false">IF(TRIB!G103="","",(PU!G103/(INPUTS!$B$8*INPUTS!$B$7)-0.85*INPUTS!$B$5*ARCH_AG!G103)/(ARCH_AG!G103*(INPUTS!$B$6-0.85*INPUTS!$B$5)))</f>
        <v>-0.0618708035033172</v>
      </c>
      <c r="H103" s="12" t="n">
        <f aca="false">IF(TRIB!H103="","",(PU!H103/(INPUTS!$B$8*INPUTS!$B$7)-0.85*INPUTS!$B$5*ARCH_AG!H103)/(ARCH_AG!H103*(INPUTS!$B$6-0.85*INPUTS!$B$5)))</f>
        <v>-0.0542857643267479</v>
      </c>
      <c r="I103" s="12" t="n">
        <f aca="false">IF(TRIB!I103="","",(PU!I103/(INPUTS!$B$8*INPUTS!$B$7)-0.85*INPUTS!$B$5*ARCH_AG!I103)/(ARCH_AG!I103*(INPUTS!$B$6-0.85*INPUTS!$B$5)))</f>
        <v>-0.0435017130713852</v>
      </c>
      <c r="J103" s="12" t="str">
        <f aca="false">IF(TRIB!J103="","",(PU!J103/(INPUTS!$B$8*INPUTS!$B$7)-0.85*INPUTS!$B$5*ARCH_AG!J103)/(ARCH_AG!J103*(INPUTS!$B$6-0.85*INPUTS!$B$5)))</f>
        <v/>
      </c>
      <c r="K103" s="12" t="str">
        <f aca="false">IF(TRIB!K103="","",(PU!K103/(INPUTS!$B$8*INPUTS!$B$7)-0.85*INPUTS!$B$5*ARCH_AG!K103)/(ARCH_AG!K103*(INPUTS!$B$6-0.85*INPUTS!$B$5)))</f>
        <v/>
      </c>
      <c r="L103" s="12" t="str">
        <f aca="false">IF(TRIB!L103="","",(PU!L103/(INPUTS!$B$8*INPUTS!$B$7)-0.85*INPUTS!$B$5*ARCH_AG!L103)/(ARCH_AG!L103*(INPUTS!$B$6-0.85*INPUTS!$B$5)))</f>
        <v/>
      </c>
      <c r="M103" s="12" t="str">
        <f aca="false">IF(TRIB!M103="","",(PU!M103/(INPUTS!$B$8*INPUTS!$B$7)-0.85*INPUTS!$B$5*ARCH_AG!M103)/(ARCH_AG!M103*(INPUTS!$B$6-0.85*INPUTS!$B$5)))</f>
        <v/>
      </c>
      <c r="N103" s="12" t="str">
        <f aca="false">IF(TRIB!N103="","",(PU!N103/(INPUTS!$B$8*INPUTS!$B$7)-0.85*INPUTS!$B$5*ARCH_AG!N103)/(ARCH_AG!N103*(INPUTS!$B$6-0.85*INPUTS!$B$5)))</f>
        <v/>
      </c>
      <c r="O103" s="12" t="str">
        <f aca="false">IF(TRIB!O103="","",(PU!O103/(INPUTS!$B$8*INPUTS!$B$7)-0.85*INPUTS!$B$5*ARCH_AG!O103)/(ARCH_AG!O103*(INPUTS!$B$6-0.85*INPUTS!$B$5)))</f>
        <v/>
      </c>
      <c r="P103" s="12" t="str">
        <f aca="false">IF(TRIB!P103="","",(PU!P103/(INPUTS!$B$8*INPUTS!$B$7)-0.85*INPUTS!$B$5*ARCH_AG!P103)/(ARCH_AG!P103*(INPUTS!$B$6-0.85*INPUTS!$B$5)))</f>
        <v/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12" t="n">
        <f aca="false">IF(TRIB!E104="","",(PU!E104/(INPUTS!$B$8*INPUTS!$B$7)-0.85*INPUTS!$B$5*ARCH_AG!E104)/(ARCH_AG!E104*(INPUTS!$B$6-0.85*INPUTS!$B$5)))</f>
        <v>-0.0859148251566284</v>
      </c>
      <c r="F104" s="12" t="n">
        <f aca="false">IF(TRIB!F104="","",(PU!F104/(INPUTS!$B$8*INPUTS!$B$7)-0.85*INPUTS!$B$5*ARCH_AG!F104)/(ARCH_AG!F104*(INPUTS!$B$6-0.85*INPUTS!$B$5)))</f>
        <v>-0.0757682410687875</v>
      </c>
      <c r="G104" s="12" t="n">
        <f aca="false">IF(TRIB!G104="","",(PU!G104/(INPUTS!$B$8*INPUTS!$B$7)-0.85*INPUTS!$B$5*ARCH_AG!G104)/(ARCH_AG!G104*(INPUTS!$B$6-0.85*INPUTS!$B$5)))</f>
        <v>-0.0661890667013618</v>
      </c>
      <c r="H104" s="12" t="n">
        <f aca="false">IF(TRIB!H104="","",(PU!H104/(INPUTS!$B$8*INPUTS!$B$7)-0.85*INPUTS!$B$5*ARCH_AG!H104)/(ARCH_AG!H104*(INPUTS!$B$6-0.85*INPUTS!$B$5)))</f>
        <v>-0.0597327308392882</v>
      </c>
      <c r="I104" s="12" t="n">
        <f aca="false">IF(TRIB!I104="","",(PU!I104/(INPUTS!$B$8*INPUTS!$B$7)-0.85*INPUTS!$B$5*ARCH_AG!I104)/(ARCH_AG!I104*(INPUTS!$B$6-0.85*INPUTS!$B$5)))</f>
        <v>-0.0524100178813293</v>
      </c>
      <c r="J104" s="12" t="str">
        <f aca="false">IF(TRIB!J104="","",(PU!J104/(INPUTS!$B$8*INPUTS!$B$7)-0.85*INPUTS!$B$5*ARCH_AG!J104)/(ARCH_AG!J104*(INPUTS!$B$6-0.85*INPUTS!$B$5)))</f>
        <v/>
      </c>
      <c r="K104" s="12" t="str">
        <f aca="false">IF(TRIB!K104="","",(PU!K104/(INPUTS!$B$8*INPUTS!$B$7)-0.85*INPUTS!$B$5*ARCH_AG!K104)/(ARCH_AG!K104*(INPUTS!$B$6-0.85*INPUTS!$B$5)))</f>
        <v/>
      </c>
      <c r="L104" s="12" t="str">
        <f aca="false">IF(TRIB!L104="","",(PU!L104/(INPUTS!$B$8*INPUTS!$B$7)-0.85*INPUTS!$B$5*ARCH_AG!L104)/(ARCH_AG!L104*(INPUTS!$B$6-0.85*INPUTS!$B$5)))</f>
        <v/>
      </c>
      <c r="M104" s="12" t="str">
        <f aca="false">IF(TRIB!M104="","",(PU!M104/(INPUTS!$B$8*INPUTS!$B$7)-0.85*INPUTS!$B$5*ARCH_AG!M104)/(ARCH_AG!M104*(INPUTS!$B$6-0.85*INPUTS!$B$5)))</f>
        <v/>
      </c>
      <c r="N104" s="12" t="str">
        <f aca="false">IF(TRIB!N104="","",(PU!N104/(INPUTS!$B$8*INPUTS!$B$7)-0.85*INPUTS!$B$5*ARCH_AG!N104)/(ARCH_AG!N104*(INPUTS!$B$6-0.85*INPUTS!$B$5)))</f>
        <v/>
      </c>
      <c r="O104" s="12" t="str">
        <f aca="false">IF(TRIB!O104="","",(PU!O104/(INPUTS!$B$8*INPUTS!$B$7)-0.85*INPUTS!$B$5*ARCH_AG!O104)/(ARCH_AG!O104*(INPUTS!$B$6-0.85*INPUTS!$B$5)))</f>
        <v/>
      </c>
      <c r="P104" s="12" t="str">
        <f aca="false">IF(TRIB!P104="","",(PU!P104/(INPUTS!$B$8*INPUTS!$B$7)-0.85*INPUTS!$B$5*ARCH_AG!P104)/(ARCH_AG!P104*(INPUTS!$B$6-0.85*INPUTS!$B$5)))</f>
        <v/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12" t="n">
        <f aca="false">IF(TRIB!E105="","",(PU!E105/(INPUTS!$B$8*INPUTS!$B$7)-0.85*INPUTS!$B$5*ARCH_AG!E105)/(ARCH_AG!E105*(INPUTS!$B$6-0.85*INPUTS!$B$5)))</f>
        <v>-0.0845161782661783</v>
      </c>
      <c r="F105" s="12" t="n">
        <f aca="false">IF(TRIB!F105="","",(PU!F105/(INPUTS!$B$8*INPUTS!$B$7)-0.85*INPUTS!$B$5*ARCH_AG!F105)/(ARCH_AG!F105*(INPUTS!$B$6-0.85*INPUTS!$B$5)))</f>
        <v>-0.0723015094599794</v>
      </c>
      <c r="G105" s="12" t="n">
        <f aca="false">IF(TRIB!G105="","",(PU!G105/(INPUTS!$B$8*INPUTS!$B$7)-0.85*INPUTS!$B$5*ARCH_AG!G105)/(ARCH_AG!G105*(INPUTS!$B$6-0.85*INPUTS!$B$5)))</f>
        <v>-0.0605367929479951</v>
      </c>
      <c r="H105" s="12" t="n">
        <f aca="false">IF(TRIB!H105="","",(PU!H105/(INPUTS!$B$8*INPUTS!$B$7)-0.85*INPUTS!$B$5*ARCH_AG!H105)/(ARCH_AG!H105*(INPUTS!$B$6-0.85*INPUTS!$B$5)))</f>
        <v>-0.0526306571388539</v>
      </c>
      <c r="I105" s="12" t="n">
        <f aca="false">IF(TRIB!I105="","",(PU!I105/(INPUTS!$B$8*INPUTS!$B$7)-0.85*INPUTS!$B$5*ARCH_AG!I105)/(ARCH_AG!I105*(INPUTS!$B$6-0.85*INPUTS!$B$5)))</f>
        <v>-0.0416079657541406</v>
      </c>
      <c r="J105" s="12" t="str">
        <f aca="false">IF(TRIB!J105="","",(PU!J105/(INPUTS!$B$8*INPUTS!$B$7)-0.85*INPUTS!$B$5*ARCH_AG!J105)/(ARCH_AG!J105*(INPUTS!$B$6-0.85*INPUTS!$B$5)))</f>
        <v/>
      </c>
      <c r="K105" s="12" t="str">
        <f aca="false">IF(TRIB!K105="","",(PU!K105/(INPUTS!$B$8*INPUTS!$B$7)-0.85*INPUTS!$B$5*ARCH_AG!K105)/(ARCH_AG!K105*(INPUTS!$B$6-0.85*INPUTS!$B$5)))</f>
        <v/>
      </c>
      <c r="L105" s="12" t="str">
        <f aca="false">IF(TRIB!L105="","",(PU!L105/(INPUTS!$B$8*INPUTS!$B$7)-0.85*INPUTS!$B$5*ARCH_AG!L105)/(ARCH_AG!L105*(INPUTS!$B$6-0.85*INPUTS!$B$5)))</f>
        <v/>
      </c>
      <c r="M105" s="12" t="str">
        <f aca="false">IF(TRIB!M105="","",(PU!M105/(INPUTS!$B$8*INPUTS!$B$7)-0.85*INPUTS!$B$5*ARCH_AG!M105)/(ARCH_AG!M105*(INPUTS!$B$6-0.85*INPUTS!$B$5)))</f>
        <v/>
      </c>
      <c r="N105" s="12" t="str">
        <f aca="false">IF(TRIB!N105="","",(PU!N105/(INPUTS!$B$8*INPUTS!$B$7)-0.85*INPUTS!$B$5*ARCH_AG!N105)/(ARCH_AG!N105*(INPUTS!$B$6-0.85*INPUTS!$B$5)))</f>
        <v/>
      </c>
      <c r="O105" s="12" t="str">
        <f aca="false">IF(TRIB!O105="","",(PU!O105/(INPUTS!$B$8*INPUTS!$B$7)-0.85*INPUTS!$B$5*ARCH_AG!O105)/(ARCH_AG!O105*(INPUTS!$B$6-0.85*INPUTS!$B$5)))</f>
        <v/>
      </c>
      <c r="P105" s="12" t="str">
        <f aca="false">IF(TRIB!P105="","",(PU!P105/(INPUTS!$B$8*INPUTS!$B$7)-0.85*INPUTS!$B$5*ARCH_AG!P105)/(ARCH_AG!P105*(INPUTS!$B$6-0.85*INPUTS!$B$5)))</f>
        <v/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12" t="n">
        <f aca="false">IF(TRIB!E106="","",(PU!E106/(INPUTS!$B$8*INPUTS!$B$7)-0.85*INPUTS!$B$5*ARCH_AG!E106)/(ARCH_AG!E106*(INPUTS!$B$6-0.85*INPUTS!$B$5)))</f>
        <v>-0.0853943984066935</v>
      </c>
      <c r="F106" s="12" t="n">
        <f aca="false">IF(TRIB!F106="","",(PU!F106/(INPUTS!$B$8*INPUTS!$B$7)-0.85*INPUTS!$B$5*ARCH_AG!F106)/(ARCH_AG!F106*(INPUTS!$B$6-0.85*INPUTS!$B$5)))</f>
        <v>-0.0744782944236496</v>
      </c>
      <c r="G106" s="12" t="n">
        <f aca="false">IF(TRIB!G106="","",(PU!G106/(INPUTS!$B$8*INPUTS!$B$7)-0.85*INPUTS!$B$5*ARCH_AG!G106)/(ARCH_AG!G106*(INPUTS!$B$6-0.85*INPUTS!$B$5)))</f>
        <v>-0.0639671058045375</v>
      </c>
      <c r="H106" s="12" t="n">
        <f aca="false">IF(TRIB!H106="","",(PU!H106/(INPUTS!$B$8*INPUTS!$B$7)-0.85*INPUTS!$B$5*ARCH_AG!H106)/(ARCH_AG!H106*(INPUTS!$B$6-0.85*INPUTS!$B$5)))</f>
        <v>-0.0568866470505815</v>
      </c>
      <c r="I106" s="12" t="n">
        <f aca="false">IF(TRIB!I106="","",(PU!I106/(INPUTS!$B$8*INPUTS!$B$7)-0.85*INPUTS!$B$5*ARCH_AG!I106)/(ARCH_AG!I106*(INPUTS!$B$6-0.85*INPUTS!$B$5)))</f>
        <v>-0.0461365124958021</v>
      </c>
      <c r="J106" s="12" t="str">
        <f aca="false">IF(TRIB!J106="","",(PU!J106/(INPUTS!$B$8*INPUTS!$B$7)-0.85*INPUTS!$B$5*ARCH_AG!J106)/(ARCH_AG!J106*(INPUTS!$B$6-0.85*INPUTS!$B$5)))</f>
        <v/>
      </c>
      <c r="K106" s="12" t="str">
        <f aca="false">IF(TRIB!K106="","",(PU!K106/(INPUTS!$B$8*INPUTS!$B$7)-0.85*INPUTS!$B$5*ARCH_AG!K106)/(ARCH_AG!K106*(INPUTS!$B$6-0.85*INPUTS!$B$5)))</f>
        <v/>
      </c>
      <c r="L106" s="12" t="str">
        <f aca="false">IF(TRIB!L106="","",(PU!L106/(INPUTS!$B$8*INPUTS!$B$7)-0.85*INPUTS!$B$5*ARCH_AG!L106)/(ARCH_AG!L106*(INPUTS!$B$6-0.85*INPUTS!$B$5)))</f>
        <v/>
      </c>
      <c r="M106" s="12" t="str">
        <f aca="false">IF(TRIB!M106="","",(PU!M106/(INPUTS!$B$8*INPUTS!$B$7)-0.85*INPUTS!$B$5*ARCH_AG!M106)/(ARCH_AG!M106*(INPUTS!$B$6-0.85*INPUTS!$B$5)))</f>
        <v/>
      </c>
      <c r="N106" s="12" t="str">
        <f aca="false">IF(TRIB!N106="","",(PU!N106/(INPUTS!$B$8*INPUTS!$B$7)-0.85*INPUTS!$B$5*ARCH_AG!N106)/(ARCH_AG!N106*(INPUTS!$B$6-0.85*INPUTS!$B$5)))</f>
        <v/>
      </c>
      <c r="O106" s="12" t="str">
        <f aca="false">IF(TRIB!O106="","",(PU!O106/(INPUTS!$B$8*INPUTS!$B$7)-0.85*INPUTS!$B$5*ARCH_AG!O106)/(ARCH_AG!O106*(INPUTS!$B$6-0.85*INPUTS!$B$5)))</f>
        <v/>
      </c>
      <c r="P106" s="12" t="str">
        <f aca="false">IF(TRIB!P106="","",(PU!P106/(INPUTS!$B$8*INPUTS!$B$7)-0.85*INPUTS!$B$5*ARCH_AG!P106)/(ARCH_AG!P106*(INPUTS!$B$6-0.85*INPUTS!$B$5)))</f>
        <v/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12" t="n">
        <f aca="false">IF(TRIB!E107="","",(PU!E107/(INPUTS!$B$8*INPUTS!$B$7)-0.85*INPUTS!$B$5*ARCH_AG!E107)/(ARCH_AG!E107*(INPUTS!$B$6-0.85*INPUTS!$B$5)))</f>
        <v>-0.0857034017894674</v>
      </c>
      <c r="F107" s="12" t="n">
        <f aca="false">IF(TRIB!F107="","",(PU!F107/(INPUTS!$B$8*INPUTS!$B$7)-0.85*INPUTS!$B$5*ARCH_AG!F107)/(ARCH_AG!F107*(INPUTS!$B$6-0.85*INPUTS!$B$5)))</f>
        <v>-0.0750190155927861</v>
      </c>
      <c r="G107" s="12" t="n">
        <f aca="false">IF(TRIB!G107="","",(PU!G107/(INPUTS!$B$8*INPUTS!$B$7)-0.85*INPUTS!$B$5*ARCH_AG!G107)/(ARCH_AG!G107*(INPUTS!$B$6-0.85*INPUTS!$B$5)))</f>
        <v>-0.0685539225498242</v>
      </c>
      <c r="H107" s="12" t="n">
        <f aca="false">IF(TRIB!H107="","",(PU!H107/(INPUTS!$B$8*INPUTS!$B$7)-0.85*INPUTS!$B$5*ARCH_AG!H107)/(ARCH_AG!H107*(INPUTS!$B$6-0.85*INPUTS!$B$5)))</f>
        <v>-0.0631734689111738</v>
      </c>
      <c r="I107" s="12" t="n">
        <f aca="false">IF(TRIB!I107="","",(PU!I107/(INPUTS!$B$8*INPUTS!$B$7)-0.85*INPUTS!$B$5*ARCH_AG!I107)/(ARCH_AG!I107*(INPUTS!$B$6-0.85*INPUTS!$B$5)))</f>
        <v>-0.0583321240083535</v>
      </c>
      <c r="J107" s="12" t="str">
        <f aca="false">IF(TRIB!J107="","",(PU!J107/(INPUTS!$B$8*INPUTS!$B$7)-0.85*INPUTS!$B$5*ARCH_AG!J107)/(ARCH_AG!J107*(INPUTS!$B$6-0.85*INPUTS!$B$5)))</f>
        <v/>
      </c>
      <c r="K107" s="12" t="str">
        <f aca="false">IF(TRIB!K107="","",(PU!K107/(INPUTS!$B$8*INPUTS!$B$7)-0.85*INPUTS!$B$5*ARCH_AG!K107)/(ARCH_AG!K107*(INPUTS!$B$6-0.85*INPUTS!$B$5)))</f>
        <v/>
      </c>
      <c r="L107" s="12" t="str">
        <f aca="false">IF(TRIB!L107="","",(PU!L107/(INPUTS!$B$8*INPUTS!$B$7)-0.85*INPUTS!$B$5*ARCH_AG!L107)/(ARCH_AG!L107*(INPUTS!$B$6-0.85*INPUTS!$B$5)))</f>
        <v/>
      </c>
      <c r="M107" s="12" t="str">
        <f aca="false">IF(TRIB!M107="","",(PU!M107/(INPUTS!$B$8*INPUTS!$B$7)-0.85*INPUTS!$B$5*ARCH_AG!M107)/(ARCH_AG!M107*(INPUTS!$B$6-0.85*INPUTS!$B$5)))</f>
        <v/>
      </c>
      <c r="N107" s="12" t="str">
        <f aca="false">IF(TRIB!N107="","",(PU!N107/(INPUTS!$B$8*INPUTS!$B$7)-0.85*INPUTS!$B$5*ARCH_AG!N107)/(ARCH_AG!N107*(INPUTS!$B$6-0.85*INPUTS!$B$5)))</f>
        <v/>
      </c>
      <c r="O107" s="12" t="str">
        <f aca="false">IF(TRIB!O107="","",(PU!O107/(INPUTS!$B$8*INPUTS!$B$7)-0.85*INPUTS!$B$5*ARCH_AG!O107)/(ARCH_AG!O107*(INPUTS!$B$6-0.85*INPUTS!$B$5)))</f>
        <v/>
      </c>
      <c r="P107" s="12" t="str">
        <f aca="false">IF(TRIB!P107="","",(PU!P107/(INPUTS!$B$8*INPUTS!$B$7)-0.85*INPUTS!$B$5*ARCH_AG!P107)/(ARCH_AG!P107*(INPUTS!$B$6-0.85*INPUTS!$B$5)))</f>
        <v/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12" t="n">
        <f aca="false">IF(TRIB!E108="","",(PU!E108/(INPUTS!$B$8*INPUTS!$B$7)-0.85*INPUTS!$B$5*ARCH_AG!E108)/(ARCH_AG!E108*(INPUTS!$B$6-0.85*INPUTS!$B$5)))</f>
        <v>-0.0897529724373987</v>
      </c>
      <c r="F108" s="12" t="n">
        <f aca="false">IF(TRIB!F108="","",(PU!F108/(INPUTS!$B$8*INPUTS!$B$7)-0.85*INPUTS!$B$5*ARCH_AG!F108)/(ARCH_AG!F108*(INPUTS!$B$6-0.85*INPUTS!$B$5)))</f>
        <v>-0.0849062898243226</v>
      </c>
      <c r="G108" s="12" t="n">
        <f aca="false">IF(TRIB!G108="","",(PU!G108/(INPUTS!$B$8*INPUTS!$B$7)-0.85*INPUTS!$B$5*ARCH_AG!G108)/(ARCH_AG!G108*(INPUTS!$B$6-0.85*INPUTS!$B$5)))</f>
        <v>-0.0816410428773817</v>
      </c>
      <c r="H108" s="12" t="n">
        <f aca="false">IF(TRIB!H108="","",(PU!H108/(INPUTS!$B$8*INPUTS!$B$7)-0.85*INPUTS!$B$5*ARCH_AG!H108)/(ARCH_AG!H108*(INPUTS!$B$6-0.85*INPUTS!$B$5)))</f>
        <v>-0.080422335203756</v>
      </c>
      <c r="I108" s="12" t="n">
        <f aca="false">IF(TRIB!I108="","",(PU!I108/(INPUTS!$B$8*INPUTS!$B$7)-0.85*INPUTS!$B$5*ARCH_AG!I108)/(ARCH_AG!I108*(INPUTS!$B$6-0.85*INPUTS!$B$5)))</f>
        <v>-0.0792730177634549</v>
      </c>
      <c r="J108" s="12" t="str">
        <f aca="false">IF(TRIB!J108="","",(PU!J108/(INPUTS!$B$8*INPUTS!$B$7)-0.85*INPUTS!$B$5*ARCH_AG!J108)/(ARCH_AG!J108*(INPUTS!$B$6-0.85*INPUTS!$B$5)))</f>
        <v/>
      </c>
      <c r="K108" s="12" t="str">
        <f aca="false">IF(TRIB!K108="","",(PU!K108/(INPUTS!$B$8*INPUTS!$B$7)-0.85*INPUTS!$B$5*ARCH_AG!K108)/(ARCH_AG!K108*(INPUTS!$B$6-0.85*INPUTS!$B$5)))</f>
        <v/>
      </c>
      <c r="L108" s="12" t="str">
        <f aca="false">IF(TRIB!L108="","",(PU!L108/(INPUTS!$B$8*INPUTS!$B$7)-0.85*INPUTS!$B$5*ARCH_AG!L108)/(ARCH_AG!L108*(INPUTS!$B$6-0.85*INPUTS!$B$5)))</f>
        <v/>
      </c>
      <c r="M108" s="12" t="str">
        <f aca="false">IF(TRIB!M108="","",(PU!M108/(INPUTS!$B$8*INPUTS!$B$7)-0.85*INPUTS!$B$5*ARCH_AG!M108)/(ARCH_AG!M108*(INPUTS!$B$6-0.85*INPUTS!$B$5)))</f>
        <v/>
      </c>
      <c r="N108" s="12" t="str">
        <f aca="false">IF(TRIB!N108="","",(PU!N108/(INPUTS!$B$8*INPUTS!$B$7)-0.85*INPUTS!$B$5*ARCH_AG!N108)/(ARCH_AG!N108*(INPUTS!$B$6-0.85*INPUTS!$B$5)))</f>
        <v/>
      </c>
      <c r="O108" s="12" t="str">
        <f aca="false">IF(TRIB!O108="","",(PU!O108/(INPUTS!$B$8*INPUTS!$B$7)-0.85*INPUTS!$B$5*ARCH_AG!O108)/(ARCH_AG!O108*(INPUTS!$B$6-0.85*INPUTS!$B$5)))</f>
        <v/>
      </c>
      <c r="P108" s="12" t="str">
        <f aca="false">IF(TRIB!P108="","",(PU!P108/(INPUTS!$B$8*INPUTS!$B$7)-0.85*INPUTS!$B$5*ARCH_AG!P108)/(ARCH_AG!P108*(INPUTS!$B$6-0.85*INPUTS!$B$5)))</f>
        <v/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12" t="n">
        <f aca="false">IF(TRIB!E109="","",(PU!E109/(INPUTS!$B$8*INPUTS!$B$7)-0.85*INPUTS!$B$5*ARCH_AG!E109)/(ARCH_AG!E109*(INPUTS!$B$6-0.85*INPUTS!$B$5)))</f>
        <v>-0.0872321553674013</v>
      </c>
      <c r="F109" s="12" t="n">
        <f aca="false">IF(TRIB!F109="","",(PU!F109/(INPUTS!$B$8*INPUTS!$B$7)-0.85*INPUTS!$B$5*ARCH_AG!F109)/(ARCH_AG!F109*(INPUTS!$B$6-0.85*INPUTS!$B$5)))</f>
        <v>-0.0788707851549382</v>
      </c>
      <c r="G109" s="12" t="n">
        <f aca="false">IF(TRIB!G109="","",(PU!G109/(INPUTS!$B$8*INPUTS!$B$7)-0.85*INPUTS!$B$5*ARCH_AG!G109)/(ARCH_AG!G109*(INPUTS!$B$6-0.85*INPUTS!$B$5)))</f>
        <v>-0.0764484516192166</v>
      </c>
      <c r="H109" s="12" t="n">
        <f aca="false">IF(TRIB!H109="","",(PU!H109/(INPUTS!$B$8*INPUTS!$B$7)-0.85*INPUTS!$B$5*ARCH_AG!H109)/(ARCH_AG!H109*(INPUTS!$B$6-0.85*INPUTS!$B$5)))</f>
        <v>-0.0758566468948983</v>
      </c>
      <c r="I109" s="12" t="n">
        <f aca="false">IF(TRIB!I109="","",(PU!I109/(INPUTS!$B$8*INPUTS!$B$7)-0.85*INPUTS!$B$5*ARCH_AG!I109)/(ARCH_AG!I109*(INPUTS!$B$6-0.85*INPUTS!$B$5)))</f>
        <v>-0.0741786181335362</v>
      </c>
      <c r="J109" s="12" t="str">
        <f aca="false">IF(TRIB!J109="","",(PU!J109/(INPUTS!$B$8*INPUTS!$B$7)-0.85*INPUTS!$B$5*ARCH_AG!J109)/(ARCH_AG!J109*(INPUTS!$B$6-0.85*INPUTS!$B$5)))</f>
        <v/>
      </c>
      <c r="K109" s="12" t="str">
        <f aca="false">IF(TRIB!K109="","",(PU!K109/(INPUTS!$B$8*INPUTS!$B$7)-0.85*INPUTS!$B$5*ARCH_AG!K109)/(ARCH_AG!K109*(INPUTS!$B$6-0.85*INPUTS!$B$5)))</f>
        <v/>
      </c>
      <c r="L109" s="12" t="str">
        <f aca="false">IF(TRIB!L109="","",(PU!L109/(INPUTS!$B$8*INPUTS!$B$7)-0.85*INPUTS!$B$5*ARCH_AG!L109)/(ARCH_AG!L109*(INPUTS!$B$6-0.85*INPUTS!$B$5)))</f>
        <v/>
      </c>
      <c r="M109" s="12" t="str">
        <f aca="false">IF(TRIB!M109="","",(PU!M109/(INPUTS!$B$8*INPUTS!$B$7)-0.85*INPUTS!$B$5*ARCH_AG!M109)/(ARCH_AG!M109*(INPUTS!$B$6-0.85*INPUTS!$B$5)))</f>
        <v/>
      </c>
      <c r="N109" s="12" t="str">
        <f aca="false">IF(TRIB!N109="","",(PU!N109/(INPUTS!$B$8*INPUTS!$B$7)-0.85*INPUTS!$B$5*ARCH_AG!N109)/(ARCH_AG!N109*(INPUTS!$B$6-0.85*INPUTS!$B$5)))</f>
        <v/>
      </c>
      <c r="O109" s="12" t="str">
        <f aca="false">IF(TRIB!O109="","",(PU!O109/(INPUTS!$B$8*INPUTS!$B$7)-0.85*INPUTS!$B$5*ARCH_AG!O109)/(ARCH_AG!O109*(INPUTS!$B$6-0.85*INPUTS!$B$5)))</f>
        <v/>
      </c>
      <c r="P109" s="12" t="str">
        <f aca="false">IF(TRIB!P109="","",(PU!P109/(INPUTS!$B$8*INPUTS!$B$7)-0.85*INPUTS!$B$5*ARCH_AG!P109)/(ARCH_AG!P109*(INPUTS!$B$6-0.85*INPUTS!$B$5)))</f>
        <v/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12" t="n">
        <f aca="false">IF(TRIB!E110="","",(PU!E110/(INPUTS!$B$8*INPUTS!$B$7)-0.85*INPUTS!$B$5*ARCH_AG!E110)/(ARCH_AG!E110*(INPUTS!$B$6-0.85*INPUTS!$B$5)))</f>
        <v>-0.0898017624452051</v>
      </c>
      <c r="F110" s="12" t="n">
        <f aca="false">IF(TRIB!F110="","",(PU!F110/(INPUTS!$B$8*INPUTS!$B$7)-0.85*INPUTS!$B$5*ARCH_AG!F110)/(ARCH_AG!F110*(INPUTS!$B$6-0.85*INPUTS!$B$5)))</f>
        <v>-0.0850522428391281</v>
      </c>
      <c r="G110" s="12" t="n">
        <f aca="false">IF(TRIB!G110="","",(PU!G110/(INPUTS!$B$8*INPUTS!$B$7)-0.85*INPUTS!$B$5*ARCH_AG!G110)/(ARCH_AG!G110*(INPUTS!$B$6-0.85*INPUTS!$B$5)))</f>
        <v>-0.0811315973542749</v>
      </c>
      <c r="H110" s="12" t="str">
        <f aca="false">IF(TRIB!H110="","",(PU!H110/(INPUTS!$B$8*INPUTS!$B$7)-0.85*INPUTS!$B$5*ARCH_AG!H110)/(ARCH_AG!H110*(INPUTS!$B$6-0.85*INPUTS!$B$5)))</f>
        <v/>
      </c>
      <c r="I110" s="12" t="str">
        <f aca="false">IF(TRIB!I110="","",(PU!I110/(INPUTS!$B$8*INPUTS!$B$7)-0.85*INPUTS!$B$5*ARCH_AG!I110)/(ARCH_AG!I110*(INPUTS!$B$6-0.85*INPUTS!$B$5)))</f>
        <v/>
      </c>
      <c r="J110" s="12" t="str">
        <f aca="false">IF(TRIB!J110="","",(PU!J110/(INPUTS!$B$8*INPUTS!$B$7)-0.85*INPUTS!$B$5*ARCH_AG!J110)/(ARCH_AG!J110*(INPUTS!$B$6-0.85*INPUTS!$B$5)))</f>
        <v/>
      </c>
      <c r="K110" s="12" t="str">
        <f aca="false">IF(TRIB!K110="","",(PU!K110/(INPUTS!$B$8*INPUTS!$B$7)-0.85*INPUTS!$B$5*ARCH_AG!K110)/(ARCH_AG!K110*(INPUTS!$B$6-0.85*INPUTS!$B$5)))</f>
        <v/>
      </c>
      <c r="L110" s="12" t="str">
        <f aca="false">IF(TRIB!L110="","",(PU!L110/(INPUTS!$B$8*INPUTS!$B$7)-0.85*INPUTS!$B$5*ARCH_AG!L110)/(ARCH_AG!L110*(INPUTS!$B$6-0.85*INPUTS!$B$5)))</f>
        <v/>
      </c>
      <c r="M110" s="12" t="str">
        <f aca="false">IF(TRIB!M110="","",(PU!M110/(INPUTS!$B$8*INPUTS!$B$7)-0.85*INPUTS!$B$5*ARCH_AG!M110)/(ARCH_AG!M110*(INPUTS!$B$6-0.85*INPUTS!$B$5)))</f>
        <v/>
      </c>
      <c r="N110" s="12" t="str">
        <f aca="false">IF(TRIB!N110="","",(PU!N110/(INPUTS!$B$8*INPUTS!$B$7)-0.85*INPUTS!$B$5*ARCH_AG!N110)/(ARCH_AG!N110*(INPUTS!$B$6-0.85*INPUTS!$B$5)))</f>
        <v/>
      </c>
      <c r="O110" s="12" t="str">
        <f aca="false">IF(TRIB!O110="","",(PU!O110/(INPUTS!$B$8*INPUTS!$B$7)-0.85*INPUTS!$B$5*ARCH_AG!O110)/(ARCH_AG!O110*(INPUTS!$B$6-0.85*INPUTS!$B$5)))</f>
        <v/>
      </c>
      <c r="P110" s="12" t="str">
        <f aca="false">IF(TRIB!P110="","",(PU!P110/(INPUTS!$B$8*INPUTS!$B$7)-0.85*INPUTS!$B$5*ARCH_AG!P110)/(ARCH_AG!P110*(INPUTS!$B$6-0.85*INPUTS!$B$5)))</f>
        <v/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12" t="n">
        <f aca="false">IF(TRIB!E111="","",(PU!E111/(INPUTS!$B$8*INPUTS!$B$7)-0.85*INPUTS!$B$5*ARCH_AG!E111)/(ARCH_AG!E111*(INPUTS!$B$6-0.85*INPUTS!$B$5)))</f>
        <v>-0.0900457124842371</v>
      </c>
      <c r="F111" s="12" t="n">
        <f aca="false">IF(TRIB!F111="","",(PU!F111/(INPUTS!$B$8*INPUTS!$B$7)-0.85*INPUTS!$B$5*ARCH_AG!F111)/(ARCH_AG!F111*(INPUTS!$B$6-0.85*INPUTS!$B$5)))</f>
        <v>-0.0859071104972744</v>
      </c>
      <c r="G111" s="12" t="n">
        <f aca="false">IF(TRIB!G111="","",(PU!G111/(INPUTS!$B$8*INPUTS!$B$7)-0.85*INPUTS!$B$5*ARCH_AG!G111)/(ARCH_AG!G111*(INPUTS!$B$6-0.85*INPUTS!$B$5)))</f>
        <v>-0.0843133730770343</v>
      </c>
      <c r="H111" s="12" t="str">
        <f aca="false">IF(TRIB!H111="","",(PU!H111/(INPUTS!$B$8*INPUTS!$B$7)-0.85*INPUTS!$B$5*ARCH_AG!H111)/(ARCH_AG!H111*(INPUTS!$B$6-0.85*INPUTS!$B$5)))</f>
        <v/>
      </c>
      <c r="I111" s="12" t="str">
        <f aca="false">IF(TRIB!I111="","",(PU!I111/(INPUTS!$B$8*INPUTS!$B$7)-0.85*INPUTS!$B$5*ARCH_AG!I111)/(ARCH_AG!I111*(INPUTS!$B$6-0.85*INPUTS!$B$5)))</f>
        <v/>
      </c>
      <c r="J111" s="12" t="str">
        <f aca="false">IF(TRIB!J111="","",(PU!J111/(INPUTS!$B$8*INPUTS!$B$7)-0.85*INPUTS!$B$5*ARCH_AG!J111)/(ARCH_AG!J111*(INPUTS!$B$6-0.85*INPUTS!$B$5)))</f>
        <v/>
      </c>
      <c r="K111" s="12" t="str">
        <f aca="false">IF(TRIB!K111="","",(PU!K111/(INPUTS!$B$8*INPUTS!$B$7)-0.85*INPUTS!$B$5*ARCH_AG!K111)/(ARCH_AG!K111*(INPUTS!$B$6-0.85*INPUTS!$B$5)))</f>
        <v/>
      </c>
      <c r="L111" s="12" t="str">
        <f aca="false">IF(TRIB!L111="","",(PU!L111/(INPUTS!$B$8*INPUTS!$B$7)-0.85*INPUTS!$B$5*ARCH_AG!L111)/(ARCH_AG!L111*(INPUTS!$B$6-0.85*INPUTS!$B$5)))</f>
        <v/>
      </c>
      <c r="M111" s="12" t="str">
        <f aca="false">IF(TRIB!M111="","",(PU!M111/(INPUTS!$B$8*INPUTS!$B$7)-0.85*INPUTS!$B$5*ARCH_AG!M111)/(ARCH_AG!M111*(INPUTS!$B$6-0.85*INPUTS!$B$5)))</f>
        <v/>
      </c>
      <c r="N111" s="12" t="str">
        <f aca="false">IF(TRIB!N111="","",(PU!N111/(INPUTS!$B$8*INPUTS!$B$7)-0.85*INPUTS!$B$5*ARCH_AG!N111)/(ARCH_AG!N111*(INPUTS!$B$6-0.85*INPUTS!$B$5)))</f>
        <v/>
      </c>
      <c r="O111" s="12" t="str">
        <f aca="false">IF(TRIB!O111="","",(PU!O111/(INPUTS!$B$8*INPUTS!$B$7)-0.85*INPUTS!$B$5*ARCH_AG!O111)/(ARCH_AG!O111*(INPUTS!$B$6-0.85*INPUTS!$B$5)))</f>
        <v/>
      </c>
      <c r="P111" s="12" t="str">
        <f aca="false">IF(TRIB!P111="","",(PU!P111/(INPUTS!$B$8*INPUTS!$B$7)-0.85*INPUTS!$B$5*ARCH_AG!P111)/(ARCH_AG!P111*(INPUTS!$B$6-0.85*INPUTS!$B$5)))</f>
        <v/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12" t="str">
        <f aca="false">IF(TRIB!E112="","",(PU!E112/(INPUTS!$B$8*INPUTS!$B$7)-0.85*INPUTS!$B$5*ARCH_AG!E112)/(ARCH_AG!E112*(INPUTS!$B$6-0.85*INPUTS!$B$5)))</f>
        <v/>
      </c>
      <c r="F112" s="12" t="n">
        <f aca="false">IF(TRIB!F112="","",(PU!F112/(INPUTS!$B$8*INPUTS!$B$7)-0.85*INPUTS!$B$5*ARCH_AG!F112)/(ARCH_AG!F112*(INPUTS!$B$6-0.85*INPUTS!$B$5)))</f>
        <v>-0.086682399011634</v>
      </c>
      <c r="G112" s="12" t="str">
        <f aca="false">IF(TRIB!G112="","",(PU!G112/(INPUTS!$B$8*INPUTS!$B$7)-0.85*INPUTS!$B$5*ARCH_AG!G112)/(ARCH_AG!G112*(INPUTS!$B$6-0.85*INPUTS!$B$5)))</f>
        <v/>
      </c>
      <c r="H112" s="12" t="str">
        <f aca="false">IF(TRIB!H112="","",(PU!H112/(INPUTS!$B$8*INPUTS!$B$7)-0.85*INPUTS!$B$5*ARCH_AG!H112)/(ARCH_AG!H112*(INPUTS!$B$6-0.85*INPUTS!$B$5)))</f>
        <v/>
      </c>
      <c r="I112" s="12" t="str">
        <f aca="false">IF(TRIB!I112="","",(PU!I112/(INPUTS!$B$8*INPUTS!$B$7)-0.85*INPUTS!$B$5*ARCH_AG!I112)/(ARCH_AG!I112*(INPUTS!$B$6-0.85*INPUTS!$B$5)))</f>
        <v/>
      </c>
      <c r="J112" s="12" t="str">
        <f aca="false">IF(TRIB!J112="","",(PU!J112/(INPUTS!$B$8*INPUTS!$B$7)-0.85*INPUTS!$B$5*ARCH_AG!J112)/(ARCH_AG!J112*(INPUTS!$B$6-0.85*INPUTS!$B$5)))</f>
        <v/>
      </c>
      <c r="K112" s="12" t="str">
        <f aca="false">IF(TRIB!K112="","",(PU!K112/(INPUTS!$B$8*INPUTS!$B$7)-0.85*INPUTS!$B$5*ARCH_AG!K112)/(ARCH_AG!K112*(INPUTS!$B$6-0.85*INPUTS!$B$5)))</f>
        <v/>
      </c>
      <c r="L112" s="12" t="str">
        <f aca="false">IF(TRIB!L112="","",(PU!L112/(INPUTS!$B$8*INPUTS!$B$7)-0.85*INPUTS!$B$5*ARCH_AG!L112)/(ARCH_AG!L112*(INPUTS!$B$6-0.85*INPUTS!$B$5)))</f>
        <v/>
      </c>
      <c r="M112" s="12" t="str">
        <f aca="false">IF(TRIB!M112="","",(PU!M112/(INPUTS!$B$8*INPUTS!$B$7)-0.85*INPUTS!$B$5*ARCH_AG!M112)/(ARCH_AG!M112*(INPUTS!$B$6-0.85*INPUTS!$B$5)))</f>
        <v/>
      </c>
      <c r="N112" s="12" t="str">
        <f aca="false">IF(TRIB!N112="","",(PU!N112/(INPUTS!$B$8*INPUTS!$B$7)-0.85*INPUTS!$B$5*ARCH_AG!N112)/(ARCH_AG!N112*(INPUTS!$B$6-0.85*INPUTS!$B$5)))</f>
        <v/>
      </c>
      <c r="O112" s="12" t="str">
        <f aca="false">IF(TRIB!O112="","",(PU!O112/(INPUTS!$B$8*INPUTS!$B$7)-0.85*INPUTS!$B$5*ARCH_AG!O112)/(ARCH_AG!O112*(INPUTS!$B$6-0.85*INPUTS!$B$5)))</f>
        <v/>
      </c>
      <c r="P112" s="12" t="str">
        <f aca="false">IF(TRIB!P112="","",(PU!P112/(INPUTS!$B$8*INPUTS!$B$7)-0.85*INPUTS!$B$5*ARCH_AG!P112)/(ARCH_AG!P112*(INPUTS!$B$6-0.85*INPUTS!$B$5)))</f>
        <v/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12" t="str">
        <f aca="false">IF(TRIB!E113="","",(PU!E113/(INPUTS!$B$8*INPUTS!$B$7)-0.85*INPUTS!$B$5*ARCH_AG!E113)/(ARCH_AG!E113*(INPUTS!$B$6-0.85*INPUTS!$B$5)))</f>
        <v/>
      </c>
      <c r="F113" s="12" t="n">
        <f aca="false">IF(TRIB!F113="","",(PU!F113/(INPUTS!$B$8*INPUTS!$B$7)-0.85*INPUTS!$B$5*ARCH_AG!F113)/(ARCH_AG!F113*(INPUTS!$B$6-0.85*INPUTS!$B$5)))</f>
        <v>-0.086964022819286</v>
      </c>
      <c r="G113" s="12" t="str">
        <f aca="false">IF(TRIB!G113="","",(PU!G113/(INPUTS!$B$8*INPUTS!$B$7)-0.85*INPUTS!$B$5*ARCH_AG!G113)/(ARCH_AG!G113*(INPUTS!$B$6-0.85*INPUTS!$B$5)))</f>
        <v/>
      </c>
      <c r="H113" s="12" t="str">
        <f aca="false">IF(TRIB!H113="","",(PU!H113/(INPUTS!$B$8*INPUTS!$B$7)-0.85*INPUTS!$B$5*ARCH_AG!H113)/(ARCH_AG!H113*(INPUTS!$B$6-0.85*INPUTS!$B$5)))</f>
        <v/>
      </c>
      <c r="I113" s="12" t="str">
        <f aca="false">IF(TRIB!I113="","",(PU!I113/(INPUTS!$B$8*INPUTS!$B$7)-0.85*INPUTS!$B$5*ARCH_AG!I113)/(ARCH_AG!I113*(INPUTS!$B$6-0.85*INPUTS!$B$5)))</f>
        <v/>
      </c>
      <c r="J113" s="12" t="str">
        <f aca="false">IF(TRIB!J113="","",(PU!J113/(INPUTS!$B$8*INPUTS!$B$7)-0.85*INPUTS!$B$5*ARCH_AG!J113)/(ARCH_AG!J113*(INPUTS!$B$6-0.85*INPUTS!$B$5)))</f>
        <v/>
      </c>
      <c r="K113" s="12" t="str">
        <f aca="false">IF(TRIB!K113="","",(PU!K113/(INPUTS!$B$8*INPUTS!$B$7)-0.85*INPUTS!$B$5*ARCH_AG!K113)/(ARCH_AG!K113*(INPUTS!$B$6-0.85*INPUTS!$B$5)))</f>
        <v/>
      </c>
      <c r="L113" s="12" t="str">
        <f aca="false">IF(TRIB!L113="","",(PU!L113/(INPUTS!$B$8*INPUTS!$B$7)-0.85*INPUTS!$B$5*ARCH_AG!L113)/(ARCH_AG!L113*(INPUTS!$B$6-0.85*INPUTS!$B$5)))</f>
        <v/>
      </c>
      <c r="M113" s="12" t="str">
        <f aca="false">IF(TRIB!M113="","",(PU!M113/(INPUTS!$B$8*INPUTS!$B$7)-0.85*INPUTS!$B$5*ARCH_AG!M113)/(ARCH_AG!M113*(INPUTS!$B$6-0.85*INPUTS!$B$5)))</f>
        <v/>
      </c>
      <c r="N113" s="12" t="str">
        <f aca="false">IF(TRIB!N113="","",(PU!N113/(INPUTS!$B$8*INPUTS!$B$7)-0.85*INPUTS!$B$5*ARCH_AG!N113)/(ARCH_AG!N113*(INPUTS!$B$6-0.85*INPUTS!$B$5)))</f>
        <v/>
      </c>
      <c r="O113" s="12" t="str">
        <f aca="false">IF(TRIB!O113="","",(PU!O113/(INPUTS!$B$8*INPUTS!$B$7)-0.85*INPUTS!$B$5*ARCH_AG!O113)/(ARCH_AG!O113*(INPUTS!$B$6-0.85*INPUTS!$B$5)))</f>
        <v/>
      </c>
      <c r="P113" s="12" t="str">
        <f aca="false">IF(TRIB!P113="","",(PU!P113/(INPUTS!$B$8*INPUTS!$B$7)-0.85*INPUTS!$B$5*ARCH_AG!P113)/(ARCH_AG!P113*(INPUTS!$B$6-0.85*INPUTS!$B$5)))</f>
        <v/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12" t="n">
        <f aca="false">IF(TRIB!E114="","",(PU!E114/(INPUTS!$B$8*INPUTS!$B$7)-0.85*INPUTS!$B$5*ARCH_AG!E114)/(ARCH_AG!E114*(INPUTS!$B$6-0.85*INPUTS!$B$5)))</f>
        <v>-0.0836216947897276</v>
      </c>
      <c r="F114" s="12" t="n">
        <f aca="false">IF(TRIB!F114="","",(PU!F114/(INPUTS!$B$8*INPUTS!$B$7)-0.85*INPUTS!$B$5*ARCH_AG!F114)/(ARCH_AG!F114*(INPUTS!$B$6-0.85*INPUTS!$B$5)))</f>
        <v>-0.0700844136636486</v>
      </c>
      <c r="G114" s="12" t="str">
        <f aca="false">IF(TRIB!G114="","",(PU!G114/(INPUTS!$B$8*INPUTS!$B$7)-0.85*INPUTS!$B$5*ARCH_AG!G114)/(ARCH_AG!G114*(INPUTS!$B$6-0.85*INPUTS!$B$5)))</f>
        <v/>
      </c>
      <c r="H114" s="12" t="str">
        <f aca="false">IF(TRIB!H114="","",(PU!H114/(INPUTS!$B$8*INPUTS!$B$7)-0.85*INPUTS!$B$5*ARCH_AG!H114)/(ARCH_AG!H114*(INPUTS!$B$6-0.85*INPUTS!$B$5)))</f>
        <v/>
      </c>
      <c r="I114" s="12" t="str">
        <f aca="false">IF(TRIB!I114="","",(PU!I114/(INPUTS!$B$8*INPUTS!$B$7)-0.85*INPUTS!$B$5*ARCH_AG!I114)/(ARCH_AG!I114*(INPUTS!$B$6-0.85*INPUTS!$B$5)))</f>
        <v/>
      </c>
      <c r="J114" s="12" t="str">
        <f aca="false">IF(TRIB!J114="","",(PU!J114/(INPUTS!$B$8*INPUTS!$B$7)-0.85*INPUTS!$B$5*ARCH_AG!J114)/(ARCH_AG!J114*(INPUTS!$B$6-0.85*INPUTS!$B$5)))</f>
        <v/>
      </c>
      <c r="K114" s="12" t="str">
        <f aca="false">IF(TRIB!K114="","",(PU!K114/(INPUTS!$B$8*INPUTS!$B$7)-0.85*INPUTS!$B$5*ARCH_AG!K114)/(ARCH_AG!K114*(INPUTS!$B$6-0.85*INPUTS!$B$5)))</f>
        <v/>
      </c>
      <c r="L114" s="12" t="str">
        <f aca="false">IF(TRIB!L114="","",(PU!L114/(INPUTS!$B$8*INPUTS!$B$7)-0.85*INPUTS!$B$5*ARCH_AG!L114)/(ARCH_AG!L114*(INPUTS!$B$6-0.85*INPUTS!$B$5)))</f>
        <v/>
      </c>
      <c r="M114" s="12" t="str">
        <f aca="false">IF(TRIB!M114="","",(PU!M114/(INPUTS!$B$8*INPUTS!$B$7)-0.85*INPUTS!$B$5*ARCH_AG!M114)/(ARCH_AG!M114*(INPUTS!$B$6-0.85*INPUTS!$B$5)))</f>
        <v/>
      </c>
      <c r="N114" s="12" t="str">
        <f aca="false">IF(TRIB!N114="","",(PU!N114/(INPUTS!$B$8*INPUTS!$B$7)-0.85*INPUTS!$B$5*ARCH_AG!N114)/(ARCH_AG!N114*(INPUTS!$B$6-0.85*INPUTS!$B$5)))</f>
        <v/>
      </c>
      <c r="O114" s="12" t="str">
        <f aca="false">IF(TRIB!O114="","",(PU!O114/(INPUTS!$B$8*INPUTS!$B$7)-0.85*INPUTS!$B$5*ARCH_AG!O114)/(ARCH_AG!O114*(INPUTS!$B$6-0.85*INPUTS!$B$5)))</f>
        <v/>
      </c>
      <c r="P114" s="12" t="str">
        <f aca="false">IF(TRIB!P114="","",(PU!P114/(INPUTS!$B$8*INPUTS!$B$7)-0.85*INPUTS!$B$5*ARCH_AG!P114)/(ARCH_AG!P114*(INPUTS!$B$6-0.85*INPUTS!$B$5)))</f>
        <v/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12" t="n">
        <f aca="false">IF(TRIB!E115="","",(PU!E115/(INPUTS!$B$8*INPUTS!$B$7)-0.85*INPUTS!$B$5*ARCH_AG!E115)/(ARCH_AG!E115*(INPUTS!$B$6-0.85*INPUTS!$B$5)))</f>
        <v>-0.0837192748053404</v>
      </c>
      <c r="F115" s="12" t="n">
        <f aca="false">IF(TRIB!F115="","",(PU!F115/(INPUTS!$B$8*INPUTS!$B$7)-0.85*INPUTS!$B$5*ARCH_AG!F115)/(ARCH_AG!F115*(INPUTS!$B$6-0.85*INPUTS!$B$5)))</f>
        <v>-0.070326278659612</v>
      </c>
      <c r="G115" s="12" t="str">
        <f aca="false">IF(TRIB!G115="","",(PU!G115/(INPUTS!$B$8*INPUTS!$B$7)-0.85*INPUTS!$B$5*ARCH_AG!G115)/(ARCH_AG!G115*(INPUTS!$B$6-0.85*INPUTS!$B$5)))</f>
        <v/>
      </c>
      <c r="H115" s="12" t="str">
        <f aca="false">IF(TRIB!H115="","",(PU!H115/(INPUTS!$B$8*INPUTS!$B$7)-0.85*INPUTS!$B$5*ARCH_AG!H115)/(ARCH_AG!H115*(INPUTS!$B$6-0.85*INPUTS!$B$5)))</f>
        <v/>
      </c>
      <c r="I115" s="12" t="str">
        <f aca="false">IF(TRIB!I115="","",(PU!I115/(INPUTS!$B$8*INPUTS!$B$7)-0.85*INPUTS!$B$5*ARCH_AG!I115)/(ARCH_AG!I115*(INPUTS!$B$6-0.85*INPUTS!$B$5)))</f>
        <v/>
      </c>
      <c r="J115" s="12" t="str">
        <f aca="false">IF(TRIB!J115="","",(PU!J115/(INPUTS!$B$8*INPUTS!$B$7)-0.85*INPUTS!$B$5*ARCH_AG!J115)/(ARCH_AG!J115*(INPUTS!$B$6-0.85*INPUTS!$B$5)))</f>
        <v/>
      </c>
      <c r="K115" s="12" t="str">
        <f aca="false">IF(TRIB!K115="","",(PU!K115/(INPUTS!$B$8*INPUTS!$B$7)-0.85*INPUTS!$B$5*ARCH_AG!K115)/(ARCH_AG!K115*(INPUTS!$B$6-0.85*INPUTS!$B$5)))</f>
        <v/>
      </c>
      <c r="L115" s="12" t="str">
        <f aca="false">IF(TRIB!L115="","",(PU!L115/(INPUTS!$B$8*INPUTS!$B$7)-0.85*INPUTS!$B$5*ARCH_AG!L115)/(ARCH_AG!L115*(INPUTS!$B$6-0.85*INPUTS!$B$5)))</f>
        <v/>
      </c>
      <c r="M115" s="12" t="str">
        <f aca="false">IF(TRIB!M115="","",(PU!M115/(INPUTS!$B$8*INPUTS!$B$7)-0.85*INPUTS!$B$5*ARCH_AG!M115)/(ARCH_AG!M115*(INPUTS!$B$6-0.85*INPUTS!$B$5)))</f>
        <v/>
      </c>
      <c r="N115" s="12" t="str">
        <f aca="false">IF(TRIB!N115="","",(PU!N115/(INPUTS!$B$8*INPUTS!$B$7)-0.85*INPUTS!$B$5*ARCH_AG!N115)/(ARCH_AG!N115*(INPUTS!$B$6-0.85*INPUTS!$B$5)))</f>
        <v/>
      </c>
      <c r="O115" s="12" t="str">
        <f aca="false">IF(TRIB!O115="","",(PU!O115/(INPUTS!$B$8*INPUTS!$B$7)-0.85*INPUTS!$B$5*ARCH_AG!O115)/(ARCH_AG!O115*(INPUTS!$B$6-0.85*INPUTS!$B$5)))</f>
        <v/>
      </c>
      <c r="P115" s="12" t="str">
        <f aca="false">IF(TRIB!P115="","",(PU!P115/(INPUTS!$B$8*INPUTS!$B$7)-0.85*INPUTS!$B$5*ARCH_AG!P115)/(ARCH_AG!P115*(INPUTS!$B$6-0.85*INPUTS!$B$5)))</f>
        <v/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12" t="n">
        <f aca="false">IF(TRIB!E116="","",(PU!E116/(INPUTS!$B$8*INPUTS!$B$7)-0.85*INPUTS!$B$5*ARCH_AG!E116)/(ARCH_AG!E116*(INPUTS!$B$6-0.85*INPUTS!$B$5)))</f>
        <v>-0.0829874246882443</v>
      </c>
      <c r="F116" s="12" t="n">
        <f aca="false">IF(TRIB!F116="","",(PU!F116/(INPUTS!$B$8*INPUTS!$B$7)-0.85*INPUTS!$B$5*ARCH_AG!F116)/(ARCH_AG!F116*(INPUTS!$B$6-0.85*INPUTS!$B$5)))</f>
        <v>-0.0685122911898868</v>
      </c>
      <c r="G116" s="12" t="str">
        <f aca="false">IF(TRIB!G116="","",(PU!G116/(INPUTS!$B$8*INPUTS!$B$7)-0.85*INPUTS!$B$5*ARCH_AG!G116)/(ARCH_AG!G116*(INPUTS!$B$6-0.85*INPUTS!$B$5)))</f>
        <v/>
      </c>
      <c r="H116" s="12" t="str">
        <f aca="false">IF(TRIB!H116="","",(PU!H116/(INPUTS!$B$8*INPUTS!$B$7)-0.85*INPUTS!$B$5*ARCH_AG!H116)/(ARCH_AG!H116*(INPUTS!$B$6-0.85*INPUTS!$B$5)))</f>
        <v/>
      </c>
      <c r="I116" s="12" t="str">
        <f aca="false">IF(TRIB!I116="","",(PU!I116/(INPUTS!$B$8*INPUTS!$B$7)-0.85*INPUTS!$B$5*ARCH_AG!I116)/(ARCH_AG!I116*(INPUTS!$B$6-0.85*INPUTS!$B$5)))</f>
        <v/>
      </c>
      <c r="J116" s="12" t="str">
        <f aca="false">IF(TRIB!J116="","",(PU!J116/(INPUTS!$B$8*INPUTS!$B$7)-0.85*INPUTS!$B$5*ARCH_AG!J116)/(ARCH_AG!J116*(INPUTS!$B$6-0.85*INPUTS!$B$5)))</f>
        <v/>
      </c>
      <c r="K116" s="12" t="str">
        <f aca="false">IF(TRIB!K116="","",(PU!K116/(INPUTS!$B$8*INPUTS!$B$7)-0.85*INPUTS!$B$5*ARCH_AG!K116)/(ARCH_AG!K116*(INPUTS!$B$6-0.85*INPUTS!$B$5)))</f>
        <v/>
      </c>
      <c r="L116" s="12" t="str">
        <f aca="false">IF(TRIB!L116="","",(PU!L116/(INPUTS!$B$8*INPUTS!$B$7)-0.85*INPUTS!$B$5*ARCH_AG!L116)/(ARCH_AG!L116*(INPUTS!$B$6-0.85*INPUTS!$B$5)))</f>
        <v/>
      </c>
      <c r="M116" s="12" t="str">
        <f aca="false">IF(TRIB!M116="","",(PU!M116/(INPUTS!$B$8*INPUTS!$B$7)-0.85*INPUTS!$B$5*ARCH_AG!M116)/(ARCH_AG!M116*(INPUTS!$B$6-0.85*INPUTS!$B$5)))</f>
        <v/>
      </c>
      <c r="N116" s="12" t="str">
        <f aca="false">IF(TRIB!N116="","",(PU!N116/(INPUTS!$B$8*INPUTS!$B$7)-0.85*INPUTS!$B$5*ARCH_AG!N116)/(ARCH_AG!N116*(INPUTS!$B$6-0.85*INPUTS!$B$5)))</f>
        <v/>
      </c>
      <c r="O116" s="12" t="str">
        <f aca="false">IF(TRIB!O116="","",(PU!O116/(INPUTS!$B$8*INPUTS!$B$7)-0.85*INPUTS!$B$5*ARCH_AG!O116)/(ARCH_AG!O116*(INPUTS!$B$6-0.85*INPUTS!$B$5)))</f>
        <v/>
      </c>
      <c r="P116" s="12" t="str">
        <f aca="false">IF(TRIB!P116="","",(PU!P116/(INPUTS!$B$8*INPUTS!$B$7)-0.85*INPUTS!$B$5*ARCH_AG!P116)/(ARCH_AG!P116*(INPUTS!$B$6-0.85*INPUTS!$B$5)))</f>
        <v/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12" t="n">
        <f aca="false">IF(TRIB!E117="","",(PU!E117/(INPUTS!$B$8*INPUTS!$B$7)-0.85*INPUTS!$B$5*ARCH_AG!E117)/(ARCH_AG!E117*(INPUTS!$B$6-0.85*INPUTS!$B$5)))</f>
        <v>-0.083394008086631</v>
      </c>
      <c r="F117" s="12" t="n">
        <f aca="false">IF(TRIB!F117="","",(PU!F117/(INPUTS!$B$8*INPUTS!$B$7)-0.85*INPUTS!$B$5*ARCH_AG!F117)/(ARCH_AG!F117*(INPUTS!$B$6-0.85*INPUTS!$B$5)))</f>
        <v>-0.0695200620064008</v>
      </c>
      <c r="G117" s="12" t="str">
        <f aca="false">IF(TRIB!G117="","",(PU!G117/(INPUTS!$B$8*INPUTS!$B$7)-0.85*INPUTS!$B$5*ARCH_AG!G117)/(ARCH_AG!G117*(INPUTS!$B$6-0.85*INPUTS!$B$5)))</f>
        <v/>
      </c>
      <c r="H117" s="12" t="str">
        <f aca="false">IF(TRIB!H117="","",(PU!H117/(INPUTS!$B$8*INPUTS!$B$7)-0.85*INPUTS!$B$5*ARCH_AG!H117)/(ARCH_AG!H117*(INPUTS!$B$6-0.85*INPUTS!$B$5)))</f>
        <v/>
      </c>
      <c r="I117" s="12" t="str">
        <f aca="false">IF(TRIB!I117="","",(PU!I117/(INPUTS!$B$8*INPUTS!$B$7)-0.85*INPUTS!$B$5*ARCH_AG!I117)/(ARCH_AG!I117*(INPUTS!$B$6-0.85*INPUTS!$B$5)))</f>
        <v/>
      </c>
      <c r="J117" s="12" t="str">
        <f aca="false">IF(TRIB!J117="","",(PU!J117/(INPUTS!$B$8*INPUTS!$B$7)-0.85*INPUTS!$B$5*ARCH_AG!J117)/(ARCH_AG!J117*(INPUTS!$B$6-0.85*INPUTS!$B$5)))</f>
        <v/>
      </c>
      <c r="K117" s="12" t="str">
        <f aca="false">IF(TRIB!K117="","",(PU!K117/(INPUTS!$B$8*INPUTS!$B$7)-0.85*INPUTS!$B$5*ARCH_AG!K117)/(ARCH_AG!K117*(INPUTS!$B$6-0.85*INPUTS!$B$5)))</f>
        <v/>
      </c>
      <c r="L117" s="12" t="str">
        <f aca="false">IF(TRIB!L117="","",(PU!L117/(INPUTS!$B$8*INPUTS!$B$7)-0.85*INPUTS!$B$5*ARCH_AG!L117)/(ARCH_AG!L117*(INPUTS!$B$6-0.85*INPUTS!$B$5)))</f>
        <v/>
      </c>
      <c r="M117" s="12" t="str">
        <f aca="false">IF(TRIB!M117="","",(PU!M117/(INPUTS!$B$8*INPUTS!$B$7)-0.85*INPUTS!$B$5*ARCH_AG!M117)/(ARCH_AG!M117*(INPUTS!$B$6-0.85*INPUTS!$B$5)))</f>
        <v/>
      </c>
      <c r="N117" s="12" t="str">
        <f aca="false">IF(TRIB!N117="","",(PU!N117/(INPUTS!$B$8*INPUTS!$B$7)-0.85*INPUTS!$B$5*ARCH_AG!N117)/(ARCH_AG!N117*(INPUTS!$B$6-0.85*INPUTS!$B$5)))</f>
        <v/>
      </c>
      <c r="O117" s="12" t="str">
        <f aca="false">IF(TRIB!O117="","",(PU!O117/(INPUTS!$B$8*INPUTS!$B$7)-0.85*INPUTS!$B$5*ARCH_AG!O117)/(ARCH_AG!O117*(INPUTS!$B$6-0.85*INPUTS!$B$5)))</f>
        <v/>
      </c>
      <c r="P117" s="12" t="str">
        <f aca="false">IF(TRIB!P117="","",(PU!P117/(INPUTS!$B$8*INPUTS!$B$7)-0.85*INPUTS!$B$5*ARCH_AG!P117)/(ARCH_AG!P117*(INPUTS!$B$6-0.85*INPUTS!$B$5)))</f>
        <v/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12" t="n">
        <f aca="false">IF(TRIB!E118="","",(PU!E118/(INPUTS!$B$8*INPUTS!$B$7)-0.85*INPUTS!$B$5*ARCH_AG!E118)/(ARCH_AG!E118*(INPUTS!$B$6-0.85*INPUTS!$B$5)))</f>
        <v>-0.0886308022578514</v>
      </c>
      <c r="F118" s="12" t="n">
        <f aca="false">IF(TRIB!F118="","",(PU!F118/(INPUTS!$B$8*INPUTS!$B$7)-0.85*INPUTS!$B$5*ARCH_AG!F118)/(ARCH_AG!F118*(INPUTS!$B$6-0.85*INPUTS!$B$5)))</f>
        <v>-0.0825001501231009</v>
      </c>
      <c r="G118" s="12" t="str">
        <f aca="false">IF(TRIB!G118="","",(PU!G118/(INPUTS!$B$8*INPUTS!$B$7)-0.85*INPUTS!$B$5*ARCH_AG!G118)/(ARCH_AG!G118*(INPUTS!$B$6-0.85*INPUTS!$B$5)))</f>
        <v/>
      </c>
      <c r="H118" s="12" t="str">
        <f aca="false">IF(TRIB!H118="","",(PU!H118/(INPUTS!$B$8*INPUTS!$B$7)-0.85*INPUTS!$B$5*ARCH_AG!H118)/(ARCH_AG!H118*(INPUTS!$B$6-0.85*INPUTS!$B$5)))</f>
        <v/>
      </c>
      <c r="I118" s="12" t="str">
        <f aca="false">IF(TRIB!I118="","",(PU!I118/(INPUTS!$B$8*INPUTS!$B$7)-0.85*INPUTS!$B$5*ARCH_AG!I118)/(ARCH_AG!I118*(INPUTS!$B$6-0.85*INPUTS!$B$5)))</f>
        <v/>
      </c>
      <c r="J118" s="12" t="str">
        <f aca="false">IF(TRIB!J118="","",(PU!J118/(INPUTS!$B$8*INPUTS!$B$7)-0.85*INPUTS!$B$5*ARCH_AG!J118)/(ARCH_AG!J118*(INPUTS!$B$6-0.85*INPUTS!$B$5)))</f>
        <v/>
      </c>
      <c r="K118" s="12" t="str">
        <f aca="false">IF(TRIB!K118="","",(PU!K118/(INPUTS!$B$8*INPUTS!$B$7)-0.85*INPUTS!$B$5*ARCH_AG!K118)/(ARCH_AG!K118*(INPUTS!$B$6-0.85*INPUTS!$B$5)))</f>
        <v/>
      </c>
      <c r="L118" s="12" t="str">
        <f aca="false">IF(TRIB!L118="","",(PU!L118/(INPUTS!$B$8*INPUTS!$B$7)-0.85*INPUTS!$B$5*ARCH_AG!L118)/(ARCH_AG!L118*(INPUTS!$B$6-0.85*INPUTS!$B$5)))</f>
        <v/>
      </c>
      <c r="M118" s="12" t="str">
        <f aca="false">IF(TRIB!M118="","",(PU!M118/(INPUTS!$B$8*INPUTS!$B$7)-0.85*INPUTS!$B$5*ARCH_AG!M118)/(ARCH_AG!M118*(INPUTS!$B$6-0.85*INPUTS!$B$5)))</f>
        <v/>
      </c>
      <c r="N118" s="12" t="str">
        <f aca="false">IF(TRIB!N118="","",(PU!N118/(INPUTS!$B$8*INPUTS!$B$7)-0.85*INPUTS!$B$5*ARCH_AG!N118)/(ARCH_AG!N118*(INPUTS!$B$6-0.85*INPUTS!$B$5)))</f>
        <v/>
      </c>
      <c r="O118" s="12" t="str">
        <f aca="false">IF(TRIB!O118="","",(PU!O118/(INPUTS!$B$8*INPUTS!$B$7)-0.85*INPUTS!$B$5*ARCH_AG!O118)/(ARCH_AG!O118*(INPUTS!$B$6-0.85*INPUTS!$B$5)))</f>
        <v/>
      </c>
      <c r="P118" s="12" t="str">
        <f aca="false">IF(TRIB!P118="","",(PU!P118/(INPUTS!$B$8*INPUTS!$B$7)-0.85*INPUTS!$B$5*ARCH_AG!P118)/(ARCH_AG!P118*(INPUTS!$B$6-0.85*INPUTS!$B$5)))</f>
        <v/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12" t="str">
        <f aca="false">IF(TRIB!E119="","",(PU!E119/(INPUTS!$B$8*INPUTS!$B$7)-0.85*INPUTS!$B$5*ARCH_AG!E119)/(ARCH_AG!E119*(INPUTS!$B$6-0.85*INPUTS!$B$5)))</f>
        <v/>
      </c>
      <c r="F119" s="12" t="str">
        <f aca="false">IF(TRIB!F119="","",(PU!F119/(INPUTS!$B$8*INPUTS!$B$7)-0.85*INPUTS!$B$5*ARCH_AG!F119)/(ARCH_AG!F119*(INPUTS!$B$6-0.85*INPUTS!$B$5)))</f>
        <v/>
      </c>
      <c r="G119" s="12" t="str">
        <f aca="false">IF(TRIB!G119="","",(PU!G119/(INPUTS!$B$8*INPUTS!$B$7)-0.85*INPUTS!$B$5*ARCH_AG!G119)/(ARCH_AG!G119*(INPUTS!$B$6-0.85*INPUTS!$B$5)))</f>
        <v/>
      </c>
      <c r="H119" s="12" t="str">
        <f aca="false">IF(TRIB!H119="","",(PU!H119/(INPUTS!$B$8*INPUTS!$B$7)-0.85*INPUTS!$B$5*ARCH_AG!H119)/(ARCH_AG!H119*(INPUTS!$B$6-0.85*INPUTS!$B$5)))</f>
        <v/>
      </c>
      <c r="I119" s="12" t="str">
        <f aca="false">IF(TRIB!I119="","",(PU!I119/(INPUTS!$B$8*INPUTS!$B$7)-0.85*INPUTS!$B$5*ARCH_AG!I119)/(ARCH_AG!I119*(INPUTS!$B$6-0.85*INPUTS!$B$5)))</f>
        <v/>
      </c>
      <c r="J119" s="12" t="n">
        <f aca="false">IF(TRIB!J119="","",(PU!J119/(INPUTS!$B$8*INPUTS!$B$7)-0.85*INPUTS!$B$5*ARCH_AG!J119)/(ARCH_AG!J119*(INPUTS!$B$6-0.85*INPUTS!$B$5)))</f>
        <v>-0.0924364228667507</v>
      </c>
      <c r="K119" s="12" t="str">
        <f aca="false">IF(TRIB!K119="","",(PU!K119/(INPUTS!$B$8*INPUTS!$B$7)-0.85*INPUTS!$B$5*ARCH_AG!K119)/(ARCH_AG!K119*(INPUTS!$B$6-0.85*INPUTS!$B$5)))</f>
        <v/>
      </c>
      <c r="L119" s="12" t="str">
        <f aca="false">IF(TRIB!L119="","",(PU!L119/(INPUTS!$B$8*INPUTS!$B$7)-0.85*INPUTS!$B$5*ARCH_AG!L119)/(ARCH_AG!L119*(INPUTS!$B$6-0.85*INPUTS!$B$5)))</f>
        <v/>
      </c>
      <c r="M119" s="12" t="str">
        <f aca="false">IF(TRIB!M119="","",(PU!M119/(INPUTS!$B$8*INPUTS!$B$7)-0.85*INPUTS!$B$5*ARCH_AG!M119)/(ARCH_AG!M119*(INPUTS!$B$6-0.85*INPUTS!$B$5)))</f>
        <v/>
      </c>
      <c r="N119" s="12" t="str">
        <f aca="false">IF(TRIB!N119="","",(PU!N119/(INPUTS!$B$8*INPUTS!$B$7)-0.85*INPUTS!$B$5*ARCH_AG!N119)/(ARCH_AG!N119*(INPUTS!$B$6-0.85*INPUTS!$B$5)))</f>
        <v/>
      </c>
      <c r="O119" s="12" t="str">
        <f aca="false">IF(TRIB!O119="","",(PU!O119/(INPUTS!$B$8*INPUTS!$B$7)-0.85*INPUTS!$B$5*ARCH_AG!O119)/(ARCH_AG!O119*(INPUTS!$B$6-0.85*INPUTS!$B$5)))</f>
        <v/>
      </c>
      <c r="P119" s="12" t="str">
        <f aca="false">IF(TRIB!P119="","",(PU!P119/(INPUTS!$B$8*INPUTS!$B$7)-0.85*INPUTS!$B$5*ARCH_AG!P119)/(ARCH_AG!P119*(INPUTS!$B$6-0.85*INPUTS!$B$5)))</f>
        <v/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12" t="str">
        <f aca="false">IF(TRIB!E120="","",(PU!E120/(INPUTS!$B$8*INPUTS!$B$7)-0.85*INPUTS!$B$5*ARCH_AG!E120)/(ARCH_AG!E120*(INPUTS!$B$6-0.85*INPUTS!$B$5)))</f>
        <v/>
      </c>
      <c r="F120" s="12" t="str">
        <f aca="false">IF(TRIB!F120="","",(PU!F120/(INPUTS!$B$8*INPUTS!$B$7)-0.85*INPUTS!$B$5*ARCH_AG!F120)/(ARCH_AG!F120*(INPUTS!$B$6-0.85*INPUTS!$B$5)))</f>
        <v/>
      </c>
      <c r="G120" s="12" t="str">
        <f aca="false">IF(TRIB!G120="","",(PU!G120/(INPUTS!$B$8*INPUTS!$B$7)-0.85*INPUTS!$B$5*ARCH_AG!G120)/(ARCH_AG!G120*(INPUTS!$B$6-0.85*INPUTS!$B$5)))</f>
        <v/>
      </c>
      <c r="H120" s="12" t="str">
        <f aca="false">IF(TRIB!H120="","",(PU!H120/(INPUTS!$B$8*INPUTS!$B$7)-0.85*INPUTS!$B$5*ARCH_AG!H120)/(ARCH_AG!H120*(INPUTS!$B$6-0.85*INPUTS!$B$5)))</f>
        <v/>
      </c>
      <c r="I120" s="12" t="str">
        <f aca="false">IF(TRIB!I120="","",(PU!I120/(INPUTS!$B$8*INPUTS!$B$7)-0.85*INPUTS!$B$5*ARCH_AG!I120)/(ARCH_AG!I120*(INPUTS!$B$6-0.85*INPUTS!$B$5)))</f>
        <v/>
      </c>
      <c r="J120" s="12" t="n">
        <f aca="false">IF(TRIB!J120="","",(PU!J120/(INPUTS!$B$8*INPUTS!$B$7)-0.85*INPUTS!$B$5*ARCH_AG!J120)/(ARCH_AG!J120*(INPUTS!$B$6-0.85*INPUTS!$B$5)))</f>
        <v>-0.091215699651492</v>
      </c>
      <c r="K120" s="12" t="str">
        <f aca="false">IF(TRIB!K120="","",(PU!K120/(INPUTS!$B$8*INPUTS!$B$7)-0.85*INPUTS!$B$5*ARCH_AG!K120)/(ARCH_AG!K120*(INPUTS!$B$6-0.85*INPUTS!$B$5)))</f>
        <v/>
      </c>
      <c r="L120" s="12" t="str">
        <f aca="false">IF(TRIB!L120="","",(PU!L120/(INPUTS!$B$8*INPUTS!$B$7)-0.85*INPUTS!$B$5*ARCH_AG!L120)/(ARCH_AG!L120*(INPUTS!$B$6-0.85*INPUTS!$B$5)))</f>
        <v/>
      </c>
      <c r="M120" s="12" t="str">
        <f aca="false">IF(TRIB!M120="","",(PU!M120/(INPUTS!$B$8*INPUTS!$B$7)-0.85*INPUTS!$B$5*ARCH_AG!M120)/(ARCH_AG!M120*(INPUTS!$B$6-0.85*INPUTS!$B$5)))</f>
        <v/>
      </c>
      <c r="N120" s="12" t="str">
        <f aca="false">IF(TRIB!N120="","",(PU!N120/(INPUTS!$B$8*INPUTS!$B$7)-0.85*INPUTS!$B$5*ARCH_AG!N120)/(ARCH_AG!N120*(INPUTS!$B$6-0.85*INPUTS!$B$5)))</f>
        <v/>
      </c>
      <c r="O120" s="12" t="str">
        <f aca="false">IF(TRIB!O120="","",(PU!O120/(INPUTS!$B$8*INPUTS!$B$7)-0.85*INPUTS!$B$5*ARCH_AG!O120)/(ARCH_AG!O120*(INPUTS!$B$6-0.85*INPUTS!$B$5)))</f>
        <v/>
      </c>
      <c r="P120" s="12" t="str">
        <f aca="false">IF(TRIB!P120="","",(PU!P120/(INPUTS!$B$8*INPUTS!$B$7)-0.85*INPUTS!$B$5*ARCH_AG!P120)/(ARCH_AG!P120*(INPUTS!$B$6-0.85*INPUTS!$B$5)))</f>
        <v/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12" t="str">
        <f aca="false">IF(TRIB!E121="","",(PU!E121/(INPUTS!$B$8*INPUTS!$B$7)-0.85*INPUTS!$B$5*ARCH_AG!E121)/(ARCH_AG!E121*(INPUTS!$B$6-0.85*INPUTS!$B$5)))</f>
        <v/>
      </c>
      <c r="F121" s="12" t="str">
        <f aca="false">IF(TRIB!F121="","",(PU!F121/(INPUTS!$B$8*INPUTS!$B$7)-0.85*INPUTS!$B$5*ARCH_AG!F121)/(ARCH_AG!F121*(INPUTS!$B$6-0.85*INPUTS!$B$5)))</f>
        <v/>
      </c>
      <c r="G121" s="12" t="str">
        <f aca="false">IF(TRIB!G121="","",(PU!G121/(INPUTS!$B$8*INPUTS!$B$7)-0.85*INPUTS!$B$5*ARCH_AG!G121)/(ARCH_AG!G121*(INPUTS!$B$6-0.85*INPUTS!$B$5)))</f>
        <v/>
      </c>
      <c r="H121" s="12" t="str">
        <f aca="false">IF(TRIB!H121="","",(PU!H121/(INPUTS!$B$8*INPUTS!$B$7)-0.85*INPUTS!$B$5*ARCH_AG!H121)/(ARCH_AG!H121*(INPUTS!$B$6-0.85*INPUTS!$B$5)))</f>
        <v/>
      </c>
      <c r="I121" s="12" t="str">
        <f aca="false">IF(TRIB!I121="","",(PU!I121/(INPUTS!$B$8*INPUTS!$B$7)-0.85*INPUTS!$B$5*ARCH_AG!I121)/(ARCH_AG!I121*(INPUTS!$B$6-0.85*INPUTS!$B$5)))</f>
        <v/>
      </c>
      <c r="J121" s="12" t="n">
        <f aca="false">IF(TRIB!J121="","",(PU!J121/(INPUTS!$B$8*INPUTS!$B$7)-0.85*INPUTS!$B$5*ARCH_AG!J121)/(ARCH_AG!J121*(INPUTS!$B$6-0.85*INPUTS!$B$5)))</f>
        <v>-0.0924364228667507</v>
      </c>
      <c r="K121" s="12" t="str">
        <f aca="false">IF(TRIB!K121="","",(PU!K121/(INPUTS!$B$8*INPUTS!$B$7)-0.85*INPUTS!$B$5*ARCH_AG!K121)/(ARCH_AG!K121*(INPUTS!$B$6-0.85*INPUTS!$B$5)))</f>
        <v/>
      </c>
      <c r="L121" s="12" t="str">
        <f aca="false">IF(TRIB!L121="","",(PU!L121/(INPUTS!$B$8*INPUTS!$B$7)-0.85*INPUTS!$B$5*ARCH_AG!L121)/(ARCH_AG!L121*(INPUTS!$B$6-0.85*INPUTS!$B$5)))</f>
        <v/>
      </c>
      <c r="M121" s="12" t="str">
        <f aca="false">IF(TRIB!M121="","",(PU!M121/(INPUTS!$B$8*INPUTS!$B$7)-0.85*INPUTS!$B$5*ARCH_AG!M121)/(ARCH_AG!M121*(INPUTS!$B$6-0.85*INPUTS!$B$5)))</f>
        <v/>
      </c>
      <c r="N121" s="12" t="str">
        <f aca="false">IF(TRIB!N121="","",(PU!N121/(INPUTS!$B$8*INPUTS!$B$7)-0.85*INPUTS!$B$5*ARCH_AG!N121)/(ARCH_AG!N121*(INPUTS!$B$6-0.85*INPUTS!$B$5)))</f>
        <v/>
      </c>
      <c r="O121" s="12" t="str">
        <f aca="false">IF(TRIB!O121="","",(PU!O121/(INPUTS!$B$8*INPUTS!$B$7)-0.85*INPUTS!$B$5*ARCH_AG!O121)/(ARCH_AG!O121*(INPUTS!$B$6-0.85*INPUTS!$B$5)))</f>
        <v/>
      </c>
      <c r="P121" s="12" t="str">
        <f aca="false">IF(TRIB!P121="","",(PU!P121/(INPUTS!$B$8*INPUTS!$B$7)-0.85*INPUTS!$B$5*ARCH_AG!P121)/(ARCH_AG!P121*(INPUTS!$B$6-0.85*INPUTS!$B$5)))</f>
        <v/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12" t="str">
        <f aca="false">IF(TRIB!E122="","",(PU!E122/(INPUTS!$B$8*INPUTS!$B$7)-0.85*INPUTS!$B$5*ARCH_AG!E122)/(ARCH_AG!E122*(INPUTS!$B$6-0.85*INPUTS!$B$5)))</f>
        <v/>
      </c>
      <c r="F122" s="12" t="str">
        <f aca="false">IF(TRIB!F122="","",(PU!F122/(INPUTS!$B$8*INPUTS!$B$7)-0.85*INPUTS!$B$5*ARCH_AG!F122)/(ARCH_AG!F122*(INPUTS!$B$6-0.85*INPUTS!$B$5)))</f>
        <v/>
      </c>
      <c r="G122" s="12" t="str">
        <f aca="false">IF(TRIB!G122="","",(PU!G122/(INPUTS!$B$8*INPUTS!$B$7)-0.85*INPUTS!$B$5*ARCH_AG!G122)/(ARCH_AG!G122*(INPUTS!$B$6-0.85*INPUTS!$B$5)))</f>
        <v/>
      </c>
      <c r="H122" s="12" t="str">
        <f aca="false">IF(TRIB!H122="","",(PU!H122/(INPUTS!$B$8*INPUTS!$B$7)-0.85*INPUTS!$B$5*ARCH_AG!H122)/(ARCH_AG!H122*(INPUTS!$B$6-0.85*INPUTS!$B$5)))</f>
        <v/>
      </c>
      <c r="I122" s="12" t="str">
        <f aca="false">IF(TRIB!I122="","",(PU!I122/(INPUTS!$B$8*INPUTS!$B$7)-0.85*INPUTS!$B$5*ARCH_AG!I122)/(ARCH_AG!I122*(INPUTS!$B$6-0.85*INPUTS!$B$5)))</f>
        <v/>
      </c>
      <c r="J122" s="12" t="n">
        <f aca="false">IF(TRIB!J122="","",(PU!J122/(INPUTS!$B$8*INPUTS!$B$7)-0.85*INPUTS!$B$5*ARCH_AG!J122)/(ARCH_AG!J122*(INPUTS!$B$6-0.85*INPUTS!$B$5)))</f>
        <v>-0.0924364228667507</v>
      </c>
      <c r="K122" s="12" t="str">
        <f aca="false">IF(TRIB!K122="","",(PU!K122/(INPUTS!$B$8*INPUTS!$B$7)-0.85*INPUTS!$B$5*ARCH_AG!K122)/(ARCH_AG!K122*(INPUTS!$B$6-0.85*INPUTS!$B$5)))</f>
        <v/>
      </c>
      <c r="L122" s="12" t="str">
        <f aca="false">IF(TRIB!L122="","",(PU!L122/(INPUTS!$B$8*INPUTS!$B$7)-0.85*INPUTS!$B$5*ARCH_AG!L122)/(ARCH_AG!L122*(INPUTS!$B$6-0.85*INPUTS!$B$5)))</f>
        <v/>
      </c>
      <c r="M122" s="12" t="str">
        <f aca="false">IF(TRIB!M122="","",(PU!M122/(INPUTS!$B$8*INPUTS!$B$7)-0.85*INPUTS!$B$5*ARCH_AG!M122)/(ARCH_AG!M122*(INPUTS!$B$6-0.85*INPUTS!$B$5)))</f>
        <v/>
      </c>
      <c r="N122" s="12" t="str">
        <f aca="false">IF(TRIB!N122="","",(PU!N122/(INPUTS!$B$8*INPUTS!$B$7)-0.85*INPUTS!$B$5*ARCH_AG!N122)/(ARCH_AG!N122*(INPUTS!$B$6-0.85*INPUTS!$B$5)))</f>
        <v/>
      </c>
      <c r="O122" s="12" t="str">
        <f aca="false">IF(TRIB!O122="","",(PU!O122/(INPUTS!$B$8*INPUTS!$B$7)-0.85*INPUTS!$B$5*ARCH_AG!O122)/(ARCH_AG!O122*(INPUTS!$B$6-0.85*INPUTS!$B$5)))</f>
        <v/>
      </c>
      <c r="P122" s="12" t="str">
        <f aca="false">IF(TRIB!P122="","",(PU!P122/(INPUTS!$B$8*INPUTS!$B$7)-0.85*INPUTS!$B$5*ARCH_AG!P122)/(ARCH_AG!P122*(INPUTS!$B$6-0.85*INPUTS!$B$5)))</f>
        <v/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12" t="str">
        <f aca="false">IF(TRIB!E123="","",(PU!E123/(INPUTS!$B$8*INPUTS!$B$7)-0.85*INPUTS!$B$5*ARCH_AG!E123)/(ARCH_AG!E123*(INPUTS!$B$6-0.85*INPUTS!$B$5)))</f>
        <v/>
      </c>
      <c r="F123" s="12" t="str">
        <f aca="false">IF(TRIB!F123="","",(PU!F123/(INPUTS!$B$8*INPUTS!$B$7)-0.85*INPUTS!$B$5*ARCH_AG!F123)/(ARCH_AG!F123*(INPUTS!$B$6-0.85*INPUTS!$B$5)))</f>
        <v/>
      </c>
      <c r="G123" s="12" t="str">
        <f aca="false">IF(TRIB!G123="","",(PU!G123/(INPUTS!$B$8*INPUTS!$B$7)-0.85*INPUTS!$B$5*ARCH_AG!G123)/(ARCH_AG!G123*(INPUTS!$B$6-0.85*INPUTS!$B$5)))</f>
        <v/>
      </c>
      <c r="H123" s="12" t="str">
        <f aca="false">IF(TRIB!H123="","",(PU!H123/(INPUTS!$B$8*INPUTS!$B$7)-0.85*INPUTS!$B$5*ARCH_AG!H123)/(ARCH_AG!H123*(INPUTS!$B$6-0.85*INPUTS!$B$5)))</f>
        <v/>
      </c>
      <c r="I123" s="12" t="str">
        <f aca="false">IF(TRIB!I123="","",(PU!I123/(INPUTS!$B$8*INPUTS!$B$7)-0.85*INPUTS!$B$5*ARCH_AG!I123)/(ARCH_AG!I123*(INPUTS!$B$6-0.85*INPUTS!$B$5)))</f>
        <v/>
      </c>
      <c r="J123" s="12" t="n">
        <f aca="false">IF(TRIB!J123="","",(PU!J123/(INPUTS!$B$8*INPUTS!$B$7)-0.85*INPUTS!$B$5*ARCH_AG!J123)/(ARCH_AG!J123*(INPUTS!$B$6-0.85*INPUTS!$B$5)))</f>
        <v>-0.0924364228667507</v>
      </c>
      <c r="K123" s="12" t="str">
        <f aca="false">IF(TRIB!K123="","",(PU!K123/(INPUTS!$B$8*INPUTS!$B$7)-0.85*INPUTS!$B$5*ARCH_AG!K123)/(ARCH_AG!K123*(INPUTS!$B$6-0.85*INPUTS!$B$5)))</f>
        <v/>
      </c>
      <c r="L123" s="12" t="str">
        <f aca="false">IF(TRIB!L123="","",(PU!L123/(INPUTS!$B$8*INPUTS!$B$7)-0.85*INPUTS!$B$5*ARCH_AG!L123)/(ARCH_AG!L123*(INPUTS!$B$6-0.85*INPUTS!$B$5)))</f>
        <v/>
      </c>
      <c r="M123" s="12" t="str">
        <f aca="false">IF(TRIB!M123="","",(PU!M123/(INPUTS!$B$8*INPUTS!$B$7)-0.85*INPUTS!$B$5*ARCH_AG!M123)/(ARCH_AG!M123*(INPUTS!$B$6-0.85*INPUTS!$B$5)))</f>
        <v/>
      </c>
      <c r="N123" s="12" t="str">
        <f aca="false">IF(TRIB!N123="","",(PU!N123/(INPUTS!$B$8*INPUTS!$B$7)-0.85*INPUTS!$B$5*ARCH_AG!N123)/(ARCH_AG!N123*(INPUTS!$B$6-0.85*INPUTS!$B$5)))</f>
        <v/>
      </c>
      <c r="O123" s="12" t="str">
        <f aca="false">IF(TRIB!O123="","",(PU!O123/(INPUTS!$B$8*INPUTS!$B$7)-0.85*INPUTS!$B$5*ARCH_AG!O123)/(ARCH_AG!O123*(INPUTS!$B$6-0.85*INPUTS!$B$5)))</f>
        <v/>
      </c>
      <c r="P123" s="12" t="str">
        <f aca="false">IF(TRIB!P123="","",(PU!P123/(INPUTS!$B$8*INPUTS!$B$7)-0.85*INPUTS!$B$5*ARCH_AG!P123)/(ARCH_AG!P123*(INPUTS!$B$6-0.85*INPUTS!$B$5)))</f>
        <v/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12" t="str">
        <f aca="false">IF(TRIB!E124="","",(PU!E124/(INPUTS!$B$8*INPUTS!$B$7)-0.85*INPUTS!$B$5*ARCH_AG!E124)/(ARCH_AG!E124*(INPUTS!$B$6-0.85*INPUTS!$B$5)))</f>
        <v/>
      </c>
      <c r="F124" s="12" t="str">
        <f aca="false">IF(TRIB!F124="","",(PU!F124/(INPUTS!$B$8*INPUTS!$B$7)-0.85*INPUTS!$B$5*ARCH_AG!F124)/(ARCH_AG!F124*(INPUTS!$B$6-0.85*INPUTS!$B$5)))</f>
        <v/>
      </c>
      <c r="G124" s="12" t="str">
        <f aca="false">IF(TRIB!G124="","",(PU!G124/(INPUTS!$B$8*INPUTS!$B$7)-0.85*INPUTS!$B$5*ARCH_AG!G124)/(ARCH_AG!G124*(INPUTS!$B$6-0.85*INPUTS!$B$5)))</f>
        <v/>
      </c>
      <c r="H124" s="12" t="str">
        <f aca="false">IF(TRIB!H124="","",(PU!H124/(INPUTS!$B$8*INPUTS!$B$7)-0.85*INPUTS!$B$5*ARCH_AG!H124)/(ARCH_AG!H124*(INPUTS!$B$6-0.85*INPUTS!$B$5)))</f>
        <v/>
      </c>
      <c r="I124" s="12" t="str">
        <f aca="false">IF(TRIB!I124="","",(PU!I124/(INPUTS!$B$8*INPUTS!$B$7)-0.85*INPUTS!$B$5*ARCH_AG!I124)/(ARCH_AG!I124*(INPUTS!$B$6-0.85*INPUTS!$B$5)))</f>
        <v/>
      </c>
      <c r="J124" s="12" t="n">
        <f aca="false">IF(TRIB!J124="","",(PU!J124/(INPUTS!$B$8*INPUTS!$B$7)-0.85*INPUTS!$B$5*ARCH_AG!J124)/(ARCH_AG!J124*(INPUTS!$B$6-0.85*INPUTS!$B$5)))</f>
        <v>-0.09000954819416</v>
      </c>
      <c r="K124" s="12" t="str">
        <f aca="false">IF(TRIB!K124="","",(PU!K124/(INPUTS!$B$8*INPUTS!$B$7)-0.85*INPUTS!$B$5*ARCH_AG!K124)/(ARCH_AG!K124*(INPUTS!$B$6-0.85*INPUTS!$B$5)))</f>
        <v/>
      </c>
      <c r="L124" s="12" t="str">
        <f aca="false">IF(TRIB!L124="","",(PU!L124/(INPUTS!$B$8*INPUTS!$B$7)-0.85*INPUTS!$B$5*ARCH_AG!L124)/(ARCH_AG!L124*(INPUTS!$B$6-0.85*INPUTS!$B$5)))</f>
        <v/>
      </c>
      <c r="M124" s="12" t="str">
        <f aca="false">IF(TRIB!M124="","",(PU!M124/(INPUTS!$B$8*INPUTS!$B$7)-0.85*INPUTS!$B$5*ARCH_AG!M124)/(ARCH_AG!M124*(INPUTS!$B$6-0.85*INPUTS!$B$5)))</f>
        <v/>
      </c>
      <c r="N124" s="12" t="str">
        <f aca="false">IF(TRIB!N124="","",(PU!N124/(INPUTS!$B$8*INPUTS!$B$7)-0.85*INPUTS!$B$5*ARCH_AG!N124)/(ARCH_AG!N124*(INPUTS!$B$6-0.85*INPUTS!$B$5)))</f>
        <v/>
      </c>
      <c r="O124" s="12" t="str">
        <f aca="false">IF(TRIB!O124="","",(PU!O124/(INPUTS!$B$8*INPUTS!$B$7)-0.85*INPUTS!$B$5*ARCH_AG!O124)/(ARCH_AG!O124*(INPUTS!$B$6-0.85*INPUTS!$B$5)))</f>
        <v/>
      </c>
      <c r="P124" s="12" t="str">
        <f aca="false">IF(TRIB!P124="","",(PU!P124/(INPUTS!$B$8*INPUTS!$B$7)-0.85*INPUTS!$B$5*ARCH_AG!P124)/(ARCH_AG!P124*(INPUTS!$B$6-0.85*INPUTS!$B$5)))</f>
        <v/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12" t="str">
        <f aca="false">IF(TRIB!E125="","",(PU!E125/(INPUTS!$B$8*INPUTS!$B$7)-0.85*INPUTS!$B$5*ARCH_AG!E125)/(ARCH_AG!E125*(INPUTS!$B$6-0.85*INPUTS!$B$5)))</f>
        <v/>
      </c>
      <c r="F125" s="12" t="str">
        <f aca="false">IF(TRIB!F125="","",(PU!F125/(INPUTS!$B$8*INPUTS!$B$7)-0.85*INPUTS!$B$5*ARCH_AG!F125)/(ARCH_AG!F125*(INPUTS!$B$6-0.85*INPUTS!$B$5)))</f>
        <v/>
      </c>
      <c r="G125" s="12" t="str">
        <f aca="false">IF(TRIB!G125="","",(PU!G125/(INPUTS!$B$8*INPUTS!$B$7)-0.85*INPUTS!$B$5*ARCH_AG!G125)/(ARCH_AG!G125*(INPUTS!$B$6-0.85*INPUTS!$B$5)))</f>
        <v/>
      </c>
      <c r="H125" s="12" t="str">
        <f aca="false">IF(TRIB!H125="","",(PU!H125/(INPUTS!$B$8*INPUTS!$B$7)-0.85*INPUTS!$B$5*ARCH_AG!H125)/(ARCH_AG!H125*(INPUTS!$B$6-0.85*INPUTS!$B$5)))</f>
        <v/>
      </c>
      <c r="I125" s="12" t="str">
        <f aca="false">IF(TRIB!I125="","",(PU!I125/(INPUTS!$B$8*INPUTS!$B$7)-0.85*INPUTS!$B$5*ARCH_AG!I125)/(ARCH_AG!I125*(INPUTS!$B$6-0.85*INPUTS!$B$5)))</f>
        <v/>
      </c>
      <c r="J125" s="12" t="n">
        <f aca="false">IF(TRIB!J125="","",(PU!J125/(INPUTS!$B$8*INPUTS!$B$7)-0.85*INPUTS!$B$5*ARCH_AG!J125)/(ARCH_AG!J125*(INPUTS!$B$6-0.85*INPUTS!$B$5)))</f>
        <v>-0.0924364228667507</v>
      </c>
      <c r="K125" s="12" t="str">
        <f aca="false">IF(TRIB!K125="","",(PU!K125/(INPUTS!$B$8*INPUTS!$B$7)-0.85*INPUTS!$B$5*ARCH_AG!K125)/(ARCH_AG!K125*(INPUTS!$B$6-0.85*INPUTS!$B$5)))</f>
        <v/>
      </c>
      <c r="L125" s="12" t="str">
        <f aca="false">IF(TRIB!L125="","",(PU!L125/(INPUTS!$B$8*INPUTS!$B$7)-0.85*INPUTS!$B$5*ARCH_AG!L125)/(ARCH_AG!L125*(INPUTS!$B$6-0.85*INPUTS!$B$5)))</f>
        <v/>
      </c>
      <c r="M125" s="12" t="str">
        <f aca="false">IF(TRIB!M125="","",(PU!M125/(INPUTS!$B$8*INPUTS!$B$7)-0.85*INPUTS!$B$5*ARCH_AG!M125)/(ARCH_AG!M125*(INPUTS!$B$6-0.85*INPUTS!$B$5)))</f>
        <v/>
      </c>
      <c r="N125" s="12" t="str">
        <f aca="false">IF(TRIB!N125="","",(PU!N125/(INPUTS!$B$8*INPUTS!$B$7)-0.85*INPUTS!$B$5*ARCH_AG!N125)/(ARCH_AG!N125*(INPUTS!$B$6-0.85*INPUTS!$B$5)))</f>
        <v/>
      </c>
      <c r="O125" s="12" t="str">
        <f aca="false">IF(TRIB!O125="","",(PU!O125/(INPUTS!$B$8*INPUTS!$B$7)-0.85*INPUTS!$B$5*ARCH_AG!O125)/(ARCH_AG!O125*(INPUTS!$B$6-0.85*INPUTS!$B$5)))</f>
        <v/>
      </c>
      <c r="P125" s="12" t="str">
        <f aca="false">IF(TRIB!P125="","",(PU!P125/(INPUTS!$B$8*INPUTS!$B$7)-0.85*INPUTS!$B$5*ARCH_AG!P125)/(ARCH_AG!P125*(INPUTS!$B$6-0.85*INPUTS!$B$5)))</f>
        <v/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12" t="str">
        <f aca="false">IF(TRIB!E126="","",(PU!E126/(INPUTS!$B$8*INPUTS!$B$7)-0.85*INPUTS!$B$5*ARCH_AG!E126)/(ARCH_AG!E126*(INPUTS!$B$6-0.85*INPUTS!$B$5)))</f>
        <v/>
      </c>
      <c r="F126" s="12" t="str">
        <f aca="false">IF(TRIB!F126="","",(PU!F126/(INPUTS!$B$8*INPUTS!$B$7)-0.85*INPUTS!$B$5*ARCH_AG!F126)/(ARCH_AG!F126*(INPUTS!$B$6-0.85*INPUTS!$B$5)))</f>
        <v/>
      </c>
      <c r="G126" s="12" t="str">
        <f aca="false">IF(TRIB!G126="","",(PU!G126/(INPUTS!$B$8*INPUTS!$B$7)-0.85*INPUTS!$B$5*ARCH_AG!G126)/(ARCH_AG!G126*(INPUTS!$B$6-0.85*INPUTS!$B$5)))</f>
        <v/>
      </c>
      <c r="H126" s="12" t="str">
        <f aca="false">IF(TRIB!H126="","",(PU!H126/(INPUTS!$B$8*INPUTS!$B$7)-0.85*INPUTS!$B$5*ARCH_AG!H126)/(ARCH_AG!H126*(INPUTS!$B$6-0.85*INPUTS!$B$5)))</f>
        <v/>
      </c>
      <c r="I126" s="12" t="str">
        <f aca="false">IF(TRIB!I126="","",(PU!I126/(INPUTS!$B$8*INPUTS!$B$7)-0.85*INPUTS!$B$5*ARCH_AG!I126)/(ARCH_AG!I126*(INPUTS!$B$6-0.85*INPUTS!$B$5)))</f>
        <v/>
      </c>
      <c r="J126" s="12" t="n">
        <f aca="false">IF(TRIB!J126="","",(PU!J126/(INPUTS!$B$8*INPUTS!$B$7)-0.85*INPUTS!$B$5*ARCH_AG!J126)/(ARCH_AG!J126*(INPUTS!$B$6-0.85*INPUTS!$B$5)))</f>
        <v>-0.0924364228667507</v>
      </c>
      <c r="K126" s="12" t="str">
        <f aca="false">IF(TRIB!K126="","",(PU!K126/(INPUTS!$B$8*INPUTS!$B$7)-0.85*INPUTS!$B$5*ARCH_AG!K126)/(ARCH_AG!K126*(INPUTS!$B$6-0.85*INPUTS!$B$5)))</f>
        <v/>
      </c>
      <c r="L126" s="12" t="str">
        <f aca="false">IF(TRIB!L126="","",(PU!L126/(INPUTS!$B$8*INPUTS!$B$7)-0.85*INPUTS!$B$5*ARCH_AG!L126)/(ARCH_AG!L126*(INPUTS!$B$6-0.85*INPUTS!$B$5)))</f>
        <v/>
      </c>
      <c r="M126" s="12" t="str">
        <f aca="false">IF(TRIB!M126="","",(PU!M126/(INPUTS!$B$8*INPUTS!$B$7)-0.85*INPUTS!$B$5*ARCH_AG!M126)/(ARCH_AG!M126*(INPUTS!$B$6-0.85*INPUTS!$B$5)))</f>
        <v/>
      </c>
      <c r="N126" s="12" t="str">
        <f aca="false">IF(TRIB!N126="","",(PU!N126/(INPUTS!$B$8*INPUTS!$B$7)-0.85*INPUTS!$B$5*ARCH_AG!N126)/(ARCH_AG!N126*(INPUTS!$B$6-0.85*INPUTS!$B$5)))</f>
        <v/>
      </c>
      <c r="O126" s="12" t="str">
        <f aca="false">IF(TRIB!O126="","",(PU!O126/(INPUTS!$B$8*INPUTS!$B$7)-0.85*INPUTS!$B$5*ARCH_AG!O126)/(ARCH_AG!O126*(INPUTS!$B$6-0.85*INPUTS!$B$5)))</f>
        <v/>
      </c>
      <c r="P126" s="12" t="str">
        <f aca="false">IF(TRIB!P126="","",(PU!P126/(INPUTS!$B$8*INPUTS!$B$7)-0.85*INPUTS!$B$5*ARCH_AG!P126)/(ARCH_AG!P126*(INPUTS!$B$6-0.85*INPUTS!$B$5)))</f>
        <v/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12" t="str">
        <f aca="false">IF(TRIB!E127="","",(PU!E127/(INPUTS!$B$8*INPUTS!$B$7)-0.85*INPUTS!$B$5*ARCH_AG!E127)/(ARCH_AG!E127*(INPUTS!$B$6-0.85*INPUTS!$B$5)))</f>
        <v/>
      </c>
      <c r="F127" s="12" t="str">
        <f aca="false">IF(TRIB!F127="","",(PU!F127/(INPUTS!$B$8*INPUTS!$B$7)-0.85*INPUTS!$B$5*ARCH_AG!F127)/(ARCH_AG!F127*(INPUTS!$B$6-0.85*INPUTS!$B$5)))</f>
        <v/>
      </c>
      <c r="G127" s="12" t="str">
        <f aca="false">IF(TRIB!G127="","",(PU!G127/(INPUTS!$B$8*INPUTS!$B$7)-0.85*INPUTS!$B$5*ARCH_AG!G127)/(ARCH_AG!G127*(INPUTS!$B$6-0.85*INPUTS!$B$5)))</f>
        <v/>
      </c>
      <c r="H127" s="12" t="str">
        <f aca="false">IF(TRIB!H127="","",(PU!H127/(INPUTS!$B$8*INPUTS!$B$7)-0.85*INPUTS!$B$5*ARCH_AG!H127)/(ARCH_AG!H127*(INPUTS!$B$6-0.85*INPUTS!$B$5)))</f>
        <v/>
      </c>
      <c r="I127" s="12" t="str">
        <f aca="false">IF(TRIB!I127="","",(PU!I127/(INPUTS!$B$8*INPUTS!$B$7)-0.85*INPUTS!$B$5*ARCH_AG!I127)/(ARCH_AG!I127*(INPUTS!$B$6-0.85*INPUTS!$B$5)))</f>
        <v/>
      </c>
      <c r="J127" s="12" t="n">
        <f aca="false">IF(TRIB!J127="","",(PU!J127/(INPUTS!$B$8*INPUTS!$B$7)-0.85*INPUTS!$B$5*ARCH_AG!J127)/(ARCH_AG!J127*(INPUTS!$B$6-0.85*INPUTS!$B$5)))</f>
        <v>-0.0908890429040702</v>
      </c>
      <c r="K127" s="12" t="str">
        <f aca="false">IF(TRIB!K127="","",(PU!K127/(INPUTS!$B$8*INPUTS!$B$7)-0.85*INPUTS!$B$5*ARCH_AG!K127)/(ARCH_AG!K127*(INPUTS!$B$6-0.85*INPUTS!$B$5)))</f>
        <v/>
      </c>
      <c r="L127" s="12" t="str">
        <f aca="false">IF(TRIB!L127="","",(PU!L127/(INPUTS!$B$8*INPUTS!$B$7)-0.85*INPUTS!$B$5*ARCH_AG!L127)/(ARCH_AG!L127*(INPUTS!$B$6-0.85*INPUTS!$B$5)))</f>
        <v/>
      </c>
      <c r="M127" s="12" t="str">
        <f aca="false">IF(TRIB!M127="","",(PU!M127/(INPUTS!$B$8*INPUTS!$B$7)-0.85*INPUTS!$B$5*ARCH_AG!M127)/(ARCH_AG!M127*(INPUTS!$B$6-0.85*INPUTS!$B$5)))</f>
        <v/>
      </c>
      <c r="N127" s="12" t="str">
        <f aca="false">IF(TRIB!N127="","",(PU!N127/(INPUTS!$B$8*INPUTS!$B$7)-0.85*INPUTS!$B$5*ARCH_AG!N127)/(ARCH_AG!N127*(INPUTS!$B$6-0.85*INPUTS!$B$5)))</f>
        <v/>
      </c>
      <c r="O127" s="12" t="str">
        <f aca="false">IF(TRIB!O127="","",(PU!O127/(INPUTS!$B$8*INPUTS!$B$7)-0.85*INPUTS!$B$5*ARCH_AG!O127)/(ARCH_AG!O127*(INPUTS!$B$6-0.85*INPUTS!$B$5)))</f>
        <v/>
      </c>
      <c r="P127" s="12" t="str">
        <f aca="false">IF(TRIB!P127="","",(PU!P127/(INPUTS!$B$8*INPUTS!$B$7)-0.85*INPUTS!$B$5*ARCH_AG!P127)/(ARCH_AG!P127*(INPUTS!$B$6-0.85*INPUTS!$B$5)))</f>
        <v/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12" t="str">
        <f aca="false">IF(TRIB!E128="","",(PU!E128/(INPUTS!$B$8*INPUTS!$B$7)-0.85*INPUTS!$B$5*ARCH_AG!E128)/(ARCH_AG!E128*(INPUTS!$B$6-0.85*INPUTS!$B$5)))</f>
        <v/>
      </c>
      <c r="F128" s="12" t="str">
        <f aca="false">IF(TRIB!F128="","",(PU!F128/(INPUTS!$B$8*INPUTS!$B$7)-0.85*INPUTS!$B$5*ARCH_AG!F128)/(ARCH_AG!F128*(INPUTS!$B$6-0.85*INPUTS!$B$5)))</f>
        <v/>
      </c>
      <c r="G128" s="12" t="str">
        <f aca="false">IF(TRIB!G128="","",(PU!G128/(INPUTS!$B$8*INPUTS!$B$7)-0.85*INPUTS!$B$5*ARCH_AG!G128)/(ARCH_AG!G128*(INPUTS!$B$6-0.85*INPUTS!$B$5)))</f>
        <v/>
      </c>
      <c r="H128" s="12" t="str">
        <f aca="false">IF(TRIB!H128="","",(PU!H128/(INPUTS!$B$8*INPUTS!$B$7)-0.85*INPUTS!$B$5*ARCH_AG!H128)/(ARCH_AG!H128*(INPUTS!$B$6-0.85*INPUTS!$B$5)))</f>
        <v/>
      </c>
      <c r="I128" s="12" t="str">
        <f aca="false">IF(TRIB!I128="","",(PU!I128/(INPUTS!$B$8*INPUTS!$B$7)-0.85*INPUTS!$B$5*ARCH_AG!I128)/(ARCH_AG!I128*(INPUTS!$B$6-0.85*INPUTS!$B$5)))</f>
        <v/>
      </c>
      <c r="J128" s="12" t="n">
        <f aca="false">IF(TRIB!J128="","",(PU!J128/(INPUTS!$B$8*INPUTS!$B$7)-0.85*INPUTS!$B$5*ARCH_AG!J128)/(ARCH_AG!J128*(INPUTS!$B$6-0.85*INPUTS!$B$5)))</f>
        <v>-0.0924364228667507</v>
      </c>
      <c r="K128" s="12" t="str">
        <f aca="false">IF(TRIB!K128="","",(PU!K128/(INPUTS!$B$8*INPUTS!$B$7)-0.85*INPUTS!$B$5*ARCH_AG!K128)/(ARCH_AG!K128*(INPUTS!$B$6-0.85*INPUTS!$B$5)))</f>
        <v/>
      </c>
      <c r="L128" s="12" t="str">
        <f aca="false">IF(TRIB!L128="","",(PU!L128/(INPUTS!$B$8*INPUTS!$B$7)-0.85*INPUTS!$B$5*ARCH_AG!L128)/(ARCH_AG!L128*(INPUTS!$B$6-0.85*INPUTS!$B$5)))</f>
        <v/>
      </c>
      <c r="M128" s="12" t="str">
        <f aca="false">IF(TRIB!M128="","",(PU!M128/(INPUTS!$B$8*INPUTS!$B$7)-0.85*INPUTS!$B$5*ARCH_AG!M128)/(ARCH_AG!M128*(INPUTS!$B$6-0.85*INPUTS!$B$5)))</f>
        <v/>
      </c>
      <c r="N128" s="12" t="str">
        <f aca="false">IF(TRIB!N128="","",(PU!N128/(INPUTS!$B$8*INPUTS!$B$7)-0.85*INPUTS!$B$5*ARCH_AG!N128)/(ARCH_AG!N128*(INPUTS!$B$6-0.85*INPUTS!$B$5)))</f>
        <v/>
      </c>
      <c r="O128" s="12" t="str">
        <f aca="false">IF(TRIB!O128="","",(PU!O128/(INPUTS!$B$8*INPUTS!$B$7)-0.85*INPUTS!$B$5*ARCH_AG!O128)/(ARCH_AG!O128*(INPUTS!$B$6-0.85*INPUTS!$B$5)))</f>
        <v/>
      </c>
      <c r="P128" s="12" t="str">
        <f aca="false">IF(TRIB!P128="","",(PU!P128/(INPUTS!$B$8*INPUTS!$B$7)-0.85*INPUTS!$B$5*ARCH_AG!P128)/(ARCH_AG!P128*(INPUTS!$B$6-0.85*INPUTS!$B$5)))</f>
        <v/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12" t="str">
        <f aca="false">IF(TRIB!E129="","",(PU!E129/(INPUTS!$B$8*INPUTS!$B$7)-0.85*INPUTS!$B$5*ARCH_AG!E129)/(ARCH_AG!E129*(INPUTS!$B$6-0.85*INPUTS!$B$5)))</f>
        <v/>
      </c>
      <c r="F129" s="12" t="str">
        <f aca="false">IF(TRIB!F129="","",(PU!F129/(INPUTS!$B$8*INPUTS!$B$7)-0.85*INPUTS!$B$5*ARCH_AG!F129)/(ARCH_AG!F129*(INPUTS!$B$6-0.85*INPUTS!$B$5)))</f>
        <v/>
      </c>
      <c r="G129" s="12" t="str">
        <f aca="false">IF(TRIB!G129="","",(PU!G129/(INPUTS!$B$8*INPUTS!$B$7)-0.85*INPUTS!$B$5*ARCH_AG!G129)/(ARCH_AG!G129*(INPUTS!$B$6-0.85*INPUTS!$B$5)))</f>
        <v/>
      </c>
      <c r="H129" s="12" t="str">
        <f aca="false">IF(TRIB!H129="","",(PU!H129/(INPUTS!$B$8*INPUTS!$B$7)-0.85*INPUTS!$B$5*ARCH_AG!H129)/(ARCH_AG!H129*(INPUTS!$B$6-0.85*INPUTS!$B$5)))</f>
        <v/>
      </c>
      <c r="I129" s="12" t="str">
        <f aca="false">IF(TRIB!I129="","",(PU!I129/(INPUTS!$B$8*INPUTS!$B$7)-0.85*INPUTS!$B$5*ARCH_AG!I129)/(ARCH_AG!I129*(INPUTS!$B$6-0.85*INPUTS!$B$5)))</f>
        <v/>
      </c>
      <c r="J129" s="12" t="n">
        <f aca="false">IF(TRIB!J129="","",(PU!J129/(INPUTS!$B$8*INPUTS!$B$7)-0.85*INPUTS!$B$5*ARCH_AG!J129)/(ARCH_AG!J129*(INPUTS!$B$6-0.85*INPUTS!$B$5)))</f>
        <v>-0.0924364228667507</v>
      </c>
      <c r="K129" s="12" t="str">
        <f aca="false">IF(TRIB!K129="","",(PU!K129/(INPUTS!$B$8*INPUTS!$B$7)-0.85*INPUTS!$B$5*ARCH_AG!K129)/(ARCH_AG!K129*(INPUTS!$B$6-0.85*INPUTS!$B$5)))</f>
        <v/>
      </c>
      <c r="L129" s="12" t="str">
        <f aca="false">IF(TRIB!L129="","",(PU!L129/(INPUTS!$B$8*INPUTS!$B$7)-0.85*INPUTS!$B$5*ARCH_AG!L129)/(ARCH_AG!L129*(INPUTS!$B$6-0.85*INPUTS!$B$5)))</f>
        <v/>
      </c>
      <c r="M129" s="12" t="str">
        <f aca="false">IF(TRIB!M129="","",(PU!M129/(INPUTS!$B$8*INPUTS!$B$7)-0.85*INPUTS!$B$5*ARCH_AG!M129)/(ARCH_AG!M129*(INPUTS!$B$6-0.85*INPUTS!$B$5)))</f>
        <v/>
      </c>
      <c r="N129" s="12" t="str">
        <f aca="false">IF(TRIB!N129="","",(PU!N129/(INPUTS!$B$8*INPUTS!$B$7)-0.85*INPUTS!$B$5*ARCH_AG!N129)/(ARCH_AG!N129*(INPUTS!$B$6-0.85*INPUTS!$B$5)))</f>
        <v/>
      </c>
      <c r="O129" s="12" t="str">
        <f aca="false">IF(TRIB!O129="","",(PU!O129/(INPUTS!$B$8*INPUTS!$B$7)-0.85*INPUTS!$B$5*ARCH_AG!O129)/(ARCH_AG!O129*(INPUTS!$B$6-0.85*INPUTS!$B$5)))</f>
        <v/>
      </c>
      <c r="P129" s="12" t="str">
        <f aca="false">IF(TRIB!P129="","",(PU!P129/(INPUTS!$B$8*INPUTS!$B$7)-0.85*INPUTS!$B$5*ARCH_AG!P129)/(ARCH_AG!P129*(INPUTS!$B$6-0.85*INPUTS!$B$5)))</f>
        <v/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12" t="str">
        <f aca="false">IF(TRIB!E130="","",(PU!E130/(INPUTS!$B$8*INPUTS!$B$7)-0.85*INPUTS!$B$5*ARCH_AG!E130)/(ARCH_AG!E130*(INPUTS!$B$6-0.85*INPUTS!$B$5)))</f>
        <v/>
      </c>
      <c r="F130" s="12" t="str">
        <f aca="false">IF(TRIB!F130="","",(PU!F130/(INPUTS!$B$8*INPUTS!$B$7)-0.85*INPUTS!$B$5*ARCH_AG!F130)/(ARCH_AG!F130*(INPUTS!$B$6-0.85*INPUTS!$B$5)))</f>
        <v/>
      </c>
      <c r="G130" s="12" t="str">
        <f aca="false">IF(TRIB!G130="","",(PU!G130/(INPUTS!$B$8*INPUTS!$B$7)-0.85*INPUTS!$B$5*ARCH_AG!G130)/(ARCH_AG!G130*(INPUTS!$B$6-0.85*INPUTS!$B$5)))</f>
        <v/>
      </c>
      <c r="H130" s="12" t="str">
        <f aca="false">IF(TRIB!H130="","",(PU!H130/(INPUTS!$B$8*INPUTS!$B$7)-0.85*INPUTS!$B$5*ARCH_AG!H130)/(ARCH_AG!H130*(INPUTS!$B$6-0.85*INPUTS!$B$5)))</f>
        <v/>
      </c>
      <c r="I130" s="12" t="str">
        <f aca="false">IF(TRIB!I130="","",(PU!I130/(INPUTS!$B$8*INPUTS!$B$7)-0.85*INPUTS!$B$5*ARCH_AG!I130)/(ARCH_AG!I130*(INPUTS!$B$6-0.85*INPUTS!$B$5)))</f>
        <v/>
      </c>
      <c r="J130" s="12" t="n">
        <f aca="false">IF(TRIB!J130="","",(PU!J130/(INPUTS!$B$8*INPUTS!$B$7)-0.85*INPUTS!$B$5*ARCH_AG!J130)/(ARCH_AG!J130*(INPUTS!$B$6-0.85*INPUTS!$B$5)))</f>
        <v>-0.0902607876289754</v>
      </c>
      <c r="K130" s="12" t="str">
        <f aca="false">IF(TRIB!K130="","",(PU!K130/(INPUTS!$B$8*INPUTS!$B$7)-0.85*INPUTS!$B$5*ARCH_AG!K130)/(ARCH_AG!K130*(INPUTS!$B$6-0.85*INPUTS!$B$5)))</f>
        <v/>
      </c>
      <c r="L130" s="12" t="str">
        <f aca="false">IF(TRIB!L130="","",(PU!L130/(INPUTS!$B$8*INPUTS!$B$7)-0.85*INPUTS!$B$5*ARCH_AG!L130)/(ARCH_AG!L130*(INPUTS!$B$6-0.85*INPUTS!$B$5)))</f>
        <v/>
      </c>
      <c r="M130" s="12" t="str">
        <f aca="false">IF(TRIB!M130="","",(PU!M130/(INPUTS!$B$8*INPUTS!$B$7)-0.85*INPUTS!$B$5*ARCH_AG!M130)/(ARCH_AG!M130*(INPUTS!$B$6-0.85*INPUTS!$B$5)))</f>
        <v/>
      </c>
      <c r="N130" s="12" t="str">
        <f aca="false">IF(TRIB!N130="","",(PU!N130/(INPUTS!$B$8*INPUTS!$B$7)-0.85*INPUTS!$B$5*ARCH_AG!N130)/(ARCH_AG!N130*(INPUTS!$B$6-0.85*INPUTS!$B$5)))</f>
        <v/>
      </c>
      <c r="O130" s="12" t="str">
        <f aca="false">IF(TRIB!O130="","",(PU!O130/(INPUTS!$B$8*INPUTS!$B$7)-0.85*INPUTS!$B$5*ARCH_AG!O130)/(ARCH_AG!O130*(INPUTS!$B$6-0.85*INPUTS!$B$5)))</f>
        <v/>
      </c>
      <c r="P130" s="12" t="str">
        <f aca="false">IF(TRIB!P130="","",(PU!P130/(INPUTS!$B$8*INPUTS!$B$7)-0.85*INPUTS!$B$5*ARCH_AG!P130)/(ARCH_AG!P130*(INPUTS!$B$6-0.85*INPUTS!$B$5)))</f>
        <v/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12" t="str">
        <f aca="false">IF(TRIB!E131="","",(PU!E131/(INPUTS!$B$8*INPUTS!$B$7)-0.85*INPUTS!$B$5*ARCH_AG!E131)/(ARCH_AG!E131*(INPUTS!$B$6-0.85*INPUTS!$B$5)))</f>
        <v/>
      </c>
      <c r="F131" s="12" t="str">
        <f aca="false">IF(TRIB!F131="","",(PU!F131/(INPUTS!$B$8*INPUTS!$B$7)-0.85*INPUTS!$B$5*ARCH_AG!F131)/(ARCH_AG!F131*(INPUTS!$B$6-0.85*INPUTS!$B$5)))</f>
        <v/>
      </c>
      <c r="G131" s="12" t="str">
        <f aca="false">IF(TRIB!G131="","",(PU!G131/(INPUTS!$B$8*INPUTS!$B$7)-0.85*INPUTS!$B$5*ARCH_AG!G131)/(ARCH_AG!G131*(INPUTS!$B$6-0.85*INPUTS!$B$5)))</f>
        <v/>
      </c>
      <c r="H131" s="12" t="str">
        <f aca="false">IF(TRIB!H131="","",(PU!H131/(INPUTS!$B$8*INPUTS!$B$7)-0.85*INPUTS!$B$5*ARCH_AG!H131)/(ARCH_AG!H131*(INPUTS!$B$6-0.85*INPUTS!$B$5)))</f>
        <v/>
      </c>
      <c r="I131" s="12" t="str">
        <f aca="false">IF(TRIB!I131="","",(PU!I131/(INPUTS!$B$8*INPUTS!$B$7)-0.85*INPUTS!$B$5*ARCH_AG!I131)/(ARCH_AG!I131*(INPUTS!$B$6-0.85*INPUTS!$B$5)))</f>
        <v/>
      </c>
      <c r="J131" s="12" t="n">
        <f aca="false">IF(TRIB!J131="","",(PU!J131/(INPUTS!$B$8*INPUTS!$B$7)-0.85*INPUTS!$B$5*ARCH_AG!J131)/(ARCH_AG!J131*(INPUTS!$B$6-0.85*INPUTS!$B$5)))</f>
        <v>-0.0924364228667507</v>
      </c>
      <c r="K131" s="12" t="str">
        <f aca="false">IF(TRIB!K131="","",(PU!K131/(INPUTS!$B$8*INPUTS!$B$7)-0.85*INPUTS!$B$5*ARCH_AG!K131)/(ARCH_AG!K131*(INPUTS!$B$6-0.85*INPUTS!$B$5)))</f>
        <v/>
      </c>
      <c r="L131" s="12" t="str">
        <f aca="false">IF(TRIB!L131="","",(PU!L131/(INPUTS!$B$8*INPUTS!$B$7)-0.85*INPUTS!$B$5*ARCH_AG!L131)/(ARCH_AG!L131*(INPUTS!$B$6-0.85*INPUTS!$B$5)))</f>
        <v/>
      </c>
      <c r="M131" s="12" t="str">
        <f aca="false">IF(TRIB!M131="","",(PU!M131/(INPUTS!$B$8*INPUTS!$B$7)-0.85*INPUTS!$B$5*ARCH_AG!M131)/(ARCH_AG!M131*(INPUTS!$B$6-0.85*INPUTS!$B$5)))</f>
        <v/>
      </c>
      <c r="N131" s="12" t="str">
        <f aca="false">IF(TRIB!N131="","",(PU!N131/(INPUTS!$B$8*INPUTS!$B$7)-0.85*INPUTS!$B$5*ARCH_AG!N131)/(ARCH_AG!N131*(INPUTS!$B$6-0.85*INPUTS!$B$5)))</f>
        <v/>
      </c>
      <c r="O131" s="12" t="str">
        <f aca="false">IF(TRIB!O131="","",(PU!O131/(INPUTS!$B$8*INPUTS!$B$7)-0.85*INPUTS!$B$5*ARCH_AG!O131)/(ARCH_AG!O131*(INPUTS!$B$6-0.85*INPUTS!$B$5)))</f>
        <v/>
      </c>
      <c r="P131" s="12" t="str">
        <f aca="false">IF(TRIB!P131="","",(PU!P131/(INPUTS!$B$8*INPUTS!$B$7)-0.85*INPUTS!$B$5*ARCH_AG!P131)/(ARCH_AG!P131*(INPUTS!$B$6-0.85*INPUTS!$B$5)))</f>
        <v/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12" t="str">
        <f aca="false">IF(TRIB!E132="","",(PU!E132/(INPUTS!$B$8*INPUTS!$B$7)-0.85*INPUTS!$B$5*ARCH_AG!E132)/(ARCH_AG!E132*(INPUTS!$B$6-0.85*INPUTS!$B$5)))</f>
        <v/>
      </c>
      <c r="F132" s="12" t="str">
        <f aca="false">IF(TRIB!F132="","",(PU!F132/(INPUTS!$B$8*INPUTS!$B$7)-0.85*INPUTS!$B$5*ARCH_AG!F132)/(ARCH_AG!F132*(INPUTS!$B$6-0.85*INPUTS!$B$5)))</f>
        <v/>
      </c>
      <c r="G132" s="12" t="str">
        <f aca="false">IF(TRIB!G132="","",(PU!G132/(INPUTS!$B$8*INPUTS!$B$7)-0.85*INPUTS!$B$5*ARCH_AG!G132)/(ARCH_AG!G132*(INPUTS!$B$6-0.85*INPUTS!$B$5)))</f>
        <v/>
      </c>
      <c r="H132" s="12" t="str">
        <f aca="false">IF(TRIB!H132="","",(PU!H132/(INPUTS!$B$8*INPUTS!$B$7)-0.85*INPUTS!$B$5*ARCH_AG!H132)/(ARCH_AG!H132*(INPUTS!$B$6-0.85*INPUTS!$B$5)))</f>
        <v/>
      </c>
      <c r="I132" s="12" t="str">
        <f aca="false">IF(TRIB!I132="","",(PU!I132/(INPUTS!$B$8*INPUTS!$B$7)-0.85*INPUTS!$B$5*ARCH_AG!I132)/(ARCH_AG!I132*(INPUTS!$B$6-0.85*INPUTS!$B$5)))</f>
        <v/>
      </c>
      <c r="J132" s="12" t="n">
        <f aca="false">IF(TRIB!J132="","",(PU!J132/(INPUTS!$B$8*INPUTS!$B$7)-0.85*INPUTS!$B$5*ARCH_AG!J132)/(ARCH_AG!J132*(INPUTS!$B$6-0.85*INPUTS!$B$5)))</f>
        <v>-0.0924364228667507</v>
      </c>
      <c r="K132" s="12" t="str">
        <f aca="false">IF(TRIB!K132="","",(PU!K132/(INPUTS!$B$8*INPUTS!$B$7)-0.85*INPUTS!$B$5*ARCH_AG!K132)/(ARCH_AG!K132*(INPUTS!$B$6-0.85*INPUTS!$B$5)))</f>
        <v/>
      </c>
      <c r="L132" s="12" t="str">
        <f aca="false">IF(TRIB!L132="","",(PU!L132/(INPUTS!$B$8*INPUTS!$B$7)-0.85*INPUTS!$B$5*ARCH_AG!L132)/(ARCH_AG!L132*(INPUTS!$B$6-0.85*INPUTS!$B$5)))</f>
        <v/>
      </c>
      <c r="M132" s="12" t="str">
        <f aca="false">IF(TRIB!M132="","",(PU!M132/(INPUTS!$B$8*INPUTS!$B$7)-0.85*INPUTS!$B$5*ARCH_AG!M132)/(ARCH_AG!M132*(INPUTS!$B$6-0.85*INPUTS!$B$5)))</f>
        <v/>
      </c>
      <c r="N132" s="12" t="str">
        <f aca="false">IF(TRIB!N132="","",(PU!N132/(INPUTS!$B$8*INPUTS!$B$7)-0.85*INPUTS!$B$5*ARCH_AG!N132)/(ARCH_AG!N132*(INPUTS!$B$6-0.85*INPUTS!$B$5)))</f>
        <v/>
      </c>
      <c r="O132" s="12" t="str">
        <f aca="false">IF(TRIB!O132="","",(PU!O132/(INPUTS!$B$8*INPUTS!$B$7)-0.85*INPUTS!$B$5*ARCH_AG!O132)/(ARCH_AG!O132*(INPUTS!$B$6-0.85*INPUTS!$B$5)))</f>
        <v/>
      </c>
      <c r="P132" s="12" t="str">
        <f aca="false">IF(TRIB!P132="","",(PU!P132/(INPUTS!$B$8*INPUTS!$B$7)-0.85*INPUTS!$B$5*ARCH_AG!P132)/(ARCH_AG!P132*(INPUTS!$B$6-0.85*INPUTS!$B$5)))</f>
        <v/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12" t="str">
        <f aca="false">IF(TRIB!E133="","",(PU!E133/(INPUTS!$B$8*INPUTS!$B$7)-0.85*INPUTS!$B$5*ARCH_AG!E133)/(ARCH_AG!E133*(INPUTS!$B$6-0.85*INPUTS!$B$5)))</f>
        <v/>
      </c>
      <c r="F133" s="12" t="str">
        <f aca="false">IF(TRIB!F133="","",(PU!F133/(INPUTS!$B$8*INPUTS!$B$7)-0.85*INPUTS!$B$5*ARCH_AG!F133)/(ARCH_AG!F133*(INPUTS!$B$6-0.85*INPUTS!$B$5)))</f>
        <v/>
      </c>
      <c r="G133" s="12" t="str">
        <f aca="false">IF(TRIB!G133="","",(PU!G133/(INPUTS!$B$8*INPUTS!$B$7)-0.85*INPUTS!$B$5*ARCH_AG!G133)/(ARCH_AG!G133*(INPUTS!$B$6-0.85*INPUTS!$B$5)))</f>
        <v/>
      </c>
      <c r="H133" s="12" t="str">
        <f aca="false">IF(TRIB!H133="","",(PU!H133/(INPUTS!$B$8*INPUTS!$B$7)-0.85*INPUTS!$B$5*ARCH_AG!H133)/(ARCH_AG!H133*(INPUTS!$B$6-0.85*INPUTS!$B$5)))</f>
        <v/>
      </c>
      <c r="I133" s="12" t="n">
        <f aca="false">IF(TRIB!I133="","",(PU!I133/(INPUTS!$B$8*INPUTS!$B$7)-0.85*INPUTS!$B$5*ARCH_AG!I133)/(ARCH_AG!I133*(INPUTS!$B$6-0.85*INPUTS!$B$5)))</f>
        <v>-0.0906994429876944</v>
      </c>
      <c r="J133" s="12" t="str">
        <f aca="false">IF(TRIB!J133="","",(PU!J133/(INPUTS!$B$8*INPUTS!$B$7)-0.85*INPUTS!$B$5*ARCH_AG!J133)/(ARCH_AG!J133*(INPUTS!$B$6-0.85*INPUTS!$B$5)))</f>
        <v/>
      </c>
      <c r="K133" s="12" t="str">
        <f aca="false">IF(TRIB!K133="","",(PU!K133/(INPUTS!$B$8*INPUTS!$B$7)-0.85*INPUTS!$B$5*ARCH_AG!K133)/(ARCH_AG!K133*(INPUTS!$B$6-0.85*INPUTS!$B$5)))</f>
        <v/>
      </c>
      <c r="L133" s="12" t="str">
        <f aca="false">IF(TRIB!L133="","",(PU!L133/(INPUTS!$B$8*INPUTS!$B$7)-0.85*INPUTS!$B$5*ARCH_AG!L133)/(ARCH_AG!L133*(INPUTS!$B$6-0.85*INPUTS!$B$5)))</f>
        <v/>
      </c>
      <c r="M133" s="12" t="str">
        <f aca="false">IF(TRIB!M133="","",(PU!M133/(INPUTS!$B$8*INPUTS!$B$7)-0.85*INPUTS!$B$5*ARCH_AG!M133)/(ARCH_AG!M133*(INPUTS!$B$6-0.85*INPUTS!$B$5)))</f>
        <v/>
      </c>
      <c r="N133" s="12" t="str">
        <f aca="false">IF(TRIB!N133="","",(PU!N133/(INPUTS!$B$8*INPUTS!$B$7)-0.85*INPUTS!$B$5*ARCH_AG!N133)/(ARCH_AG!N133*(INPUTS!$B$6-0.85*INPUTS!$B$5)))</f>
        <v/>
      </c>
      <c r="O133" s="12" t="str">
        <f aca="false">IF(TRIB!O133="","",(PU!O133/(INPUTS!$B$8*INPUTS!$B$7)-0.85*INPUTS!$B$5*ARCH_AG!O133)/(ARCH_AG!O133*(INPUTS!$B$6-0.85*INPUTS!$B$5)))</f>
        <v/>
      </c>
      <c r="P133" s="12" t="str">
        <f aca="false">IF(TRIB!P133="","",(PU!P133/(INPUTS!$B$8*INPUTS!$B$7)-0.85*INPUTS!$B$5*ARCH_AG!P133)/(ARCH_AG!P133*(INPUTS!$B$6-0.85*INPUTS!$B$5)))</f>
        <v/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12" t="str">
        <f aca="false">IF(TRIB!E134="","",(PU!E134/(INPUTS!$B$8*INPUTS!$B$7)-0.85*INPUTS!$B$5*ARCH_AG!E134)/(ARCH_AG!E134*(INPUTS!$B$6-0.85*INPUTS!$B$5)))</f>
        <v/>
      </c>
      <c r="F134" s="12" t="str">
        <f aca="false">IF(TRIB!F134="","",(PU!F134/(INPUTS!$B$8*INPUTS!$B$7)-0.85*INPUTS!$B$5*ARCH_AG!F134)/(ARCH_AG!F134*(INPUTS!$B$6-0.85*INPUTS!$B$5)))</f>
        <v/>
      </c>
      <c r="G134" s="12" t="str">
        <f aca="false">IF(TRIB!G134="","",(PU!G134/(INPUTS!$B$8*INPUTS!$B$7)-0.85*INPUTS!$B$5*ARCH_AG!G134)/(ARCH_AG!G134*(INPUTS!$B$6-0.85*INPUTS!$B$5)))</f>
        <v/>
      </c>
      <c r="H134" s="12" t="str">
        <f aca="false">IF(TRIB!H134="","",(PU!H134/(INPUTS!$B$8*INPUTS!$B$7)-0.85*INPUTS!$B$5*ARCH_AG!H134)/(ARCH_AG!H134*(INPUTS!$B$6-0.85*INPUTS!$B$5)))</f>
        <v/>
      </c>
      <c r="I134" s="12" t="n">
        <f aca="false">IF(TRIB!I134="","",(PU!I134/(INPUTS!$B$8*INPUTS!$B$7)-0.85*INPUTS!$B$5*ARCH_AG!I134)/(ARCH_AG!I134*(INPUTS!$B$6-0.85*INPUTS!$B$5)))</f>
        <v>-0.0906869327292825</v>
      </c>
      <c r="J134" s="12" t="str">
        <f aca="false">IF(TRIB!J134="","",(PU!J134/(INPUTS!$B$8*INPUTS!$B$7)-0.85*INPUTS!$B$5*ARCH_AG!J134)/(ARCH_AG!J134*(INPUTS!$B$6-0.85*INPUTS!$B$5)))</f>
        <v/>
      </c>
      <c r="K134" s="12" t="str">
        <f aca="false">IF(TRIB!K134="","",(PU!K134/(INPUTS!$B$8*INPUTS!$B$7)-0.85*INPUTS!$B$5*ARCH_AG!K134)/(ARCH_AG!K134*(INPUTS!$B$6-0.85*INPUTS!$B$5)))</f>
        <v/>
      </c>
      <c r="L134" s="12" t="str">
        <f aca="false">IF(TRIB!L134="","",(PU!L134/(INPUTS!$B$8*INPUTS!$B$7)-0.85*INPUTS!$B$5*ARCH_AG!L134)/(ARCH_AG!L134*(INPUTS!$B$6-0.85*INPUTS!$B$5)))</f>
        <v/>
      </c>
      <c r="M134" s="12" t="str">
        <f aca="false">IF(TRIB!M134="","",(PU!M134/(INPUTS!$B$8*INPUTS!$B$7)-0.85*INPUTS!$B$5*ARCH_AG!M134)/(ARCH_AG!M134*(INPUTS!$B$6-0.85*INPUTS!$B$5)))</f>
        <v/>
      </c>
      <c r="N134" s="12" t="str">
        <f aca="false">IF(TRIB!N134="","",(PU!N134/(INPUTS!$B$8*INPUTS!$B$7)-0.85*INPUTS!$B$5*ARCH_AG!N134)/(ARCH_AG!N134*(INPUTS!$B$6-0.85*INPUTS!$B$5)))</f>
        <v/>
      </c>
      <c r="O134" s="12" t="str">
        <f aca="false">IF(TRIB!O134="","",(PU!O134/(INPUTS!$B$8*INPUTS!$B$7)-0.85*INPUTS!$B$5*ARCH_AG!O134)/(ARCH_AG!O134*(INPUTS!$B$6-0.85*INPUTS!$B$5)))</f>
        <v/>
      </c>
      <c r="P134" s="12" t="str">
        <f aca="false">IF(TRIB!P134="","",(PU!P134/(INPUTS!$B$8*INPUTS!$B$7)-0.85*INPUTS!$B$5*ARCH_AG!P134)/(ARCH_AG!P134*(INPUTS!$B$6-0.85*INPUTS!$B$5)))</f>
        <v/>
      </c>
    </row>
  </sheetData>
  <conditionalFormatting sqref="E2:P134">
    <cfRule type="expression" priority="2" aboveAverage="0" equalAverage="0" bottom="0" percent="0" rank="0" text="" dxfId="0">
      <formula>AND(E2&lt;&gt;"",E2&gt;INPUTS!$B$10)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272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4" t="str">
        <f aca="false">IF(TRIB!E2="","",IF(OR(ARCH!E2="",LEFT(ARCH!E2,3)="14x"),IF(AG_REQ!E2&lt;=INDEX(INPUTS!$B$42:$B$50,1),INDEX(INPUTS!$A$42:$A$50,1),IF(AG_REQ!E2&gt;INDEX(INPUTS!$B$42:$B$50,ROWS(INPUTS!$B$42:$B$50)),"LARGER",INDEX(INPUTS!$A$42:$A$50,MATCH(AG_REQ!E2,INPUTS!$B$42:$B$50,1)+1))),IF(AG_REQ!E2&lt;=INDEX(INPUTS!$E$42:$E$50,1),INDEX(INPUTS!$D$42:$D$50,1),IF(AG_REQ!E2&gt;INDEX(INPUTS!$E$42:$E$50,ROWS(INPUTS!$E$42:$E$50)),"LARGER",INDEX(INPUTS!$D$42:$D$50,MATCH(AG_REQ!E2,INPUTS!$E$42:$E$50,1)+1)))))</f>
        <v/>
      </c>
      <c r="F2" s="4" t="str">
        <f aca="false">IF(TRIB!F2="","",IF(OR(ARCH!F2="",LEFT(ARCH!F2,3)="14x"),IF(AG_REQ!F2&lt;=INDEX(INPUTS!$B$42:$B$50,1),INDEX(INPUTS!$A$42:$A$50,1),IF(AG_REQ!F2&gt;INDEX(INPUTS!$B$42:$B$50,ROWS(INPUTS!$B$42:$B$50)),"LARGER",INDEX(INPUTS!$A$42:$A$50,MATCH(AG_REQ!F2,INPUTS!$B$42:$B$50,1)+1))),IF(AG_REQ!F2&lt;=INDEX(INPUTS!$E$42:$E$50,1),INDEX(INPUTS!$D$42:$D$50,1),IF(AG_REQ!F2&gt;INDEX(INPUTS!$E$42:$E$50,ROWS(INPUTS!$E$42:$E$50)),"LARGER",INDEX(INPUTS!$D$42:$D$50,MATCH(AG_REQ!F2,INPUTS!$E$42:$E$50,1)+1)))))</f>
        <v>14x24</v>
      </c>
      <c r="G2" s="4" t="str">
        <f aca="false">IF(TRIB!G2="","",IF(OR(ARCH!G2="",LEFT(ARCH!G2,3)="14x"),IF(AG_REQ!G2&lt;=INDEX(INPUTS!$B$42:$B$50,1),INDEX(INPUTS!$A$42:$A$50,1),IF(AG_REQ!G2&gt;INDEX(INPUTS!$B$42:$B$50,ROWS(INPUTS!$B$42:$B$50)),"LARGER",INDEX(INPUTS!$A$42:$A$50,MATCH(AG_REQ!G2,INPUTS!$B$42:$B$50,1)+1))),IF(AG_REQ!G2&lt;=INDEX(INPUTS!$E$42:$E$50,1),INDEX(INPUTS!$D$42:$D$50,1),IF(AG_REQ!G2&gt;INDEX(INPUTS!$E$42:$E$50,ROWS(INPUTS!$E$42:$E$50)),"LARGER",INDEX(INPUTS!$D$42:$D$50,MATCH(AG_REQ!G2,INPUTS!$E$42:$E$50,1)+1)))))</f>
        <v>14x24</v>
      </c>
      <c r="H2" s="4" t="str">
        <f aca="false">IF(TRIB!H2="","",IF(OR(ARCH!H2="",LEFT(ARCH!H2,3)="14x"),IF(AG_REQ!H2&lt;=INDEX(INPUTS!$B$42:$B$50,1),INDEX(INPUTS!$A$42:$A$50,1),IF(AG_REQ!H2&gt;INDEX(INPUTS!$B$42:$B$50,ROWS(INPUTS!$B$42:$B$50)),"LARGER",INDEX(INPUTS!$A$42:$A$50,MATCH(AG_REQ!H2,INPUTS!$B$42:$B$50,1)+1))),IF(AG_REQ!H2&lt;=INDEX(INPUTS!$E$42:$E$50,1),INDEX(INPUTS!$D$42:$D$50,1),IF(AG_REQ!H2&gt;INDEX(INPUTS!$E$42:$E$50,ROWS(INPUTS!$E$42:$E$50)),"LARGER",INDEX(INPUTS!$D$42:$D$50,MATCH(AG_REQ!H2,INPUTS!$E$42:$E$50,1)+1)))))</f>
        <v>14x24</v>
      </c>
      <c r="I2" s="4" t="str">
        <f aca="false">IF(TRIB!I2="","",IF(OR(ARCH!I2="",LEFT(ARCH!I2,3)="14x"),IF(AG_REQ!I2&lt;=INDEX(INPUTS!$B$42:$B$50,1),INDEX(INPUTS!$A$42:$A$50,1),IF(AG_REQ!I2&gt;INDEX(INPUTS!$B$42:$B$50,ROWS(INPUTS!$B$42:$B$50)),"LARGER",INDEX(INPUTS!$A$42:$A$50,MATCH(AG_REQ!I2,INPUTS!$B$42:$B$50,1)+1))),IF(AG_REQ!I2&lt;=INDEX(INPUTS!$E$42:$E$50,1),INDEX(INPUTS!$D$42:$D$50,1),IF(AG_REQ!I2&gt;INDEX(INPUTS!$E$42:$E$50,ROWS(INPUTS!$E$42:$E$50)),"LARGER",INDEX(INPUTS!$D$42:$D$50,MATCH(AG_REQ!I2,INPUTS!$E$42:$E$50,1)+1)))))</f>
        <v>14x24</v>
      </c>
      <c r="J2" s="4" t="str">
        <f aca="false">IF(TRIB!J2="","",IF(OR(ARCH!J2="",LEFT(ARCH!J2,3)="14x"),IF(AG_REQ!J2&lt;=INDEX(INPUTS!$B$42:$B$50,1),INDEX(INPUTS!$A$42:$A$50,1),IF(AG_REQ!J2&gt;INDEX(INPUTS!$B$42:$B$50,ROWS(INPUTS!$B$42:$B$50)),"LARGER",INDEX(INPUTS!$A$42:$A$50,MATCH(AG_REQ!J2,INPUTS!$B$42:$B$50,1)+1))),IF(AG_REQ!J2&lt;=INDEX(INPUTS!$E$42:$E$50,1),INDEX(INPUTS!$D$42:$D$50,1),IF(AG_REQ!J2&gt;INDEX(INPUTS!$E$42:$E$50,ROWS(INPUTS!$E$42:$E$50)),"LARGER",INDEX(INPUTS!$D$42:$D$50,MATCH(AG_REQ!J2,INPUTS!$E$42:$E$50,1)+1)))))</f>
        <v>14x24</v>
      </c>
      <c r="K2" s="4" t="str">
        <f aca="false">IF(TRIB!K2="","",IF(OR(ARCH!K2="",LEFT(ARCH!K2,3)="14x"),IF(AG_REQ!K2&lt;=INDEX(INPUTS!$B$42:$B$50,1),INDEX(INPUTS!$A$42:$A$50,1),IF(AG_REQ!K2&gt;INDEX(INPUTS!$B$42:$B$50,ROWS(INPUTS!$B$42:$B$50)),"LARGER",INDEX(INPUTS!$A$42:$A$50,MATCH(AG_REQ!K2,INPUTS!$B$42:$B$50,1)+1))),IF(AG_REQ!K2&lt;=INDEX(INPUTS!$E$42:$E$50,1),INDEX(INPUTS!$D$42:$D$50,1),IF(AG_REQ!K2&gt;INDEX(INPUTS!$E$42:$E$50,ROWS(INPUTS!$E$42:$E$50)),"LARGER",INDEX(INPUTS!$D$42:$D$50,MATCH(AG_REQ!K2,INPUTS!$E$42:$E$50,1)+1)))))</f>
        <v>14x24</v>
      </c>
      <c r="L2" s="4" t="str">
        <f aca="false">IF(TRIB!L2="","",IF(OR(ARCH!L2="",LEFT(ARCH!L2,3)="14x"),IF(AG_REQ!L2&lt;=INDEX(INPUTS!$B$42:$B$50,1),INDEX(INPUTS!$A$42:$A$50,1),IF(AG_REQ!L2&gt;INDEX(INPUTS!$B$42:$B$50,ROWS(INPUTS!$B$42:$B$50)),"LARGER",INDEX(INPUTS!$A$42:$A$50,MATCH(AG_REQ!L2,INPUTS!$B$42:$B$50,1)+1))),IF(AG_REQ!L2&lt;=INDEX(INPUTS!$E$42:$E$50,1),INDEX(INPUTS!$D$42:$D$50,1),IF(AG_REQ!L2&gt;INDEX(INPUTS!$E$42:$E$50,ROWS(INPUTS!$E$42:$E$50)),"LARGER",INDEX(INPUTS!$D$42:$D$50,MATCH(AG_REQ!L2,INPUTS!$E$42:$E$50,1)+1)))))</f>
        <v>14x24</v>
      </c>
      <c r="M2" s="4" t="str">
        <f aca="false">IF(TRIB!M2="","",IF(OR(ARCH!M2="",LEFT(ARCH!M2,3)="14x"),IF(AG_REQ!M2&lt;=INDEX(INPUTS!$B$42:$B$50,1),INDEX(INPUTS!$A$42:$A$50,1),IF(AG_REQ!M2&gt;INDEX(INPUTS!$B$42:$B$50,ROWS(INPUTS!$B$42:$B$50)),"LARGER",INDEX(INPUTS!$A$42:$A$50,MATCH(AG_REQ!M2,INPUTS!$B$42:$B$50,1)+1))),IF(AG_REQ!M2&lt;=INDEX(INPUTS!$E$42:$E$50,1),INDEX(INPUTS!$D$42:$D$50,1),IF(AG_REQ!M2&gt;INDEX(INPUTS!$E$42:$E$50,ROWS(INPUTS!$E$42:$E$50)),"LARGER",INDEX(INPUTS!$D$42:$D$50,MATCH(AG_REQ!M2,INPUTS!$E$42:$E$50,1)+1)))))</f>
        <v>14x24</v>
      </c>
      <c r="N2" s="4" t="str">
        <f aca="false">IF(TRIB!N2="","",IF(OR(ARCH!N2="",LEFT(ARCH!N2,3)="14x"),IF(AG_REQ!N2&lt;=INDEX(INPUTS!$B$42:$B$50,1),INDEX(INPUTS!$A$42:$A$50,1),IF(AG_REQ!N2&gt;INDEX(INPUTS!$B$42:$B$50,ROWS(INPUTS!$B$42:$B$50)),"LARGER",INDEX(INPUTS!$A$42:$A$50,MATCH(AG_REQ!N2,INPUTS!$B$42:$B$50,1)+1))),IF(AG_REQ!N2&lt;=INDEX(INPUTS!$E$42:$E$50,1),INDEX(INPUTS!$D$42:$D$50,1),IF(AG_REQ!N2&gt;INDEX(INPUTS!$E$42:$E$50,ROWS(INPUTS!$E$42:$E$50)),"LARGER",INDEX(INPUTS!$D$42:$D$50,MATCH(AG_REQ!N2,INPUTS!$E$42:$E$50,1)+1)))))</f>
        <v>14x24</v>
      </c>
      <c r="O2" s="4" t="str">
        <f aca="false">IF(TRIB!O2="","",IF(OR(ARCH!O2="",LEFT(ARCH!O2,3)="14x"),IF(AG_REQ!O2&lt;=INDEX(INPUTS!$B$42:$B$50,1),INDEX(INPUTS!$A$42:$A$50,1),IF(AG_REQ!O2&gt;INDEX(INPUTS!$B$42:$B$50,ROWS(INPUTS!$B$42:$B$50)),"LARGER",INDEX(INPUTS!$A$42:$A$50,MATCH(AG_REQ!O2,INPUTS!$B$42:$B$50,1)+1))),IF(AG_REQ!O2&lt;=INDEX(INPUTS!$E$42:$E$50,1),INDEX(INPUTS!$D$42:$D$50,1),IF(AG_REQ!O2&gt;INDEX(INPUTS!$E$42:$E$50,ROWS(INPUTS!$E$42:$E$50)),"LARGER",INDEX(INPUTS!$D$42:$D$50,MATCH(AG_REQ!O2,INPUTS!$E$42:$E$50,1)+1)))))</f>
        <v>14x24</v>
      </c>
      <c r="P2" s="4" t="str">
        <f aca="false">IF(TRIB!P2="","",IF(OR(ARCH!P2="",LEFT(ARCH!P2,3)="14x"),IF(AG_REQ!P2&lt;=INDEX(INPUTS!$B$42:$B$50,1),INDEX(INPUTS!$A$42:$A$50,1),IF(AG_REQ!P2&gt;INDEX(INPUTS!$B$42:$B$50,ROWS(INPUTS!$B$42:$B$50)),"LARGER",INDEX(INPUTS!$A$42:$A$50,MATCH(AG_REQ!P2,INPUTS!$B$42:$B$50,1)+1))),IF(AG_REQ!P2&lt;=INDEX(INPUTS!$E$42:$E$50,1),INDEX(INPUTS!$D$42:$D$50,1),IF(AG_REQ!P2&gt;INDEX(INPUTS!$E$42:$E$50,ROWS(INPUTS!$E$42:$E$50)),"LARGER",INDEX(INPUTS!$D$42:$D$50,MATCH(AG_REQ!P2,INPUTS!$E$42:$E$50,1)+1)))))</f>
        <v>14x24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4" t="str">
        <f aca="false">IF(TRIB!E3="","",IF(OR(ARCH!E3="",LEFT(ARCH!E3,3)="14x"),IF(AG_REQ!E3&lt;=INDEX(INPUTS!$B$42:$B$50,1),INDEX(INPUTS!$A$42:$A$50,1),IF(AG_REQ!E3&gt;INDEX(INPUTS!$B$42:$B$50,ROWS(INPUTS!$B$42:$B$50)),"LARGER",INDEX(INPUTS!$A$42:$A$50,MATCH(AG_REQ!E3,INPUTS!$B$42:$B$50,1)+1))),IF(AG_REQ!E3&lt;=INDEX(INPUTS!$E$42:$E$50,1),INDEX(INPUTS!$D$42:$D$50,1),IF(AG_REQ!E3&gt;INDEX(INPUTS!$E$42:$E$50,ROWS(INPUTS!$E$42:$E$50)),"LARGER",INDEX(INPUTS!$D$42:$D$50,MATCH(AG_REQ!E3,INPUTS!$E$42:$E$50,1)+1)))))</f>
        <v/>
      </c>
      <c r="F3" s="4" t="str">
        <f aca="false">IF(TRIB!F3="","",IF(OR(ARCH!F3="",LEFT(ARCH!F3,3)="14x"),IF(AG_REQ!F3&lt;=INDEX(INPUTS!$B$42:$B$50,1),INDEX(INPUTS!$A$42:$A$50,1),IF(AG_REQ!F3&gt;INDEX(INPUTS!$B$42:$B$50,ROWS(INPUTS!$B$42:$B$50)),"LARGER",INDEX(INPUTS!$A$42:$A$50,MATCH(AG_REQ!F3,INPUTS!$B$42:$B$50,1)+1))),IF(AG_REQ!F3&lt;=INDEX(INPUTS!$E$42:$E$50,1),INDEX(INPUTS!$D$42:$D$50,1),IF(AG_REQ!F3&gt;INDEX(INPUTS!$E$42:$E$50,ROWS(INPUTS!$E$42:$E$50)),"LARGER",INDEX(INPUTS!$D$42:$D$50,MATCH(AG_REQ!F3,INPUTS!$E$42:$E$50,1)+1)))))</f>
        <v/>
      </c>
      <c r="G3" s="4" t="str">
        <f aca="false">IF(TRIB!G3="","",IF(OR(ARCH!G3="",LEFT(ARCH!G3,3)="14x"),IF(AG_REQ!G3&lt;=INDEX(INPUTS!$B$42:$B$50,1),INDEX(INPUTS!$A$42:$A$50,1),IF(AG_REQ!G3&gt;INDEX(INPUTS!$B$42:$B$50,ROWS(INPUTS!$B$42:$B$50)),"LARGER",INDEX(INPUTS!$A$42:$A$50,MATCH(AG_REQ!G3,INPUTS!$B$42:$B$50,1)+1))),IF(AG_REQ!G3&lt;=INDEX(INPUTS!$E$42:$E$50,1),INDEX(INPUTS!$D$42:$D$50,1),IF(AG_REQ!G3&gt;INDEX(INPUTS!$E$42:$E$50,ROWS(INPUTS!$E$42:$E$50)),"LARGER",INDEX(INPUTS!$D$42:$D$50,MATCH(AG_REQ!G3,INPUTS!$E$42:$E$50,1)+1)))))</f>
        <v>18x18</v>
      </c>
      <c r="H3" s="4" t="str">
        <f aca="false">IF(TRIB!H3="","",IF(OR(ARCH!H3="",LEFT(ARCH!H3,3)="14x"),IF(AG_REQ!H3&lt;=INDEX(INPUTS!$B$42:$B$50,1),INDEX(INPUTS!$A$42:$A$50,1),IF(AG_REQ!H3&gt;INDEX(INPUTS!$B$42:$B$50,ROWS(INPUTS!$B$42:$B$50)),"LARGER",INDEX(INPUTS!$A$42:$A$50,MATCH(AG_REQ!H3,INPUTS!$B$42:$B$50,1)+1))),IF(AG_REQ!H3&lt;=INDEX(INPUTS!$E$42:$E$50,1),INDEX(INPUTS!$D$42:$D$50,1),IF(AG_REQ!H3&gt;INDEX(INPUTS!$E$42:$E$50,ROWS(INPUTS!$E$42:$E$50)),"LARGER",INDEX(INPUTS!$D$42:$D$50,MATCH(AG_REQ!H3,INPUTS!$E$42:$E$50,1)+1)))))</f>
        <v>18x18</v>
      </c>
      <c r="I3" s="4" t="str">
        <f aca="false">IF(TRIB!I3="","",IF(OR(ARCH!I3="",LEFT(ARCH!I3,3)="14x"),IF(AG_REQ!I3&lt;=INDEX(INPUTS!$B$42:$B$50,1),INDEX(INPUTS!$A$42:$A$50,1),IF(AG_REQ!I3&gt;INDEX(INPUTS!$B$42:$B$50,ROWS(INPUTS!$B$42:$B$50)),"LARGER",INDEX(INPUTS!$A$42:$A$50,MATCH(AG_REQ!I3,INPUTS!$B$42:$B$50,1)+1))),IF(AG_REQ!I3&lt;=INDEX(INPUTS!$E$42:$E$50,1),INDEX(INPUTS!$D$42:$D$50,1),IF(AG_REQ!I3&gt;INDEX(INPUTS!$E$42:$E$50,ROWS(INPUTS!$E$42:$E$50)),"LARGER",INDEX(INPUTS!$D$42:$D$50,MATCH(AG_REQ!I3,INPUTS!$E$42:$E$50,1)+1)))))</f>
        <v>18x18</v>
      </c>
      <c r="J3" s="4" t="str">
        <f aca="false">IF(TRIB!J3="","",IF(OR(ARCH!J3="",LEFT(ARCH!J3,3)="14x"),IF(AG_REQ!J3&lt;=INDEX(INPUTS!$B$42:$B$50,1),INDEX(INPUTS!$A$42:$A$50,1),IF(AG_REQ!J3&gt;INDEX(INPUTS!$B$42:$B$50,ROWS(INPUTS!$B$42:$B$50)),"LARGER",INDEX(INPUTS!$A$42:$A$50,MATCH(AG_REQ!J3,INPUTS!$B$42:$B$50,1)+1))),IF(AG_REQ!J3&lt;=INDEX(INPUTS!$E$42:$E$50,1),INDEX(INPUTS!$D$42:$D$50,1),IF(AG_REQ!J3&gt;INDEX(INPUTS!$E$42:$E$50,ROWS(INPUTS!$E$42:$E$50)),"LARGER",INDEX(INPUTS!$D$42:$D$50,MATCH(AG_REQ!J3,INPUTS!$E$42:$E$50,1)+1)))))</f>
        <v>18x18</v>
      </c>
      <c r="K3" s="4" t="str">
        <f aca="false">IF(TRIB!K3="","",IF(OR(ARCH!K3="",LEFT(ARCH!K3,3)="14x"),IF(AG_REQ!K3&lt;=INDEX(INPUTS!$B$42:$B$50,1),INDEX(INPUTS!$A$42:$A$50,1),IF(AG_REQ!K3&gt;INDEX(INPUTS!$B$42:$B$50,ROWS(INPUTS!$B$42:$B$50)),"LARGER",INDEX(INPUTS!$A$42:$A$50,MATCH(AG_REQ!K3,INPUTS!$B$42:$B$50,1)+1))),IF(AG_REQ!K3&lt;=INDEX(INPUTS!$E$42:$E$50,1),INDEX(INPUTS!$D$42:$D$50,1),IF(AG_REQ!K3&gt;INDEX(INPUTS!$E$42:$E$50,ROWS(INPUTS!$E$42:$E$50)),"LARGER",INDEX(INPUTS!$D$42:$D$50,MATCH(AG_REQ!K3,INPUTS!$E$42:$E$50,1)+1)))))</f>
        <v>18x18</v>
      </c>
      <c r="L3" s="4" t="str">
        <f aca="false">IF(TRIB!L3="","",IF(OR(ARCH!L3="",LEFT(ARCH!L3,3)="14x"),IF(AG_REQ!L3&lt;=INDEX(INPUTS!$B$42:$B$50,1),INDEX(INPUTS!$A$42:$A$50,1),IF(AG_REQ!L3&gt;INDEX(INPUTS!$B$42:$B$50,ROWS(INPUTS!$B$42:$B$50)),"LARGER",INDEX(INPUTS!$A$42:$A$50,MATCH(AG_REQ!L3,INPUTS!$B$42:$B$50,1)+1))),IF(AG_REQ!L3&lt;=INDEX(INPUTS!$E$42:$E$50,1),INDEX(INPUTS!$D$42:$D$50,1),IF(AG_REQ!L3&gt;INDEX(INPUTS!$E$42:$E$50,ROWS(INPUTS!$E$42:$E$50)),"LARGER",INDEX(INPUTS!$D$42:$D$50,MATCH(AG_REQ!L3,INPUTS!$E$42:$E$50,1)+1)))))</f>
        <v>18x18</v>
      </c>
      <c r="M3" s="4" t="str">
        <f aca="false">IF(TRIB!M3="","",IF(OR(ARCH!M3="",LEFT(ARCH!M3,3)="14x"),IF(AG_REQ!M3&lt;=INDEX(INPUTS!$B$42:$B$50,1),INDEX(INPUTS!$A$42:$A$50,1),IF(AG_REQ!M3&gt;INDEX(INPUTS!$B$42:$B$50,ROWS(INPUTS!$B$42:$B$50)),"LARGER",INDEX(INPUTS!$A$42:$A$50,MATCH(AG_REQ!M3,INPUTS!$B$42:$B$50,1)+1))),IF(AG_REQ!M3&lt;=INDEX(INPUTS!$E$42:$E$50,1),INDEX(INPUTS!$D$42:$D$50,1),IF(AG_REQ!M3&gt;INDEX(INPUTS!$E$42:$E$50,ROWS(INPUTS!$E$42:$E$50)),"LARGER",INDEX(INPUTS!$D$42:$D$50,MATCH(AG_REQ!M3,INPUTS!$E$42:$E$50,1)+1)))))</f>
        <v>18x18</v>
      </c>
      <c r="N3" s="4" t="str">
        <f aca="false">IF(TRIB!N3="","",IF(OR(ARCH!N3="",LEFT(ARCH!N3,3)="14x"),IF(AG_REQ!N3&lt;=INDEX(INPUTS!$B$42:$B$50,1),INDEX(INPUTS!$A$42:$A$50,1),IF(AG_REQ!N3&gt;INDEX(INPUTS!$B$42:$B$50,ROWS(INPUTS!$B$42:$B$50)),"LARGER",INDEX(INPUTS!$A$42:$A$50,MATCH(AG_REQ!N3,INPUTS!$B$42:$B$50,1)+1))),IF(AG_REQ!N3&lt;=INDEX(INPUTS!$E$42:$E$50,1),INDEX(INPUTS!$D$42:$D$50,1),IF(AG_REQ!N3&gt;INDEX(INPUTS!$E$42:$E$50,ROWS(INPUTS!$E$42:$E$50)),"LARGER",INDEX(INPUTS!$D$42:$D$50,MATCH(AG_REQ!N3,INPUTS!$E$42:$E$50,1)+1)))))</f>
        <v>18x18</v>
      </c>
      <c r="O3" s="4" t="str">
        <f aca="false">IF(TRIB!O3="","",IF(OR(ARCH!O3="",LEFT(ARCH!O3,3)="14x"),IF(AG_REQ!O3&lt;=INDEX(INPUTS!$B$42:$B$50,1),INDEX(INPUTS!$A$42:$A$50,1),IF(AG_REQ!O3&gt;INDEX(INPUTS!$B$42:$B$50,ROWS(INPUTS!$B$42:$B$50)),"LARGER",INDEX(INPUTS!$A$42:$A$50,MATCH(AG_REQ!O3,INPUTS!$B$42:$B$50,1)+1))),IF(AG_REQ!O3&lt;=INDEX(INPUTS!$E$42:$E$50,1),INDEX(INPUTS!$D$42:$D$50,1),IF(AG_REQ!O3&gt;INDEX(INPUTS!$E$42:$E$50,ROWS(INPUTS!$E$42:$E$50)),"LARGER",INDEX(INPUTS!$D$42:$D$50,MATCH(AG_REQ!O3,INPUTS!$E$42:$E$50,1)+1)))))</f>
        <v>18x18</v>
      </c>
      <c r="P3" s="4" t="str">
        <f aca="false">IF(TRIB!P3="","",IF(OR(ARCH!P3="",LEFT(ARCH!P3,3)="14x"),IF(AG_REQ!P3&lt;=INDEX(INPUTS!$B$42:$B$50,1),INDEX(INPUTS!$A$42:$A$50,1),IF(AG_REQ!P3&gt;INDEX(INPUTS!$B$42:$B$50,ROWS(INPUTS!$B$42:$B$50)),"LARGER",INDEX(INPUTS!$A$42:$A$50,MATCH(AG_REQ!P3,INPUTS!$B$42:$B$50,1)+1))),IF(AG_REQ!P3&lt;=INDEX(INPUTS!$E$42:$E$50,1),INDEX(INPUTS!$D$42:$D$50,1),IF(AG_REQ!P3&gt;INDEX(INPUTS!$E$42:$E$50,ROWS(INPUTS!$E$42:$E$50)),"LARGER",INDEX(INPUTS!$D$42:$D$50,MATCH(AG_REQ!P3,INPUTS!$E$42:$E$50,1)+1)))))</f>
        <v>18x18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4" t="str">
        <f aca="false">IF(TRIB!E4="","",IF(OR(ARCH!E4="",LEFT(ARCH!E4,3)="14x"),IF(AG_REQ!E4&lt;=INDEX(INPUTS!$B$42:$B$50,1),INDEX(INPUTS!$A$42:$A$50,1),IF(AG_REQ!E4&gt;INDEX(INPUTS!$B$42:$B$50,ROWS(INPUTS!$B$42:$B$50)),"LARGER",INDEX(INPUTS!$A$42:$A$50,MATCH(AG_REQ!E4,INPUTS!$B$42:$B$50,1)+1))),IF(AG_REQ!E4&lt;=INDEX(INPUTS!$E$42:$E$50,1),INDEX(INPUTS!$D$42:$D$50,1),IF(AG_REQ!E4&gt;INDEX(INPUTS!$E$42:$E$50,ROWS(INPUTS!$E$42:$E$50)),"LARGER",INDEX(INPUTS!$D$42:$D$50,MATCH(AG_REQ!E4,INPUTS!$E$42:$E$50,1)+1)))))</f>
        <v/>
      </c>
      <c r="F4" s="4" t="str">
        <f aca="false">IF(TRIB!F4="","",IF(OR(ARCH!F4="",LEFT(ARCH!F4,3)="14x"),IF(AG_REQ!F4&lt;=INDEX(INPUTS!$B$42:$B$50,1),INDEX(INPUTS!$A$42:$A$50,1),IF(AG_REQ!F4&gt;INDEX(INPUTS!$B$42:$B$50,ROWS(INPUTS!$B$42:$B$50)),"LARGER",INDEX(INPUTS!$A$42:$A$50,MATCH(AG_REQ!F4,INPUTS!$B$42:$B$50,1)+1))),IF(AG_REQ!F4&lt;=INDEX(INPUTS!$E$42:$E$50,1),INDEX(INPUTS!$D$42:$D$50,1),IF(AG_REQ!F4&gt;INDEX(INPUTS!$E$42:$E$50,ROWS(INPUTS!$E$42:$E$50)),"LARGER",INDEX(INPUTS!$D$42:$D$50,MATCH(AG_REQ!F4,INPUTS!$E$42:$E$50,1)+1)))))</f>
        <v>14x24</v>
      </c>
      <c r="G4" s="4" t="str">
        <f aca="false">IF(TRIB!G4="","",IF(OR(ARCH!G4="",LEFT(ARCH!G4,3)="14x"),IF(AG_REQ!G4&lt;=INDEX(INPUTS!$B$42:$B$50,1),INDEX(INPUTS!$A$42:$A$50,1),IF(AG_REQ!G4&gt;INDEX(INPUTS!$B$42:$B$50,ROWS(INPUTS!$B$42:$B$50)),"LARGER",INDEX(INPUTS!$A$42:$A$50,MATCH(AG_REQ!G4,INPUTS!$B$42:$B$50,1)+1))),IF(AG_REQ!G4&lt;=INDEX(INPUTS!$E$42:$E$50,1),INDEX(INPUTS!$D$42:$D$50,1),IF(AG_REQ!G4&gt;INDEX(INPUTS!$E$42:$E$50,ROWS(INPUTS!$E$42:$E$50)),"LARGER",INDEX(INPUTS!$D$42:$D$50,MATCH(AG_REQ!G4,INPUTS!$E$42:$E$50,1)+1)))))</f>
        <v>14x24</v>
      </c>
      <c r="H4" s="4" t="str">
        <f aca="false">IF(TRIB!H4="","",IF(OR(ARCH!H4="",LEFT(ARCH!H4,3)="14x"),IF(AG_REQ!H4&lt;=INDEX(INPUTS!$B$42:$B$50,1),INDEX(INPUTS!$A$42:$A$50,1),IF(AG_REQ!H4&gt;INDEX(INPUTS!$B$42:$B$50,ROWS(INPUTS!$B$42:$B$50)),"LARGER",INDEX(INPUTS!$A$42:$A$50,MATCH(AG_REQ!H4,INPUTS!$B$42:$B$50,1)+1))),IF(AG_REQ!H4&lt;=INDEX(INPUTS!$E$42:$E$50,1),INDEX(INPUTS!$D$42:$D$50,1),IF(AG_REQ!H4&gt;INDEX(INPUTS!$E$42:$E$50,ROWS(INPUTS!$E$42:$E$50)),"LARGER",INDEX(INPUTS!$D$42:$D$50,MATCH(AG_REQ!H4,INPUTS!$E$42:$E$50,1)+1)))))</f>
        <v>14x24</v>
      </c>
      <c r="I4" s="4" t="str">
        <f aca="false">IF(TRIB!I4="","",IF(OR(ARCH!I4="",LEFT(ARCH!I4,3)="14x"),IF(AG_REQ!I4&lt;=INDEX(INPUTS!$B$42:$B$50,1),INDEX(INPUTS!$A$42:$A$50,1),IF(AG_REQ!I4&gt;INDEX(INPUTS!$B$42:$B$50,ROWS(INPUTS!$B$42:$B$50)),"LARGER",INDEX(INPUTS!$A$42:$A$50,MATCH(AG_REQ!I4,INPUTS!$B$42:$B$50,1)+1))),IF(AG_REQ!I4&lt;=INDEX(INPUTS!$E$42:$E$50,1),INDEX(INPUTS!$D$42:$D$50,1),IF(AG_REQ!I4&gt;INDEX(INPUTS!$E$42:$E$50,ROWS(INPUTS!$E$42:$E$50)),"LARGER",INDEX(INPUTS!$D$42:$D$50,MATCH(AG_REQ!I4,INPUTS!$E$42:$E$50,1)+1)))))</f>
        <v>14x24</v>
      </c>
      <c r="J4" s="4" t="str">
        <f aca="false">IF(TRIB!J4="","",IF(OR(ARCH!J4="",LEFT(ARCH!J4,3)="14x"),IF(AG_REQ!J4&lt;=INDEX(INPUTS!$B$42:$B$50,1),INDEX(INPUTS!$A$42:$A$50,1),IF(AG_REQ!J4&gt;INDEX(INPUTS!$B$42:$B$50,ROWS(INPUTS!$B$42:$B$50)),"LARGER",INDEX(INPUTS!$A$42:$A$50,MATCH(AG_REQ!J4,INPUTS!$B$42:$B$50,1)+1))),IF(AG_REQ!J4&lt;=INDEX(INPUTS!$E$42:$E$50,1),INDEX(INPUTS!$D$42:$D$50,1),IF(AG_REQ!J4&gt;INDEX(INPUTS!$E$42:$E$50,ROWS(INPUTS!$E$42:$E$50)),"LARGER",INDEX(INPUTS!$D$42:$D$50,MATCH(AG_REQ!J4,INPUTS!$E$42:$E$50,1)+1)))))</f>
        <v>14x24</v>
      </c>
      <c r="K4" s="4" t="str">
        <f aca="false">IF(TRIB!K4="","",IF(OR(ARCH!K4="",LEFT(ARCH!K4,3)="14x"),IF(AG_REQ!K4&lt;=INDEX(INPUTS!$B$42:$B$50,1),INDEX(INPUTS!$A$42:$A$50,1),IF(AG_REQ!K4&gt;INDEX(INPUTS!$B$42:$B$50,ROWS(INPUTS!$B$42:$B$50)),"LARGER",INDEX(INPUTS!$A$42:$A$50,MATCH(AG_REQ!K4,INPUTS!$B$42:$B$50,1)+1))),IF(AG_REQ!K4&lt;=INDEX(INPUTS!$E$42:$E$50,1),INDEX(INPUTS!$D$42:$D$50,1),IF(AG_REQ!K4&gt;INDEX(INPUTS!$E$42:$E$50,ROWS(INPUTS!$E$42:$E$50)),"LARGER",INDEX(INPUTS!$D$42:$D$50,MATCH(AG_REQ!K4,INPUTS!$E$42:$E$50,1)+1)))))</f>
        <v>14x24</v>
      </c>
      <c r="L4" s="4" t="str">
        <f aca="false">IF(TRIB!L4="","",IF(OR(ARCH!L4="",LEFT(ARCH!L4,3)="14x"),IF(AG_REQ!L4&lt;=INDEX(INPUTS!$B$42:$B$50,1),INDEX(INPUTS!$A$42:$A$50,1),IF(AG_REQ!L4&gt;INDEX(INPUTS!$B$42:$B$50,ROWS(INPUTS!$B$42:$B$50)),"LARGER",INDEX(INPUTS!$A$42:$A$50,MATCH(AG_REQ!L4,INPUTS!$B$42:$B$50,1)+1))),IF(AG_REQ!L4&lt;=INDEX(INPUTS!$E$42:$E$50,1),INDEX(INPUTS!$D$42:$D$50,1),IF(AG_REQ!L4&gt;INDEX(INPUTS!$E$42:$E$50,ROWS(INPUTS!$E$42:$E$50)),"LARGER",INDEX(INPUTS!$D$42:$D$50,MATCH(AG_REQ!L4,INPUTS!$E$42:$E$50,1)+1)))))</f>
        <v>14x24</v>
      </c>
      <c r="M4" s="4" t="str">
        <f aca="false">IF(TRIB!M4="","",IF(OR(ARCH!M4="",LEFT(ARCH!M4,3)="14x"),IF(AG_REQ!M4&lt;=INDEX(INPUTS!$B$42:$B$50,1),INDEX(INPUTS!$A$42:$A$50,1),IF(AG_REQ!M4&gt;INDEX(INPUTS!$B$42:$B$50,ROWS(INPUTS!$B$42:$B$50)),"LARGER",INDEX(INPUTS!$A$42:$A$50,MATCH(AG_REQ!M4,INPUTS!$B$42:$B$50,1)+1))),IF(AG_REQ!M4&lt;=INDEX(INPUTS!$E$42:$E$50,1),INDEX(INPUTS!$D$42:$D$50,1),IF(AG_REQ!M4&gt;INDEX(INPUTS!$E$42:$E$50,ROWS(INPUTS!$E$42:$E$50)),"LARGER",INDEX(INPUTS!$D$42:$D$50,MATCH(AG_REQ!M4,INPUTS!$E$42:$E$50,1)+1)))))</f>
        <v>14x24</v>
      </c>
      <c r="N4" s="4" t="str">
        <f aca="false">IF(TRIB!N4="","",IF(OR(ARCH!N4="",LEFT(ARCH!N4,3)="14x"),IF(AG_REQ!N4&lt;=INDEX(INPUTS!$B$42:$B$50,1),INDEX(INPUTS!$A$42:$A$50,1),IF(AG_REQ!N4&gt;INDEX(INPUTS!$B$42:$B$50,ROWS(INPUTS!$B$42:$B$50)),"LARGER",INDEX(INPUTS!$A$42:$A$50,MATCH(AG_REQ!N4,INPUTS!$B$42:$B$50,1)+1))),IF(AG_REQ!N4&lt;=INDEX(INPUTS!$E$42:$E$50,1),INDEX(INPUTS!$D$42:$D$50,1),IF(AG_REQ!N4&gt;INDEX(INPUTS!$E$42:$E$50,ROWS(INPUTS!$E$42:$E$50)),"LARGER",INDEX(INPUTS!$D$42:$D$50,MATCH(AG_REQ!N4,INPUTS!$E$42:$E$50,1)+1)))))</f>
        <v>14x24</v>
      </c>
      <c r="O4" s="4" t="str">
        <f aca="false">IF(TRIB!O4="","",IF(OR(ARCH!O4="",LEFT(ARCH!O4,3)="14x"),IF(AG_REQ!O4&lt;=INDEX(INPUTS!$B$42:$B$50,1),INDEX(INPUTS!$A$42:$A$50,1),IF(AG_REQ!O4&gt;INDEX(INPUTS!$B$42:$B$50,ROWS(INPUTS!$B$42:$B$50)),"LARGER",INDEX(INPUTS!$A$42:$A$50,MATCH(AG_REQ!O4,INPUTS!$B$42:$B$50,1)+1))),IF(AG_REQ!O4&lt;=INDEX(INPUTS!$E$42:$E$50,1),INDEX(INPUTS!$D$42:$D$50,1),IF(AG_REQ!O4&gt;INDEX(INPUTS!$E$42:$E$50,ROWS(INPUTS!$E$42:$E$50)),"LARGER",INDEX(INPUTS!$D$42:$D$50,MATCH(AG_REQ!O4,INPUTS!$E$42:$E$50,1)+1)))))</f>
        <v>14x24</v>
      </c>
      <c r="P4" s="4" t="str">
        <f aca="false">IF(TRIB!P4="","",IF(OR(ARCH!P4="",LEFT(ARCH!P4,3)="14x"),IF(AG_REQ!P4&lt;=INDEX(INPUTS!$B$42:$B$50,1),INDEX(INPUTS!$A$42:$A$50,1),IF(AG_REQ!P4&gt;INDEX(INPUTS!$B$42:$B$50,ROWS(INPUTS!$B$42:$B$50)),"LARGER",INDEX(INPUTS!$A$42:$A$50,MATCH(AG_REQ!P4,INPUTS!$B$42:$B$50,1)+1))),IF(AG_REQ!P4&lt;=INDEX(INPUTS!$E$42:$E$50,1),INDEX(INPUTS!$D$42:$D$50,1),IF(AG_REQ!P4&gt;INDEX(INPUTS!$E$42:$E$50,ROWS(INPUTS!$E$42:$E$50)),"LARGER",INDEX(INPUTS!$D$42:$D$50,MATCH(AG_REQ!P4,INPUTS!$E$42:$E$50,1)+1)))))</f>
        <v>14x24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4" t="str">
        <f aca="false">IF(TRIB!E5="","",IF(OR(ARCH!E5="",LEFT(ARCH!E5,3)="14x"),IF(AG_REQ!E5&lt;=INDEX(INPUTS!$B$42:$B$50,1),INDEX(INPUTS!$A$42:$A$50,1),IF(AG_REQ!E5&gt;INDEX(INPUTS!$B$42:$B$50,ROWS(INPUTS!$B$42:$B$50)),"LARGER",INDEX(INPUTS!$A$42:$A$50,MATCH(AG_REQ!E5,INPUTS!$B$42:$B$50,1)+1))),IF(AG_REQ!E5&lt;=INDEX(INPUTS!$E$42:$E$50,1),INDEX(INPUTS!$D$42:$D$50,1),IF(AG_REQ!E5&gt;INDEX(INPUTS!$E$42:$E$50,ROWS(INPUTS!$E$42:$E$50)),"LARGER",INDEX(INPUTS!$D$42:$D$50,MATCH(AG_REQ!E5,INPUTS!$E$42:$E$50,1)+1)))))</f>
        <v/>
      </c>
      <c r="F5" s="4" t="str">
        <f aca="false">IF(TRIB!F5="","",IF(OR(ARCH!F5="",LEFT(ARCH!F5,3)="14x"),IF(AG_REQ!F5&lt;=INDEX(INPUTS!$B$42:$B$50,1),INDEX(INPUTS!$A$42:$A$50,1),IF(AG_REQ!F5&gt;INDEX(INPUTS!$B$42:$B$50,ROWS(INPUTS!$B$42:$B$50)),"LARGER",INDEX(INPUTS!$A$42:$A$50,MATCH(AG_REQ!F5,INPUTS!$B$42:$B$50,1)+1))),IF(AG_REQ!F5&lt;=INDEX(INPUTS!$E$42:$E$50,1),INDEX(INPUTS!$D$42:$D$50,1),IF(AG_REQ!F5&gt;INDEX(INPUTS!$E$42:$E$50,ROWS(INPUTS!$E$42:$E$50)),"LARGER",INDEX(INPUTS!$D$42:$D$50,MATCH(AG_REQ!F5,INPUTS!$E$42:$E$50,1)+1)))))</f>
        <v>14x24</v>
      </c>
      <c r="G5" s="4" t="str">
        <f aca="false">IF(TRIB!G5="","",IF(OR(ARCH!G5="",LEFT(ARCH!G5,3)="14x"),IF(AG_REQ!G5&lt;=INDEX(INPUTS!$B$42:$B$50,1),INDEX(INPUTS!$A$42:$A$50,1),IF(AG_REQ!G5&gt;INDEX(INPUTS!$B$42:$B$50,ROWS(INPUTS!$B$42:$B$50)),"LARGER",INDEX(INPUTS!$A$42:$A$50,MATCH(AG_REQ!G5,INPUTS!$B$42:$B$50,1)+1))),IF(AG_REQ!G5&lt;=INDEX(INPUTS!$E$42:$E$50,1),INDEX(INPUTS!$D$42:$D$50,1),IF(AG_REQ!G5&gt;INDEX(INPUTS!$E$42:$E$50,ROWS(INPUTS!$E$42:$E$50)),"LARGER",INDEX(INPUTS!$D$42:$D$50,MATCH(AG_REQ!G5,INPUTS!$E$42:$E$50,1)+1)))))</f>
        <v>14x24</v>
      </c>
      <c r="H5" s="4" t="str">
        <f aca="false">IF(TRIB!H5="","",IF(OR(ARCH!H5="",LEFT(ARCH!H5,3)="14x"),IF(AG_REQ!H5&lt;=INDEX(INPUTS!$B$42:$B$50,1),INDEX(INPUTS!$A$42:$A$50,1),IF(AG_REQ!H5&gt;INDEX(INPUTS!$B$42:$B$50,ROWS(INPUTS!$B$42:$B$50)),"LARGER",INDEX(INPUTS!$A$42:$A$50,MATCH(AG_REQ!H5,INPUTS!$B$42:$B$50,1)+1))),IF(AG_REQ!H5&lt;=INDEX(INPUTS!$E$42:$E$50,1),INDEX(INPUTS!$D$42:$D$50,1),IF(AG_REQ!H5&gt;INDEX(INPUTS!$E$42:$E$50,ROWS(INPUTS!$E$42:$E$50)),"LARGER",INDEX(INPUTS!$D$42:$D$50,MATCH(AG_REQ!H5,INPUTS!$E$42:$E$50,1)+1)))))</f>
        <v>14x24</v>
      </c>
      <c r="I5" s="4" t="str">
        <f aca="false">IF(TRIB!I5="","",IF(OR(ARCH!I5="",LEFT(ARCH!I5,3)="14x"),IF(AG_REQ!I5&lt;=INDEX(INPUTS!$B$42:$B$50,1),INDEX(INPUTS!$A$42:$A$50,1),IF(AG_REQ!I5&gt;INDEX(INPUTS!$B$42:$B$50,ROWS(INPUTS!$B$42:$B$50)),"LARGER",INDEX(INPUTS!$A$42:$A$50,MATCH(AG_REQ!I5,INPUTS!$B$42:$B$50,1)+1))),IF(AG_REQ!I5&lt;=INDEX(INPUTS!$E$42:$E$50,1),INDEX(INPUTS!$D$42:$D$50,1),IF(AG_REQ!I5&gt;INDEX(INPUTS!$E$42:$E$50,ROWS(INPUTS!$E$42:$E$50)),"LARGER",INDEX(INPUTS!$D$42:$D$50,MATCH(AG_REQ!I5,INPUTS!$E$42:$E$50,1)+1)))))</f>
        <v>14x24</v>
      </c>
      <c r="J5" s="4" t="str">
        <f aca="false">IF(TRIB!J5="","",IF(OR(ARCH!J5="",LEFT(ARCH!J5,3)="14x"),IF(AG_REQ!J5&lt;=INDEX(INPUTS!$B$42:$B$50,1),INDEX(INPUTS!$A$42:$A$50,1),IF(AG_REQ!J5&gt;INDEX(INPUTS!$B$42:$B$50,ROWS(INPUTS!$B$42:$B$50)),"LARGER",INDEX(INPUTS!$A$42:$A$50,MATCH(AG_REQ!J5,INPUTS!$B$42:$B$50,1)+1))),IF(AG_REQ!J5&lt;=INDEX(INPUTS!$E$42:$E$50,1),INDEX(INPUTS!$D$42:$D$50,1),IF(AG_REQ!J5&gt;INDEX(INPUTS!$E$42:$E$50,ROWS(INPUTS!$E$42:$E$50)),"LARGER",INDEX(INPUTS!$D$42:$D$50,MATCH(AG_REQ!J5,INPUTS!$E$42:$E$50,1)+1)))))</f>
        <v>14x24</v>
      </c>
      <c r="K5" s="4" t="str">
        <f aca="false">IF(TRIB!K5="","",IF(OR(ARCH!K5="",LEFT(ARCH!K5,3)="14x"),IF(AG_REQ!K5&lt;=INDEX(INPUTS!$B$42:$B$50,1),INDEX(INPUTS!$A$42:$A$50,1),IF(AG_REQ!K5&gt;INDEX(INPUTS!$B$42:$B$50,ROWS(INPUTS!$B$42:$B$50)),"LARGER",INDEX(INPUTS!$A$42:$A$50,MATCH(AG_REQ!K5,INPUTS!$B$42:$B$50,1)+1))),IF(AG_REQ!K5&lt;=INDEX(INPUTS!$E$42:$E$50,1),INDEX(INPUTS!$D$42:$D$50,1),IF(AG_REQ!K5&gt;INDEX(INPUTS!$E$42:$E$50,ROWS(INPUTS!$E$42:$E$50)),"LARGER",INDEX(INPUTS!$D$42:$D$50,MATCH(AG_REQ!K5,INPUTS!$E$42:$E$50,1)+1)))))</f>
        <v>14x24</v>
      </c>
      <c r="L5" s="4" t="str">
        <f aca="false">IF(TRIB!L5="","",IF(OR(ARCH!L5="",LEFT(ARCH!L5,3)="14x"),IF(AG_REQ!L5&lt;=INDEX(INPUTS!$B$42:$B$50,1),INDEX(INPUTS!$A$42:$A$50,1),IF(AG_REQ!L5&gt;INDEX(INPUTS!$B$42:$B$50,ROWS(INPUTS!$B$42:$B$50)),"LARGER",INDEX(INPUTS!$A$42:$A$50,MATCH(AG_REQ!L5,INPUTS!$B$42:$B$50,1)+1))),IF(AG_REQ!L5&lt;=INDEX(INPUTS!$E$42:$E$50,1),INDEX(INPUTS!$D$42:$D$50,1),IF(AG_REQ!L5&gt;INDEX(INPUTS!$E$42:$E$50,ROWS(INPUTS!$E$42:$E$50)),"LARGER",INDEX(INPUTS!$D$42:$D$50,MATCH(AG_REQ!L5,INPUTS!$E$42:$E$50,1)+1)))))</f>
        <v>14x24</v>
      </c>
      <c r="M5" s="4" t="str">
        <f aca="false">IF(TRIB!M5="","",IF(OR(ARCH!M5="",LEFT(ARCH!M5,3)="14x"),IF(AG_REQ!M5&lt;=INDEX(INPUTS!$B$42:$B$50,1),INDEX(INPUTS!$A$42:$A$50,1),IF(AG_REQ!M5&gt;INDEX(INPUTS!$B$42:$B$50,ROWS(INPUTS!$B$42:$B$50)),"LARGER",INDEX(INPUTS!$A$42:$A$50,MATCH(AG_REQ!M5,INPUTS!$B$42:$B$50,1)+1))),IF(AG_REQ!M5&lt;=INDEX(INPUTS!$E$42:$E$50,1),INDEX(INPUTS!$D$42:$D$50,1),IF(AG_REQ!M5&gt;INDEX(INPUTS!$E$42:$E$50,ROWS(INPUTS!$E$42:$E$50)),"LARGER",INDEX(INPUTS!$D$42:$D$50,MATCH(AG_REQ!M5,INPUTS!$E$42:$E$50,1)+1)))))</f>
        <v>14x24</v>
      </c>
      <c r="N5" s="4" t="str">
        <f aca="false">IF(TRIB!N5="","",IF(OR(ARCH!N5="",LEFT(ARCH!N5,3)="14x"),IF(AG_REQ!N5&lt;=INDEX(INPUTS!$B$42:$B$50,1),INDEX(INPUTS!$A$42:$A$50,1),IF(AG_REQ!N5&gt;INDEX(INPUTS!$B$42:$B$50,ROWS(INPUTS!$B$42:$B$50)),"LARGER",INDEX(INPUTS!$A$42:$A$50,MATCH(AG_REQ!N5,INPUTS!$B$42:$B$50,1)+1))),IF(AG_REQ!N5&lt;=INDEX(INPUTS!$E$42:$E$50,1),INDEX(INPUTS!$D$42:$D$50,1),IF(AG_REQ!N5&gt;INDEX(INPUTS!$E$42:$E$50,ROWS(INPUTS!$E$42:$E$50)),"LARGER",INDEX(INPUTS!$D$42:$D$50,MATCH(AG_REQ!N5,INPUTS!$E$42:$E$50,1)+1)))))</f>
        <v>14x24</v>
      </c>
      <c r="O5" s="4" t="str">
        <f aca="false">IF(TRIB!O5="","",IF(OR(ARCH!O5="",LEFT(ARCH!O5,3)="14x"),IF(AG_REQ!O5&lt;=INDEX(INPUTS!$B$42:$B$50,1),INDEX(INPUTS!$A$42:$A$50,1),IF(AG_REQ!O5&gt;INDEX(INPUTS!$B$42:$B$50,ROWS(INPUTS!$B$42:$B$50)),"LARGER",INDEX(INPUTS!$A$42:$A$50,MATCH(AG_REQ!O5,INPUTS!$B$42:$B$50,1)+1))),IF(AG_REQ!O5&lt;=INDEX(INPUTS!$E$42:$E$50,1),INDEX(INPUTS!$D$42:$D$50,1),IF(AG_REQ!O5&gt;INDEX(INPUTS!$E$42:$E$50,ROWS(INPUTS!$E$42:$E$50)),"LARGER",INDEX(INPUTS!$D$42:$D$50,MATCH(AG_REQ!O5,INPUTS!$E$42:$E$50,1)+1)))))</f>
        <v>14x24</v>
      </c>
      <c r="P5" s="4" t="str">
        <f aca="false">IF(TRIB!P5="","",IF(OR(ARCH!P5="",LEFT(ARCH!P5,3)="14x"),IF(AG_REQ!P5&lt;=INDEX(INPUTS!$B$42:$B$50,1),INDEX(INPUTS!$A$42:$A$50,1),IF(AG_REQ!P5&gt;INDEX(INPUTS!$B$42:$B$50,ROWS(INPUTS!$B$42:$B$50)),"LARGER",INDEX(INPUTS!$A$42:$A$50,MATCH(AG_REQ!P5,INPUTS!$B$42:$B$50,1)+1))),IF(AG_REQ!P5&lt;=INDEX(INPUTS!$E$42:$E$50,1),INDEX(INPUTS!$D$42:$D$50,1),IF(AG_REQ!P5&gt;INDEX(INPUTS!$E$42:$E$50,ROWS(INPUTS!$E$42:$E$50)),"LARGER",INDEX(INPUTS!$D$42:$D$50,MATCH(AG_REQ!P5,INPUTS!$E$42:$E$50,1)+1)))))</f>
        <v>14x24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4" t="str">
        <f aca="false">IF(TRIB!E6="","",IF(OR(ARCH!E6="",LEFT(ARCH!E6,3)="14x"),IF(AG_REQ!E6&lt;=INDEX(INPUTS!$B$42:$B$50,1),INDEX(INPUTS!$A$42:$A$50,1),IF(AG_REQ!E6&gt;INDEX(INPUTS!$B$42:$B$50,ROWS(INPUTS!$B$42:$B$50)),"LARGER",INDEX(INPUTS!$A$42:$A$50,MATCH(AG_REQ!E6,INPUTS!$B$42:$B$50,1)+1))),IF(AG_REQ!E6&lt;=INDEX(INPUTS!$E$42:$E$50,1),INDEX(INPUTS!$D$42:$D$50,1),IF(AG_REQ!E6&gt;INDEX(INPUTS!$E$42:$E$50,ROWS(INPUTS!$E$42:$E$50)),"LARGER",INDEX(INPUTS!$D$42:$D$50,MATCH(AG_REQ!E6,INPUTS!$E$42:$E$50,1)+1)))))</f>
        <v/>
      </c>
      <c r="F6" s="4" t="str">
        <f aca="false">IF(TRIB!F6="","",IF(OR(ARCH!F6="",LEFT(ARCH!F6,3)="14x"),IF(AG_REQ!F6&lt;=INDEX(INPUTS!$B$42:$B$50,1),INDEX(INPUTS!$A$42:$A$50,1),IF(AG_REQ!F6&gt;INDEX(INPUTS!$B$42:$B$50,ROWS(INPUTS!$B$42:$B$50)),"LARGER",INDEX(INPUTS!$A$42:$A$50,MATCH(AG_REQ!F6,INPUTS!$B$42:$B$50,1)+1))),IF(AG_REQ!F6&lt;=INDEX(INPUTS!$E$42:$E$50,1),INDEX(INPUTS!$D$42:$D$50,1),IF(AG_REQ!F6&gt;INDEX(INPUTS!$E$42:$E$50,ROWS(INPUTS!$E$42:$E$50)),"LARGER",INDEX(INPUTS!$D$42:$D$50,MATCH(AG_REQ!F6,INPUTS!$E$42:$E$50,1)+1)))))</f>
        <v>14x24</v>
      </c>
      <c r="G6" s="4" t="str">
        <f aca="false">IF(TRIB!G6="","",IF(OR(ARCH!G6="",LEFT(ARCH!G6,3)="14x"),IF(AG_REQ!G6&lt;=INDEX(INPUTS!$B$42:$B$50,1),INDEX(INPUTS!$A$42:$A$50,1),IF(AG_REQ!G6&gt;INDEX(INPUTS!$B$42:$B$50,ROWS(INPUTS!$B$42:$B$50)),"LARGER",INDEX(INPUTS!$A$42:$A$50,MATCH(AG_REQ!G6,INPUTS!$B$42:$B$50,1)+1))),IF(AG_REQ!G6&lt;=INDEX(INPUTS!$E$42:$E$50,1),INDEX(INPUTS!$D$42:$D$50,1),IF(AG_REQ!G6&gt;INDEX(INPUTS!$E$42:$E$50,ROWS(INPUTS!$E$42:$E$50)),"LARGER",INDEX(INPUTS!$D$42:$D$50,MATCH(AG_REQ!G6,INPUTS!$E$42:$E$50,1)+1)))))</f>
        <v>14x24</v>
      </c>
      <c r="H6" s="4" t="str">
        <f aca="false">IF(TRIB!H6="","",IF(OR(ARCH!H6="",LEFT(ARCH!H6,3)="14x"),IF(AG_REQ!H6&lt;=INDEX(INPUTS!$B$42:$B$50,1),INDEX(INPUTS!$A$42:$A$50,1),IF(AG_REQ!H6&gt;INDEX(INPUTS!$B$42:$B$50,ROWS(INPUTS!$B$42:$B$50)),"LARGER",INDEX(INPUTS!$A$42:$A$50,MATCH(AG_REQ!H6,INPUTS!$B$42:$B$50,1)+1))),IF(AG_REQ!H6&lt;=INDEX(INPUTS!$E$42:$E$50,1),INDEX(INPUTS!$D$42:$D$50,1),IF(AG_REQ!H6&gt;INDEX(INPUTS!$E$42:$E$50,ROWS(INPUTS!$E$42:$E$50)),"LARGER",INDEX(INPUTS!$D$42:$D$50,MATCH(AG_REQ!H6,INPUTS!$E$42:$E$50,1)+1)))))</f>
        <v>14x24</v>
      </c>
      <c r="I6" s="4" t="str">
        <f aca="false">IF(TRIB!I6="","",IF(OR(ARCH!I6="",LEFT(ARCH!I6,3)="14x"),IF(AG_REQ!I6&lt;=INDEX(INPUTS!$B$42:$B$50,1),INDEX(INPUTS!$A$42:$A$50,1),IF(AG_REQ!I6&gt;INDEX(INPUTS!$B$42:$B$50,ROWS(INPUTS!$B$42:$B$50)),"LARGER",INDEX(INPUTS!$A$42:$A$50,MATCH(AG_REQ!I6,INPUTS!$B$42:$B$50,1)+1))),IF(AG_REQ!I6&lt;=INDEX(INPUTS!$E$42:$E$50,1),INDEX(INPUTS!$D$42:$D$50,1),IF(AG_REQ!I6&gt;INDEX(INPUTS!$E$42:$E$50,ROWS(INPUTS!$E$42:$E$50)),"LARGER",INDEX(INPUTS!$D$42:$D$50,MATCH(AG_REQ!I6,INPUTS!$E$42:$E$50,1)+1)))))</f>
        <v>14x24</v>
      </c>
      <c r="J6" s="4" t="str">
        <f aca="false">IF(TRIB!J6="","",IF(OR(ARCH!J6="",LEFT(ARCH!J6,3)="14x"),IF(AG_REQ!J6&lt;=INDEX(INPUTS!$B$42:$B$50,1),INDEX(INPUTS!$A$42:$A$50,1),IF(AG_REQ!J6&gt;INDEX(INPUTS!$B$42:$B$50,ROWS(INPUTS!$B$42:$B$50)),"LARGER",INDEX(INPUTS!$A$42:$A$50,MATCH(AG_REQ!J6,INPUTS!$B$42:$B$50,1)+1))),IF(AG_REQ!J6&lt;=INDEX(INPUTS!$E$42:$E$50,1),INDEX(INPUTS!$D$42:$D$50,1),IF(AG_REQ!J6&gt;INDEX(INPUTS!$E$42:$E$50,ROWS(INPUTS!$E$42:$E$50)),"LARGER",INDEX(INPUTS!$D$42:$D$50,MATCH(AG_REQ!J6,INPUTS!$E$42:$E$50,1)+1)))))</f>
        <v>14x24</v>
      </c>
      <c r="K6" s="4" t="str">
        <f aca="false">IF(TRIB!K6="","",IF(OR(ARCH!K6="",LEFT(ARCH!K6,3)="14x"),IF(AG_REQ!K6&lt;=INDEX(INPUTS!$B$42:$B$50,1),INDEX(INPUTS!$A$42:$A$50,1),IF(AG_REQ!K6&gt;INDEX(INPUTS!$B$42:$B$50,ROWS(INPUTS!$B$42:$B$50)),"LARGER",INDEX(INPUTS!$A$42:$A$50,MATCH(AG_REQ!K6,INPUTS!$B$42:$B$50,1)+1))),IF(AG_REQ!K6&lt;=INDEX(INPUTS!$E$42:$E$50,1),INDEX(INPUTS!$D$42:$D$50,1),IF(AG_REQ!K6&gt;INDEX(INPUTS!$E$42:$E$50,ROWS(INPUTS!$E$42:$E$50)),"LARGER",INDEX(INPUTS!$D$42:$D$50,MATCH(AG_REQ!K6,INPUTS!$E$42:$E$50,1)+1)))))</f>
        <v>14x24</v>
      </c>
      <c r="L6" s="4" t="str">
        <f aca="false">IF(TRIB!L6="","",IF(OR(ARCH!L6="",LEFT(ARCH!L6,3)="14x"),IF(AG_REQ!L6&lt;=INDEX(INPUTS!$B$42:$B$50,1),INDEX(INPUTS!$A$42:$A$50,1),IF(AG_REQ!L6&gt;INDEX(INPUTS!$B$42:$B$50,ROWS(INPUTS!$B$42:$B$50)),"LARGER",INDEX(INPUTS!$A$42:$A$50,MATCH(AG_REQ!L6,INPUTS!$B$42:$B$50,1)+1))),IF(AG_REQ!L6&lt;=INDEX(INPUTS!$E$42:$E$50,1),INDEX(INPUTS!$D$42:$D$50,1),IF(AG_REQ!L6&gt;INDEX(INPUTS!$E$42:$E$50,ROWS(INPUTS!$E$42:$E$50)),"LARGER",INDEX(INPUTS!$D$42:$D$50,MATCH(AG_REQ!L6,INPUTS!$E$42:$E$50,1)+1)))))</f>
        <v>14x24</v>
      </c>
      <c r="M6" s="4" t="str">
        <f aca="false">IF(TRIB!M6="","",IF(OR(ARCH!M6="",LEFT(ARCH!M6,3)="14x"),IF(AG_REQ!M6&lt;=INDEX(INPUTS!$B$42:$B$50,1),INDEX(INPUTS!$A$42:$A$50,1),IF(AG_REQ!M6&gt;INDEX(INPUTS!$B$42:$B$50,ROWS(INPUTS!$B$42:$B$50)),"LARGER",INDEX(INPUTS!$A$42:$A$50,MATCH(AG_REQ!M6,INPUTS!$B$42:$B$50,1)+1))),IF(AG_REQ!M6&lt;=INDEX(INPUTS!$E$42:$E$50,1),INDEX(INPUTS!$D$42:$D$50,1),IF(AG_REQ!M6&gt;INDEX(INPUTS!$E$42:$E$50,ROWS(INPUTS!$E$42:$E$50)),"LARGER",INDEX(INPUTS!$D$42:$D$50,MATCH(AG_REQ!M6,INPUTS!$E$42:$E$50,1)+1)))))</f>
        <v>14x24</v>
      </c>
      <c r="N6" s="4" t="str">
        <f aca="false">IF(TRIB!N6="","",IF(OR(ARCH!N6="",LEFT(ARCH!N6,3)="14x"),IF(AG_REQ!N6&lt;=INDEX(INPUTS!$B$42:$B$50,1),INDEX(INPUTS!$A$42:$A$50,1),IF(AG_REQ!N6&gt;INDEX(INPUTS!$B$42:$B$50,ROWS(INPUTS!$B$42:$B$50)),"LARGER",INDEX(INPUTS!$A$42:$A$50,MATCH(AG_REQ!N6,INPUTS!$B$42:$B$50,1)+1))),IF(AG_REQ!N6&lt;=INDEX(INPUTS!$E$42:$E$50,1),INDEX(INPUTS!$D$42:$D$50,1),IF(AG_REQ!N6&gt;INDEX(INPUTS!$E$42:$E$50,ROWS(INPUTS!$E$42:$E$50)),"LARGER",INDEX(INPUTS!$D$42:$D$50,MATCH(AG_REQ!N6,INPUTS!$E$42:$E$50,1)+1)))))</f>
        <v>14x24</v>
      </c>
      <c r="O6" s="4" t="str">
        <f aca="false">IF(TRIB!O6="","",IF(OR(ARCH!O6="",LEFT(ARCH!O6,3)="14x"),IF(AG_REQ!O6&lt;=INDEX(INPUTS!$B$42:$B$50,1),INDEX(INPUTS!$A$42:$A$50,1),IF(AG_REQ!O6&gt;INDEX(INPUTS!$B$42:$B$50,ROWS(INPUTS!$B$42:$B$50)),"LARGER",INDEX(INPUTS!$A$42:$A$50,MATCH(AG_REQ!O6,INPUTS!$B$42:$B$50,1)+1))),IF(AG_REQ!O6&lt;=INDEX(INPUTS!$E$42:$E$50,1),INDEX(INPUTS!$D$42:$D$50,1),IF(AG_REQ!O6&gt;INDEX(INPUTS!$E$42:$E$50,ROWS(INPUTS!$E$42:$E$50)),"LARGER",INDEX(INPUTS!$D$42:$D$50,MATCH(AG_REQ!O6,INPUTS!$E$42:$E$50,1)+1)))))</f>
        <v>14x24</v>
      </c>
      <c r="P6" s="4" t="str">
        <f aca="false">IF(TRIB!P6="","",IF(OR(ARCH!P6="",LEFT(ARCH!P6,3)="14x"),IF(AG_REQ!P6&lt;=INDEX(INPUTS!$B$42:$B$50,1),INDEX(INPUTS!$A$42:$A$50,1),IF(AG_REQ!P6&gt;INDEX(INPUTS!$B$42:$B$50,ROWS(INPUTS!$B$42:$B$50)),"LARGER",INDEX(INPUTS!$A$42:$A$50,MATCH(AG_REQ!P6,INPUTS!$B$42:$B$50,1)+1))),IF(AG_REQ!P6&lt;=INDEX(INPUTS!$E$42:$E$50,1),INDEX(INPUTS!$D$42:$D$50,1),IF(AG_REQ!P6&gt;INDEX(INPUTS!$E$42:$E$50,ROWS(INPUTS!$E$42:$E$50)),"LARGER",INDEX(INPUTS!$D$42:$D$50,MATCH(AG_REQ!P6,INPUTS!$E$42:$E$50,1)+1)))))</f>
        <v>14x24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4" t="str">
        <f aca="false">IF(TRIB!E7="","",IF(OR(ARCH!E7="",LEFT(ARCH!E7,3)="14x"),IF(AG_REQ!E7&lt;=INDEX(INPUTS!$B$42:$B$50,1),INDEX(INPUTS!$A$42:$A$50,1),IF(AG_REQ!E7&gt;INDEX(INPUTS!$B$42:$B$50,ROWS(INPUTS!$B$42:$B$50)),"LARGER",INDEX(INPUTS!$A$42:$A$50,MATCH(AG_REQ!E7,INPUTS!$B$42:$B$50,1)+1))),IF(AG_REQ!E7&lt;=INDEX(INPUTS!$E$42:$E$50,1),INDEX(INPUTS!$D$42:$D$50,1),IF(AG_REQ!E7&gt;INDEX(INPUTS!$E$42:$E$50,ROWS(INPUTS!$E$42:$E$50)),"LARGER",INDEX(INPUTS!$D$42:$D$50,MATCH(AG_REQ!E7,INPUTS!$E$42:$E$50,1)+1)))))</f>
        <v/>
      </c>
      <c r="F7" s="4" t="str">
        <f aca="false">IF(TRIB!F7="","",IF(OR(ARCH!F7="",LEFT(ARCH!F7,3)="14x"),IF(AG_REQ!F7&lt;=INDEX(INPUTS!$B$42:$B$50,1),INDEX(INPUTS!$A$42:$A$50,1),IF(AG_REQ!F7&gt;INDEX(INPUTS!$B$42:$B$50,ROWS(INPUTS!$B$42:$B$50)),"LARGER",INDEX(INPUTS!$A$42:$A$50,MATCH(AG_REQ!F7,INPUTS!$B$42:$B$50,1)+1))),IF(AG_REQ!F7&lt;=INDEX(INPUTS!$E$42:$E$50,1),INDEX(INPUTS!$D$42:$D$50,1),IF(AG_REQ!F7&gt;INDEX(INPUTS!$E$42:$E$50,ROWS(INPUTS!$E$42:$E$50)),"LARGER",INDEX(INPUTS!$D$42:$D$50,MATCH(AG_REQ!F7,INPUTS!$E$42:$E$50,1)+1)))))</f>
        <v>14x24</v>
      </c>
      <c r="G7" s="4" t="str">
        <f aca="false">IF(TRIB!G7="","",IF(OR(ARCH!G7="",LEFT(ARCH!G7,3)="14x"),IF(AG_REQ!G7&lt;=INDEX(INPUTS!$B$42:$B$50,1),INDEX(INPUTS!$A$42:$A$50,1),IF(AG_REQ!G7&gt;INDEX(INPUTS!$B$42:$B$50,ROWS(INPUTS!$B$42:$B$50)),"LARGER",INDEX(INPUTS!$A$42:$A$50,MATCH(AG_REQ!G7,INPUTS!$B$42:$B$50,1)+1))),IF(AG_REQ!G7&lt;=INDEX(INPUTS!$E$42:$E$50,1),INDEX(INPUTS!$D$42:$D$50,1),IF(AG_REQ!G7&gt;INDEX(INPUTS!$E$42:$E$50,ROWS(INPUTS!$E$42:$E$50)),"LARGER",INDEX(INPUTS!$D$42:$D$50,MATCH(AG_REQ!G7,INPUTS!$E$42:$E$50,1)+1)))))</f>
        <v>14x24</v>
      </c>
      <c r="H7" s="4" t="str">
        <f aca="false">IF(TRIB!H7="","",IF(OR(ARCH!H7="",LEFT(ARCH!H7,3)="14x"),IF(AG_REQ!H7&lt;=INDEX(INPUTS!$B$42:$B$50,1),INDEX(INPUTS!$A$42:$A$50,1),IF(AG_REQ!H7&gt;INDEX(INPUTS!$B$42:$B$50,ROWS(INPUTS!$B$42:$B$50)),"LARGER",INDEX(INPUTS!$A$42:$A$50,MATCH(AG_REQ!H7,INPUTS!$B$42:$B$50,1)+1))),IF(AG_REQ!H7&lt;=INDEX(INPUTS!$E$42:$E$50,1),INDEX(INPUTS!$D$42:$D$50,1),IF(AG_REQ!H7&gt;INDEX(INPUTS!$E$42:$E$50,ROWS(INPUTS!$E$42:$E$50)),"LARGER",INDEX(INPUTS!$D$42:$D$50,MATCH(AG_REQ!H7,INPUTS!$E$42:$E$50,1)+1)))))</f>
        <v>14x24</v>
      </c>
      <c r="I7" s="4" t="str">
        <f aca="false">IF(TRIB!I7="","",IF(OR(ARCH!I7="",LEFT(ARCH!I7,3)="14x"),IF(AG_REQ!I7&lt;=INDEX(INPUTS!$B$42:$B$50,1),INDEX(INPUTS!$A$42:$A$50,1),IF(AG_REQ!I7&gt;INDEX(INPUTS!$B$42:$B$50,ROWS(INPUTS!$B$42:$B$50)),"LARGER",INDEX(INPUTS!$A$42:$A$50,MATCH(AG_REQ!I7,INPUTS!$B$42:$B$50,1)+1))),IF(AG_REQ!I7&lt;=INDEX(INPUTS!$E$42:$E$50,1),INDEX(INPUTS!$D$42:$D$50,1),IF(AG_REQ!I7&gt;INDEX(INPUTS!$E$42:$E$50,ROWS(INPUTS!$E$42:$E$50)),"LARGER",INDEX(INPUTS!$D$42:$D$50,MATCH(AG_REQ!I7,INPUTS!$E$42:$E$50,1)+1)))))</f>
        <v>14x24</v>
      </c>
      <c r="J7" s="4" t="str">
        <f aca="false">IF(TRIB!J7="","",IF(OR(ARCH!J7="",LEFT(ARCH!J7,3)="14x"),IF(AG_REQ!J7&lt;=INDEX(INPUTS!$B$42:$B$50,1),INDEX(INPUTS!$A$42:$A$50,1),IF(AG_REQ!J7&gt;INDEX(INPUTS!$B$42:$B$50,ROWS(INPUTS!$B$42:$B$50)),"LARGER",INDEX(INPUTS!$A$42:$A$50,MATCH(AG_REQ!J7,INPUTS!$B$42:$B$50,1)+1))),IF(AG_REQ!J7&lt;=INDEX(INPUTS!$E$42:$E$50,1),INDEX(INPUTS!$D$42:$D$50,1),IF(AG_REQ!J7&gt;INDEX(INPUTS!$E$42:$E$50,ROWS(INPUTS!$E$42:$E$50)),"LARGER",INDEX(INPUTS!$D$42:$D$50,MATCH(AG_REQ!J7,INPUTS!$E$42:$E$50,1)+1)))))</f>
        <v>14x24</v>
      </c>
      <c r="K7" s="4" t="str">
        <f aca="false">IF(TRIB!K7="","",IF(OR(ARCH!K7="",LEFT(ARCH!K7,3)="14x"),IF(AG_REQ!K7&lt;=INDEX(INPUTS!$B$42:$B$50,1),INDEX(INPUTS!$A$42:$A$50,1),IF(AG_REQ!K7&gt;INDEX(INPUTS!$B$42:$B$50,ROWS(INPUTS!$B$42:$B$50)),"LARGER",INDEX(INPUTS!$A$42:$A$50,MATCH(AG_REQ!K7,INPUTS!$B$42:$B$50,1)+1))),IF(AG_REQ!K7&lt;=INDEX(INPUTS!$E$42:$E$50,1),INDEX(INPUTS!$D$42:$D$50,1),IF(AG_REQ!K7&gt;INDEX(INPUTS!$E$42:$E$50,ROWS(INPUTS!$E$42:$E$50)),"LARGER",INDEX(INPUTS!$D$42:$D$50,MATCH(AG_REQ!K7,INPUTS!$E$42:$E$50,1)+1)))))</f>
        <v>14x24</v>
      </c>
      <c r="L7" s="4" t="str">
        <f aca="false">IF(TRIB!L7="","",IF(OR(ARCH!L7="",LEFT(ARCH!L7,3)="14x"),IF(AG_REQ!L7&lt;=INDEX(INPUTS!$B$42:$B$50,1),INDEX(INPUTS!$A$42:$A$50,1),IF(AG_REQ!L7&gt;INDEX(INPUTS!$B$42:$B$50,ROWS(INPUTS!$B$42:$B$50)),"LARGER",INDEX(INPUTS!$A$42:$A$50,MATCH(AG_REQ!L7,INPUTS!$B$42:$B$50,1)+1))),IF(AG_REQ!L7&lt;=INDEX(INPUTS!$E$42:$E$50,1),INDEX(INPUTS!$D$42:$D$50,1),IF(AG_REQ!L7&gt;INDEX(INPUTS!$E$42:$E$50,ROWS(INPUTS!$E$42:$E$50)),"LARGER",INDEX(INPUTS!$D$42:$D$50,MATCH(AG_REQ!L7,INPUTS!$E$42:$E$50,1)+1)))))</f>
        <v>14x24</v>
      </c>
      <c r="M7" s="4" t="str">
        <f aca="false">IF(TRIB!M7="","",IF(OR(ARCH!M7="",LEFT(ARCH!M7,3)="14x"),IF(AG_REQ!M7&lt;=INDEX(INPUTS!$B$42:$B$50,1),INDEX(INPUTS!$A$42:$A$50,1),IF(AG_REQ!M7&gt;INDEX(INPUTS!$B$42:$B$50,ROWS(INPUTS!$B$42:$B$50)),"LARGER",INDEX(INPUTS!$A$42:$A$50,MATCH(AG_REQ!M7,INPUTS!$B$42:$B$50,1)+1))),IF(AG_REQ!M7&lt;=INDEX(INPUTS!$E$42:$E$50,1),INDEX(INPUTS!$D$42:$D$50,1),IF(AG_REQ!M7&gt;INDEX(INPUTS!$E$42:$E$50,ROWS(INPUTS!$E$42:$E$50)),"LARGER",INDEX(INPUTS!$D$42:$D$50,MATCH(AG_REQ!M7,INPUTS!$E$42:$E$50,1)+1)))))</f>
        <v>14x24</v>
      </c>
      <c r="N7" s="4" t="str">
        <f aca="false">IF(TRIB!N7="","",IF(OR(ARCH!N7="",LEFT(ARCH!N7,3)="14x"),IF(AG_REQ!N7&lt;=INDEX(INPUTS!$B$42:$B$50,1),INDEX(INPUTS!$A$42:$A$50,1),IF(AG_REQ!N7&gt;INDEX(INPUTS!$B$42:$B$50,ROWS(INPUTS!$B$42:$B$50)),"LARGER",INDEX(INPUTS!$A$42:$A$50,MATCH(AG_REQ!N7,INPUTS!$B$42:$B$50,1)+1))),IF(AG_REQ!N7&lt;=INDEX(INPUTS!$E$42:$E$50,1),INDEX(INPUTS!$D$42:$D$50,1),IF(AG_REQ!N7&gt;INDEX(INPUTS!$E$42:$E$50,ROWS(INPUTS!$E$42:$E$50)),"LARGER",INDEX(INPUTS!$D$42:$D$50,MATCH(AG_REQ!N7,INPUTS!$E$42:$E$50,1)+1)))))</f>
        <v>14x24</v>
      </c>
      <c r="O7" s="4" t="str">
        <f aca="false">IF(TRIB!O7="","",IF(OR(ARCH!O7="",LEFT(ARCH!O7,3)="14x"),IF(AG_REQ!O7&lt;=INDEX(INPUTS!$B$42:$B$50,1),INDEX(INPUTS!$A$42:$A$50,1),IF(AG_REQ!O7&gt;INDEX(INPUTS!$B$42:$B$50,ROWS(INPUTS!$B$42:$B$50)),"LARGER",INDEX(INPUTS!$A$42:$A$50,MATCH(AG_REQ!O7,INPUTS!$B$42:$B$50,1)+1))),IF(AG_REQ!O7&lt;=INDEX(INPUTS!$E$42:$E$50,1),INDEX(INPUTS!$D$42:$D$50,1),IF(AG_REQ!O7&gt;INDEX(INPUTS!$E$42:$E$50,ROWS(INPUTS!$E$42:$E$50)),"LARGER",INDEX(INPUTS!$D$42:$D$50,MATCH(AG_REQ!O7,INPUTS!$E$42:$E$50,1)+1)))))</f>
        <v>14x24</v>
      </c>
      <c r="P7" s="4" t="str">
        <f aca="false">IF(TRIB!P7="","",IF(OR(ARCH!P7="",LEFT(ARCH!P7,3)="14x"),IF(AG_REQ!P7&lt;=INDEX(INPUTS!$B$42:$B$50,1),INDEX(INPUTS!$A$42:$A$50,1),IF(AG_REQ!P7&gt;INDEX(INPUTS!$B$42:$B$50,ROWS(INPUTS!$B$42:$B$50)),"LARGER",INDEX(INPUTS!$A$42:$A$50,MATCH(AG_REQ!P7,INPUTS!$B$42:$B$50,1)+1))),IF(AG_REQ!P7&lt;=INDEX(INPUTS!$E$42:$E$50,1),INDEX(INPUTS!$D$42:$D$50,1),IF(AG_REQ!P7&gt;INDEX(INPUTS!$E$42:$E$50,ROWS(INPUTS!$E$42:$E$50)),"LARGER",INDEX(INPUTS!$D$42:$D$50,MATCH(AG_REQ!P7,INPUTS!$E$42:$E$50,1)+1)))))</f>
        <v>14x24</v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4" t="str">
        <f aca="false">IF(TRIB!E8="","",IF(OR(ARCH!E8="",LEFT(ARCH!E8,3)="14x"),IF(AG_REQ!E8&lt;=INDEX(INPUTS!$B$42:$B$50,1),INDEX(INPUTS!$A$42:$A$50,1),IF(AG_REQ!E8&gt;INDEX(INPUTS!$B$42:$B$50,ROWS(INPUTS!$B$42:$B$50)),"LARGER",INDEX(INPUTS!$A$42:$A$50,MATCH(AG_REQ!E8,INPUTS!$B$42:$B$50,1)+1))),IF(AG_REQ!E8&lt;=INDEX(INPUTS!$E$42:$E$50,1),INDEX(INPUTS!$D$42:$D$50,1),IF(AG_REQ!E8&gt;INDEX(INPUTS!$E$42:$E$50,ROWS(INPUTS!$E$42:$E$50)),"LARGER",INDEX(INPUTS!$D$42:$D$50,MATCH(AG_REQ!E8,INPUTS!$E$42:$E$50,1)+1)))))</f>
        <v/>
      </c>
      <c r="F8" s="4" t="str">
        <f aca="false">IF(TRIB!F8="","",IF(OR(ARCH!F8="",LEFT(ARCH!F8,3)="14x"),IF(AG_REQ!F8&lt;=INDEX(INPUTS!$B$42:$B$50,1),INDEX(INPUTS!$A$42:$A$50,1),IF(AG_REQ!F8&gt;INDEX(INPUTS!$B$42:$B$50,ROWS(INPUTS!$B$42:$B$50)),"LARGER",INDEX(INPUTS!$A$42:$A$50,MATCH(AG_REQ!F8,INPUTS!$B$42:$B$50,1)+1))),IF(AG_REQ!F8&lt;=INDEX(INPUTS!$E$42:$E$50,1),INDEX(INPUTS!$D$42:$D$50,1),IF(AG_REQ!F8&gt;INDEX(INPUTS!$E$42:$E$50,ROWS(INPUTS!$E$42:$E$50)),"LARGER",INDEX(INPUTS!$D$42:$D$50,MATCH(AG_REQ!F8,INPUTS!$E$42:$E$50,1)+1)))))</f>
        <v>14x24</v>
      </c>
      <c r="G8" s="4" t="str">
        <f aca="false">IF(TRIB!G8="","",IF(OR(ARCH!G8="",LEFT(ARCH!G8,3)="14x"),IF(AG_REQ!G8&lt;=INDEX(INPUTS!$B$42:$B$50,1),INDEX(INPUTS!$A$42:$A$50,1),IF(AG_REQ!G8&gt;INDEX(INPUTS!$B$42:$B$50,ROWS(INPUTS!$B$42:$B$50)),"LARGER",INDEX(INPUTS!$A$42:$A$50,MATCH(AG_REQ!G8,INPUTS!$B$42:$B$50,1)+1))),IF(AG_REQ!G8&lt;=INDEX(INPUTS!$E$42:$E$50,1),INDEX(INPUTS!$D$42:$D$50,1),IF(AG_REQ!G8&gt;INDEX(INPUTS!$E$42:$E$50,ROWS(INPUTS!$E$42:$E$50)),"LARGER",INDEX(INPUTS!$D$42:$D$50,MATCH(AG_REQ!G8,INPUTS!$E$42:$E$50,1)+1)))))</f>
        <v>14x24</v>
      </c>
      <c r="H8" s="4" t="str">
        <f aca="false">IF(TRIB!H8="","",IF(OR(ARCH!H8="",LEFT(ARCH!H8,3)="14x"),IF(AG_REQ!H8&lt;=INDEX(INPUTS!$B$42:$B$50,1),INDEX(INPUTS!$A$42:$A$50,1),IF(AG_REQ!H8&gt;INDEX(INPUTS!$B$42:$B$50,ROWS(INPUTS!$B$42:$B$50)),"LARGER",INDEX(INPUTS!$A$42:$A$50,MATCH(AG_REQ!H8,INPUTS!$B$42:$B$50,1)+1))),IF(AG_REQ!H8&lt;=INDEX(INPUTS!$E$42:$E$50,1),INDEX(INPUTS!$D$42:$D$50,1),IF(AG_REQ!H8&gt;INDEX(INPUTS!$E$42:$E$50,ROWS(INPUTS!$E$42:$E$50)),"LARGER",INDEX(INPUTS!$D$42:$D$50,MATCH(AG_REQ!H8,INPUTS!$E$42:$E$50,1)+1)))))</f>
        <v>14x24</v>
      </c>
      <c r="I8" s="4" t="str">
        <f aca="false">IF(TRIB!I8="","",IF(OR(ARCH!I8="",LEFT(ARCH!I8,3)="14x"),IF(AG_REQ!I8&lt;=INDEX(INPUTS!$B$42:$B$50,1),INDEX(INPUTS!$A$42:$A$50,1),IF(AG_REQ!I8&gt;INDEX(INPUTS!$B$42:$B$50,ROWS(INPUTS!$B$42:$B$50)),"LARGER",INDEX(INPUTS!$A$42:$A$50,MATCH(AG_REQ!I8,INPUTS!$B$42:$B$50,1)+1))),IF(AG_REQ!I8&lt;=INDEX(INPUTS!$E$42:$E$50,1),INDEX(INPUTS!$D$42:$D$50,1),IF(AG_REQ!I8&gt;INDEX(INPUTS!$E$42:$E$50,ROWS(INPUTS!$E$42:$E$50)),"LARGER",INDEX(INPUTS!$D$42:$D$50,MATCH(AG_REQ!I8,INPUTS!$E$42:$E$50,1)+1)))))</f>
        <v>14x24</v>
      </c>
      <c r="J8" s="4" t="str">
        <f aca="false">IF(TRIB!J8="","",IF(OR(ARCH!J8="",LEFT(ARCH!J8,3)="14x"),IF(AG_REQ!J8&lt;=INDEX(INPUTS!$B$42:$B$50,1),INDEX(INPUTS!$A$42:$A$50,1),IF(AG_REQ!J8&gt;INDEX(INPUTS!$B$42:$B$50,ROWS(INPUTS!$B$42:$B$50)),"LARGER",INDEX(INPUTS!$A$42:$A$50,MATCH(AG_REQ!J8,INPUTS!$B$42:$B$50,1)+1))),IF(AG_REQ!J8&lt;=INDEX(INPUTS!$E$42:$E$50,1),INDEX(INPUTS!$D$42:$D$50,1),IF(AG_REQ!J8&gt;INDEX(INPUTS!$E$42:$E$50,ROWS(INPUTS!$E$42:$E$50)),"LARGER",INDEX(INPUTS!$D$42:$D$50,MATCH(AG_REQ!J8,INPUTS!$E$42:$E$50,1)+1)))))</f>
        <v>14x24</v>
      </c>
      <c r="K8" s="4" t="str">
        <f aca="false">IF(TRIB!K8="","",IF(OR(ARCH!K8="",LEFT(ARCH!K8,3)="14x"),IF(AG_REQ!K8&lt;=INDEX(INPUTS!$B$42:$B$50,1),INDEX(INPUTS!$A$42:$A$50,1),IF(AG_REQ!K8&gt;INDEX(INPUTS!$B$42:$B$50,ROWS(INPUTS!$B$42:$B$50)),"LARGER",INDEX(INPUTS!$A$42:$A$50,MATCH(AG_REQ!K8,INPUTS!$B$42:$B$50,1)+1))),IF(AG_REQ!K8&lt;=INDEX(INPUTS!$E$42:$E$50,1),INDEX(INPUTS!$D$42:$D$50,1),IF(AG_REQ!K8&gt;INDEX(INPUTS!$E$42:$E$50,ROWS(INPUTS!$E$42:$E$50)),"LARGER",INDEX(INPUTS!$D$42:$D$50,MATCH(AG_REQ!K8,INPUTS!$E$42:$E$50,1)+1)))))</f>
        <v>14x24</v>
      </c>
      <c r="L8" s="4" t="str">
        <f aca="false">IF(TRIB!L8="","",IF(OR(ARCH!L8="",LEFT(ARCH!L8,3)="14x"),IF(AG_REQ!L8&lt;=INDEX(INPUTS!$B$42:$B$50,1),INDEX(INPUTS!$A$42:$A$50,1),IF(AG_REQ!L8&gt;INDEX(INPUTS!$B$42:$B$50,ROWS(INPUTS!$B$42:$B$50)),"LARGER",INDEX(INPUTS!$A$42:$A$50,MATCH(AG_REQ!L8,INPUTS!$B$42:$B$50,1)+1))),IF(AG_REQ!L8&lt;=INDEX(INPUTS!$E$42:$E$50,1),INDEX(INPUTS!$D$42:$D$50,1),IF(AG_REQ!L8&gt;INDEX(INPUTS!$E$42:$E$50,ROWS(INPUTS!$E$42:$E$50)),"LARGER",INDEX(INPUTS!$D$42:$D$50,MATCH(AG_REQ!L8,INPUTS!$E$42:$E$50,1)+1)))))</f>
        <v>14x24</v>
      </c>
      <c r="M8" s="4" t="str">
        <f aca="false">IF(TRIB!M8="","",IF(OR(ARCH!M8="",LEFT(ARCH!M8,3)="14x"),IF(AG_REQ!M8&lt;=INDEX(INPUTS!$B$42:$B$50,1),INDEX(INPUTS!$A$42:$A$50,1),IF(AG_REQ!M8&gt;INDEX(INPUTS!$B$42:$B$50,ROWS(INPUTS!$B$42:$B$50)),"LARGER",INDEX(INPUTS!$A$42:$A$50,MATCH(AG_REQ!M8,INPUTS!$B$42:$B$50,1)+1))),IF(AG_REQ!M8&lt;=INDEX(INPUTS!$E$42:$E$50,1),INDEX(INPUTS!$D$42:$D$50,1),IF(AG_REQ!M8&gt;INDEX(INPUTS!$E$42:$E$50,ROWS(INPUTS!$E$42:$E$50)),"LARGER",INDEX(INPUTS!$D$42:$D$50,MATCH(AG_REQ!M8,INPUTS!$E$42:$E$50,1)+1)))))</f>
        <v>14x24</v>
      </c>
      <c r="N8" s="4" t="str">
        <f aca="false">IF(TRIB!N8="","",IF(OR(ARCH!N8="",LEFT(ARCH!N8,3)="14x"),IF(AG_REQ!N8&lt;=INDEX(INPUTS!$B$42:$B$50,1),INDEX(INPUTS!$A$42:$A$50,1),IF(AG_REQ!N8&gt;INDEX(INPUTS!$B$42:$B$50,ROWS(INPUTS!$B$42:$B$50)),"LARGER",INDEX(INPUTS!$A$42:$A$50,MATCH(AG_REQ!N8,INPUTS!$B$42:$B$50,1)+1))),IF(AG_REQ!N8&lt;=INDEX(INPUTS!$E$42:$E$50,1),INDEX(INPUTS!$D$42:$D$50,1),IF(AG_REQ!N8&gt;INDEX(INPUTS!$E$42:$E$50,ROWS(INPUTS!$E$42:$E$50)),"LARGER",INDEX(INPUTS!$D$42:$D$50,MATCH(AG_REQ!N8,INPUTS!$E$42:$E$50,1)+1)))))</f>
        <v>14x24</v>
      </c>
      <c r="O8" s="4" t="str">
        <f aca="false">IF(TRIB!O8="","",IF(OR(ARCH!O8="",LEFT(ARCH!O8,3)="14x"),IF(AG_REQ!O8&lt;=INDEX(INPUTS!$B$42:$B$50,1),INDEX(INPUTS!$A$42:$A$50,1),IF(AG_REQ!O8&gt;INDEX(INPUTS!$B$42:$B$50,ROWS(INPUTS!$B$42:$B$50)),"LARGER",INDEX(INPUTS!$A$42:$A$50,MATCH(AG_REQ!O8,INPUTS!$B$42:$B$50,1)+1))),IF(AG_REQ!O8&lt;=INDEX(INPUTS!$E$42:$E$50,1),INDEX(INPUTS!$D$42:$D$50,1),IF(AG_REQ!O8&gt;INDEX(INPUTS!$E$42:$E$50,ROWS(INPUTS!$E$42:$E$50)),"LARGER",INDEX(INPUTS!$D$42:$D$50,MATCH(AG_REQ!O8,INPUTS!$E$42:$E$50,1)+1)))))</f>
        <v>14x24</v>
      </c>
      <c r="P8" s="4" t="str">
        <f aca="false">IF(TRIB!P8="","",IF(OR(ARCH!P8="",LEFT(ARCH!P8,3)="14x"),IF(AG_REQ!P8&lt;=INDEX(INPUTS!$B$42:$B$50,1),INDEX(INPUTS!$A$42:$A$50,1),IF(AG_REQ!P8&gt;INDEX(INPUTS!$B$42:$B$50,ROWS(INPUTS!$B$42:$B$50)),"LARGER",INDEX(INPUTS!$A$42:$A$50,MATCH(AG_REQ!P8,INPUTS!$B$42:$B$50,1)+1))),IF(AG_REQ!P8&lt;=INDEX(INPUTS!$E$42:$E$50,1),INDEX(INPUTS!$D$42:$D$50,1),IF(AG_REQ!P8&gt;INDEX(INPUTS!$E$42:$E$50,ROWS(INPUTS!$E$42:$E$50)),"LARGER",INDEX(INPUTS!$D$42:$D$50,MATCH(AG_REQ!P8,INPUTS!$E$42:$E$50,1)+1)))))</f>
        <v>14x24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4" t="str">
        <f aca="false">IF(TRIB!E9="","",IF(OR(ARCH!E9="",LEFT(ARCH!E9,3)="14x"),IF(AG_REQ!E9&lt;=INDEX(INPUTS!$B$42:$B$50,1),INDEX(INPUTS!$A$42:$A$50,1),IF(AG_REQ!E9&gt;INDEX(INPUTS!$B$42:$B$50,ROWS(INPUTS!$B$42:$B$50)),"LARGER",INDEX(INPUTS!$A$42:$A$50,MATCH(AG_REQ!E9,INPUTS!$B$42:$B$50,1)+1))),IF(AG_REQ!E9&lt;=INDEX(INPUTS!$E$42:$E$50,1),INDEX(INPUTS!$D$42:$D$50,1),IF(AG_REQ!E9&gt;INDEX(INPUTS!$E$42:$E$50,ROWS(INPUTS!$E$42:$E$50)),"LARGER",INDEX(INPUTS!$D$42:$D$50,MATCH(AG_REQ!E9,INPUTS!$E$42:$E$50,1)+1)))))</f>
        <v/>
      </c>
      <c r="F9" s="4" t="str">
        <f aca="false">IF(TRIB!F9="","",IF(OR(ARCH!F9="",LEFT(ARCH!F9,3)="14x"),IF(AG_REQ!F9&lt;=INDEX(INPUTS!$B$42:$B$50,1),INDEX(INPUTS!$A$42:$A$50,1),IF(AG_REQ!F9&gt;INDEX(INPUTS!$B$42:$B$50,ROWS(INPUTS!$B$42:$B$50)),"LARGER",INDEX(INPUTS!$A$42:$A$50,MATCH(AG_REQ!F9,INPUTS!$B$42:$B$50,1)+1))),IF(AG_REQ!F9&lt;=INDEX(INPUTS!$E$42:$E$50,1),INDEX(INPUTS!$D$42:$D$50,1),IF(AG_REQ!F9&gt;INDEX(INPUTS!$E$42:$E$50,ROWS(INPUTS!$E$42:$E$50)),"LARGER",INDEX(INPUTS!$D$42:$D$50,MATCH(AG_REQ!F9,INPUTS!$E$42:$E$50,1)+1)))))</f>
        <v>14x24</v>
      </c>
      <c r="G9" s="4" t="str">
        <f aca="false">IF(TRIB!G9="","",IF(OR(ARCH!G9="",LEFT(ARCH!G9,3)="14x"),IF(AG_REQ!G9&lt;=INDEX(INPUTS!$B$42:$B$50,1),INDEX(INPUTS!$A$42:$A$50,1),IF(AG_REQ!G9&gt;INDEX(INPUTS!$B$42:$B$50,ROWS(INPUTS!$B$42:$B$50)),"LARGER",INDEX(INPUTS!$A$42:$A$50,MATCH(AG_REQ!G9,INPUTS!$B$42:$B$50,1)+1))),IF(AG_REQ!G9&lt;=INDEX(INPUTS!$E$42:$E$50,1),INDEX(INPUTS!$D$42:$D$50,1),IF(AG_REQ!G9&gt;INDEX(INPUTS!$E$42:$E$50,ROWS(INPUTS!$E$42:$E$50)),"LARGER",INDEX(INPUTS!$D$42:$D$50,MATCH(AG_REQ!G9,INPUTS!$E$42:$E$50,1)+1)))))</f>
        <v>14x24</v>
      </c>
      <c r="H9" s="4" t="str">
        <f aca="false">IF(TRIB!H9="","",IF(OR(ARCH!H9="",LEFT(ARCH!H9,3)="14x"),IF(AG_REQ!H9&lt;=INDEX(INPUTS!$B$42:$B$50,1),INDEX(INPUTS!$A$42:$A$50,1),IF(AG_REQ!H9&gt;INDEX(INPUTS!$B$42:$B$50,ROWS(INPUTS!$B$42:$B$50)),"LARGER",INDEX(INPUTS!$A$42:$A$50,MATCH(AG_REQ!H9,INPUTS!$B$42:$B$50,1)+1))),IF(AG_REQ!H9&lt;=INDEX(INPUTS!$E$42:$E$50,1),INDEX(INPUTS!$D$42:$D$50,1),IF(AG_REQ!H9&gt;INDEX(INPUTS!$E$42:$E$50,ROWS(INPUTS!$E$42:$E$50)),"LARGER",INDEX(INPUTS!$D$42:$D$50,MATCH(AG_REQ!H9,INPUTS!$E$42:$E$50,1)+1)))))</f>
        <v>14x24</v>
      </c>
      <c r="I9" s="4" t="str">
        <f aca="false">IF(TRIB!I9="","",IF(OR(ARCH!I9="",LEFT(ARCH!I9,3)="14x"),IF(AG_REQ!I9&lt;=INDEX(INPUTS!$B$42:$B$50,1),INDEX(INPUTS!$A$42:$A$50,1),IF(AG_REQ!I9&gt;INDEX(INPUTS!$B$42:$B$50,ROWS(INPUTS!$B$42:$B$50)),"LARGER",INDEX(INPUTS!$A$42:$A$50,MATCH(AG_REQ!I9,INPUTS!$B$42:$B$50,1)+1))),IF(AG_REQ!I9&lt;=INDEX(INPUTS!$E$42:$E$50,1),INDEX(INPUTS!$D$42:$D$50,1),IF(AG_REQ!I9&gt;INDEX(INPUTS!$E$42:$E$50,ROWS(INPUTS!$E$42:$E$50)),"LARGER",INDEX(INPUTS!$D$42:$D$50,MATCH(AG_REQ!I9,INPUTS!$E$42:$E$50,1)+1)))))</f>
        <v>14x24</v>
      </c>
      <c r="J9" s="4" t="str">
        <f aca="false">IF(TRIB!J9="","",IF(OR(ARCH!J9="",LEFT(ARCH!J9,3)="14x"),IF(AG_REQ!J9&lt;=INDEX(INPUTS!$B$42:$B$50,1),INDEX(INPUTS!$A$42:$A$50,1),IF(AG_REQ!J9&gt;INDEX(INPUTS!$B$42:$B$50,ROWS(INPUTS!$B$42:$B$50)),"LARGER",INDEX(INPUTS!$A$42:$A$50,MATCH(AG_REQ!J9,INPUTS!$B$42:$B$50,1)+1))),IF(AG_REQ!J9&lt;=INDEX(INPUTS!$E$42:$E$50,1),INDEX(INPUTS!$D$42:$D$50,1),IF(AG_REQ!J9&gt;INDEX(INPUTS!$E$42:$E$50,ROWS(INPUTS!$E$42:$E$50)),"LARGER",INDEX(INPUTS!$D$42:$D$50,MATCH(AG_REQ!J9,INPUTS!$E$42:$E$50,1)+1)))))</f>
        <v>14x24</v>
      </c>
      <c r="K9" s="4" t="str">
        <f aca="false">IF(TRIB!K9="","",IF(OR(ARCH!K9="",LEFT(ARCH!K9,3)="14x"),IF(AG_REQ!K9&lt;=INDEX(INPUTS!$B$42:$B$50,1),INDEX(INPUTS!$A$42:$A$50,1),IF(AG_REQ!K9&gt;INDEX(INPUTS!$B$42:$B$50,ROWS(INPUTS!$B$42:$B$50)),"LARGER",INDEX(INPUTS!$A$42:$A$50,MATCH(AG_REQ!K9,INPUTS!$B$42:$B$50,1)+1))),IF(AG_REQ!K9&lt;=INDEX(INPUTS!$E$42:$E$50,1),INDEX(INPUTS!$D$42:$D$50,1),IF(AG_REQ!K9&gt;INDEX(INPUTS!$E$42:$E$50,ROWS(INPUTS!$E$42:$E$50)),"LARGER",INDEX(INPUTS!$D$42:$D$50,MATCH(AG_REQ!K9,INPUTS!$E$42:$E$50,1)+1)))))</f>
        <v>14x24</v>
      </c>
      <c r="L9" s="4" t="str">
        <f aca="false">IF(TRIB!L9="","",IF(OR(ARCH!L9="",LEFT(ARCH!L9,3)="14x"),IF(AG_REQ!L9&lt;=INDEX(INPUTS!$B$42:$B$50,1),INDEX(INPUTS!$A$42:$A$50,1),IF(AG_REQ!L9&gt;INDEX(INPUTS!$B$42:$B$50,ROWS(INPUTS!$B$42:$B$50)),"LARGER",INDEX(INPUTS!$A$42:$A$50,MATCH(AG_REQ!L9,INPUTS!$B$42:$B$50,1)+1))),IF(AG_REQ!L9&lt;=INDEX(INPUTS!$E$42:$E$50,1),INDEX(INPUTS!$D$42:$D$50,1),IF(AG_REQ!L9&gt;INDEX(INPUTS!$E$42:$E$50,ROWS(INPUTS!$E$42:$E$50)),"LARGER",INDEX(INPUTS!$D$42:$D$50,MATCH(AG_REQ!L9,INPUTS!$E$42:$E$50,1)+1)))))</f>
        <v>14x24</v>
      </c>
      <c r="M9" s="4" t="str">
        <f aca="false">IF(TRIB!M9="","",IF(OR(ARCH!M9="",LEFT(ARCH!M9,3)="14x"),IF(AG_REQ!M9&lt;=INDEX(INPUTS!$B$42:$B$50,1),INDEX(INPUTS!$A$42:$A$50,1),IF(AG_REQ!M9&gt;INDEX(INPUTS!$B$42:$B$50,ROWS(INPUTS!$B$42:$B$50)),"LARGER",INDEX(INPUTS!$A$42:$A$50,MATCH(AG_REQ!M9,INPUTS!$B$42:$B$50,1)+1))),IF(AG_REQ!M9&lt;=INDEX(INPUTS!$E$42:$E$50,1),INDEX(INPUTS!$D$42:$D$50,1),IF(AG_REQ!M9&gt;INDEX(INPUTS!$E$42:$E$50,ROWS(INPUTS!$E$42:$E$50)),"LARGER",INDEX(INPUTS!$D$42:$D$50,MATCH(AG_REQ!M9,INPUTS!$E$42:$E$50,1)+1)))))</f>
        <v>14x24</v>
      </c>
      <c r="N9" s="4" t="str">
        <f aca="false">IF(TRIB!N9="","",IF(OR(ARCH!N9="",LEFT(ARCH!N9,3)="14x"),IF(AG_REQ!N9&lt;=INDEX(INPUTS!$B$42:$B$50,1),INDEX(INPUTS!$A$42:$A$50,1),IF(AG_REQ!N9&gt;INDEX(INPUTS!$B$42:$B$50,ROWS(INPUTS!$B$42:$B$50)),"LARGER",INDEX(INPUTS!$A$42:$A$50,MATCH(AG_REQ!N9,INPUTS!$B$42:$B$50,1)+1))),IF(AG_REQ!N9&lt;=INDEX(INPUTS!$E$42:$E$50,1),INDEX(INPUTS!$D$42:$D$50,1),IF(AG_REQ!N9&gt;INDEX(INPUTS!$E$42:$E$50,ROWS(INPUTS!$E$42:$E$50)),"LARGER",INDEX(INPUTS!$D$42:$D$50,MATCH(AG_REQ!N9,INPUTS!$E$42:$E$50,1)+1)))))</f>
        <v>14x24</v>
      </c>
      <c r="O9" s="4" t="str">
        <f aca="false">IF(TRIB!O9="","",IF(OR(ARCH!O9="",LEFT(ARCH!O9,3)="14x"),IF(AG_REQ!O9&lt;=INDEX(INPUTS!$B$42:$B$50,1),INDEX(INPUTS!$A$42:$A$50,1),IF(AG_REQ!O9&gt;INDEX(INPUTS!$B$42:$B$50,ROWS(INPUTS!$B$42:$B$50)),"LARGER",INDEX(INPUTS!$A$42:$A$50,MATCH(AG_REQ!O9,INPUTS!$B$42:$B$50,1)+1))),IF(AG_REQ!O9&lt;=INDEX(INPUTS!$E$42:$E$50,1),INDEX(INPUTS!$D$42:$D$50,1),IF(AG_REQ!O9&gt;INDEX(INPUTS!$E$42:$E$50,ROWS(INPUTS!$E$42:$E$50)),"LARGER",INDEX(INPUTS!$D$42:$D$50,MATCH(AG_REQ!O9,INPUTS!$E$42:$E$50,1)+1)))))</f>
        <v>14x24</v>
      </c>
      <c r="P9" s="4" t="str">
        <f aca="false">IF(TRIB!P9="","",IF(OR(ARCH!P9="",LEFT(ARCH!P9,3)="14x"),IF(AG_REQ!P9&lt;=INDEX(INPUTS!$B$42:$B$50,1),INDEX(INPUTS!$A$42:$A$50,1),IF(AG_REQ!P9&gt;INDEX(INPUTS!$B$42:$B$50,ROWS(INPUTS!$B$42:$B$50)),"LARGER",INDEX(INPUTS!$A$42:$A$50,MATCH(AG_REQ!P9,INPUTS!$B$42:$B$50,1)+1))),IF(AG_REQ!P9&lt;=INDEX(INPUTS!$E$42:$E$50,1),INDEX(INPUTS!$D$42:$D$50,1),IF(AG_REQ!P9&gt;INDEX(INPUTS!$E$42:$E$50,ROWS(INPUTS!$E$42:$E$50)),"LARGER",INDEX(INPUTS!$D$42:$D$50,MATCH(AG_REQ!P9,INPUTS!$E$42:$E$50,1)+1)))))</f>
        <v>14x24</v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4" t="str">
        <f aca="false">IF(TRIB!E10="","",IF(OR(ARCH!E10="",LEFT(ARCH!E10,3)="14x"),IF(AG_REQ!E10&lt;=INDEX(INPUTS!$B$42:$B$50,1),INDEX(INPUTS!$A$42:$A$50,1),IF(AG_REQ!E10&gt;INDEX(INPUTS!$B$42:$B$50,ROWS(INPUTS!$B$42:$B$50)),"LARGER",INDEX(INPUTS!$A$42:$A$50,MATCH(AG_REQ!E10,INPUTS!$B$42:$B$50,1)+1))),IF(AG_REQ!E10&lt;=INDEX(INPUTS!$E$42:$E$50,1),INDEX(INPUTS!$D$42:$D$50,1),IF(AG_REQ!E10&gt;INDEX(INPUTS!$E$42:$E$50,ROWS(INPUTS!$E$42:$E$50)),"LARGER",INDEX(INPUTS!$D$42:$D$50,MATCH(AG_REQ!E10,INPUTS!$E$42:$E$50,1)+1)))))</f>
        <v/>
      </c>
      <c r="F10" s="4" t="str">
        <f aca="false">IF(TRIB!F10="","",IF(OR(ARCH!F10="",LEFT(ARCH!F10,3)="14x"),IF(AG_REQ!F10&lt;=INDEX(INPUTS!$B$42:$B$50,1),INDEX(INPUTS!$A$42:$A$50,1),IF(AG_REQ!F10&gt;INDEX(INPUTS!$B$42:$B$50,ROWS(INPUTS!$B$42:$B$50)),"LARGER",INDEX(INPUTS!$A$42:$A$50,MATCH(AG_REQ!F10,INPUTS!$B$42:$B$50,1)+1))),IF(AG_REQ!F10&lt;=INDEX(INPUTS!$E$42:$E$50,1),INDEX(INPUTS!$D$42:$D$50,1),IF(AG_REQ!F10&gt;INDEX(INPUTS!$E$42:$E$50,ROWS(INPUTS!$E$42:$E$50)),"LARGER",INDEX(INPUTS!$D$42:$D$50,MATCH(AG_REQ!F10,INPUTS!$E$42:$E$50,1)+1)))))</f>
        <v>14x24</v>
      </c>
      <c r="G10" s="4" t="str">
        <f aca="false">IF(TRIB!G10="","",IF(OR(ARCH!G10="",LEFT(ARCH!G10,3)="14x"),IF(AG_REQ!G10&lt;=INDEX(INPUTS!$B$42:$B$50,1),INDEX(INPUTS!$A$42:$A$50,1),IF(AG_REQ!G10&gt;INDEX(INPUTS!$B$42:$B$50,ROWS(INPUTS!$B$42:$B$50)),"LARGER",INDEX(INPUTS!$A$42:$A$50,MATCH(AG_REQ!G10,INPUTS!$B$42:$B$50,1)+1))),IF(AG_REQ!G10&lt;=INDEX(INPUTS!$E$42:$E$50,1),INDEX(INPUTS!$D$42:$D$50,1),IF(AG_REQ!G10&gt;INDEX(INPUTS!$E$42:$E$50,ROWS(INPUTS!$E$42:$E$50)),"LARGER",INDEX(INPUTS!$D$42:$D$50,MATCH(AG_REQ!G10,INPUTS!$E$42:$E$50,1)+1)))))</f>
        <v>14x24</v>
      </c>
      <c r="H10" s="4" t="str">
        <f aca="false">IF(TRIB!H10="","",IF(OR(ARCH!H10="",LEFT(ARCH!H10,3)="14x"),IF(AG_REQ!H10&lt;=INDEX(INPUTS!$B$42:$B$50,1),INDEX(INPUTS!$A$42:$A$50,1),IF(AG_REQ!H10&gt;INDEX(INPUTS!$B$42:$B$50,ROWS(INPUTS!$B$42:$B$50)),"LARGER",INDEX(INPUTS!$A$42:$A$50,MATCH(AG_REQ!H10,INPUTS!$B$42:$B$50,1)+1))),IF(AG_REQ!H10&lt;=INDEX(INPUTS!$E$42:$E$50,1),INDEX(INPUTS!$D$42:$D$50,1),IF(AG_REQ!H10&gt;INDEX(INPUTS!$E$42:$E$50,ROWS(INPUTS!$E$42:$E$50)),"LARGER",INDEX(INPUTS!$D$42:$D$50,MATCH(AG_REQ!H10,INPUTS!$E$42:$E$50,1)+1)))))</f>
        <v>14x24</v>
      </c>
      <c r="I10" s="4" t="str">
        <f aca="false">IF(TRIB!I10="","",IF(OR(ARCH!I10="",LEFT(ARCH!I10,3)="14x"),IF(AG_REQ!I10&lt;=INDEX(INPUTS!$B$42:$B$50,1),INDEX(INPUTS!$A$42:$A$50,1),IF(AG_REQ!I10&gt;INDEX(INPUTS!$B$42:$B$50,ROWS(INPUTS!$B$42:$B$50)),"LARGER",INDEX(INPUTS!$A$42:$A$50,MATCH(AG_REQ!I10,INPUTS!$B$42:$B$50,1)+1))),IF(AG_REQ!I10&lt;=INDEX(INPUTS!$E$42:$E$50,1),INDEX(INPUTS!$D$42:$D$50,1),IF(AG_REQ!I10&gt;INDEX(INPUTS!$E$42:$E$50,ROWS(INPUTS!$E$42:$E$50)),"LARGER",INDEX(INPUTS!$D$42:$D$50,MATCH(AG_REQ!I10,INPUTS!$E$42:$E$50,1)+1)))))</f>
        <v>14x24</v>
      </c>
      <c r="J10" s="4" t="str">
        <f aca="false">IF(TRIB!J10="","",IF(OR(ARCH!J10="",LEFT(ARCH!J10,3)="14x"),IF(AG_REQ!J10&lt;=INDEX(INPUTS!$B$42:$B$50,1),INDEX(INPUTS!$A$42:$A$50,1),IF(AG_REQ!J10&gt;INDEX(INPUTS!$B$42:$B$50,ROWS(INPUTS!$B$42:$B$50)),"LARGER",INDEX(INPUTS!$A$42:$A$50,MATCH(AG_REQ!J10,INPUTS!$B$42:$B$50,1)+1))),IF(AG_REQ!J10&lt;=INDEX(INPUTS!$E$42:$E$50,1),INDEX(INPUTS!$D$42:$D$50,1),IF(AG_REQ!J10&gt;INDEX(INPUTS!$E$42:$E$50,ROWS(INPUTS!$E$42:$E$50)),"LARGER",INDEX(INPUTS!$D$42:$D$50,MATCH(AG_REQ!J10,INPUTS!$E$42:$E$50,1)+1)))))</f>
        <v>14x24</v>
      </c>
      <c r="K10" s="4" t="str">
        <f aca="false">IF(TRIB!K10="","",IF(OR(ARCH!K10="",LEFT(ARCH!K10,3)="14x"),IF(AG_REQ!K10&lt;=INDEX(INPUTS!$B$42:$B$50,1),INDEX(INPUTS!$A$42:$A$50,1),IF(AG_REQ!K10&gt;INDEX(INPUTS!$B$42:$B$50,ROWS(INPUTS!$B$42:$B$50)),"LARGER",INDEX(INPUTS!$A$42:$A$50,MATCH(AG_REQ!K10,INPUTS!$B$42:$B$50,1)+1))),IF(AG_REQ!K10&lt;=INDEX(INPUTS!$E$42:$E$50,1),INDEX(INPUTS!$D$42:$D$50,1),IF(AG_REQ!K10&gt;INDEX(INPUTS!$E$42:$E$50,ROWS(INPUTS!$E$42:$E$50)),"LARGER",INDEX(INPUTS!$D$42:$D$50,MATCH(AG_REQ!K10,INPUTS!$E$42:$E$50,1)+1)))))</f>
        <v>14x24</v>
      </c>
      <c r="L10" s="4" t="str">
        <f aca="false">IF(TRIB!L10="","",IF(OR(ARCH!L10="",LEFT(ARCH!L10,3)="14x"),IF(AG_REQ!L10&lt;=INDEX(INPUTS!$B$42:$B$50,1),INDEX(INPUTS!$A$42:$A$50,1),IF(AG_REQ!L10&gt;INDEX(INPUTS!$B$42:$B$50,ROWS(INPUTS!$B$42:$B$50)),"LARGER",INDEX(INPUTS!$A$42:$A$50,MATCH(AG_REQ!L10,INPUTS!$B$42:$B$50,1)+1))),IF(AG_REQ!L10&lt;=INDEX(INPUTS!$E$42:$E$50,1),INDEX(INPUTS!$D$42:$D$50,1),IF(AG_REQ!L10&gt;INDEX(INPUTS!$E$42:$E$50,ROWS(INPUTS!$E$42:$E$50)),"LARGER",INDEX(INPUTS!$D$42:$D$50,MATCH(AG_REQ!L10,INPUTS!$E$42:$E$50,1)+1)))))</f>
        <v>14x24</v>
      </c>
      <c r="M10" s="4" t="str">
        <f aca="false">IF(TRIB!M10="","",IF(OR(ARCH!M10="",LEFT(ARCH!M10,3)="14x"),IF(AG_REQ!M10&lt;=INDEX(INPUTS!$B$42:$B$50,1),INDEX(INPUTS!$A$42:$A$50,1),IF(AG_REQ!M10&gt;INDEX(INPUTS!$B$42:$B$50,ROWS(INPUTS!$B$42:$B$50)),"LARGER",INDEX(INPUTS!$A$42:$A$50,MATCH(AG_REQ!M10,INPUTS!$B$42:$B$50,1)+1))),IF(AG_REQ!M10&lt;=INDEX(INPUTS!$E$42:$E$50,1),INDEX(INPUTS!$D$42:$D$50,1),IF(AG_REQ!M10&gt;INDEX(INPUTS!$E$42:$E$50,ROWS(INPUTS!$E$42:$E$50)),"LARGER",INDEX(INPUTS!$D$42:$D$50,MATCH(AG_REQ!M10,INPUTS!$E$42:$E$50,1)+1)))))</f>
        <v>14x24</v>
      </c>
      <c r="N10" s="4" t="str">
        <f aca="false">IF(TRIB!N10="","",IF(OR(ARCH!N10="",LEFT(ARCH!N10,3)="14x"),IF(AG_REQ!N10&lt;=INDEX(INPUTS!$B$42:$B$50,1),INDEX(INPUTS!$A$42:$A$50,1),IF(AG_REQ!N10&gt;INDEX(INPUTS!$B$42:$B$50,ROWS(INPUTS!$B$42:$B$50)),"LARGER",INDEX(INPUTS!$A$42:$A$50,MATCH(AG_REQ!N10,INPUTS!$B$42:$B$50,1)+1))),IF(AG_REQ!N10&lt;=INDEX(INPUTS!$E$42:$E$50,1),INDEX(INPUTS!$D$42:$D$50,1),IF(AG_REQ!N10&gt;INDEX(INPUTS!$E$42:$E$50,ROWS(INPUTS!$E$42:$E$50)),"LARGER",INDEX(INPUTS!$D$42:$D$50,MATCH(AG_REQ!N10,INPUTS!$E$42:$E$50,1)+1)))))</f>
        <v>14x24</v>
      </c>
      <c r="O10" s="4" t="str">
        <f aca="false">IF(TRIB!O10="","",IF(OR(ARCH!O10="",LEFT(ARCH!O10,3)="14x"),IF(AG_REQ!O10&lt;=INDEX(INPUTS!$B$42:$B$50,1),INDEX(INPUTS!$A$42:$A$50,1),IF(AG_REQ!O10&gt;INDEX(INPUTS!$B$42:$B$50,ROWS(INPUTS!$B$42:$B$50)),"LARGER",INDEX(INPUTS!$A$42:$A$50,MATCH(AG_REQ!O10,INPUTS!$B$42:$B$50,1)+1))),IF(AG_REQ!O10&lt;=INDEX(INPUTS!$E$42:$E$50,1),INDEX(INPUTS!$D$42:$D$50,1),IF(AG_REQ!O10&gt;INDEX(INPUTS!$E$42:$E$50,ROWS(INPUTS!$E$42:$E$50)),"LARGER",INDEX(INPUTS!$D$42:$D$50,MATCH(AG_REQ!O10,INPUTS!$E$42:$E$50,1)+1)))))</f>
        <v>14x24</v>
      </c>
      <c r="P10" s="4" t="str">
        <f aca="false">IF(TRIB!P10="","",IF(OR(ARCH!P10="",LEFT(ARCH!P10,3)="14x"),IF(AG_REQ!P10&lt;=INDEX(INPUTS!$B$42:$B$50,1),INDEX(INPUTS!$A$42:$A$50,1),IF(AG_REQ!P10&gt;INDEX(INPUTS!$B$42:$B$50,ROWS(INPUTS!$B$42:$B$50)),"LARGER",INDEX(INPUTS!$A$42:$A$50,MATCH(AG_REQ!P10,INPUTS!$B$42:$B$50,1)+1))),IF(AG_REQ!P10&lt;=INDEX(INPUTS!$E$42:$E$50,1),INDEX(INPUTS!$D$42:$D$50,1),IF(AG_REQ!P10&gt;INDEX(INPUTS!$E$42:$E$50,ROWS(INPUTS!$E$42:$E$50)),"LARGER",INDEX(INPUTS!$D$42:$D$50,MATCH(AG_REQ!P10,INPUTS!$E$42:$E$50,1)+1)))))</f>
        <v>14x24</v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4" t="str">
        <f aca="false">IF(TRIB!E11="","",IF(OR(ARCH!E11="",LEFT(ARCH!E11,3)="14x"),IF(AG_REQ!E11&lt;=INDEX(INPUTS!$B$42:$B$50,1),INDEX(INPUTS!$A$42:$A$50,1),IF(AG_REQ!E11&gt;INDEX(INPUTS!$B$42:$B$50,ROWS(INPUTS!$B$42:$B$50)),"LARGER",INDEX(INPUTS!$A$42:$A$50,MATCH(AG_REQ!E11,INPUTS!$B$42:$B$50,1)+1))),IF(AG_REQ!E11&lt;=INDEX(INPUTS!$E$42:$E$50,1),INDEX(INPUTS!$D$42:$D$50,1),IF(AG_REQ!E11&gt;INDEX(INPUTS!$E$42:$E$50,ROWS(INPUTS!$E$42:$E$50)),"LARGER",INDEX(INPUTS!$D$42:$D$50,MATCH(AG_REQ!E11,INPUTS!$E$42:$E$50,1)+1)))))</f>
        <v/>
      </c>
      <c r="F11" s="4" t="str">
        <f aca="false">IF(TRIB!F11="","",IF(OR(ARCH!F11="",LEFT(ARCH!F11,3)="14x"),IF(AG_REQ!F11&lt;=INDEX(INPUTS!$B$42:$B$50,1),INDEX(INPUTS!$A$42:$A$50,1),IF(AG_REQ!F11&gt;INDEX(INPUTS!$B$42:$B$50,ROWS(INPUTS!$B$42:$B$50)),"LARGER",INDEX(INPUTS!$A$42:$A$50,MATCH(AG_REQ!F11,INPUTS!$B$42:$B$50,1)+1))),IF(AG_REQ!F11&lt;=INDEX(INPUTS!$E$42:$E$50,1),INDEX(INPUTS!$D$42:$D$50,1),IF(AG_REQ!F11&gt;INDEX(INPUTS!$E$42:$E$50,ROWS(INPUTS!$E$42:$E$50)),"LARGER",INDEX(INPUTS!$D$42:$D$50,MATCH(AG_REQ!F11,INPUTS!$E$42:$E$50,1)+1)))))</f>
        <v>14x24</v>
      </c>
      <c r="G11" s="4" t="str">
        <f aca="false">IF(TRIB!G11="","",IF(OR(ARCH!G11="",LEFT(ARCH!G11,3)="14x"),IF(AG_REQ!G11&lt;=INDEX(INPUTS!$B$42:$B$50,1),INDEX(INPUTS!$A$42:$A$50,1),IF(AG_REQ!G11&gt;INDEX(INPUTS!$B$42:$B$50,ROWS(INPUTS!$B$42:$B$50)),"LARGER",INDEX(INPUTS!$A$42:$A$50,MATCH(AG_REQ!G11,INPUTS!$B$42:$B$50,1)+1))),IF(AG_REQ!G11&lt;=INDEX(INPUTS!$E$42:$E$50,1),INDEX(INPUTS!$D$42:$D$50,1),IF(AG_REQ!G11&gt;INDEX(INPUTS!$E$42:$E$50,ROWS(INPUTS!$E$42:$E$50)),"LARGER",INDEX(INPUTS!$D$42:$D$50,MATCH(AG_REQ!G11,INPUTS!$E$42:$E$50,1)+1)))))</f>
        <v>14x24</v>
      </c>
      <c r="H11" s="4" t="str">
        <f aca="false">IF(TRIB!H11="","",IF(OR(ARCH!H11="",LEFT(ARCH!H11,3)="14x"),IF(AG_REQ!H11&lt;=INDEX(INPUTS!$B$42:$B$50,1),INDEX(INPUTS!$A$42:$A$50,1),IF(AG_REQ!H11&gt;INDEX(INPUTS!$B$42:$B$50,ROWS(INPUTS!$B$42:$B$50)),"LARGER",INDEX(INPUTS!$A$42:$A$50,MATCH(AG_REQ!H11,INPUTS!$B$42:$B$50,1)+1))),IF(AG_REQ!H11&lt;=INDEX(INPUTS!$E$42:$E$50,1),INDEX(INPUTS!$D$42:$D$50,1),IF(AG_REQ!H11&gt;INDEX(INPUTS!$E$42:$E$50,ROWS(INPUTS!$E$42:$E$50)),"LARGER",INDEX(INPUTS!$D$42:$D$50,MATCH(AG_REQ!H11,INPUTS!$E$42:$E$50,1)+1)))))</f>
        <v>14x24</v>
      </c>
      <c r="I11" s="4" t="str">
        <f aca="false">IF(TRIB!I11="","",IF(OR(ARCH!I11="",LEFT(ARCH!I11,3)="14x"),IF(AG_REQ!I11&lt;=INDEX(INPUTS!$B$42:$B$50,1),INDEX(INPUTS!$A$42:$A$50,1),IF(AG_REQ!I11&gt;INDEX(INPUTS!$B$42:$B$50,ROWS(INPUTS!$B$42:$B$50)),"LARGER",INDEX(INPUTS!$A$42:$A$50,MATCH(AG_REQ!I11,INPUTS!$B$42:$B$50,1)+1))),IF(AG_REQ!I11&lt;=INDEX(INPUTS!$E$42:$E$50,1),INDEX(INPUTS!$D$42:$D$50,1),IF(AG_REQ!I11&gt;INDEX(INPUTS!$E$42:$E$50,ROWS(INPUTS!$E$42:$E$50)),"LARGER",INDEX(INPUTS!$D$42:$D$50,MATCH(AG_REQ!I11,INPUTS!$E$42:$E$50,1)+1)))))</f>
        <v>14x24</v>
      </c>
      <c r="J11" s="4" t="str">
        <f aca="false">IF(TRIB!J11="","",IF(OR(ARCH!J11="",LEFT(ARCH!J11,3)="14x"),IF(AG_REQ!J11&lt;=INDEX(INPUTS!$B$42:$B$50,1),INDEX(INPUTS!$A$42:$A$50,1),IF(AG_REQ!J11&gt;INDEX(INPUTS!$B$42:$B$50,ROWS(INPUTS!$B$42:$B$50)),"LARGER",INDEX(INPUTS!$A$42:$A$50,MATCH(AG_REQ!J11,INPUTS!$B$42:$B$50,1)+1))),IF(AG_REQ!J11&lt;=INDEX(INPUTS!$E$42:$E$50,1),INDEX(INPUTS!$D$42:$D$50,1),IF(AG_REQ!J11&gt;INDEX(INPUTS!$E$42:$E$50,ROWS(INPUTS!$E$42:$E$50)),"LARGER",INDEX(INPUTS!$D$42:$D$50,MATCH(AG_REQ!J11,INPUTS!$E$42:$E$50,1)+1)))))</f>
        <v>14x24</v>
      </c>
      <c r="K11" s="4" t="str">
        <f aca="false">IF(TRIB!K11="","",IF(OR(ARCH!K11="",LEFT(ARCH!K11,3)="14x"),IF(AG_REQ!K11&lt;=INDEX(INPUTS!$B$42:$B$50,1),INDEX(INPUTS!$A$42:$A$50,1),IF(AG_REQ!K11&gt;INDEX(INPUTS!$B$42:$B$50,ROWS(INPUTS!$B$42:$B$50)),"LARGER",INDEX(INPUTS!$A$42:$A$50,MATCH(AG_REQ!K11,INPUTS!$B$42:$B$50,1)+1))),IF(AG_REQ!K11&lt;=INDEX(INPUTS!$E$42:$E$50,1),INDEX(INPUTS!$D$42:$D$50,1),IF(AG_REQ!K11&gt;INDEX(INPUTS!$E$42:$E$50,ROWS(INPUTS!$E$42:$E$50)),"LARGER",INDEX(INPUTS!$D$42:$D$50,MATCH(AG_REQ!K11,INPUTS!$E$42:$E$50,1)+1)))))</f>
        <v>14x24</v>
      </c>
      <c r="L11" s="4" t="str">
        <f aca="false">IF(TRIB!L11="","",IF(OR(ARCH!L11="",LEFT(ARCH!L11,3)="14x"),IF(AG_REQ!L11&lt;=INDEX(INPUTS!$B$42:$B$50,1),INDEX(INPUTS!$A$42:$A$50,1),IF(AG_REQ!L11&gt;INDEX(INPUTS!$B$42:$B$50,ROWS(INPUTS!$B$42:$B$50)),"LARGER",INDEX(INPUTS!$A$42:$A$50,MATCH(AG_REQ!L11,INPUTS!$B$42:$B$50,1)+1))),IF(AG_REQ!L11&lt;=INDEX(INPUTS!$E$42:$E$50,1),INDEX(INPUTS!$D$42:$D$50,1),IF(AG_REQ!L11&gt;INDEX(INPUTS!$E$42:$E$50,ROWS(INPUTS!$E$42:$E$50)),"LARGER",INDEX(INPUTS!$D$42:$D$50,MATCH(AG_REQ!L11,INPUTS!$E$42:$E$50,1)+1)))))</f>
        <v>14x24</v>
      </c>
      <c r="M11" s="4" t="str">
        <f aca="false">IF(TRIB!M11="","",IF(OR(ARCH!M11="",LEFT(ARCH!M11,3)="14x"),IF(AG_REQ!M11&lt;=INDEX(INPUTS!$B$42:$B$50,1),INDEX(INPUTS!$A$42:$A$50,1),IF(AG_REQ!M11&gt;INDEX(INPUTS!$B$42:$B$50,ROWS(INPUTS!$B$42:$B$50)),"LARGER",INDEX(INPUTS!$A$42:$A$50,MATCH(AG_REQ!M11,INPUTS!$B$42:$B$50,1)+1))),IF(AG_REQ!M11&lt;=INDEX(INPUTS!$E$42:$E$50,1),INDEX(INPUTS!$D$42:$D$50,1),IF(AG_REQ!M11&gt;INDEX(INPUTS!$E$42:$E$50,ROWS(INPUTS!$E$42:$E$50)),"LARGER",INDEX(INPUTS!$D$42:$D$50,MATCH(AG_REQ!M11,INPUTS!$E$42:$E$50,1)+1)))))</f>
        <v>14x24</v>
      </c>
      <c r="N11" s="4" t="str">
        <f aca="false">IF(TRIB!N11="","",IF(OR(ARCH!N11="",LEFT(ARCH!N11,3)="14x"),IF(AG_REQ!N11&lt;=INDEX(INPUTS!$B$42:$B$50,1),INDEX(INPUTS!$A$42:$A$50,1),IF(AG_REQ!N11&gt;INDEX(INPUTS!$B$42:$B$50,ROWS(INPUTS!$B$42:$B$50)),"LARGER",INDEX(INPUTS!$A$42:$A$50,MATCH(AG_REQ!N11,INPUTS!$B$42:$B$50,1)+1))),IF(AG_REQ!N11&lt;=INDEX(INPUTS!$E$42:$E$50,1),INDEX(INPUTS!$D$42:$D$50,1),IF(AG_REQ!N11&gt;INDEX(INPUTS!$E$42:$E$50,ROWS(INPUTS!$E$42:$E$50)),"LARGER",INDEX(INPUTS!$D$42:$D$50,MATCH(AG_REQ!N11,INPUTS!$E$42:$E$50,1)+1)))))</f>
        <v>14x24</v>
      </c>
      <c r="O11" s="4" t="str">
        <f aca="false">IF(TRIB!O11="","",IF(OR(ARCH!O11="",LEFT(ARCH!O11,3)="14x"),IF(AG_REQ!O11&lt;=INDEX(INPUTS!$B$42:$B$50,1),INDEX(INPUTS!$A$42:$A$50,1),IF(AG_REQ!O11&gt;INDEX(INPUTS!$B$42:$B$50,ROWS(INPUTS!$B$42:$B$50)),"LARGER",INDEX(INPUTS!$A$42:$A$50,MATCH(AG_REQ!O11,INPUTS!$B$42:$B$50,1)+1))),IF(AG_REQ!O11&lt;=INDEX(INPUTS!$E$42:$E$50,1),INDEX(INPUTS!$D$42:$D$50,1),IF(AG_REQ!O11&gt;INDEX(INPUTS!$E$42:$E$50,ROWS(INPUTS!$E$42:$E$50)),"LARGER",INDEX(INPUTS!$D$42:$D$50,MATCH(AG_REQ!O11,INPUTS!$E$42:$E$50,1)+1)))))</f>
        <v>14x24</v>
      </c>
      <c r="P11" s="4" t="str">
        <f aca="false">IF(TRIB!P11="","",IF(OR(ARCH!P11="",LEFT(ARCH!P11,3)="14x"),IF(AG_REQ!P11&lt;=INDEX(INPUTS!$B$42:$B$50,1),INDEX(INPUTS!$A$42:$A$50,1),IF(AG_REQ!P11&gt;INDEX(INPUTS!$B$42:$B$50,ROWS(INPUTS!$B$42:$B$50)),"LARGER",INDEX(INPUTS!$A$42:$A$50,MATCH(AG_REQ!P11,INPUTS!$B$42:$B$50,1)+1))),IF(AG_REQ!P11&lt;=INDEX(INPUTS!$E$42:$E$50,1),INDEX(INPUTS!$D$42:$D$50,1),IF(AG_REQ!P11&gt;INDEX(INPUTS!$E$42:$E$50,ROWS(INPUTS!$E$42:$E$50)),"LARGER",INDEX(INPUTS!$D$42:$D$50,MATCH(AG_REQ!P11,INPUTS!$E$42:$E$50,1)+1)))))</f>
        <v>14x24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4" t="str">
        <f aca="false">IF(TRIB!E12="","",IF(OR(ARCH!E12="",LEFT(ARCH!E12,3)="14x"),IF(AG_REQ!E12&lt;=INDEX(INPUTS!$B$42:$B$50,1),INDEX(INPUTS!$A$42:$A$50,1),IF(AG_REQ!E12&gt;INDEX(INPUTS!$B$42:$B$50,ROWS(INPUTS!$B$42:$B$50)),"LARGER",INDEX(INPUTS!$A$42:$A$50,MATCH(AG_REQ!E12,INPUTS!$B$42:$B$50,1)+1))),IF(AG_REQ!E12&lt;=INDEX(INPUTS!$E$42:$E$50,1),INDEX(INPUTS!$D$42:$D$50,1),IF(AG_REQ!E12&gt;INDEX(INPUTS!$E$42:$E$50,ROWS(INPUTS!$E$42:$E$50)),"LARGER",INDEX(INPUTS!$D$42:$D$50,MATCH(AG_REQ!E12,INPUTS!$E$42:$E$50,1)+1)))))</f>
        <v/>
      </c>
      <c r="F12" s="4" t="str">
        <f aca="false">IF(TRIB!F12="","",IF(OR(ARCH!F12="",LEFT(ARCH!F12,3)="14x"),IF(AG_REQ!F12&lt;=INDEX(INPUTS!$B$42:$B$50,1),INDEX(INPUTS!$A$42:$A$50,1),IF(AG_REQ!F12&gt;INDEX(INPUTS!$B$42:$B$50,ROWS(INPUTS!$B$42:$B$50)),"LARGER",INDEX(INPUTS!$A$42:$A$50,MATCH(AG_REQ!F12,INPUTS!$B$42:$B$50,1)+1))),IF(AG_REQ!F12&lt;=INDEX(INPUTS!$E$42:$E$50,1),INDEX(INPUTS!$D$42:$D$50,1),IF(AG_REQ!F12&gt;INDEX(INPUTS!$E$42:$E$50,ROWS(INPUTS!$E$42:$E$50)),"LARGER",INDEX(INPUTS!$D$42:$D$50,MATCH(AG_REQ!F12,INPUTS!$E$42:$E$50,1)+1)))))</f>
        <v>14x24</v>
      </c>
      <c r="G12" s="4" t="str">
        <f aca="false">IF(TRIB!G12="","",IF(OR(ARCH!G12="",LEFT(ARCH!G12,3)="14x"),IF(AG_REQ!G12&lt;=INDEX(INPUTS!$B$42:$B$50,1),INDEX(INPUTS!$A$42:$A$50,1),IF(AG_REQ!G12&gt;INDEX(INPUTS!$B$42:$B$50,ROWS(INPUTS!$B$42:$B$50)),"LARGER",INDEX(INPUTS!$A$42:$A$50,MATCH(AG_REQ!G12,INPUTS!$B$42:$B$50,1)+1))),IF(AG_REQ!G12&lt;=INDEX(INPUTS!$E$42:$E$50,1),INDEX(INPUTS!$D$42:$D$50,1),IF(AG_REQ!G12&gt;INDEX(INPUTS!$E$42:$E$50,ROWS(INPUTS!$E$42:$E$50)),"LARGER",INDEX(INPUTS!$D$42:$D$50,MATCH(AG_REQ!G12,INPUTS!$E$42:$E$50,1)+1)))))</f>
        <v>14x24</v>
      </c>
      <c r="H12" s="4" t="str">
        <f aca="false">IF(TRIB!H12="","",IF(OR(ARCH!H12="",LEFT(ARCH!H12,3)="14x"),IF(AG_REQ!H12&lt;=INDEX(INPUTS!$B$42:$B$50,1),INDEX(INPUTS!$A$42:$A$50,1),IF(AG_REQ!H12&gt;INDEX(INPUTS!$B$42:$B$50,ROWS(INPUTS!$B$42:$B$50)),"LARGER",INDEX(INPUTS!$A$42:$A$50,MATCH(AG_REQ!H12,INPUTS!$B$42:$B$50,1)+1))),IF(AG_REQ!H12&lt;=INDEX(INPUTS!$E$42:$E$50,1),INDEX(INPUTS!$D$42:$D$50,1),IF(AG_REQ!H12&gt;INDEX(INPUTS!$E$42:$E$50,ROWS(INPUTS!$E$42:$E$50)),"LARGER",INDEX(INPUTS!$D$42:$D$50,MATCH(AG_REQ!H12,INPUTS!$E$42:$E$50,1)+1)))))</f>
        <v>14x24</v>
      </c>
      <c r="I12" s="4" t="str">
        <f aca="false">IF(TRIB!I12="","",IF(OR(ARCH!I12="",LEFT(ARCH!I12,3)="14x"),IF(AG_REQ!I12&lt;=INDEX(INPUTS!$B$42:$B$50,1),INDEX(INPUTS!$A$42:$A$50,1),IF(AG_REQ!I12&gt;INDEX(INPUTS!$B$42:$B$50,ROWS(INPUTS!$B$42:$B$50)),"LARGER",INDEX(INPUTS!$A$42:$A$50,MATCH(AG_REQ!I12,INPUTS!$B$42:$B$50,1)+1))),IF(AG_REQ!I12&lt;=INDEX(INPUTS!$E$42:$E$50,1),INDEX(INPUTS!$D$42:$D$50,1),IF(AG_REQ!I12&gt;INDEX(INPUTS!$E$42:$E$50,ROWS(INPUTS!$E$42:$E$50)),"LARGER",INDEX(INPUTS!$D$42:$D$50,MATCH(AG_REQ!I12,INPUTS!$E$42:$E$50,1)+1)))))</f>
        <v>14x24</v>
      </c>
      <c r="J12" s="4" t="str">
        <f aca="false">IF(TRIB!J12="","",IF(OR(ARCH!J12="",LEFT(ARCH!J12,3)="14x"),IF(AG_REQ!J12&lt;=INDEX(INPUTS!$B$42:$B$50,1),INDEX(INPUTS!$A$42:$A$50,1),IF(AG_REQ!J12&gt;INDEX(INPUTS!$B$42:$B$50,ROWS(INPUTS!$B$42:$B$50)),"LARGER",INDEX(INPUTS!$A$42:$A$50,MATCH(AG_REQ!J12,INPUTS!$B$42:$B$50,1)+1))),IF(AG_REQ!J12&lt;=INDEX(INPUTS!$E$42:$E$50,1),INDEX(INPUTS!$D$42:$D$50,1),IF(AG_REQ!J12&gt;INDEX(INPUTS!$E$42:$E$50,ROWS(INPUTS!$E$42:$E$50)),"LARGER",INDEX(INPUTS!$D$42:$D$50,MATCH(AG_REQ!J12,INPUTS!$E$42:$E$50,1)+1)))))</f>
        <v>14x24</v>
      </c>
      <c r="K12" s="4" t="str">
        <f aca="false">IF(TRIB!K12="","",IF(OR(ARCH!K12="",LEFT(ARCH!K12,3)="14x"),IF(AG_REQ!K12&lt;=INDEX(INPUTS!$B$42:$B$50,1),INDEX(INPUTS!$A$42:$A$50,1),IF(AG_REQ!K12&gt;INDEX(INPUTS!$B$42:$B$50,ROWS(INPUTS!$B$42:$B$50)),"LARGER",INDEX(INPUTS!$A$42:$A$50,MATCH(AG_REQ!K12,INPUTS!$B$42:$B$50,1)+1))),IF(AG_REQ!K12&lt;=INDEX(INPUTS!$E$42:$E$50,1),INDEX(INPUTS!$D$42:$D$50,1),IF(AG_REQ!K12&gt;INDEX(INPUTS!$E$42:$E$50,ROWS(INPUTS!$E$42:$E$50)),"LARGER",INDEX(INPUTS!$D$42:$D$50,MATCH(AG_REQ!K12,INPUTS!$E$42:$E$50,1)+1)))))</f>
        <v>14x24</v>
      </c>
      <c r="L12" s="4" t="str">
        <f aca="false">IF(TRIB!L12="","",IF(OR(ARCH!L12="",LEFT(ARCH!L12,3)="14x"),IF(AG_REQ!L12&lt;=INDEX(INPUTS!$B$42:$B$50,1),INDEX(INPUTS!$A$42:$A$50,1),IF(AG_REQ!L12&gt;INDEX(INPUTS!$B$42:$B$50,ROWS(INPUTS!$B$42:$B$50)),"LARGER",INDEX(INPUTS!$A$42:$A$50,MATCH(AG_REQ!L12,INPUTS!$B$42:$B$50,1)+1))),IF(AG_REQ!L12&lt;=INDEX(INPUTS!$E$42:$E$50,1),INDEX(INPUTS!$D$42:$D$50,1),IF(AG_REQ!L12&gt;INDEX(INPUTS!$E$42:$E$50,ROWS(INPUTS!$E$42:$E$50)),"LARGER",INDEX(INPUTS!$D$42:$D$50,MATCH(AG_REQ!L12,INPUTS!$E$42:$E$50,1)+1)))))</f>
        <v>14x24</v>
      </c>
      <c r="M12" s="4" t="str">
        <f aca="false">IF(TRIB!M12="","",IF(OR(ARCH!M12="",LEFT(ARCH!M12,3)="14x"),IF(AG_REQ!M12&lt;=INDEX(INPUTS!$B$42:$B$50,1),INDEX(INPUTS!$A$42:$A$50,1),IF(AG_REQ!M12&gt;INDEX(INPUTS!$B$42:$B$50,ROWS(INPUTS!$B$42:$B$50)),"LARGER",INDEX(INPUTS!$A$42:$A$50,MATCH(AG_REQ!M12,INPUTS!$B$42:$B$50,1)+1))),IF(AG_REQ!M12&lt;=INDEX(INPUTS!$E$42:$E$50,1),INDEX(INPUTS!$D$42:$D$50,1),IF(AG_REQ!M12&gt;INDEX(INPUTS!$E$42:$E$50,ROWS(INPUTS!$E$42:$E$50)),"LARGER",INDEX(INPUTS!$D$42:$D$50,MATCH(AG_REQ!M12,INPUTS!$E$42:$E$50,1)+1)))))</f>
        <v>14x24</v>
      </c>
      <c r="N12" s="4" t="str">
        <f aca="false">IF(TRIB!N12="","",IF(OR(ARCH!N12="",LEFT(ARCH!N12,3)="14x"),IF(AG_REQ!N12&lt;=INDEX(INPUTS!$B$42:$B$50,1),INDEX(INPUTS!$A$42:$A$50,1),IF(AG_REQ!N12&gt;INDEX(INPUTS!$B$42:$B$50,ROWS(INPUTS!$B$42:$B$50)),"LARGER",INDEX(INPUTS!$A$42:$A$50,MATCH(AG_REQ!N12,INPUTS!$B$42:$B$50,1)+1))),IF(AG_REQ!N12&lt;=INDEX(INPUTS!$E$42:$E$50,1),INDEX(INPUTS!$D$42:$D$50,1),IF(AG_REQ!N12&gt;INDEX(INPUTS!$E$42:$E$50,ROWS(INPUTS!$E$42:$E$50)),"LARGER",INDEX(INPUTS!$D$42:$D$50,MATCH(AG_REQ!N12,INPUTS!$E$42:$E$50,1)+1)))))</f>
        <v>14x24</v>
      </c>
      <c r="O12" s="4" t="str">
        <f aca="false">IF(TRIB!O12="","",IF(OR(ARCH!O12="",LEFT(ARCH!O12,3)="14x"),IF(AG_REQ!O12&lt;=INDEX(INPUTS!$B$42:$B$50,1),INDEX(INPUTS!$A$42:$A$50,1),IF(AG_REQ!O12&gt;INDEX(INPUTS!$B$42:$B$50,ROWS(INPUTS!$B$42:$B$50)),"LARGER",INDEX(INPUTS!$A$42:$A$50,MATCH(AG_REQ!O12,INPUTS!$B$42:$B$50,1)+1))),IF(AG_REQ!O12&lt;=INDEX(INPUTS!$E$42:$E$50,1),INDEX(INPUTS!$D$42:$D$50,1),IF(AG_REQ!O12&gt;INDEX(INPUTS!$E$42:$E$50,ROWS(INPUTS!$E$42:$E$50)),"LARGER",INDEX(INPUTS!$D$42:$D$50,MATCH(AG_REQ!O12,INPUTS!$E$42:$E$50,1)+1)))))</f>
        <v>14x24</v>
      </c>
      <c r="P12" s="4" t="str">
        <f aca="false">IF(TRIB!P12="","",IF(OR(ARCH!P12="",LEFT(ARCH!P12,3)="14x"),IF(AG_REQ!P12&lt;=INDEX(INPUTS!$B$42:$B$50,1),INDEX(INPUTS!$A$42:$A$50,1),IF(AG_REQ!P12&gt;INDEX(INPUTS!$B$42:$B$50,ROWS(INPUTS!$B$42:$B$50)),"LARGER",INDEX(INPUTS!$A$42:$A$50,MATCH(AG_REQ!P12,INPUTS!$B$42:$B$50,1)+1))),IF(AG_REQ!P12&lt;=INDEX(INPUTS!$E$42:$E$50,1),INDEX(INPUTS!$D$42:$D$50,1),IF(AG_REQ!P12&gt;INDEX(INPUTS!$E$42:$E$50,ROWS(INPUTS!$E$42:$E$50)),"LARGER",INDEX(INPUTS!$D$42:$D$50,MATCH(AG_REQ!P12,INPUTS!$E$42:$E$50,1)+1)))))</f>
        <v>14x24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4" t="str">
        <f aca="false">IF(TRIB!E13="","",IF(OR(ARCH!E13="",LEFT(ARCH!E13,3)="14x"),IF(AG_REQ!E13&lt;=INDEX(INPUTS!$B$42:$B$50,1),INDEX(INPUTS!$A$42:$A$50,1),IF(AG_REQ!E13&gt;INDEX(INPUTS!$B$42:$B$50,ROWS(INPUTS!$B$42:$B$50)),"LARGER",INDEX(INPUTS!$A$42:$A$50,MATCH(AG_REQ!E13,INPUTS!$B$42:$B$50,1)+1))),IF(AG_REQ!E13&lt;=INDEX(INPUTS!$E$42:$E$50,1),INDEX(INPUTS!$D$42:$D$50,1),IF(AG_REQ!E13&gt;INDEX(INPUTS!$E$42:$E$50,ROWS(INPUTS!$E$42:$E$50)),"LARGER",INDEX(INPUTS!$D$42:$D$50,MATCH(AG_REQ!E13,INPUTS!$E$42:$E$50,1)+1)))))</f>
        <v/>
      </c>
      <c r="F13" s="4" t="str">
        <f aca="false">IF(TRIB!F13="","",IF(OR(ARCH!F13="",LEFT(ARCH!F13,3)="14x"),IF(AG_REQ!F13&lt;=INDEX(INPUTS!$B$42:$B$50,1),INDEX(INPUTS!$A$42:$A$50,1),IF(AG_REQ!F13&gt;INDEX(INPUTS!$B$42:$B$50,ROWS(INPUTS!$B$42:$B$50)),"LARGER",INDEX(INPUTS!$A$42:$A$50,MATCH(AG_REQ!F13,INPUTS!$B$42:$B$50,1)+1))),IF(AG_REQ!F13&lt;=INDEX(INPUTS!$E$42:$E$50,1),INDEX(INPUTS!$D$42:$D$50,1),IF(AG_REQ!F13&gt;INDEX(INPUTS!$E$42:$E$50,ROWS(INPUTS!$E$42:$E$50)),"LARGER",INDEX(INPUTS!$D$42:$D$50,MATCH(AG_REQ!F13,INPUTS!$E$42:$E$50,1)+1)))))</f>
        <v>14x24</v>
      </c>
      <c r="G13" s="4" t="str">
        <f aca="false">IF(TRIB!G13="","",IF(OR(ARCH!G13="",LEFT(ARCH!G13,3)="14x"),IF(AG_REQ!G13&lt;=INDEX(INPUTS!$B$42:$B$50,1),INDEX(INPUTS!$A$42:$A$50,1),IF(AG_REQ!G13&gt;INDEX(INPUTS!$B$42:$B$50,ROWS(INPUTS!$B$42:$B$50)),"LARGER",INDEX(INPUTS!$A$42:$A$50,MATCH(AG_REQ!G13,INPUTS!$B$42:$B$50,1)+1))),IF(AG_REQ!G13&lt;=INDEX(INPUTS!$E$42:$E$50,1),INDEX(INPUTS!$D$42:$D$50,1),IF(AG_REQ!G13&gt;INDEX(INPUTS!$E$42:$E$50,ROWS(INPUTS!$E$42:$E$50)),"LARGER",INDEX(INPUTS!$D$42:$D$50,MATCH(AG_REQ!G13,INPUTS!$E$42:$E$50,1)+1)))))</f>
        <v>14x24</v>
      </c>
      <c r="H13" s="4" t="str">
        <f aca="false">IF(TRIB!H13="","",IF(OR(ARCH!H13="",LEFT(ARCH!H13,3)="14x"),IF(AG_REQ!H13&lt;=INDEX(INPUTS!$B$42:$B$50,1),INDEX(INPUTS!$A$42:$A$50,1),IF(AG_REQ!H13&gt;INDEX(INPUTS!$B$42:$B$50,ROWS(INPUTS!$B$42:$B$50)),"LARGER",INDEX(INPUTS!$A$42:$A$50,MATCH(AG_REQ!H13,INPUTS!$B$42:$B$50,1)+1))),IF(AG_REQ!H13&lt;=INDEX(INPUTS!$E$42:$E$50,1),INDEX(INPUTS!$D$42:$D$50,1),IF(AG_REQ!H13&gt;INDEX(INPUTS!$E$42:$E$50,ROWS(INPUTS!$E$42:$E$50)),"LARGER",INDEX(INPUTS!$D$42:$D$50,MATCH(AG_REQ!H13,INPUTS!$E$42:$E$50,1)+1)))))</f>
        <v>14x24</v>
      </c>
      <c r="I13" s="4" t="str">
        <f aca="false">IF(TRIB!I13="","",IF(OR(ARCH!I13="",LEFT(ARCH!I13,3)="14x"),IF(AG_REQ!I13&lt;=INDEX(INPUTS!$B$42:$B$50,1),INDEX(INPUTS!$A$42:$A$50,1),IF(AG_REQ!I13&gt;INDEX(INPUTS!$B$42:$B$50,ROWS(INPUTS!$B$42:$B$50)),"LARGER",INDEX(INPUTS!$A$42:$A$50,MATCH(AG_REQ!I13,INPUTS!$B$42:$B$50,1)+1))),IF(AG_REQ!I13&lt;=INDEX(INPUTS!$E$42:$E$50,1),INDEX(INPUTS!$D$42:$D$50,1),IF(AG_REQ!I13&gt;INDEX(INPUTS!$E$42:$E$50,ROWS(INPUTS!$E$42:$E$50)),"LARGER",INDEX(INPUTS!$D$42:$D$50,MATCH(AG_REQ!I13,INPUTS!$E$42:$E$50,1)+1)))))</f>
        <v>14x24</v>
      </c>
      <c r="J13" s="4" t="str">
        <f aca="false">IF(TRIB!J13="","",IF(OR(ARCH!J13="",LEFT(ARCH!J13,3)="14x"),IF(AG_REQ!J13&lt;=INDEX(INPUTS!$B$42:$B$50,1),INDEX(INPUTS!$A$42:$A$50,1),IF(AG_REQ!J13&gt;INDEX(INPUTS!$B$42:$B$50,ROWS(INPUTS!$B$42:$B$50)),"LARGER",INDEX(INPUTS!$A$42:$A$50,MATCH(AG_REQ!J13,INPUTS!$B$42:$B$50,1)+1))),IF(AG_REQ!J13&lt;=INDEX(INPUTS!$E$42:$E$50,1),INDEX(INPUTS!$D$42:$D$50,1),IF(AG_REQ!J13&gt;INDEX(INPUTS!$E$42:$E$50,ROWS(INPUTS!$E$42:$E$50)),"LARGER",INDEX(INPUTS!$D$42:$D$50,MATCH(AG_REQ!J13,INPUTS!$E$42:$E$50,1)+1)))))</f>
        <v>14x24</v>
      </c>
      <c r="K13" s="4" t="str">
        <f aca="false">IF(TRIB!K13="","",IF(OR(ARCH!K13="",LEFT(ARCH!K13,3)="14x"),IF(AG_REQ!K13&lt;=INDEX(INPUTS!$B$42:$B$50,1),INDEX(INPUTS!$A$42:$A$50,1),IF(AG_REQ!K13&gt;INDEX(INPUTS!$B$42:$B$50,ROWS(INPUTS!$B$42:$B$50)),"LARGER",INDEX(INPUTS!$A$42:$A$50,MATCH(AG_REQ!K13,INPUTS!$B$42:$B$50,1)+1))),IF(AG_REQ!K13&lt;=INDEX(INPUTS!$E$42:$E$50,1),INDEX(INPUTS!$D$42:$D$50,1),IF(AG_REQ!K13&gt;INDEX(INPUTS!$E$42:$E$50,ROWS(INPUTS!$E$42:$E$50)),"LARGER",INDEX(INPUTS!$D$42:$D$50,MATCH(AG_REQ!K13,INPUTS!$E$42:$E$50,1)+1)))))</f>
        <v>14x24</v>
      </c>
      <c r="L13" s="4" t="str">
        <f aca="false">IF(TRIB!L13="","",IF(OR(ARCH!L13="",LEFT(ARCH!L13,3)="14x"),IF(AG_REQ!L13&lt;=INDEX(INPUTS!$B$42:$B$50,1),INDEX(INPUTS!$A$42:$A$50,1),IF(AG_REQ!L13&gt;INDEX(INPUTS!$B$42:$B$50,ROWS(INPUTS!$B$42:$B$50)),"LARGER",INDEX(INPUTS!$A$42:$A$50,MATCH(AG_REQ!L13,INPUTS!$B$42:$B$50,1)+1))),IF(AG_REQ!L13&lt;=INDEX(INPUTS!$E$42:$E$50,1),INDEX(INPUTS!$D$42:$D$50,1),IF(AG_REQ!L13&gt;INDEX(INPUTS!$E$42:$E$50,ROWS(INPUTS!$E$42:$E$50)),"LARGER",INDEX(INPUTS!$D$42:$D$50,MATCH(AG_REQ!L13,INPUTS!$E$42:$E$50,1)+1)))))</f>
        <v>14x24</v>
      </c>
      <c r="M13" s="4" t="str">
        <f aca="false">IF(TRIB!M13="","",IF(OR(ARCH!M13="",LEFT(ARCH!M13,3)="14x"),IF(AG_REQ!M13&lt;=INDEX(INPUTS!$B$42:$B$50,1),INDEX(INPUTS!$A$42:$A$50,1),IF(AG_REQ!M13&gt;INDEX(INPUTS!$B$42:$B$50,ROWS(INPUTS!$B$42:$B$50)),"LARGER",INDEX(INPUTS!$A$42:$A$50,MATCH(AG_REQ!M13,INPUTS!$B$42:$B$50,1)+1))),IF(AG_REQ!M13&lt;=INDEX(INPUTS!$E$42:$E$50,1),INDEX(INPUTS!$D$42:$D$50,1),IF(AG_REQ!M13&gt;INDEX(INPUTS!$E$42:$E$50,ROWS(INPUTS!$E$42:$E$50)),"LARGER",INDEX(INPUTS!$D$42:$D$50,MATCH(AG_REQ!M13,INPUTS!$E$42:$E$50,1)+1)))))</f>
        <v>14x24</v>
      </c>
      <c r="N13" s="4" t="str">
        <f aca="false">IF(TRIB!N13="","",IF(OR(ARCH!N13="",LEFT(ARCH!N13,3)="14x"),IF(AG_REQ!N13&lt;=INDEX(INPUTS!$B$42:$B$50,1),INDEX(INPUTS!$A$42:$A$50,1),IF(AG_REQ!N13&gt;INDEX(INPUTS!$B$42:$B$50,ROWS(INPUTS!$B$42:$B$50)),"LARGER",INDEX(INPUTS!$A$42:$A$50,MATCH(AG_REQ!N13,INPUTS!$B$42:$B$50,1)+1))),IF(AG_REQ!N13&lt;=INDEX(INPUTS!$E$42:$E$50,1),INDEX(INPUTS!$D$42:$D$50,1),IF(AG_REQ!N13&gt;INDEX(INPUTS!$E$42:$E$50,ROWS(INPUTS!$E$42:$E$50)),"LARGER",INDEX(INPUTS!$D$42:$D$50,MATCH(AG_REQ!N13,INPUTS!$E$42:$E$50,1)+1)))))</f>
        <v>14x24</v>
      </c>
      <c r="O13" s="4" t="str">
        <f aca="false">IF(TRIB!O13="","",IF(OR(ARCH!O13="",LEFT(ARCH!O13,3)="14x"),IF(AG_REQ!O13&lt;=INDEX(INPUTS!$B$42:$B$50,1),INDEX(INPUTS!$A$42:$A$50,1),IF(AG_REQ!O13&gt;INDEX(INPUTS!$B$42:$B$50,ROWS(INPUTS!$B$42:$B$50)),"LARGER",INDEX(INPUTS!$A$42:$A$50,MATCH(AG_REQ!O13,INPUTS!$B$42:$B$50,1)+1))),IF(AG_REQ!O13&lt;=INDEX(INPUTS!$E$42:$E$50,1),INDEX(INPUTS!$D$42:$D$50,1),IF(AG_REQ!O13&gt;INDEX(INPUTS!$E$42:$E$50,ROWS(INPUTS!$E$42:$E$50)),"LARGER",INDEX(INPUTS!$D$42:$D$50,MATCH(AG_REQ!O13,INPUTS!$E$42:$E$50,1)+1)))))</f>
        <v>14x24</v>
      </c>
      <c r="P13" s="4" t="str">
        <f aca="false">IF(TRIB!P13="","",IF(OR(ARCH!P13="",LEFT(ARCH!P13,3)="14x"),IF(AG_REQ!P13&lt;=INDEX(INPUTS!$B$42:$B$50,1),INDEX(INPUTS!$A$42:$A$50,1),IF(AG_REQ!P13&gt;INDEX(INPUTS!$B$42:$B$50,ROWS(INPUTS!$B$42:$B$50)),"LARGER",INDEX(INPUTS!$A$42:$A$50,MATCH(AG_REQ!P13,INPUTS!$B$42:$B$50,1)+1))),IF(AG_REQ!P13&lt;=INDEX(INPUTS!$E$42:$E$50,1),INDEX(INPUTS!$D$42:$D$50,1),IF(AG_REQ!P13&gt;INDEX(INPUTS!$E$42:$E$50,ROWS(INPUTS!$E$42:$E$50)),"LARGER",INDEX(INPUTS!$D$42:$D$50,MATCH(AG_REQ!P13,INPUTS!$E$42:$E$50,1)+1)))))</f>
        <v>14x24</v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4" t="str">
        <f aca="false">IF(TRIB!E14="","",IF(OR(ARCH!E14="",LEFT(ARCH!E14,3)="14x"),IF(AG_REQ!E14&lt;=INDEX(INPUTS!$B$42:$B$50,1),INDEX(INPUTS!$A$42:$A$50,1),IF(AG_REQ!E14&gt;INDEX(INPUTS!$B$42:$B$50,ROWS(INPUTS!$B$42:$B$50)),"LARGER",INDEX(INPUTS!$A$42:$A$50,MATCH(AG_REQ!E14,INPUTS!$B$42:$B$50,1)+1))),IF(AG_REQ!E14&lt;=INDEX(INPUTS!$E$42:$E$50,1),INDEX(INPUTS!$D$42:$D$50,1),IF(AG_REQ!E14&gt;INDEX(INPUTS!$E$42:$E$50,ROWS(INPUTS!$E$42:$E$50)),"LARGER",INDEX(INPUTS!$D$42:$D$50,MATCH(AG_REQ!E14,INPUTS!$E$42:$E$50,1)+1)))))</f>
        <v/>
      </c>
      <c r="F14" s="4" t="str">
        <f aca="false">IF(TRIB!F14="","",IF(OR(ARCH!F14="",LEFT(ARCH!F14,3)="14x"),IF(AG_REQ!F14&lt;=INDEX(INPUTS!$B$42:$B$50,1),INDEX(INPUTS!$A$42:$A$50,1),IF(AG_REQ!F14&gt;INDEX(INPUTS!$B$42:$B$50,ROWS(INPUTS!$B$42:$B$50)),"LARGER",INDEX(INPUTS!$A$42:$A$50,MATCH(AG_REQ!F14,INPUTS!$B$42:$B$50,1)+1))),IF(AG_REQ!F14&lt;=INDEX(INPUTS!$E$42:$E$50,1),INDEX(INPUTS!$D$42:$D$50,1),IF(AG_REQ!F14&gt;INDEX(INPUTS!$E$42:$E$50,ROWS(INPUTS!$E$42:$E$50)),"LARGER",INDEX(INPUTS!$D$42:$D$50,MATCH(AG_REQ!F14,INPUTS!$E$42:$E$50,1)+1)))))</f>
        <v>14x24</v>
      </c>
      <c r="G14" s="4" t="str">
        <f aca="false">IF(TRIB!G14="","",IF(OR(ARCH!G14="",LEFT(ARCH!G14,3)="14x"),IF(AG_REQ!G14&lt;=INDEX(INPUTS!$B$42:$B$50,1),INDEX(INPUTS!$A$42:$A$50,1),IF(AG_REQ!G14&gt;INDEX(INPUTS!$B$42:$B$50,ROWS(INPUTS!$B$42:$B$50)),"LARGER",INDEX(INPUTS!$A$42:$A$50,MATCH(AG_REQ!G14,INPUTS!$B$42:$B$50,1)+1))),IF(AG_REQ!G14&lt;=INDEX(INPUTS!$E$42:$E$50,1),INDEX(INPUTS!$D$42:$D$50,1),IF(AG_REQ!G14&gt;INDEX(INPUTS!$E$42:$E$50,ROWS(INPUTS!$E$42:$E$50)),"LARGER",INDEX(INPUTS!$D$42:$D$50,MATCH(AG_REQ!G14,INPUTS!$E$42:$E$50,1)+1)))))</f>
        <v>14x24</v>
      </c>
      <c r="H14" s="4" t="str">
        <f aca="false">IF(TRIB!H14="","",IF(OR(ARCH!H14="",LEFT(ARCH!H14,3)="14x"),IF(AG_REQ!H14&lt;=INDEX(INPUTS!$B$42:$B$50,1),INDEX(INPUTS!$A$42:$A$50,1),IF(AG_REQ!H14&gt;INDEX(INPUTS!$B$42:$B$50,ROWS(INPUTS!$B$42:$B$50)),"LARGER",INDEX(INPUTS!$A$42:$A$50,MATCH(AG_REQ!H14,INPUTS!$B$42:$B$50,1)+1))),IF(AG_REQ!H14&lt;=INDEX(INPUTS!$E$42:$E$50,1),INDEX(INPUTS!$D$42:$D$50,1),IF(AG_REQ!H14&gt;INDEX(INPUTS!$E$42:$E$50,ROWS(INPUTS!$E$42:$E$50)),"LARGER",INDEX(INPUTS!$D$42:$D$50,MATCH(AG_REQ!H14,INPUTS!$E$42:$E$50,1)+1)))))</f>
        <v>14x24</v>
      </c>
      <c r="I14" s="4" t="str">
        <f aca="false">IF(TRIB!I14="","",IF(OR(ARCH!I14="",LEFT(ARCH!I14,3)="14x"),IF(AG_REQ!I14&lt;=INDEX(INPUTS!$B$42:$B$50,1),INDEX(INPUTS!$A$42:$A$50,1),IF(AG_REQ!I14&gt;INDEX(INPUTS!$B$42:$B$50,ROWS(INPUTS!$B$42:$B$50)),"LARGER",INDEX(INPUTS!$A$42:$A$50,MATCH(AG_REQ!I14,INPUTS!$B$42:$B$50,1)+1))),IF(AG_REQ!I14&lt;=INDEX(INPUTS!$E$42:$E$50,1),INDEX(INPUTS!$D$42:$D$50,1),IF(AG_REQ!I14&gt;INDEX(INPUTS!$E$42:$E$50,ROWS(INPUTS!$E$42:$E$50)),"LARGER",INDEX(INPUTS!$D$42:$D$50,MATCH(AG_REQ!I14,INPUTS!$E$42:$E$50,1)+1)))))</f>
        <v>14x24</v>
      </c>
      <c r="J14" s="4" t="str">
        <f aca="false">IF(TRIB!J14="","",IF(OR(ARCH!J14="",LEFT(ARCH!J14,3)="14x"),IF(AG_REQ!J14&lt;=INDEX(INPUTS!$B$42:$B$50,1),INDEX(INPUTS!$A$42:$A$50,1),IF(AG_REQ!J14&gt;INDEX(INPUTS!$B$42:$B$50,ROWS(INPUTS!$B$42:$B$50)),"LARGER",INDEX(INPUTS!$A$42:$A$50,MATCH(AG_REQ!J14,INPUTS!$B$42:$B$50,1)+1))),IF(AG_REQ!J14&lt;=INDEX(INPUTS!$E$42:$E$50,1),INDEX(INPUTS!$D$42:$D$50,1),IF(AG_REQ!J14&gt;INDEX(INPUTS!$E$42:$E$50,ROWS(INPUTS!$E$42:$E$50)),"LARGER",INDEX(INPUTS!$D$42:$D$50,MATCH(AG_REQ!J14,INPUTS!$E$42:$E$50,1)+1)))))</f>
        <v>14x24</v>
      </c>
      <c r="K14" s="4" t="str">
        <f aca="false">IF(TRIB!K14="","",IF(OR(ARCH!K14="",LEFT(ARCH!K14,3)="14x"),IF(AG_REQ!K14&lt;=INDEX(INPUTS!$B$42:$B$50,1),INDEX(INPUTS!$A$42:$A$50,1),IF(AG_REQ!K14&gt;INDEX(INPUTS!$B$42:$B$50,ROWS(INPUTS!$B$42:$B$50)),"LARGER",INDEX(INPUTS!$A$42:$A$50,MATCH(AG_REQ!K14,INPUTS!$B$42:$B$50,1)+1))),IF(AG_REQ!K14&lt;=INDEX(INPUTS!$E$42:$E$50,1),INDEX(INPUTS!$D$42:$D$50,1),IF(AG_REQ!K14&gt;INDEX(INPUTS!$E$42:$E$50,ROWS(INPUTS!$E$42:$E$50)),"LARGER",INDEX(INPUTS!$D$42:$D$50,MATCH(AG_REQ!K14,INPUTS!$E$42:$E$50,1)+1)))))</f>
        <v>14x24</v>
      </c>
      <c r="L14" s="4" t="str">
        <f aca="false">IF(TRIB!L14="","",IF(OR(ARCH!L14="",LEFT(ARCH!L14,3)="14x"),IF(AG_REQ!L14&lt;=INDEX(INPUTS!$B$42:$B$50,1),INDEX(INPUTS!$A$42:$A$50,1),IF(AG_REQ!L14&gt;INDEX(INPUTS!$B$42:$B$50,ROWS(INPUTS!$B$42:$B$50)),"LARGER",INDEX(INPUTS!$A$42:$A$50,MATCH(AG_REQ!L14,INPUTS!$B$42:$B$50,1)+1))),IF(AG_REQ!L14&lt;=INDEX(INPUTS!$E$42:$E$50,1),INDEX(INPUTS!$D$42:$D$50,1),IF(AG_REQ!L14&gt;INDEX(INPUTS!$E$42:$E$50,ROWS(INPUTS!$E$42:$E$50)),"LARGER",INDEX(INPUTS!$D$42:$D$50,MATCH(AG_REQ!L14,INPUTS!$E$42:$E$50,1)+1)))))</f>
        <v>14x24</v>
      </c>
      <c r="M14" s="4" t="str">
        <f aca="false">IF(TRIB!M14="","",IF(OR(ARCH!M14="",LEFT(ARCH!M14,3)="14x"),IF(AG_REQ!M14&lt;=INDEX(INPUTS!$B$42:$B$50,1),INDEX(INPUTS!$A$42:$A$50,1),IF(AG_REQ!M14&gt;INDEX(INPUTS!$B$42:$B$50,ROWS(INPUTS!$B$42:$B$50)),"LARGER",INDEX(INPUTS!$A$42:$A$50,MATCH(AG_REQ!M14,INPUTS!$B$42:$B$50,1)+1))),IF(AG_REQ!M14&lt;=INDEX(INPUTS!$E$42:$E$50,1),INDEX(INPUTS!$D$42:$D$50,1),IF(AG_REQ!M14&gt;INDEX(INPUTS!$E$42:$E$50,ROWS(INPUTS!$E$42:$E$50)),"LARGER",INDEX(INPUTS!$D$42:$D$50,MATCH(AG_REQ!M14,INPUTS!$E$42:$E$50,1)+1)))))</f>
        <v>14x24</v>
      </c>
      <c r="N14" s="4" t="str">
        <f aca="false">IF(TRIB!N14="","",IF(OR(ARCH!N14="",LEFT(ARCH!N14,3)="14x"),IF(AG_REQ!N14&lt;=INDEX(INPUTS!$B$42:$B$50,1),INDEX(INPUTS!$A$42:$A$50,1),IF(AG_REQ!N14&gt;INDEX(INPUTS!$B$42:$B$50,ROWS(INPUTS!$B$42:$B$50)),"LARGER",INDEX(INPUTS!$A$42:$A$50,MATCH(AG_REQ!N14,INPUTS!$B$42:$B$50,1)+1))),IF(AG_REQ!N14&lt;=INDEX(INPUTS!$E$42:$E$50,1),INDEX(INPUTS!$D$42:$D$50,1),IF(AG_REQ!N14&gt;INDEX(INPUTS!$E$42:$E$50,ROWS(INPUTS!$E$42:$E$50)),"LARGER",INDEX(INPUTS!$D$42:$D$50,MATCH(AG_REQ!N14,INPUTS!$E$42:$E$50,1)+1)))))</f>
        <v>14x24</v>
      </c>
      <c r="O14" s="4" t="str">
        <f aca="false">IF(TRIB!O14="","",IF(OR(ARCH!O14="",LEFT(ARCH!O14,3)="14x"),IF(AG_REQ!O14&lt;=INDEX(INPUTS!$B$42:$B$50,1),INDEX(INPUTS!$A$42:$A$50,1),IF(AG_REQ!O14&gt;INDEX(INPUTS!$B$42:$B$50,ROWS(INPUTS!$B$42:$B$50)),"LARGER",INDEX(INPUTS!$A$42:$A$50,MATCH(AG_REQ!O14,INPUTS!$B$42:$B$50,1)+1))),IF(AG_REQ!O14&lt;=INDEX(INPUTS!$E$42:$E$50,1),INDEX(INPUTS!$D$42:$D$50,1),IF(AG_REQ!O14&gt;INDEX(INPUTS!$E$42:$E$50,ROWS(INPUTS!$E$42:$E$50)),"LARGER",INDEX(INPUTS!$D$42:$D$50,MATCH(AG_REQ!O14,INPUTS!$E$42:$E$50,1)+1)))))</f>
        <v>14x24</v>
      </c>
      <c r="P14" s="4" t="str">
        <f aca="false">IF(TRIB!P14="","",IF(OR(ARCH!P14="",LEFT(ARCH!P14,3)="14x"),IF(AG_REQ!P14&lt;=INDEX(INPUTS!$B$42:$B$50,1),INDEX(INPUTS!$A$42:$A$50,1),IF(AG_REQ!P14&gt;INDEX(INPUTS!$B$42:$B$50,ROWS(INPUTS!$B$42:$B$50)),"LARGER",INDEX(INPUTS!$A$42:$A$50,MATCH(AG_REQ!P14,INPUTS!$B$42:$B$50,1)+1))),IF(AG_REQ!P14&lt;=INDEX(INPUTS!$E$42:$E$50,1),INDEX(INPUTS!$D$42:$D$50,1),IF(AG_REQ!P14&gt;INDEX(INPUTS!$E$42:$E$50,ROWS(INPUTS!$E$42:$E$50)),"LARGER",INDEX(INPUTS!$D$42:$D$50,MATCH(AG_REQ!P14,INPUTS!$E$42:$E$50,1)+1)))))</f>
        <v>14x24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4" t="str">
        <f aca="false">IF(TRIB!E15="","",IF(OR(ARCH!E15="",LEFT(ARCH!E15,3)="14x"),IF(AG_REQ!E15&lt;=INDEX(INPUTS!$B$42:$B$50,1),INDEX(INPUTS!$A$42:$A$50,1),IF(AG_REQ!E15&gt;INDEX(INPUTS!$B$42:$B$50,ROWS(INPUTS!$B$42:$B$50)),"LARGER",INDEX(INPUTS!$A$42:$A$50,MATCH(AG_REQ!E15,INPUTS!$B$42:$B$50,1)+1))),IF(AG_REQ!E15&lt;=INDEX(INPUTS!$E$42:$E$50,1),INDEX(INPUTS!$D$42:$D$50,1),IF(AG_REQ!E15&gt;INDEX(INPUTS!$E$42:$E$50,ROWS(INPUTS!$E$42:$E$50)),"LARGER",INDEX(INPUTS!$D$42:$D$50,MATCH(AG_REQ!E15,INPUTS!$E$42:$E$50,1)+1)))))</f>
        <v/>
      </c>
      <c r="F15" s="4" t="str">
        <f aca="false">IF(TRIB!F15="","",IF(OR(ARCH!F15="",LEFT(ARCH!F15,3)="14x"),IF(AG_REQ!F15&lt;=INDEX(INPUTS!$B$42:$B$50,1),INDEX(INPUTS!$A$42:$A$50,1),IF(AG_REQ!F15&gt;INDEX(INPUTS!$B$42:$B$50,ROWS(INPUTS!$B$42:$B$50)),"LARGER",INDEX(INPUTS!$A$42:$A$50,MATCH(AG_REQ!F15,INPUTS!$B$42:$B$50,1)+1))),IF(AG_REQ!F15&lt;=INDEX(INPUTS!$E$42:$E$50,1),INDEX(INPUTS!$D$42:$D$50,1),IF(AG_REQ!F15&gt;INDEX(INPUTS!$E$42:$E$50,ROWS(INPUTS!$E$42:$E$50)),"LARGER",INDEX(INPUTS!$D$42:$D$50,MATCH(AG_REQ!F15,INPUTS!$E$42:$E$50,1)+1)))))</f>
        <v>14x24</v>
      </c>
      <c r="G15" s="4" t="str">
        <f aca="false">IF(TRIB!G15="","",IF(OR(ARCH!G15="",LEFT(ARCH!G15,3)="14x"),IF(AG_REQ!G15&lt;=INDEX(INPUTS!$B$42:$B$50,1),INDEX(INPUTS!$A$42:$A$50,1),IF(AG_REQ!G15&gt;INDEX(INPUTS!$B$42:$B$50,ROWS(INPUTS!$B$42:$B$50)),"LARGER",INDEX(INPUTS!$A$42:$A$50,MATCH(AG_REQ!G15,INPUTS!$B$42:$B$50,1)+1))),IF(AG_REQ!G15&lt;=INDEX(INPUTS!$E$42:$E$50,1),INDEX(INPUTS!$D$42:$D$50,1),IF(AG_REQ!G15&gt;INDEX(INPUTS!$E$42:$E$50,ROWS(INPUTS!$E$42:$E$50)),"LARGER",INDEX(INPUTS!$D$42:$D$50,MATCH(AG_REQ!G15,INPUTS!$E$42:$E$50,1)+1)))))</f>
        <v>14x24</v>
      </c>
      <c r="H15" s="4" t="str">
        <f aca="false">IF(TRIB!H15="","",IF(OR(ARCH!H15="",LEFT(ARCH!H15,3)="14x"),IF(AG_REQ!H15&lt;=INDEX(INPUTS!$B$42:$B$50,1),INDEX(INPUTS!$A$42:$A$50,1),IF(AG_REQ!H15&gt;INDEX(INPUTS!$B$42:$B$50,ROWS(INPUTS!$B$42:$B$50)),"LARGER",INDEX(INPUTS!$A$42:$A$50,MATCH(AG_REQ!H15,INPUTS!$B$42:$B$50,1)+1))),IF(AG_REQ!H15&lt;=INDEX(INPUTS!$E$42:$E$50,1),INDEX(INPUTS!$D$42:$D$50,1),IF(AG_REQ!H15&gt;INDEX(INPUTS!$E$42:$E$50,ROWS(INPUTS!$E$42:$E$50)),"LARGER",INDEX(INPUTS!$D$42:$D$50,MATCH(AG_REQ!H15,INPUTS!$E$42:$E$50,1)+1)))))</f>
        <v>14x24</v>
      </c>
      <c r="I15" s="4" t="str">
        <f aca="false">IF(TRIB!I15="","",IF(OR(ARCH!I15="",LEFT(ARCH!I15,3)="14x"),IF(AG_REQ!I15&lt;=INDEX(INPUTS!$B$42:$B$50,1),INDEX(INPUTS!$A$42:$A$50,1),IF(AG_REQ!I15&gt;INDEX(INPUTS!$B$42:$B$50,ROWS(INPUTS!$B$42:$B$50)),"LARGER",INDEX(INPUTS!$A$42:$A$50,MATCH(AG_REQ!I15,INPUTS!$B$42:$B$50,1)+1))),IF(AG_REQ!I15&lt;=INDEX(INPUTS!$E$42:$E$50,1),INDEX(INPUTS!$D$42:$D$50,1),IF(AG_REQ!I15&gt;INDEX(INPUTS!$E$42:$E$50,ROWS(INPUTS!$E$42:$E$50)),"LARGER",INDEX(INPUTS!$D$42:$D$50,MATCH(AG_REQ!I15,INPUTS!$E$42:$E$50,1)+1)))))</f>
        <v>14x24</v>
      </c>
      <c r="J15" s="4" t="str">
        <f aca="false">IF(TRIB!J15="","",IF(OR(ARCH!J15="",LEFT(ARCH!J15,3)="14x"),IF(AG_REQ!J15&lt;=INDEX(INPUTS!$B$42:$B$50,1),INDEX(INPUTS!$A$42:$A$50,1),IF(AG_REQ!J15&gt;INDEX(INPUTS!$B$42:$B$50,ROWS(INPUTS!$B$42:$B$50)),"LARGER",INDEX(INPUTS!$A$42:$A$50,MATCH(AG_REQ!J15,INPUTS!$B$42:$B$50,1)+1))),IF(AG_REQ!J15&lt;=INDEX(INPUTS!$E$42:$E$50,1),INDEX(INPUTS!$D$42:$D$50,1),IF(AG_REQ!J15&gt;INDEX(INPUTS!$E$42:$E$50,ROWS(INPUTS!$E$42:$E$50)),"LARGER",INDEX(INPUTS!$D$42:$D$50,MATCH(AG_REQ!J15,INPUTS!$E$42:$E$50,1)+1)))))</f>
        <v>14x24</v>
      </c>
      <c r="K15" s="4" t="str">
        <f aca="false">IF(TRIB!K15="","",IF(OR(ARCH!K15="",LEFT(ARCH!K15,3)="14x"),IF(AG_REQ!K15&lt;=INDEX(INPUTS!$B$42:$B$50,1),INDEX(INPUTS!$A$42:$A$50,1),IF(AG_REQ!K15&gt;INDEX(INPUTS!$B$42:$B$50,ROWS(INPUTS!$B$42:$B$50)),"LARGER",INDEX(INPUTS!$A$42:$A$50,MATCH(AG_REQ!K15,INPUTS!$B$42:$B$50,1)+1))),IF(AG_REQ!K15&lt;=INDEX(INPUTS!$E$42:$E$50,1),INDEX(INPUTS!$D$42:$D$50,1),IF(AG_REQ!K15&gt;INDEX(INPUTS!$E$42:$E$50,ROWS(INPUTS!$E$42:$E$50)),"LARGER",INDEX(INPUTS!$D$42:$D$50,MATCH(AG_REQ!K15,INPUTS!$E$42:$E$50,1)+1)))))</f>
        <v>14x24</v>
      </c>
      <c r="L15" s="4" t="str">
        <f aca="false">IF(TRIB!L15="","",IF(OR(ARCH!L15="",LEFT(ARCH!L15,3)="14x"),IF(AG_REQ!L15&lt;=INDEX(INPUTS!$B$42:$B$50,1),INDEX(INPUTS!$A$42:$A$50,1),IF(AG_REQ!L15&gt;INDEX(INPUTS!$B$42:$B$50,ROWS(INPUTS!$B$42:$B$50)),"LARGER",INDEX(INPUTS!$A$42:$A$50,MATCH(AG_REQ!L15,INPUTS!$B$42:$B$50,1)+1))),IF(AG_REQ!L15&lt;=INDEX(INPUTS!$E$42:$E$50,1),INDEX(INPUTS!$D$42:$D$50,1),IF(AG_REQ!L15&gt;INDEX(INPUTS!$E$42:$E$50,ROWS(INPUTS!$E$42:$E$50)),"LARGER",INDEX(INPUTS!$D$42:$D$50,MATCH(AG_REQ!L15,INPUTS!$E$42:$E$50,1)+1)))))</f>
        <v>14x24</v>
      </c>
      <c r="M15" s="4" t="str">
        <f aca="false">IF(TRIB!M15="","",IF(OR(ARCH!M15="",LEFT(ARCH!M15,3)="14x"),IF(AG_REQ!M15&lt;=INDEX(INPUTS!$B$42:$B$50,1),INDEX(INPUTS!$A$42:$A$50,1),IF(AG_REQ!M15&gt;INDEX(INPUTS!$B$42:$B$50,ROWS(INPUTS!$B$42:$B$50)),"LARGER",INDEX(INPUTS!$A$42:$A$50,MATCH(AG_REQ!M15,INPUTS!$B$42:$B$50,1)+1))),IF(AG_REQ!M15&lt;=INDEX(INPUTS!$E$42:$E$50,1),INDEX(INPUTS!$D$42:$D$50,1),IF(AG_REQ!M15&gt;INDEX(INPUTS!$E$42:$E$50,ROWS(INPUTS!$E$42:$E$50)),"LARGER",INDEX(INPUTS!$D$42:$D$50,MATCH(AG_REQ!M15,INPUTS!$E$42:$E$50,1)+1)))))</f>
        <v>14x24</v>
      </c>
      <c r="N15" s="4" t="str">
        <f aca="false">IF(TRIB!N15="","",IF(OR(ARCH!N15="",LEFT(ARCH!N15,3)="14x"),IF(AG_REQ!N15&lt;=INDEX(INPUTS!$B$42:$B$50,1),INDEX(INPUTS!$A$42:$A$50,1),IF(AG_REQ!N15&gt;INDEX(INPUTS!$B$42:$B$50,ROWS(INPUTS!$B$42:$B$50)),"LARGER",INDEX(INPUTS!$A$42:$A$50,MATCH(AG_REQ!N15,INPUTS!$B$42:$B$50,1)+1))),IF(AG_REQ!N15&lt;=INDEX(INPUTS!$E$42:$E$50,1),INDEX(INPUTS!$D$42:$D$50,1),IF(AG_REQ!N15&gt;INDEX(INPUTS!$E$42:$E$50,ROWS(INPUTS!$E$42:$E$50)),"LARGER",INDEX(INPUTS!$D$42:$D$50,MATCH(AG_REQ!N15,INPUTS!$E$42:$E$50,1)+1)))))</f>
        <v>14x24</v>
      </c>
      <c r="O15" s="4" t="str">
        <f aca="false">IF(TRIB!O15="","",IF(OR(ARCH!O15="",LEFT(ARCH!O15,3)="14x"),IF(AG_REQ!O15&lt;=INDEX(INPUTS!$B$42:$B$50,1),INDEX(INPUTS!$A$42:$A$50,1),IF(AG_REQ!O15&gt;INDEX(INPUTS!$B$42:$B$50,ROWS(INPUTS!$B$42:$B$50)),"LARGER",INDEX(INPUTS!$A$42:$A$50,MATCH(AG_REQ!O15,INPUTS!$B$42:$B$50,1)+1))),IF(AG_REQ!O15&lt;=INDEX(INPUTS!$E$42:$E$50,1),INDEX(INPUTS!$D$42:$D$50,1),IF(AG_REQ!O15&gt;INDEX(INPUTS!$E$42:$E$50,ROWS(INPUTS!$E$42:$E$50)),"LARGER",INDEX(INPUTS!$D$42:$D$50,MATCH(AG_REQ!O15,INPUTS!$E$42:$E$50,1)+1)))))</f>
        <v>14x24</v>
      </c>
      <c r="P15" s="4" t="str">
        <f aca="false">IF(TRIB!P15="","",IF(OR(ARCH!P15="",LEFT(ARCH!P15,3)="14x"),IF(AG_REQ!P15&lt;=INDEX(INPUTS!$B$42:$B$50,1),INDEX(INPUTS!$A$42:$A$50,1),IF(AG_REQ!P15&gt;INDEX(INPUTS!$B$42:$B$50,ROWS(INPUTS!$B$42:$B$50)),"LARGER",INDEX(INPUTS!$A$42:$A$50,MATCH(AG_REQ!P15,INPUTS!$B$42:$B$50,1)+1))),IF(AG_REQ!P15&lt;=INDEX(INPUTS!$E$42:$E$50,1),INDEX(INPUTS!$D$42:$D$50,1),IF(AG_REQ!P15&gt;INDEX(INPUTS!$E$42:$E$50,ROWS(INPUTS!$E$42:$E$50)),"LARGER",INDEX(INPUTS!$D$42:$D$50,MATCH(AG_REQ!P15,INPUTS!$E$42:$E$50,1)+1)))))</f>
        <v>14x24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4" t="str">
        <f aca="false">IF(TRIB!E16="","",IF(OR(ARCH!E16="",LEFT(ARCH!E16,3)="14x"),IF(AG_REQ!E16&lt;=INDEX(INPUTS!$B$42:$B$50,1),INDEX(INPUTS!$A$42:$A$50,1),IF(AG_REQ!E16&gt;INDEX(INPUTS!$B$42:$B$50,ROWS(INPUTS!$B$42:$B$50)),"LARGER",INDEX(INPUTS!$A$42:$A$50,MATCH(AG_REQ!E16,INPUTS!$B$42:$B$50,1)+1))),IF(AG_REQ!E16&lt;=INDEX(INPUTS!$E$42:$E$50,1),INDEX(INPUTS!$D$42:$D$50,1),IF(AG_REQ!E16&gt;INDEX(INPUTS!$E$42:$E$50,ROWS(INPUTS!$E$42:$E$50)),"LARGER",INDEX(INPUTS!$D$42:$D$50,MATCH(AG_REQ!E16,INPUTS!$E$42:$E$50,1)+1)))))</f>
        <v/>
      </c>
      <c r="F16" s="4" t="str">
        <f aca="false">IF(TRIB!F16="","",IF(OR(ARCH!F16="",LEFT(ARCH!F16,3)="14x"),IF(AG_REQ!F16&lt;=INDEX(INPUTS!$B$42:$B$50,1),INDEX(INPUTS!$A$42:$A$50,1),IF(AG_REQ!F16&gt;INDEX(INPUTS!$B$42:$B$50,ROWS(INPUTS!$B$42:$B$50)),"LARGER",INDEX(INPUTS!$A$42:$A$50,MATCH(AG_REQ!F16,INPUTS!$B$42:$B$50,1)+1))),IF(AG_REQ!F16&lt;=INDEX(INPUTS!$E$42:$E$50,1),INDEX(INPUTS!$D$42:$D$50,1),IF(AG_REQ!F16&gt;INDEX(INPUTS!$E$42:$E$50,ROWS(INPUTS!$E$42:$E$50)),"LARGER",INDEX(INPUTS!$D$42:$D$50,MATCH(AG_REQ!F16,INPUTS!$E$42:$E$50,1)+1)))))</f>
        <v>14x24</v>
      </c>
      <c r="G16" s="4" t="str">
        <f aca="false">IF(TRIB!G16="","",IF(OR(ARCH!G16="",LEFT(ARCH!G16,3)="14x"),IF(AG_REQ!G16&lt;=INDEX(INPUTS!$B$42:$B$50,1),INDEX(INPUTS!$A$42:$A$50,1),IF(AG_REQ!G16&gt;INDEX(INPUTS!$B$42:$B$50,ROWS(INPUTS!$B$42:$B$50)),"LARGER",INDEX(INPUTS!$A$42:$A$50,MATCH(AG_REQ!G16,INPUTS!$B$42:$B$50,1)+1))),IF(AG_REQ!G16&lt;=INDEX(INPUTS!$E$42:$E$50,1),INDEX(INPUTS!$D$42:$D$50,1),IF(AG_REQ!G16&gt;INDEX(INPUTS!$E$42:$E$50,ROWS(INPUTS!$E$42:$E$50)),"LARGER",INDEX(INPUTS!$D$42:$D$50,MATCH(AG_REQ!G16,INPUTS!$E$42:$E$50,1)+1)))))</f>
        <v>14x24</v>
      </c>
      <c r="H16" s="4" t="str">
        <f aca="false">IF(TRIB!H16="","",IF(OR(ARCH!H16="",LEFT(ARCH!H16,3)="14x"),IF(AG_REQ!H16&lt;=INDEX(INPUTS!$B$42:$B$50,1),INDEX(INPUTS!$A$42:$A$50,1),IF(AG_REQ!H16&gt;INDEX(INPUTS!$B$42:$B$50,ROWS(INPUTS!$B$42:$B$50)),"LARGER",INDEX(INPUTS!$A$42:$A$50,MATCH(AG_REQ!H16,INPUTS!$B$42:$B$50,1)+1))),IF(AG_REQ!H16&lt;=INDEX(INPUTS!$E$42:$E$50,1),INDEX(INPUTS!$D$42:$D$50,1),IF(AG_REQ!H16&gt;INDEX(INPUTS!$E$42:$E$50,ROWS(INPUTS!$E$42:$E$50)),"LARGER",INDEX(INPUTS!$D$42:$D$50,MATCH(AG_REQ!H16,INPUTS!$E$42:$E$50,1)+1)))))</f>
        <v>14x24</v>
      </c>
      <c r="I16" s="4" t="str">
        <f aca="false">IF(TRIB!I16="","",IF(OR(ARCH!I16="",LEFT(ARCH!I16,3)="14x"),IF(AG_REQ!I16&lt;=INDEX(INPUTS!$B$42:$B$50,1),INDEX(INPUTS!$A$42:$A$50,1),IF(AG_REQ!I16&gt;INDEX(INPUTS!$B$42:$B$50,ROWS(INPUTS!$B$42:$B$50)),"LARGER",INDEX(INPUTS!$A$42:$A$50,MATCH(AG_REQ!I16,INPUTS!$B$42:$B$50,1)+1))),IF(AG_REQ!I16&lt;=INDEX(INPUTS!$E$42:$E$50,1),INDEX(INPUTS!$D$42:$D$50,1),IF(AG_REQ!I16&gt;INDEX(INPUTS!$E$42:$E$50,ROWS(INPUTS!$E$42:$E$50)),"LARGER",INDEX(INPUTS!$D$42:$D$50,MATCH(AG_REQ!I16,INPUTS!$E$42:$E$50,1)+1)))))</f>
        <v>14x24</v>
      </c>
      <c r="J16" s="4" t="str">
        <f aca="false">IF(TRIB!J16="","",IF(OR(ARCH!J16="",LEFT(ARCH!J16,3)="14x"),IF(AG_REQ!J16&lt;=INDEX(INPUTS!$B$42:$B$50,1),INDEX(INPUTS!$A$42:$A$50,1),IF(AG_REQ!J16&gt;INDEX(INPUTS!$B$42:$B$50,ROWS(INPUTS!$B$42:$B$50)),"LARGER",INDEX(INPUTS!$A$42:$A$50,MATCH(AG_REQ!J16,INPUTS!$B$42:$B$50,1)+1))),IF(AG_REQ!J16&lt;=INDEX(INPUTS!$E$42:$E$50,1),INDEX(INPUTS!$D$42:$D$50,1),IF(AG_REQ!J16&gt;INDEX(INPUTS!$E$42:$E$50,ROWS(INPUTS!$E$42:$E$50)),"LARGER",INDEX(INPUTS!$D$42:$D$50,MATCH(AG_REQ!J16,INPUTS!$E$42:$E$50,1)+1)))))</f>
        <v>14x24</v>
      </c>
      <c r="K16" s="4" t="str">
        <f aca="false">IF(TRIB!K16="","",IF(OR(ARCH!K16="",LEFT(ARCH!K16,3)="14x"),IF(AG_REQ!K16&lt;=INDEX(INPUTS!$B$42:$B$50,1),INDEX(INPUTS!$A$42:$A$50,1),IF(AG_REQ!K16&gt;INDEX(INPUTS!$B$42:$B$50,ROWS(INPUTS!$B$42:$B$50)),"LARGER",INDEX(INPUTS!$A$42:$A$50,MATCH(AG_REQ!K16,INPUTS!$B$42:$B$50,1)+1))),IF(AG_REQ!K16&lt;=INDEX(INPUTS!$E$42:$E$50,1),INDEX(INPUTS!$D$42:$D$50,1),IF(AG_REQ!K16&gt;INDEX(INPUTS!$E$42:$E$50,ROWS(INPUTS!$E$42:$E$50)),"LARGER",INDEX(INPUTS!$D$42:$D$50,MATCH(AG_REQ!K16,INPUTS!$E$42:$E$50,1)+1)))))</f>
        <v>14x24</v>
      </c>
      <c r="L16" s="4" t="str">
        <f aca="false">IF(TRIB!L16="","",IF(OR(ARCH!L16="",LEFT(ARCH!L16,3)="14x"),IF(AG_REQ!L16&lt;=INDEX(INPUTS!$B$42:$B$50,1),INDEX(INPUTS!$A$42:$A$50,1),IF(AG_REQ!L16&gt;INDEX(INPUTS!$B$42:$B$50,ROWS(INPUTS!$B$42:$B$50)),"LARGER",INDEX(INPUTS!$A$42:$A$50,MATCH(AG_REQ!L16,INPUTS!$B$42:$B$50,1)+1))),IF(AG_REQ!L16&lt;=INDEX(INPUTS!$E$42:$E$50,1),INDEX(INPUTS!$D$42:$D$50,1),IF(AG_REQ!L16&gt;INDEX(INPUTS!$E$42:$E$50,ROWS(INPUTS!$E$42:$E$50)),"LARGER",INDEX(INPUTS!$D$42:$D$50,MATCH(AG_REQ!L16,INPUTS!$E$42:$E$50,1)+1)))))</f>
        <v>14x24</v>
      </c>
      <c r="M16" s="4" t="str">
        <f aca="false">IF(TRIB!M16="","",IF(OR(ARCH!M16="",LEFT(ARCH!M16,3)="14x"),IF(AG_REQ!M16&lt;=INDEX(INPUTS!$B$42:$B$50,1),INDEX(INPUTS!$A$42:$A$50,1),IF(AG_REQ!M16&gt;INDEX(INPUTS!$B$42:$B$50,ROWS(INPUTS!$B$42:$B$50)),"LARGER",INDEX(INPUTS!$A$42:$A$50,MATCH(AG_REQ!M16,INPUTS!$B$42:$B$50,1)+1))),IF(AG_REQ!M16&lt;=INDEX(INPUTS!$E$42:$E$50,1),INDEX(INPUTS!$D$42:$D$50,1),IF(AG_REQ!M16&gt;INDEX(INPUTS!$E$42:$E$50,ROWS(INPUTS!$E$42:$E$50)),"LARGER",INDEX(INPUTS!$D$42:$D$50,MATCH(AG_REQ!M16,INPUTS!$E$42:$E$50,1)+1)))))</f>
        <v>14x24</v>
      </c>
      <c r="N16" s="4" t="str">
        <f aca="false">IF(TRIB!N16="","",IF(OR(ARCH!N16="",LEFT(ARCH!N16,3)="14x"),IF(AG_REQ!N16&lt;=INDEX(INPUTS!$B$42:$B$50,1),INDEX(INPUTS!$A$42:$A$50,1),IF(AG_REQ!N16&gt;INDEX(INPUTS!$B$42:$B$50,ROWS(INPUTS!$B$42:$B$50)),"LARGER",INDEX(INPUTS!$A$42:$A$50,MATCH(AG_REQ!N16,INPUTS!$B$42:$B$50,1)+1))),IF(AG_REQ!N16&lt;=INDEX(INPUTS!$E$42:$E$50,1),INDEX(INPUTS!$D$42:$D$50,1),IF(AG_REQ!N16&gt;INDEX(INPUTS!$E$42:$E$50,ROWS(INPUTS!$E$42:$E$50)),"LARGER",INDEX(INPUTS!$D$42:$D$50,MATCH(AG_REQ!N16,INPUTS!$E$42:$E$50,1)+1)))))</f>
        <v>14x24</v>
      </c>
      <c r="O16" s="4" t="str">
        <f aca="false">IF(TRIB!O16="","",IF(OR(ARCH!O16="",LEFT(ARCH!O16,3)="14x"),IF(AG_REQ!O16&lt;=INDEX(INPUTS!$B$42:$B$50,1),INDEX(INPUTS!$A$42:$A$50,1),IF(AG_REQ!O16&gt;INDEX(INPUTS!$B$42:$B$50,ROWS(INPUTS!$B$42:$B$50)),"LARGER",INDEX(INPUTS!$A$42:$A$50,MATCH(AG_REQ!O16,INPUTS!$B$42:$B$50,1)+1))),IF(AG_REQ!O16&lt;=INDEX(INPUTS!$E$42:$E$50,1),INDEX(INPUTS!$D$42:$D$50,1),IF(AG_REQ!O16&gt;INDEX(INPUTS!$E$42:$E$50,ROWS(INPUTS!$E$42:$E$50)),"LARGER",INDEX(INPUTS!$D$42:$D$50,MATCH(AG_REQ!O16,INPUTS!$E$42:$E$50,1)+1)))))</f>
        <v>14x24</v>
      </c>
      <c r="P16" s="4" t="str">
        <f aca="false">IF(TRIB!P16="","",IF(OR(ARCH!P16="",LEFT(ARCH!P16,3)="14x"),IF(AG_REQ!P16&lt;=INDEX(INPUTS!$B$42:$B$50,1),INDEX(INPUTS!$A$42:$A$50,1),IF(AG_REQ!P16&gt;INDEX(INPUTS!$B$42:$B$50,ROWS(INPUTS!$B$42:$B$50)),"LARGER",INDEX(INPUTS!$A$42:$A$50,MATCH(AG_REQ!P16,INPUTS!$B$42:$B$50,1)+1))),IF(AG_REQ!P16&lt;=INDEX(INPUTS!$E$42:$E$50,1),INDEX(INPUTS!$D$42:$D$50,1),IF(AG_REQ!P16&gt;INDEX(INPUTS!$E$42:$E$50,ROWS(INPUTS!$E$42:$E$50)),"LARGER",INDEX(INPUTS!$D$42:$D$50,MATCH(AG_REQ!P16,INPUTS!$E$42:$E$50,1)+1)))))</f>
        <v>14x24</v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4" t="str">
        <f aca="false">IF(TRIB!E17="","",IF(OR(ARCH!E17="",LEFT(ARCH!E17,3)="14x"),IF(AG_REQ!E17&lt;=INDEX(INPUTS!$B$42:$B$50,1),INDEX(INPUTS!$A$42:$A$50,1),IF(AG_REQ!E17&gt;INDEX(INPUTS!$B$42:$B$50,ROWS(INPUTS!$B$42:$B$50)),"LARGER",INDEX(INPUTS!$A$42:$A$50,MATCH(AG_REQ!E17,INPUTS!$B$42:$B$50,1)+1))),IF(AG_REQ!E17&lt;=INDEX(INPUTS!$E$42:$E$50,1),INDEX(INPUTS!$D$42:$D$50,1),IF(AG_REQ!E17&gt;INDEX(INPUTS!$E$42:$E$50,ROWS(INPUTS!$E$42:$E$50)),"LARGER",INDEX(INPUTS!$D$42:$D$50,MATCH(AG_REQ!E17,INPUTS!$E$42:$E$50,1)+1)))))</f>
        <v/>
      </c>
      <c r="F17" s="4" t="str">
        <f aca="false">IF(TRIB!F17="","",IF(OR(ARCH!F17="",LEFT(ARCH!F17,3)="14x"),IF(AG_REQ!F17&lt;=INDEX(INPUTS!$B$42:$B$50,1),INDEX(INPUTS!$A$42:$A$50,1),IF(AG_REQ!F17&gt;INDEX(INPUTS!$B$42:$B$50,ROWS(INPUTS!$B$42:$B$50)),"LARGER",INDEX(INPUTS!$A$42:$A$50,MATCH(AG_REQ!F17,INPUTS!$B$42:$B$50,1)+1))),IF(AG_REQ!F17&lt;=INDEX(INPUTS!$E$42:$E$50,1),INDEX(INPUTS!$D$42:$D$50,1),IF(AG_REQ!F17&gt;INDEX(INPUTS!$E$42:$E$50,ROWS(INPUTS!$E$42:$E$50)),"LARGER",INDEX(INPUTS!$D$42:$D$50,MATCH(AG_REQ!F17,INPUTS!$E$42:$E$50,1)+1)))))</f>
        <v>14x24</v>
      </c>
      <c r="G17" s="4" t="str">
        <f aca="false">IF(TRIB!G17="","",IF(OR(ARCH!G17="",LEFT(ARCH!G17,3)="14x"),IF(AG_REQ!G17&lt;=INDEX(INPUTS!$B$42:$B$50,1),INDEX(INPUTS!$A$42:$A$50,1),IF(AG_REQ!G17&gt;INDEX(INPUTS!$B$42:$B$50,ROWS(INPUTS!$B$42:$B$50)),"LARGER",INDEX(INPUTS!$A$42:$A$50,MATCH(AG_REQ!G17,INPUTS!$B$42:$B$50,1)+1))),IF(AG_REQ!G17&lt;=INDEX(INPUTS!$E$42:$E$50,1),INDEX(INPUTS!$D$42:$D$50,1),IF(AG_REQ!G17&gt;INDEX(INPUTS!$E$42:$E$50,ROWS(INPUTS!$E$42:$E$50)),"LARGER",INDEX(INPUTS!$D$42:$D$50,MATCH(AG_REQ!G17,INPUTS!$E$42:$E$50,1)+1)))))</f>
        <v>14x24</v>
      </c>
      <c r="H17" s="4" t="str">
        <f aca="false">IF(TRIB!H17="","",IF(OR(ARCH!H17="",LEFT(ARCH!H17,3)="14x"),IF(AG_REQ!H17&lt;=INDEX(INPUTS!$B$42:$B$50,1),INDEX(INPUTS!$A$42:$A$50,1),IF(AG_REQ!H17&gt;INDEX(INPUTS!$B$42:$B$50,ROWS(INPUTS!$B$42:$B$50)),"LARGER",INDEX(INPUTS!$A$42:$A$50,MATCH(AG_REQ!H17,INPUTS!$B$42:$B$50,1)+1))),IF(AG_REQ!H17&lt;=INDEX(INPUTS!$E$42:$E$50,1),INDEX(INPUTS!$D$42:$D$50,1),IF(AG_REQ!H17&gt;INDEX(INPUTS!$E$42:$E$50,ROWS(INPUTS!$E$42:$E$50)),"LARGER",INDEX(INPUTS!$D$42:$D$50,MATCH(AG_REQ!H17,INPUTS!$E$42:$E$50,1)+1)))))</f>
        <v>14x24</v>
      </c>
      <c r="I17" s="4" t="str">
        <f aca="false">IF(TRIB!I17="","",IF(OR(ARCH!I17="",LEFT(ARCH!I17,3)="14x"),IF(AG_REQ!I17&lt;=INDEX(INPUTS!$B$42:$B$50,1),INDEX(INPUTS!$A$42:$A$50,1),IF(AG_REQ!I17&gt;INDEX(INPUTS!$B$42:$B$50,ROWS(INPUTS!$B$42:$B$50)),"LARGER",INDEX(INPUTS!$A$42:$A$50,MATCH(AG_REQ!I17,INPUTS!$B$42:$B$50,1)+1))),IF(AG_REQ!I17&lt;=INDEX(INPUTS!$E$42:$E$50,1),INDEX(INPUTS!$D$42:$D$50,1),IF(AG_REQ!I17&gt;INDEX(INPUTS!$E$42:$E$50,ROWS(INPUTS!$E$42:$E$50)),"LARGER",INDEX(INPUTS!$D$42:$D$50,MATCH(AG_REQ!I17,INPUTS!$E$42:$E$50,1)+1)))))</f>
        <v>14x24</v>
      </c>
      <c r="J17" s="4" t="str">
        <f aca="false">IF(TRIB!J17="","",IF(OR(ARCH!J17="",LEFT(ARCH!J17,3)="14x"),IF(AG_REQ!J17&lt;=INDEX(INPUTS!$B$42:$B$50,1),INDEX(INPUTS!$A$42:$A$50,1),IF(AG_REQ!J17&gt;INDEX(INPUTS!$B$42:$B$50,ROWS(INPUTS!$B$42:$B$50)),"LARGER",INDEX(INPUTS!$A$42:$A$50,MATCH(AG_REQ!J17,INPUTS!$B$42:$B$50,1)+1))),IF(AG_REQ!J17&lt;=INDEX(INPUTS!$E$42:$E$50,1),INDEX(INPUTS!$D$42:$D$50,1),IF(AG_REQ!J17&gt;INDEX(INPUTS!$E$42:$E$50,ROWS(INPUTS!$E$42:$E$50)),"LARGER",INDEX(INPUTS!$D$42:$D$50,MATCH(AG_REQ!J17,INPUTS!$E$42:$E$50,1)+1)))))</f>
        <v>14x24</v>
      </c>
      <c r="K17" s="4" t="str">
        <f aca="false">IF(TRIB!K17="","",IF(OR(ARCH!K17="",LEFT(ARCH!K17,3)="14x"),IF(AG_REQ!K17&lt;=INDEX(INPUTS!$B$42:$B$50,1),INDEX(INPUTS!$A$42:$A$50,1),IF(AG_REQ!K17&gt;INDEX(INPUTS!$B$42:$B$50,ROWS(INPUTS!$B$42:$B$50)),"LARGER",INDEX(INPUTS!$A$42:$A$50,MATCH(AG_REQ!K17,INPUTS!$B$42:$B$50,1)+1))),IF(AG_REQ!K17&lt;=INDEX(INPUTS!$E$42:$E$50,1),INDEX(INPUTS!$D$42:$D$50,1),IF(AG_REQ!K17&gt;INDEX(INPUTS!$E$42:$E$50,ROWS(INPUTS!$E$42:$E$50)),"LARGER",INDEX(INPUTS!$D$42:$D$50,MATCH(AG_REQ!K17,INPUTS!$E$42:$E$50,1)+1)))))</f>
        <v>14x24</v>
      </c>
      <c r="L17" s="4" t="str">
        <f aca="false">IF(TRIB!L17="","",IF(OR(ARCH!L17="",LEFT(ARCH!L17,3)="14x"),IF(AG_REQ!L17&lt;=INDEX(INPUTS!$B$42:$B$50,1),INDEX(INPUTS!$A$42:$A$50,1),IF(AG_REQ!L17&gt;INDEX(INPUTS!$B$42:$B$50,ROWS(INPUTS!$B$42:$B$50)),"LARGER",INDEX(INPUTS!$A$42:$A$50,MATCH(AG_REQ!L17,INPUTS!$B$42:$B$50,1)+1))),IF(AG_REQ!L17&lt;=INDEX(INPUTS!$E$42:$E$50,1),INDEX(INPUTS!$D$42:$D$50,1),IF(AG_REQ!L17&gt;INDEX(INPUTS!$E$42:$E$50,ROWS(INPUTS!$E$42:$E$50)),"LARGER",INDEX(INPUTS!$D$42:$D$50,MATCH(AG_REQ!L17,INPUTS!$E$42:$E$50,1)+1)))))</f>
        <v>14x24</v>
      </c>
      <c r="M17" s="4" t="str">
        <f aca="false">IF(TRIB!M17="","",IF(OR(ARCH!M17="",LEFT(ARCH!M17,3)="14x"),IF(AG_REQ!M17&lt;=INDEX(INPUTS!$B$42:$B$50,1),INDEX(INPUTS!$A$42:$A$50,1),IF(AG_REQ!M17&gt;INDEX(INPUTS!$B$42:$B$50,ROWS(INPUTS!$B$42:$B$50)),"LARGER",INDEX(INPUTS!$A$42:$A$50,MATCH(AG_REQ!M17,INPUTS!$B$42:$B$50,1)+1))),IF(AG_REQ!M17&lt;=INDEX(INPUTS!$E$42:$E$50,1),INDEX(INPUTS!$D$42:$D$50,1),IF(AG_REQ!M17&gt;INDEX(INPUTS!$E$42:$E$50,ROWS(INPUTS!$E$42:$E$50)),"LARGER",INDEX(INPUTS!$D$42:$D$50,MATCH(AG_REQ!M17,INPUTS!$E$42:$E$50,1)+1)))))</f>
        <v>14x24</v>
      </c>
      <c r="N17" s="4" t="str">
        <f aca="false">IF(TRIB!N17="","",IF(OR(ARCH!N17="",LEFT(ARCH!N17,3)="14x"),IF(AG_REQ!N17&lt;=INDEX(INPUTS!$B$42:$B$50,1),INDEX(INPUTS!$A$42:$A$50,1),IF(AG_REQ!N17&gt;INDEX(INPUTS!$B$42:$B$50,ROWS(INPUTS!$B$42:$B$50)),"LARGER",INDEX(INPUTS!$A$42:$A$50,MATCH(AG_REQ!N17,INPUTS!$B$42:$B$50,1)+1))),IF(AG_REQ!N17&lt;=INDEX(INPUTS!$E$42:$E$50,1),INDEX(INPUTS!$D$42:$D$50,1),IF(AG_REQ!N17&gt;INDEX(INPUTS!$E$42:$E$50,ROWS(INPUTS!$E$42:$E$50)),"LARGER",INDEX(INPUTS!$D$42:$D$50,MATCH(AG_REQ!N17,INPUTS!$E$42:$E$50,1)+1)))))</f>
        <v>14x24</v>
      </c>
      <c r="O17" s="4" t="str">
        <f aca="false">IF(TRIB!O17="","",IF(OR(ARCH!O17="",LEFT(ARCH!O17,3)="14x"),IF(AG_REQ!O17&lt;=INDEX(INPUTS!$B$42:$B$50,1),INDEX(INPUTS!$A$42:$A$50,1),IF(AG_REQ!O17&gt;INDEX(INPUTS!$B$42:$B$50,ROWS(INPUTS!$B$42:$B$50)),"LARGER",INDEX(INPUTS!$A$42:$A$50,MATCH(AG_REQ!O17,INPUTS!$B$42:$B$50,1)+1))),IF(AG_REQ!O17&lt;=INDEX(INPUTS!$E$42:$E$50,1),INDEX(INPUTS!$D$42:$D$50,1),IF(AG_REQ!O17&gt;INDEX(INPUTS!$E$42:$E$50,ROWS(INPUTS!$E$42:$E$50)),"LARGER",INDEX(INPUTS!$D$42:$D$50,MATCH(AG_REQ!O17,INPUTS!$E$42:$E$50,1)+1)))))</f>
        <v>14x24</v>
      </c>
      <c r="P17" s="4" t="str">
        <f aca="false">IF(TRIB!P17="","",IF(OR(ARCH!P17="",LEFT(ARCH!P17,3)="14x"),IF(AG_REQ!P17&lt;=INDEX(INPUTS!$B$42:$B$50,1),INDEX(INPUTS!$A$42:$A$50,1),IF(AG_REQ!P17&gt;INDEX(INPUTS!$B$42:$B$50,ROWS(INPUTS!$B$42:$B$50)),"LARGER",INDEX(INPUTS!$A$42:$A$50,MATCH(AG_REQ!P17,INPUTS!$B$42:$B$50,1)+1))),IF(AG_REQ!P17&lt;=INDEX(INPUTS!$E$42:$E$50,1),INDEX(INPUTS!$D$42:$D$50,1),IF(AG_REQ!P17&gt;INDEX(INPUTS!$E$42:$E$50,ROWS(INPUTS!$E$42:$E$50)),"LARGER",INDEX(INPUTS!$D$42:$D$50,MATCH(AG_REQ!P17,INPUTS!$E$42:$E$50,1)+1)))))</f>
        <v>14x24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4" t="str">
        <f aca="false">IF(TRIB!E18="","",IF(OR(ARCH!E18="",LEFT(ARCH!E18,3)="14x"),IF(AG_REQ!E18&lt;=INDEX(INPUTS!$B$42:$B$50,1),INDEX(INPUTS!$A$42:$A$50,1),IF(AG_REQ!E18&gt;INDEX(INPUTS!$B$42:$B$50,ROWS(INPUTS!$B$42:$B$50)),"LARGER",INDEX(INPUTS!$A$42:$A$50,MATCH(AG_REQ!E18,INPUTS!$B$42:$B$50,1)+1))),IF(AG_REQ!E18&lt;=INDEX(INPUTS!$E$42:$E$50,1),INDEX(INPUTS!$D$42:$D$50,1),IF(AG_REQ!E18&gt;INDEX(INPUTS!$E$42:$E$50,ROWS(INPUTS!$E$42:$E$50)),"LARGER",INDEX(INPUTS!$D$42:$D$50,MATCH(AG_REQ!E18,INPUTS!$E$42:$E$50,1)+1)))))</f>
        <v/>
      </c>
      <c r="F18" s="4" t="str">
        <f aca="false">IF(TRIB!F18="","",IF(OR(ARCH!F18="",LEFT(ARCH!F18,3)="14x"),IF(AG_REQ!F18&lt;=INDEX(INPUTS!$B$42:$B$50,1),INDEX(INPUTS!$A$42:$A$50,1),IF(AG_REQ!F18&gt;INDEX(INPUTS!$B$42:$B$50,ROWS(INPUTS!$B$42:$B$50)),"LARGER",INDEX(INPUTS!$A$42:$A$50,MATCH(AG_REQ!F18,INPUTS!$B$42:$B$50,1)+1))),IF(AG_REQ!F18&lt;=INDEX(INPUTS!$E$42:$E$50,1),INDEX(INPUTS!$D$42:$D$50,1),IF(AG_REQ!F18&gt;INDEX(INPUTS!$E$42:$E$50,ROWS(INPUTS!$E$42:$E$50)),"LARGER",INDEX(INPUTS!$D$42:$D$50,MATCH(AG_REQ!F18,INPUTS!$E$42:$E$50,1)+1)))))</f>
        <v>14x24</v>
      </c>
      <c r="G18" s="4" t="str">
        <f aca="false">IF(TRIB!G18="","",IF(OR(ARCH!G18="",LEFT(ARCH!G18,3)="14x"),IF(AG_REQ!G18&lt;=INDEX(INPUTS!$B$42:$B$50,1),INDEX(INPUTS!$A$42:$A$50,1),IF(AG_REQ!G18&gt;INDEX(INPUTS!$B$42:$B$50,ROWS(INPUTS!$B$42:$B$50)),"LARGER",INDEX(INPUTS!$A$42:$A$50,MATCH(AG_REQ!G18,INPUTS!$B$42:$B$50,1)+1))),IF(AG_REQ!G18&lt;=INDEX(INPUTS!$E$42:$E$50,1),INDEX(INPUTS!$D$42:$D$50,1),IF(AG_REQ!G18&gt;INDEX(INPUTS!$E$42:$E$50,ROWS(INPUTS!$E$42:$E$50)),"LARGER",INDEX(INPUTS!$D$42:$D$50,MATCH(AG_REQ!G18,INPUTS!$E$42:$E$50,1)+1)))))</f>
        <v>14x24</v>
      </c>
      <c r="H18" s="4" t="str">
        <f aca="false">IF(TRIB!H18="","",IF(OR(ARCH!H18="",LEFT(ARCH!H18,3)="14x"),IF(AG_REQ!H18&lt;=INDEX(INPUTS!$B$42:$B$50,1),INDEX(INPUTS!$A$42:$A$50,1),IF(AG_REQ!H18&gt;INDEX(INPUTS!$B$42:$B$50,ROWS(INPUTS!$B$42:$B$50)),"LARGER",INDEX(INPUTS!$A$42:$A$50,MATCH(AG_REQ!H18,INPUTS!$B$42:$B$50,1)+1))),IF(AG_REQ!H18&lt;=INDEX(INPUTS!$E$42:$E$50,1),INDEX(INPUTS!$D$42:$D$50,1),IF(AG_REQ!H18&gt;INDEX(INPUTS!$E$42:$E$50,ROWS(INPUTS!$E$42:$E$50)),"LARGER",INDEX(INPUTS!$D$42:$D$50,MATCH(AG_REQ!H18,INPUTS!$E$42:$E$50,1)+1)))))</f>
        <v>14x24</v>
      </c>
      <c r="I18" s="4" t="str">
        <f aca="false">IF(TRIB!I18="","",IF(OR(ARCH!I18="",LEFT(ARCH!I18,3)="14x"),IF(AG_REQ!I18&lt;=INDEX(INPUTS!$B$42:$B$50,1),INDEX(INPUTS!$A$42:$A$50,1),IF(AG_REQ!I18&gt;INDEX(INPUTS!$B$42:$B$50,ROWS(INPUTS!$B$42:$B$50)),"LARGER",INDEX(INPUTS!$A$42:$A$50,MATCH(AG_REQ!I18,INPUTS!$B$42:$B$50,1)+1))),IF(AG_REQ!I18&lt;=INDEX(INPUTS!$E$42:$E$50,1),INDEX(INPUTS!$D$42:$D$50,1),IF(AG_REQ!I18&gt;INDEX(INPUTS!$E$42:$E$50,ROWS(INPUTS!$E$42:$E$50)),"LARGER",INDEX(INPUTS!$D$42:$D$50,MATCH(AG_REQ!I18,INPUTS!$E$42:$E$50,1)+1)))))</f>
        <v>14x24</v>
      </c>
      <c r="J18" s="4" t="str">
        <f aca="false">IF(TRIB!J18="","",IF(OR(ARCH!J18="",LEFT(ARCH!J18,3)="14x"),IF(AG_REQ!J18&lt;=INDEX(INPUTS!$B$42:$B$50,1),INDEX(INPUTS!$A$42:$A$50,1),IF(AG_REQ!J18&gt;INDEX(INPUTS!$B$42:$B$50,ROWS(INPUTS!$B$42:$B$50)),"LARGER",INDEX(INPUTS!$A$42:$A$50,MATCH(AG_REQ!J18,INPUTS!$B$42:$B$50,1)+1))),IF(AG_REQ!J18&lt;=INDEX(INPUTS!$E$42:$E$50,1),INDEX(INPUTS!$D$42:$D$50,1),IF(AG_REQ!J18&gt;INDEX(INPUTS!$E$42:$E$50,ROWS(INPUTS!$E$42:$E$50)),"LARGER",INDEX(INPUTS!$D$42:$D$50,MATCH(AG_REQ!J18,INPUTS!$E$42:$E$50,1)+1)))))</f>
        <v>14x24</v>
      </c>
      <c r="K18" s="4" t="str">
        <f aca="false">IF(TRIB!K18="","",IF(OR(ARCH!K18="",LEFT(ARCH!K18,3)="14x"),IF(AG_REQ!K18&lt;=INDEX(INPUTS!$B$42:$B$50,1),INDEX(INPUTS!$A$42:$A$50,1),IF(AG_REQ!K18&gt;INDEX(INPUTS!$B$42:$B$50,ROWS(INPUTS!$B$42:$B$50)),"LARGER",INDEX(INPUTS!$A$42:$A$50,MATCH(AG_REQ!K18,INPUTS!$B$42:$B$50,1)+1))),IF(AG_REQ!K18&lt;=INDEX(INPUTS!$E$42:$E$50,1),INDEX(INPUTS!$D$42:$D$50,1),IF(AG_REQ!K18&gt;INDEX(INPUTS!$E$42:$E$50,ROWS(INPUTS!$E$42:$E$50)),"LARGER",INDEX(INPUTS!$D$42:$D$50,MATCH(AG_REQ!K18,INPUTS!$E$42:$E$50,1)+1)))))</f>
        <v>14x24</v>
      </c>
      <c r="L18" s="4" t="str">
        <f aca="false">IF(TRIB!L18="","",IF(OR(ARCH!L18="",LEFT(ARCH!L18,3)="14x"),IF(AG_REQ!L18&lt;=INDEX(INPUTS!$B$42:$B$50,1),INDEX(INPUTS!$A$42:$A$50,1),IF(AG_REQ!L18&gt;INDEX(INPUTS!$B$42:$B$50,ROWS(INPUTS!$B$42:$B$50)),"LARGER",INDEX(INPUTS!$A$42:$A$50,MATCH(AG_REQ!L18,INPUTS!$B$42:$B$50,1)+1))),IF(AG_REQ!L18&lt;=INDEX(INPUTS!$E$42:$E$50,1),INDEX(INPUTS!$D$42:$D$50,1),IF(AG_REQ!L18&gt;INDEX(INPUTS!$E$42:$E$50,ROWS(INPUTS!$E$42:$E$50)),"LARGER",INDEX(INPUTS!$D$42:$D$50,MATCH(AG_REQ!L18,INPUTS!$E$42:$E$50,1)+1)))))</f>
        <v>14x24</v>
      </c>
      <c r="M18" s="4" t="str">
        <f aca="false">IF(TRIB!M18="","",IF(OR(ARCH!M18="",LEFT(ARCH!M18,3)="14x"),IF(AG_REQ!M18&lt;=INDEX(INPUTS!$B$42:$B$50,1),INDEX(INPUTS!$A$42:$A$50,1),IF(AG_REQ!M18&gt;INDEX(INPUTS!$B$42:$B$50,ROWS(INPUTS!$B$42:$B$50)),"LARGER",INDEX(INPUTS!$A$42:$A$50,MATCH(AG_REQ!M18,INPUTS!$B$42:$B$50,1)+1))),IF(AG_REQ!M18&lt;=INDEX(INPUTS!$E$42:$E$50,1),INDEX(INPUTS!$D$42:$D$50,1),IF(AG_REQ!M18&gt;INDEX(INPUTS!$E$42:$E$50,ROWS(INPUTS!$E$42:$E$50)),"LARGER",INDEX(INPUTS!$D$42:$D$50,MATCH(AG_REQ!M18,INPUTS!$E$42:$E$50,1)+1)))))</f>
        <v>14x24</v>
      </c>
      <c r="N18" s="4" t="str">
        <f aca="false">IF(TRIB!N18="","",IF(OR(ARCH!N18="",LEFT(ARCH!N18,3)="14x"),IF(AG_REQ!N18&lt;=INDEX(INPUTS!$B$42:$B$50,1),INDEX(INPUTS!$A$42:$A$50,1),IF(AG_REQ!N18&gt;INDEX(INPUTS!$B$42:$B$50,ROWS(INPUTS!$B$42:$B$50)),"LARGER",INDEX(INPUTS!$A$42:$A$50,MATCH(AG_REQ!N18,INPUTS!$B$42:$B$50,1)+1))),IF(AG_REQ!N18&lt;=INDEX(INPUTS!$E$42:$E$50,1),INDEX(INPUTS!$D$42:$D$50,1),IF(AG_REQ!N18&gt;INDEX(INPUTS!$E$42:$E$50,ROWS(INPUTS!$E$42:$E$50)),"LARGER",INDEX(INPUTS!$D$42:$D$50,MATCH(AG_REQ!N18,INPUTS!$E$42:$E$50,1)+1)))))</f>
        <v>14x24</v>
      </c>
      <c r="O18" s="4" t="str">
        <f aca="false">IF(TRIB!O18="","",IF(OR(ARCH!O18="",LEFT(ARCH!O18,3)="14x"),IF(AG_REQ!O18&lt;=INDEX(INPUTS!$B$42:$B$50,1),INDEX(INPUTS!$A$42:$A$50,1),IF(AG_REQ!O18&gt;INDEX(INPUTS!$B$42:$B$50,ROWS(INPUTS!$B$42:$B$50)),"LARGER",INDEX(INPUTS!$A$42:$A$50,MATCH(AG_REQ!O18,INPUTS!$B$42:$B$50,1)+1))),IF(AG_REQ!O18&lt;=INDEX(INPUTS!$E$42:$E$50,1),INDEX(INPUTS!$D$42:$D$50,1),IF(AG_REQ!O18&gt;INDEX(INPUTS!$E$42:$E$50,ROWS(INPUTS!$E$42:$E$50)),"LARGER",INDEX(INPUTS!$D$42:$D$50,MATCH(AG_REQ!O18,INPUTS!$E$42:$E$50,1)+1)))))</f>
        <v>14x24</v>
      </c>
      <c r="P18" s="4" t="str">
        <f aca="false">IF(TRIB!P18="","",IF(OR(ARCH!P18="",LEFT(ARCH!P18,3)="14x"),IF(AG_REQ!P18&lt;=INDEX(INPUTS!$B$42:$B$50,1),INDEX(INPUTS!$A$42:$A$50,1),IF(AG_REQ!P18&gt;INDEX(INPUTS!$B$42:$B$50,ROWS(INPUTS!$B$42:$B$50)),"LARGER",INDEX(INPUTS!$A$42:$A$50,MATCH(AG_REQ!P18,INPUTS!$B$42:$B$50,1)+1))),IF(AG_REQ!P18&lt;=INDEX(INPUTS!$E$42:$E$50,1),INDEX(INPUTS!$D$42:$D$50,1),IF(AG_REQ!P18&gt;INDEX(INPUTS!$E$42:$E$50,ROWS(INPUTS!$E$42:$E$50)),"LARGER",INDEX(INPUTS!$D$42:$D$50,MATCH(AG_REQ!P18,INPUTS!$E$42:$E$50,1)+1)))))</f>
        <v>14x24</v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4" t="str">
        <f aca="false">IF(TRIB!E19="","",IF(OR(ARCH!E19="",LEFT(ARCH!E19,3)="14x"),IF(AG_REQ!E19&lt;=INDEX(INPUTS!$B$42:$B$50,1),INDEX(INPUTS!$A$42:$A$50,1),IF(AG_REQ!E19&gt;INDEX(INPUTS!$B$42:$B$50,ROWS(INPUTS!$B$42:$B$50)),"LARGER",INDEX(INPUTS!$A$42:$A$50,MATCH(AG_REQ!E19,INPUTS!$B$42:$B$50,1)+1))),IF(AG_REQ!E19&lt;=INDEX(INPUTS!$E$42:$E$50,1),INDEX(INPUTS!$D$42:$D$50,1),IF(AG_REQ!E19&gt;INDEX(INPUTS!$E$42:$E$50,ROWS(INPUTS!$E$42:$E$50)),"LARGER",INDEX(INPUTS!$D$42:$D$50,MATCH(AG_REQ!E19,INPUTS!$E$42:$E$50,1)+1)))))</f>
        <v/>
      </c>
      <c r="F19" s="4" t="str">
        <f aca="false">IF(TRIB!F19="","",IF(OR(ARCH!F19="",LEFT(ARCH!F19,3)="14x"),IF(AG_REQ!F19&lt;=INDEX(INPUTS!$B$42:$B$50,1),INDEX(INPUTS!$A$42:$A$50,1),IF(AG_REQ!F19&gt;INDEX(INPUTS!$B$42:$B$50,ROWS(INPUTS!$B$42:$B$50)),"LARGER",INDEX(INPUTS!$A$42:$A$50,MATCH(AG_REQ!F19,INPUTS!$B$42:$B$50,1)+1))),IF(AG_REQ!F19&lt;=INDEX(INPUTS!$E$42:$E$50,1),INDEX(INPUTS!$D$42:$D$50,1),IF(AG_REQ!F19&gt;INDEX(INPUTS!$E$42:$E$50,ROWS(INPUTS!$E$42:$E$50)),"LARGER",INDEX(INPUTS!$D$42:$D$50,MATCH(AG_REQ!F19,INPUTS!$E$42:$E$50,1)+1)))))</f>
        <v>14x24</v>
      </c>
      <c r="G19" s="4" t="str">
        <f aca="false">IF(TRIB!G19="","",IF(OR(ARCH!G19="",LEFT(ARCH!G19,3)="14x"),IF(AG_REQ!G19&lt;=INDEX(INPUTS!$B$42:$B$50,1),INDEX(INPUTS!$A$42:$A$50,1),IF(AG_REQ!G19&gt;INDEX(INPUTS!$B$42:$B$50,ROWS(INPUTS!$B$42:$B$50)),"LARGER",INDEX(INPUTS!$A$42:$A$50,MATCH(AG_REQ!G19,INPUTS!$B$42:$B$50,1)+1))),IF(AG_REQ!G19&lt;=INDEX(INPUTS!$E$42:$E$50,1),INDEX(INPUTS!$D$42:$D$50,1),IF(AG_REQ!G19&gt;INDEX(INPUTS!$E$42:$E$50,ROWS(INPUTS!$E$42:$E$50)),"LARGER",INDEX(INPUTS!$D$42:$D$50,MATCH(AG_REQ!G19,INPUTS!$E$42:$E$50,1)+1)))))</f>
        <v>14x24</v>
      </c>
      <c r="H19" s="4" t="str">
        <f aca="false">IF(TRIB!H19="","",IF(OR(ARCH!H19="",LEFT(ARCH!H19,3)="14x"),IF(AG_REQ!H19&lt;=INDEX(INPUTS!$B$42:$B$50,1),INDEX(INPUTS!$A$42:$A$50,1),IF(AG_REQ!H19&gt;INDEX(INPUTS!$B$42:$B$50,ROWS(INPUTS!$B$42:$B$50)),"LARGER",INDEX(INPUTS!$A$42:$A$50,MATCH(AG_REQ!H19,INPUTS!$B$42:$B$50,1)+1))),IF(AG_REQ!H19&lt;=INDEX(INPUTS!$E$42:$E$50,1),INDEX(INPUTS!$D$42:$D$50,1),IF(AG_REQ!H19&gt;INDEX(INPUTS!$E$42:$E$50,ROWS(INPUTS!$E$42:$E$50)),"LARGER",INDEX(INPUTS!$D$42:$D$50,MATCH(AG_REQ!H19,INPUTS!$E$42:$E$50,1)+1)))))</f>
        <v>14x24</v>
      </c>
      <c r="I19" s="4" t="str">
        <f aca="false">IF(TRIB!I19="","",IF(OR(ARCH!I19="",LEFT(ARCH!I19,3)="14x"),IF(AG_REQ!I19&lt;=INDEX(INPUTS!$B$42:$B$50,1),INDEX(INPUTS!$A$42:$A$50,1),IF(AG_REQ!I19&gt;INDEX(INPUTS!$B$42:$B$50,ROWS(INPUTS!$B$42:$B$50)),"LARGER",INDEX(INPUTS!$A$42:$A$50,MATCH(AG_REQ!I19,INPUTS!$B$42:$B$50,1)+1))),IF(AG_REQ!I19&lt;=INDEX(INPUTS!$E$42:$E$50,1),INDEX(INPUTS!$D$42:$D$50,1),IF(AG_REQ!I19&gt;INDEX(INPUTS!$E$42:$E$50,ROWS(INPUTS!$E$42:$E$50)),"LARGER",INDEX(INPUTS!$D$42:$D$50,MATCH(AG_REQ!I19,INPUTS!$E$42:$E$50,1)+1)))))</f>
        <v>14x24</v>
      </c>
      <c r="J19" s="4" t="str">
        <f aca="false">IF(TRIB!J19="","",IF(OR(ARCH!J19="",LEFT(ARCH!J19,3)="14x"),IF(AG_REQ!J19&lt;=INDEX(INPUTS!$B$42:$B$50,1),INDEX(INPUTS!$A$42:$A$50,1),IF(AG_REQ!J19&gt;INDEX(INPUTS!$B$42:$B$50,ROWS(INPUTS!$B$42:$B$50)),"LARGER",INDEX(INPUTS!$A$42:$A$50,MATCH(AG_REQ!J19,INPUTS!$B$42:$B$50,1)+1))),IF(AG_REQ!J19&lt;=INDEX(INPUTS!$E$42:$E$50,1),INDEX(INPUTS!$D$42:$D$50,1),IF(AG_REQ!J19&gt;INDEX(INPUTS!$E$42:$E$50,ROWS(INPUTS!$E$42:$E$50)),"LARGER",INDEX(INPUTS!$D$42:$D$50,MATCH(AG_REQ!J19,INPUTS!$E$42:$E$50,1)+1)))))</f>
        <v>14x24</v>
      </c>
      <c r="K19" s="4" t="str">
        <f aca="false">IF(TRIB!K19="","",IF(OR(ARCH!K19="",LEFT(ARCH!K19,3)="14x"),IF(AG_REQ!K19&lt;=INDEX(INPUTS!$B$42:$B$50,1),INDEX(INPUTS!$A$42:$A$50,1),IF(AG_REQ!K19&gt;INDEX(INPUTS!$B$42:$B$50,ROWS(INPUTS!$B$42:$B$50)),"LARGER",INDEX(INPUTS!$A$42:$A$50,MATCH(AG_REQ!K19,INPUTS!$B$42:$B$50,1)+1))),IF(AG_REQ!K19&lt;=INDEX(INPUTS!$E$42:$E$50,1),INDEX(INPUTS!$D$42:$D$50,1),IF(AG_REQ!K19&gt;INDEX(INPUTS!$E$42:$E$50,ROWS(INPUTS!$E$42:$E$50)),"LARGER",INDEX(INPUTS!$D$42:$D$50,MATCH(AG_REQ!K19,INPUTS!$E$42:$E$50,1)+1)))))</f>
        <v>14x24</v>
      </c>
      <c r="L19" s="4" t="str">
        <f aca="false">IF(TRIB!L19="","",IF(OR(ARCH!L19="",LEFT(ARCH!L19,3)="14x"),IF(AG_REQ!L19&lt;=INDEX(INPUTS!$B$42:$B$50,1),INDEX(INPUTS!$A$42:$A$50,1),IF(AG_REQ!L19&gt;INDEX(INPUTS!$B$42:$B$50,ROWS(INPUTS!$B$42:$B$50)),"LARGER",INDEX(INPUTS!$A$42:$A$50,MATCH(AG_REQ!L19,INPUTS!$B$42:$B$50,1)+1))),IF(AG_REQ!L19&lt;=INDEX(INPUTS!$E$42:$E$50,1),INDEX(INPUTS!$D$42:$D$50,1),IF(AG_REQ!L19&gt;INDEX(INPUTS!$E$42:$E$50,ROWS(INPUTS!$E$42:$E$50)),"LARGER",INDEX(INPUTS!$D$42:$D$50,MATCH(AG_REQ!L19,INPUTS!$E$42:$E$50,1)+1)))))</f>
        <v>14x24</v>
      </c>
      <c r="M19" s="4" t="str">
        <f aca="false">IF(TRIB!M19="","",IF(OR(ARCH!M19="",LEFT(ARCH!M19,3)="14x"),IF(AG_REQ!M19&lt;=INDEX(INPUTS!$B$42:$B$50,1),INDEX(INPUTS!$A$42:$A$50,1),IF(AG_REQ!M19&gt;INDEX(INPUTS!$B$42:$B$50,ROWS(INPUTS!$B$42:$B$50)),"LARGER",INDEX(INPUTS!$A$42:$A$50,MATCH(AG_REQ!M19,INPUTS!$B$42:$B$50,1)+1))),IF(AG_REQ!M19&lt;=INDEX(INPUTS!$E$42:$E$50,1),INDEX(INPUTS!$D$42:$D$50,1),IF(AG_REQ!M19&gt;INDEX(INPUTS!$E$42:$E$50,ROWS(INPUTS!$E$42:$E$50)),"LARGER",INDEX(INPUTS!$D$42:$D$50,MATCH(AG_REQ!M19,INPUTS!$E$42:$E$50,1)+1)))))</f>
        <v>14x24</v>
      </c>
      <c r="N19" s="4" t="str">
        <f aca="false">IF(TRIB!N19="","",IF(OR(ARCH!N19="",LEFT(ARCH!N19,3)="14x"),IF(AG_REQ!N19&lt;=INDEX(INPUTS!$B$42:$B$50,1),INDEX(INPUTS!$A$42:$A$50,1),IF(AG_REQ!N19&gt;INDEX(INPUTS!$B$42:$B$50,ROWS(INPUTS!$B$42:$B$50)),"LARGER",INDEX(INPUTS!$A$42:$A$50,MATCH(AG_REQ!N19,INPUTS!$B$42:$B$50,1)+1))),IF(AG_REQ!N19&lt;=INDEX(INPUTS!$E$42:$E$50,1),INDEX(INPUTS!$D$42:$D$50,1),IF(AG_REQ!N19&gt;INDEX(INPUTS!$E$42:$E$50,ROWS(INPUTS!$E$42:$E$50)),"LARGER",INDEX(INPUTS!$D$42:$D$50,MATCH(AG_REQ!N19,INPUTS!$E$42:$E$50,1)+1)))))</f>
        <v>14x24</v>
      </c>
      <c r="O19" s="4" t="str">
        <f aca="false">IF(TRIB!O19="","",IF(OR(ARCH!O19="",LEFT(ARCH!O19,3)="14x"),IF(AG_REQ!O19&lt;=INDEX(INPUTS!$B$42:$B$50,1),INDEX(INPUTS!$A$42:$A$50,1),IF(AG_REQ!O19&gt;INDEX(INPUTS!$B$42:$B$50,ROWS(INPUTS!$B$42:$B$50)),"LARGER",INDEX(INPUTS!$A$42:$A$50,MATCH(AG_REQ!O19,INPUTS!$B$42:$B$50,1)+1))),IF(AG_REQ!O19&lt;=INDEX(INPUTS!$E$42:$E$50,1),INDEX(INPUTS!$D$42:$D$50,1),IF(AG_REQ!O19&gt;INDEX(INPUTS!$E$42:$E$50,ROWS(INPUTS!$E$42:$E$50)),"LARGER",INDEX(INPUTS!$D$42:$D$50,MATCH(AG_REQ!O19,INPUTS!$E$42:$E$50,1)+1)))))</f>
        <v>14x30</v>
      </c>
      <c r="P19" s="4" t="str">
        <f aca="false">IF(TRIB!P19="","",IF(OR(ARCH!P19="",LEFT(ARCH!P19,3)="14x"),IF(AG_REQ!P19&lt;=INDEX(INPUTS!$B$42:$B$50,1),INDEX(INPUTS!$A$42:$A$50,1),IF(AG_REQ!P19&gt;INDEX(INPUTS!$B$42:$B$50,ROWS(INPUTS!$B$42:$B$50)),"LARGER",INDEX(INPUTS!$A$42:$A$50,MATCH(AG_REQ!P19,INPUTS!$B$42:$B$50,1)+1))),IF(AG_REQ!P19&lt;=INDEX(INPUTS!$E$42:$E$50,1),INDEX(INPUTS!$D$42:$D$50,1),IF(AG_REQ!P19&gt;INDEX(INPUTS!$E$42:$E$50,ROWS(INPUTS!$E$42:$E$50)),"LARGER",INDEX(INPUTS!$D$42:$D$50,MATCH(AG_REQ!P19,INPUTS!$E$42:$E$50,1)+1)))))</f>
        <v>14x30</v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4" t="str">
        <f aca="false">IF(TRIB!E20="","",IF(OR(ARCH!E20="",LEFT(ARCH!E20,3)="14x"),IF(AG_REQ!E20&lt;=INDEX(INPUTS!$B$42:$B$50,1),INDEX(INPUTS!$A$42:$A$50,1),IF(AG_REQ!E20&gt;INDEX(INPUTS!$B$42:$B$50,ROWS(INPUTS!$B$42:$B$50)),"LARGER",INDEX(INPUTS!$A$42:$A$50,MATCH(AG_REQ!E20,INPUTS!$B$42:$B$50,1)+1))),IF(AG_REQ!E20&lt;=INDEX(INPUTS!$E$42:$E$50,1),INDEX(INPUTS!$D$42:$D$50,1),IF(AG_REQ!E20&gt;INDEX(INPUTS!$E$42:$E$50,ROWS(INPUTS!$E$42:$E$50)),"LARGER",INDEX(INPUTS!$D$42:$D$50,MATCH(AG_REQ!E20,INPUTS!$E$42:$E$50,1)+1)))))</f>
        <v/>
      </c>
      <c r="F20" s="4" t="str">
        <f aca="false">IF(TRIB!F20="","",IF(OR(ARCH!F20="",LEFT(ARCH!F20,3)="14x"),IF(AG_REQ!F20&lt;=INDEX(INPUTS!$B$42:$B$50,1),INDEX(INPUTS!$A$42:$A$50,1),IF(AG_REQ!F20&gt;INDEX(INPUTS!$B$42:$B$50,ROWS(INPUTS!$B$42:$B$50)),"LARGER",INDEX(INPUTS!$A$42:$A$50,MATCH(AG_REQ!F20,INPUTS!$B$42:$B$50,1)+1))),IF(AG_REQ!F20&lt;=INDEX(INPUTS!$E$42:$E$50,1),INDEX(INPUTS!$D$42:$D$50,1),IF(AG_REQ!F20&gt;INDEX(INPUTS!$E$42:$E$50,ROWS(INPUTS!$E$42:$E$50)),"LARGER",INDEX(INPUTS!$D$42:$D$50,MATCH(AG_REQ!F20,INPUTS!$E$42:$E$50,1)+1)))))</f>
        <v>18x18</v>
      </c>
      <c r="G20" s="4" t="str">
        <f aca="false">IF(TRIB!G20="","",IF(OR(ARCH!G20="",LEFT(ARCH!G20,3)="14x"),IF(AG_REQ!G20&lt;=INDEX(INPUTS!$B$42:$B$50,1),INDEX(INPUTS!$A$42:$A$50,1),IF(AG_REQ!G20&gt;INDEX(INPUTS!$B$42:$B$50,ROWS(INPUTS!$B$42:$B$50)),"LARGER",INDEX(INPUTS!$A$42:$A$50,MATCH(AG_REQ!G20,INPUTS!$B$42:$B$50,1)+1))),IF(AG_REQ!G20&lt;=INDEX(INPUTS!$E$42:$E$50,1),INDEX(INPUTS!$D$42:$D$50,1),IF(AG_REQ!G20&gt;INDEX(INPUTS!$E$42:$E$50,ROWS(INPUTS!$E$42:$E$50)),"LARGER",INDEX(INPUTS!$D$42:$D$50,MATCH(AG_REQ!G20,INPUTS!$E$42:$E$50,1)+1)))))</f>
        <v>18x18</v>
      </c>
      <c r="H20" s="4" t="str">
        <f aca="false">IF(TRIB!H20="","",IF(OR(ARCH!H20="",LEFT(ARCH!H20,3)="14x"),IF(AG_REQ!H20&lt;=INDEX(INPUTS!$B$42:$B$50,1),INDEX(INPUTS!$A$42:$A$50,1),IF(AG_REQ!H20&gt;INDEX(INPUTS!$B$42:$B$50,ROWS(INPUTS!$B$42:$B$50)),"LARGER",INDEX(INPUTS!$A$42:$A$50,MATCH(AG_REQ!H20,INPUTS!$B$42:$B$50,1)+1))),IF(AG_REQ!H20&lt;=INDEX(INPUTS!$E$42:$E$50,1),INDEX(INPUTS!$D$42:$D$50,1),IF(AG_REQ!H20&gt;INDEX(INPUTS!$E$42:$E$50,ROWS(INPUTS!$E$42:$E$50)),"LARGER",INDEX(INPUTS!$D$42:$D$50,MATCH(AG_REQ!H20,INPUTS!$E$42:$E$50,1)+1)))))</f>
        <v>18x18</v>
      </c>
      <c r="I20" s="4" t="str">
        <f aca="false">IF(TRIB!I20="","",IF(OR(ARCH!I20="",LEFT(ARCH!I20,3)="14x"),IF(AG_REQ!I20&lt;=INDEX(INPUTS!$B$42:$B$50,1),INDEX(INPUTS!$A$42:$A$50,1),IF(AG_REQ!I20&gt;INDEX(INPUTS!$B$42:$B$50,ROWS(INPUTS!$B$42:$B$50)),"LARGER",INDEX(INPUTS!$A$42:$A$50,MATCH(AG_REQ!I20,INPUTS!$B$42:$B$50,1)+1))),IF(AG_REQ!I20&lt;=INDEX(INPUTS!$E$42:$E$50,1),INDEX(INPUTS!$D$42:$D$50,1),IF(AG_REQ!I20&gt;INDEX(INPUTS!$E$42:$E$50,ROWS(INPUTS!$E$42:$E$50)),"LARGER",INDEX(INPUTS!$D$42:$D$50,MATCH(AG_REQ!I20,INPUTS!$E$42:$E$50,1)+1)))))</f>
        <v>18x18</v>
      </c>
      <c r="J20" s="4" t="str">
        <f aca="false">IF(TRIB!J20="","",IF(OR(ARCH!J20="",LEFT(ARCH!J20,3)="14x"),IF(AG_REQ!J20&lt;=INDEX(INPUTS!$B$42:$B$50,1),INDEX(INPUTS!$A$42:$A$50,1),IF(AG_REQ!J20&gt;INDEX(INPUTS!$B$42:$B$50,ROWS(INPUTS!$B$42:$B$50)),"LARGER",INDEX(INPUTS!$A$42:$A$50,MATCH(AG_REQ!J20,INPUTS!$B$42:$B$50,1)+1))),IF(AG_REQ!J20&lt;=INDEX(INPUTS!$E$42:$E$50,1),INDEX(INPUTS!$D$42:$D$50,1),IF(AG_REQ!J20&gt;INDEX(INPUTS!$E$42:$E$50,ROWS(INPUTS!$E$42:$E$50)),"LARGER",INDEX(INPUTS!$D$42:$D$50,MATCH(AG_REQ!J20,INPUTS!$E$42:$E$50,1)+1)))))</f>
        <v>18x18</v>
      </c>
      <c r="K20" s="4" t="str">
        <f aca="false">IF(TRIB!K20="","",IF(OR(ARCH!K20="",LEFT(ARCH!K20,3)="14x"),IF(AG_REQ!K20&lt;=INDEX(INPUTS!$B$42:$B$50,1),INDEX(INPUTS!$A$42:$A$50,1),IF(AG_REQ!K20&gt;INDEX(INPUTS!$B$42:$B$50,ROWS(INPUTS!$B$42:$B$50)),"LARGER",INDEX(INPUTS!$A$42:$A$50,MATCH(AG_REQ!K20,INPUTS!$B$42:$B$50,1)+1))),IF(AG_REQ!K20&lt;=INDEX(INPUTS!$E$42:$E$50,1),INDEX(INPUTS!$D$42:$D$50,1),IF(AG_REQ!K20&gt;INDEX(INPUTS!$E$42:$E$50,ROWS(INPUTS!$E$42:$E$50)),"LARGER",INDEX(INPUTS!$D$42:$D$50,MATCH(AG_REQ!K20,INPUTS!$E$42:$E$50,1)+1)))))</f>
        <v>18x18</v>
      </c>
      <c r="L20" s="4" t="str">
        <f aca="false">IF(TRIB!L20="","",IF(OR(ARCH!L20="",LEFT(ARCH!L20,3)="14x"),IF(AG_REQ!L20&lt;=INDEX(INPUTS!$B$42:$B$50,1),INDEX(INPUTS!$A$42:$A$50,1),IF(AG_REQ!L20&gt;INDEX(INPUTS!$B$42:$B$50,ROWS(INPUTS!$B$42:$B$50)),"LARGER",INDEX(INPUTS!$A$42:$A$50,MATCH(AG_REQ!L20,INPUTS!$B$42:$B$50,1)+1))),IF(AG_REQ!L20&lt;=INDEX(INPUTS!$E$42:$E$50,1),INDEX(INPUTS!$D$42:$D$50,1),IF(AG_REQ!L20&gt;INDEX(INPUTS!$E$42:$E$50,ROWS(INPUTS!$E$42:$E$50)),"LARGER",INDEX(INPUTS!$D$42:$D$50,MATCH(AG_REQ!L20,INPUTS!$E$42:$E$50,1)+1)))))</f>
        <v>18x18</v>
      </c>
      <c r="M20" s="4" t="str">
        <f aca="false">IF(TRIB!M20="","",IF(OR(ARCH!M20="",LEFT(ARCH!M20,3)="14x"),IF(AG_REQ!M20&lt;=INDEX(INPUTS!$B$42:$B$50,1),INDEX(INPUTS!$A$42:$A$50,1),IF(AG_REQ!M20&gt;INDEX(INPUTS!$B$42:$B$50,ROWS(INPUTS!$B$42:$B$50)),"LARGER",INDEX(INPUTS!$A$42:$A$50,MATCH(AG_REQ!M20,INPUTS!$B$42:$B$50,1)+1))),IF(AG_REQ!M20&lt;=INDEX(INPUTS!$E$42:$E$50,1),INDEX(INPUTS!$D$42:$D$50,1),IF(AG_REQ!M20&gt;INDEX(INPUTS!$E$42:$E$50,ROWS(INPUTS!$E$42:$E$50)),"LARGER",INDEX(INPUTS!$D$42:$D$50,MATCH(AG_REQ!M20,INPUTS!$E$42:$E$50,1)+1)))))</f>
        <v>18x18</v>
      </c>
      <c r="N20" s="4" t="str">
        <f aca="false">IF(TRIB!N20="","",IF(OR(ARCH!N20="",LEFT(ARCH!N20,3)="14x"),IF(AG_REQ!N20&lt;=INDEX(INPUTS!$B$42:$B$50,1),INDEX(INPUTS!$A$42:$A$50,1),IF(AG_REQ!N20&gt;INDEX(INPUTS!$B$42:$B$50,ROWS(INPUTS!$B$42:$B$50)),"LARGER",INDEX(INPUTS!$A$42:$A$50,MATCH(AG_REQ!N20,INPUTS!$B$42:$B$50,1)+1))),IF(AG_REQ!N20&lt;=INDEX(INPUTS!$E$42:$E$50,1),INDEX(INPUTS!$D$42:$D$50,1),IF(AG_REQ!N20&gt;INDEX(INPUTS!$E$42:$E$50,ROWS(INPUTS!$E$42:$E$50)),"LARGER",INDEX(INPUTS!$D$42:$D$50,MATCH(AG_REQ!N20,INPUTS!$E$42:$E$50,1)+1)))))</f>
        <v>18x18</v>
      </c>
      <c r="O20" s="4" t="str">
        <f aca="false">IF(TRIB!O20="","",IF(OR(ARCH!O20="",LEFT(ARCH!O20,3)="14x"),IF(AG_REQ!O20&lt;=INDEX(INPUTS!$B$42:$B$50,1),INDEX(INPUTS!$A$42:$A$50,1),IF(AG_REQ!O20&gt;INDEX(INPUTS!$B$42:$B$50,ROWS(INPUTS!$B$42:$B$50)),"LARGER",INDEX(INPUTS!$A$42:$A$50,MATCH(AG_REQ!O20,INPUTS!$B$42:$B$50,1)+1))),IF(AG_REQ!O20&lt;=INDEX(INPUTS!$E$42:$E$50,1),INDEX(INPUTS!$D$42:$D$50,1),IF(AG_REQ!O20&gt;INDEX(INPUTS!$E$42:$E$50,ROWS(INPUTS!$E$42:$E$50)),"LARGER",INDEX(INPUTS!$D$42:$D$50,MATCH(AG_REQ!O20,INPUTS!$E$42:$E$50,1)+1)))))</f>
        <v>18x18</v>
      </c>
      <c r="P20" s="4" t="str">
        <f aca="false">IF(TRIB!P20="","",IF(OR(ARCH!P20="",LEFT(ARCH!P20,3)="14x"),IF(AG_REQ!P20&lt;=INDEX(INPUTS!$B$42:$B$50,1),INDEX(INPUTS!$A$42:$A$50,1),IF(AG_REQ!P20&gt;INDEX(INPUTS!$B$42:$B$50,ROWS(INPUTS!$B$42:$B$50)),"LARGER",INDEX(INPUTS!$A$42:$A$50,MATCH(AG_REQ!P20,INPUTS!$B$42:$B$50,1)+1))),IF(AG_REQ!P20&lt;=INDEX(INPUTS!$E$42:$E$50,1),INDEX(INPUTS!$D$42:$D$50,1),IF(AG_REQ!P20&gt;INDEX(INPUTS!$E$42:$E$50,ROWS(INPUTS!$E$42:$E$50)),"LARGER",INDEX(INPUTS!$D$42:$D$50,MATCH(AG_REQ!P20,INPUTS!$E$42:$E$50,1)+1)))))</f>
        <v>18x18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4" t="str">
        <f aca="false">IF(TRIB!E21="","",IF(OR(ARCH!E21="",LEFT(ARCH!E21,3)="14x"),IF(AG_REQ!E21&lt;=INDEX(INPUTS!$B$42:$B$50,1),INDEX(INPUTS!$A$42:$A$50,1),IF(AG_REQ!E21&gt;INDEX(INPUTS!$B$42:$B$50,ROWS(INPUTS!$B$42:$B$50)),"LARGER",INDEX(INPUTS!$A$42:$A$50,MATCH(AG_REQ!E21,INPUTS!$B$42:$B$50,1)+1))),IF(AG_REQ!E21&lt;=INDEX(INPUTS!$E$42:$E$50,1),INDEX(INPUTS!$D$42:$D$50,1),IF(AG_REQ!E21&gt;INDEX(INPUTS!$E$42:$E$50,ROWS(INPUTS!$E$42:$E$50)),"LARGER",INDEX(INPUTS!$D$42:$D$50,MATCH(AG_REQ!E21,INPUTS!$E$42:$E$50,1)+1)))))</f>
        <v/>
      </c>
      <c r="F21" s="4" t="str">
        <f aca="false">IF(TRIB!F21="","",IF(OR(ARCH!F21="",LEFT(ARCH!F21,3)="14x"),IF(AG_REQ!F21&lt;=INDEX(INPUTS!$B$42:$B$50,1),INDEX(INPUTS!$A$42:$A$50,1),IF(AG_REQ!F21&gt;INDEX(INPUTS!$B$42:$B$50,ROWS(INPUTS!$B$42:$B$50)),"LARGER",INDEX(INPUTS!$A$42:$A$50,MATCH(AG_REQ!F21,INPUTS!$B$42:$B$50,1)+1))),IF(AG_REQ!F21&lt;=INDEX(INPUTS!$E$42:$E$50,1),INDEX(INPUTS!$D$42:$D$50,1),IF(AG_REQ!F21&gt;INDEX(INPUTS!$E$42:$E$50,ROWS(INPUTS!$E$42:$E$50)),"LARGER",INDEX(INPUTS!$D$42:$D$50,MATCH(AG_REQ!F21,INPUTS!$E$42:$E$50,1)+1)))))</f>
        <v>14x24</v>
      </c>
      <c r="G21" s="4" t="str">
        <f aca="false">IF(TRIB!G21="","",IF(OR(ARCH!G21="",LEFT(ARCH!G21,3)="14x"),IF(AG_REQ!G21&lt;=INDEX(INPUTS!$B$42:$B$50,1),INDEX(INPUTS!$A$42:$A$50,1),IF(AG_REQ!G21&gt;INDEX(INPUTS!$B$42:$B$50,ROWS(INPUTS!$B$42:$B$50)),"LARGER",INDEX(INPUTS!$A$42:$A$50,MATCH(AG_REQ!G21,INPUTS!$B$42:$B$50,1)+1))),IF(AG_REQ!G21&lt;=INDEX(INPUTS!$E$42:$E$50,1),INDEX(INPUTS!$D$42:$D$50,1),IF(AG_REQ!G21&gt;INDEX(INPUTS!$E$42:$E$50,ROWS(INPUTS!$E$42:$E$50)),"LARGER",INDEX(INPUTS!$D$42:$D$50,MATCH(AG_REQ!G21,INPUTS!$E$42:$E$50,1)+1)))))</f>
        <v>14x24</v>
      </c>
      <c r="H21" s="4" t="str">
        <f aca="false">IF(TRIB!H21="","",IF(OR(ARCH!H21="",LEFT(ARCH!H21,3)="14x"),IF(AG_REQ!H21&lt;=INDEX(INPUTS!$B$42:$B$50,1),INDEX(INPUTS!$A$42:$A$50,1),IF(AG_REQ!H21&gt;INDEX(INPUTS!$B$42:$B$50,ROWS(INPUTS!$B$42:$B$50)),"LARGER",INDEX(INPUTS!$A$42:$A$50,MATCH(AG_REQ!H21,INPUTS!$B$42:$B$50,1)+1))),IF(AG_REQ!H21&lt;=INDEX(INPUTS!$E$42:$E$50,1),INDEX(INPUTS!$D$42:$D$50,1),IF(AG_REQ!H21&gt;INDEX(INPUTS!$E$42:$E$50,ROWS(INPUTS!$E$42:$E$50)),"LARGER",INDEX(INPUTS!$D$42:$D$50,MATCH(AG_REQ!H21,INPUTS!$E$42:$E$50,1)+1)))))</f>
        <v>14x24</v>
      </c>
      <c r="I21" s="4" t="str">
        <f aca="false">IF(TRIB!I21="","",IF(OR(ARCH!I21="",LEFT(ARCH!I21,3)="14x"),IF(AG_REQ!I21&lt;=INDEX(INPUTS!$B$42:$B$50,1),INDEX(INPUTS!$A$42:$A$50,1),IF(AG_REQ!I21&gt;INDEX(INPUTS!$B$42:$B$50,ROWS(INPUTS!$B$42:$B$50)),"LARGER",INDEX(INPUTS!$A$42:$A$50,MATCH(AG_REQ!I21,INPUTS!$B$42:$B$50,1)+1))),IF(AG_REQ!I21&lt;=INDEX(INPUTS!$E$42:$E$50,1),INDEX(INPUTS!$D$42:$D$50,1),IF(AG_REQ!I21&gt;INDEX(INPUTS!$E$42:$E$50,ROWS(INPUTS!$E$42:$E$50)),"LARGER",INDEX(INPUTS!$D$42:$D$50,MATCH(AG_REQ!I21,INPUTS!$E$42:$E$50,1)+1)))))</f>
        <v>14x24</v>
      </c>
      <c r="J21" s="4" t="str">
        <f aca="false">IF(TRIB!J21="","",IF(OR(ARCH!J21="",LEFT(ARCH!J21,3)="14x"),IF(AG_REQ!J21&lt;=INDEX(INPUTS!$B$42:$B$50,1),INDEX(INPUTS!$A$42:$A$50,1),IF(AG_REQ!J21&gt;INDEX(INPUTS!$B$42:$B$50,ROWS(INPUTS!$B$42:$B$50)),"LARGER",INDEX(INPUTS!$A$42:$A$50,MATCH(AG_REQ!J21,INPUTS!$B$42:$B$50,1)+1))),IF(AG_REQ!J21&lt;=INDEX(INPUTS!$E$42:$E$50,1),INDEX(INPUTS!$D$42:$D$50,1),IF(AG_REQ!J21&gt;INDEX(INPUTS!$E$42:$E$50,ROWS(INPUTS!$E$42:$E$50)),"LARGER",INDEX(INPUTS!$D$42:$D$50,MATCH(AG_REQ!J21,INPUTS!$E$42:$E$50,1)+1)))))</f>
        <v>14x24</v>
      </c>
      <c r="K21" s="4" t="str">
        <f aca="false">IF(TRIB!K21="","",IF(OR(ARCH!K21="",LEFT(ARCH!K21,3)="14x"),IF(AG_REQ!K21&lt;=INDEX(INPUTS!$B$42:$B$50,1),INDEX(INPUTS!$A$42:$A$50,1),IF(AG_REQ!K21&gt;INDEX(INPUTS!$B$42:$B$50,ROWS(INPUTS!$B$42:$B$50)),"LARGER",INDEX(INPUTS!$A$42:$A$50,MATCH(AG_REQ!K21,INPUTS!$B$42:$B$50,1)+1))),IF(AG_REQ!K21&lt;=INDEX(INPUTS!$E$42:$E$50,1),INDEX(INPUTS!$D$42:$D$50,1),IF(AG_REQ!K21&gt;INDEX(INPUTS!$E$42:$E$50,ROWS(INPUTS!$E$42:$E$50)),"LARGER",INDEX(INPUTS!$D$42:$D$50,MATCH(AG_REQ!K21,INPUTS!$E$42:$E$50,1)+1)))))</f>
        <v>14x24</v>
      </c>
      <c r="L21" s="4" t="str">
        <f aca="false">IF(TRIB!L21="","",IF(OR(ARCH!L21="",LEFT(ARCH!L21,3)="14x"),IF(AG_REQ!L21&lt;=INDEX(INPUTS!$B$42:$B$50,1),INDEX(INPUTS!$A$42:$A$50,1),IF(AG_REQ!L21&gt;INDEX(INPUTS!$B$42:$B$50,ROWS(INPUTS!$B$42:$B$50)),"LARGER",INDEX(INPUTS!$A$42:$A$50,MATCH(AG_REQ!L21,INPUTS!$B$42:$B$50,1)+1))),IF(AG_REQ!L21&lt;=INDEX(INPUTS!$E$42:$E$50,1),INDEX(INPUTS!$D$42:$D$50,1),IF(AG_REQ!L21&gt;INDEX(INPUTS!$E$42:$E$50,ROWS(INPUTS!$E$42:$E$50)),"LARGER",INDEX(INPUTS!$D$42:$D$50,MATCH(AG_REQ!L21,INPUTS!$E$42:$E$50,1)+1)))))</f>
        <v>14x24</v>
      </c>
      <c r="M21" s="4" t="str">
        <f aca="false">IF(TRIB!M21="","",IF(OR(ARCH!M21="",LEFT(ARCH!M21,3)="14x"),IF(AG_REQ!M21&lt;=INDEX(INPUTS!$B$42:$B$50,1),INDEX(INPUTS!$A$42:$A$50,1),IF(AG_REQ!M21&gt;INDEX(INPUTS!$B$42:$B$50,ROWS(INPUTS!$B$42:$B$50)),"LARGER",INDEX(INPUTS!$A$42:$A$50,MATCH(AG_REQ!M21,INPUTS!$B$42:$B$50,1)+1))),IF(AG_REQ!M21&lt;=INDEX(INPUTS!$E$42:$E$50,1),INDEX(INPUTS!$D$42:$D$50,1),IF(AG_REQ!M21&gt;INDEX(INPUTS!$E$42:$E$50,ROWS(INPUTS!$E$42:$E$50)),"LARGER",INDEX(INPUTS!$D$42:$D$50,MATCH(AG_REQ!M21,INPUTS!$E$42:$E$50,1)+1)))))</f>
        <v>14x24</v>
      </c>
      <c r="N21" s="4" t="str">
        <f aca="false">IF(TRIB!N21="","",IF(OR(ARCH!N21="",LEFT(ARCH!N21,3)="14x"),IF(AG_REQ!N21&lt;=INDEX(INPUTS!$B$42:$B$50,1),INDEX(INPUTS!$A$42:$A$50,1),IF(AG_REQ!N21&gt;INDEX(INPUTS!$B$42:$B$50,ROWS(INPUTS!$B$42:$B$50)),"LARGER",INDEX(INPUTS!$A$42:$A$50,MATCH(AG_REQ!N21,INPUTS!$B$42:$B$50,1)+1))),IF(AG_REQ!N21&lt;=INDEX(INPUTS!$E$42:$E$50,1),INDEX(INPUTS!$D$42:$D$50,1),IF(AG_REQ!N21&gt;INDEX(INPUTS!$E$42:$E$50,ROWS(INPUTS!$E$42:$E$50)),"LARGER",INDEX(INPUTS!$D$42:$D$50,MATCH(AG_REQ!N21,INPUTS!$E$42:$E$50,1)+1)))))</f>
        <v>14x24</v>
      </c>
      <c r="O21" s="4" t="str">
        <f aca="false">IF(TRIB!O21="","",IF(OR(ARCH!O21="",LEFT(ARCH!O21,3)="14x"),IF(AG_REQ!O21&lt;=INDEX(INPUTS!$B$42:$B$50,1),INDEX(INPUTS!$A$42:$A$50,1),IF(AG_REQ!O21&gt;INDEX(INPUTS!$B$42:$B$50,ROWS(INPUTS!$B$42:$B$50)),"LARGER",INDEX(INPUTS!$A$42:$A$50,MATCH(AG_REQ!O21,INPUTS!$B$42:$B$50,1)+1))),IF(AG_REQ!O21&lt;=INDEX(INPUTS!$E$42:$E$50,1),INDEX(INPUTS!$D$42:$D$50,1),IF(AG_REQ!O21&gt;INDEX(INPUTS!$E$42:$E$50,ROWS(INPUTS!$E$42:$E$50)),"LARGER",INDEX(INPUTS!$D$42:$D$50,MATCH(AG_REQ!O21,INPUTS!$E$42:$E$50,1)+1)))))</f>
        <v>14x24</v>
      </c>
      <c r="P21" s="4" t="str">
        <f aca="false">IF(TRIB!P21="","",IF(OR(ARCH!P21="",LEFT(ARCH!P21,3)="14x"),IF(AG_REQ!P21&lt;=INDEX(INPUTS!$B$42:$B$50,1),INDEX(INPUTS!$A$42:$A$50,1),IF(AG_REQ!P21&gt;INDEX(INPUTS!$B$42:$B$50,ROWS(INPUTS!$B$42:$B$50)),"LARGER",INDEX(INPUTS!$A$42:$A$50,MATCH(AG_REQ!P21,INPUTS!$B$42:$B$50,1)+1))),IF(AG_REQ!P21&lt;=INDEX(INPUTS!$E$42:$E$50,1),INDEX(INPUTS!$D$42:$D$50,1),IF(AG_REQ!P21&gt;INDEX(INPUTS!$E$42:$E$50,ROWS(INPUTS!$E$42:$E$50)),"LARGER",INDEX(INPUTS!$D$42:$D$50,MATCH(AG_REQ!P21,INPUTS!$E$42:$E$50,1)+1)))))</f>
        <v>14x24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4" t="str">
        <f aca="false">IF(TRIB!E22="","",IF(OR(ARCH!E22="",LEFT(ARCH!E22,3)="14x"),IF(AG_REQ!E22&lt;=INDEX(INPUTS!$B$42:$B$50,1),INDEX(INPUTS!$A$42:$A$50,1),IF(AG_REQ!E22&gt;INDEX(INPUTS!$B$42:$B$50,ROWS(INPUTS!$B$42:$B$50)),"LARGER",INDEX(INPUTS!$A$42:$A$50,MATCH(AG_REQ!E22,INPUTS!$B$42:$B$50,1)+1))),IF(AG_REQ!E22&lt;=INDEX(INPUTS!$E$42:$E$50,1),INDEX(INPUTS!$D$42:$D$50,1),IF(AG_REQ!E22&gt;INDEX(INPUTS!$E$42:$E$50,ROWS(INPUTS!$E$42:$E$50)),"LARGER",INDEX(INPUTS!$D$42:$D$50,MATCH(AG_REQ!E22,INPUTS!$E$42:$E$50,1)+1)))))</f>
        <v/>
      </c>
      <c r="F22" s="4" t="str">
        <f aca="false">IF(TRIB!F22="","",IF(OR(ARCH!F22="",LEFT(ARCH!F22,3)="14x"),IF(AG_REQ!F22&lt;=INDEX(INPUTS!$B$42:$B$50,1),INDEX(INPUTS!$A$42:$A$50,1),IF(AG_REQ!F22&gt;INDEX(INPUTS!$B$42:$B$50,ROWS(INPUTS!$B$42:$B$50)),"LARGER",INDEX(INPUTS!$A$42:$A$50,MATCH(AG_REQ!F22,INPUTS!$B$42:$B$50,1)+1))),IF(AG_REQ!F22&lt;=INDEX(INPUTS!$E$42:$E$50,1),INDEX(INPUTS!$D$42:$D$50,1),IF(AG_REQ!F22&gt;INDEX(INPUTS!$E$42:$E$50,ROWS(INPUTS!$E$42:$E$50)),"LARGER",INDEX(INPUTS!$D$42:$D$50,MATCH(AG_REQ!F22,INPUTS!$E$42:$E$50,1)+1)))))</f>
        <v>14x24</v>
      </c>
      <c r="G22" s="4" t="str">
        <f aca="false">IF(TRIB!G22="","",IF(OR(ARCH!G22="",LEFT(ARCH!G22,3)="14x"),IF(AG_REQ!G22&lt;=INDEX(INPUTS!$B$42:$B$50,1),INDEX(INPUTS!$A$42:$A$50,1),IF(AG_REQ!G22&gt;INDEX(INPUTS!$B$42:$B$50,ROWS(INPUTS!$B$42:$B$50)),"LARGER",INDEX(INPUTS!$A$42:$A$50,MATCH(AG_REQ!G22,INPUTS!$B$42:$B$50,1)+1))),IF(AG_REQ!G22&lt;=INDEX(INPUTS!$E$42:$E$50,1),INDEX(INPUTS!$D$42:$D$50,1),IF(AG_REQ!G22&gt;INDEX(INPUTS!$E$42:$E$50,ROWS(INPUTS!$E$42:$E$50)),"LARGER",INDEX(INPUTS!$D$42:$D$50,MATCH(AG_REQ!G22,INPUTS!$E$42:$E$50,1)+1)))))</f>
        <v>14x24</v>
      </c>
      <c r="H22" s="4" t="str">
        <f aca="false">IF(TRIB!H22="","",IF(OR(ARCH!H22="",LEFT(ARCH!H22,3)="14x"),IF(AG_REQ!H22&lt;=INDEX(INPUTS!$B$42:$B$50,1),INDEX(INPUTS!$A$42:$A$50,1),IF(AG_REQ!H22&gt;INDEX(INPUTS!$B$42:$B$50,ROWS(INPUTS!$B$42:$B$50)),"LARGER",INDEX(INPUTS!$A$42:$A$50,MATCH(AG_REQ!H22,INPUTS!$B$42:$B$50,1)+1))),IF(AG_REQ!H22&lt;=INDEX(INPUTS!$E$42:$E$50,1),INDEX(INPUTS!$D$42:$D$50,1),IF(AG_REQ!H22&gt;INDEX(INPUTS!$E$42:$E$50,ROWS(INPUTS!$E$42:$E$50)),"LARGER",INDEX(INPUTS!$D$42:$D$50,MATCH(AG_REQ!H22,INPUTS!$E$42:$E$50,1)+1)))))</f>
        <v>14x24</v>
      </c>
      <c r="I22" s="4" t="str">
        <f aca="false">IF(TRIB!I22="","",IF(OR(ARCH!I22="",LEFT(ARCH!I22,3)="14x"),IF(AG_REQ!I22&lt;=INDEX(INPUTS!$B$42:$B$50,1),INDEX(INPUTS!$A$42:$A$50,1),IF(AG_REQ!I22&gt;INDEX(INPUTS!$B$42:$B$50,ROWS(INPUTS!$B$42:$B$50)),"LARGER",INDEX(INPUTS!$A$42:$A$50,MATCH(AG_REQ!I22,INPUTS!$B$42:$B$50,1)+1))),IF(AG_REQ!I22&lt;=INDEX(INPUTS!$E$42:$E$50,1),INDEX(INPUTS!$D$42:$D$50,1),IF(AG_REQ!I22&gt;INDEX(INPUTS!$E$42:$E$50,ROWS(INPUTS!$E$42:$E$50)),"LARGER",INDEX(INPUTS!$D$42:$D$50,MATCH(AG_REQ!I22,INPUTS!$E$42:$E$50,1)+1)))))</f>
        <v>14x24</v>
      </c>
      <c r="J22" s="4" t="str">
        <f aca="false">IF(TRIB!J22="","",IF(OR(ARCH!J22="",LEFT(ARCH!J22,3)="14x"),IF(AG_REQ!J22&lt;=INDEX(INPUTS!$B$42:$B$50,1),INDEX(INPUTS!$A$42:$A$50,1),IF(AG_REQ!J22&gt;INDEX(INPUTS!$B$42:$B$50,ROWS(INPUTS!$B$42:$B$50)),"LARGER",INDEX(INPUTS!$A$42:$A$50,MATCH(AG_REQ!J22,INPUTS!$B$42:$B$50,1)+1))),IF(AG_REQ!J22&lt;=INDEX(INPUTS!$E$42:$E$50,1),INDEX(INPUTS!$D$42:$D$50,1),IF(AG_REQ!J22&gt;INDEX(INPUTS!$E$42:$E$50,ROWS(INPUTS!$E$42:$E$50)),"LARGER",INDEX(INPUTS!$D$42:$D$50,MATCH(AG_REQ!J22,INPUTS!$E$42:$E$50,1)+1)))))</f>
        <v>14x24</v>
      </c>
      <c r="K22" s="4" t="str">
        <f aca="false">IF(TRIB!K22="","",IF(OR(ARCH!K22="",LEFT(ARCH!K22,3)="14x"),IF(AG_REQ!K22&lt;=INDEX(INPUTS!$B$42:$B$50,1),INDEX(INPUTS!$A$42:$A$50,1),IF(AG_REQ!K22&gt;INDEX(INPUTS!$B$42:$B$50,ROWS(INPUTS!$B$42:$B$50)),"LARGER",INDEX(INPUTS!$A$42:$A$50,MATCH(AG_REQ!K22,INPUTS!$B$42:$B$50,1)+1))),IF(AG_REQ!K22&lt;=INDEX(INPUTS!$E$42:$E$50,1),INDEX(INPUTS!$D$42:$D$50,1),IF(AG_REQ!K22&gt;INDEX(INPUTS!$E$42:$E$50,ROWS(INPUTS!$E$42:$E$50)),"LARGER",INDEX(INPUTS!$D$42:$D$50,MATCH(AG_REQ!K22,INPUTS!$E$42:$E$50,1)+1)))))</f>
        <v>14x24</v>
      </c>
      <c r="L22" s="4" t="str">
        <f aca="false">IF(TRIB!L22="","",IF(OR(ARCH!L22="",LEFT(ARCH!L22,3)="14x"),IF(AG_REQ!L22&lt;=INDEX(INPUTS!$B$42:$B$50,1),INDEX(INPUTS!$A$42:$A$50,1),IF(AG_REQ!L22&gt;INDEX(INPUTS!$B$42:$B$50,ROWS(INPUTS!$B$42:$B$50)),"LARGER",INDEX(INPUTS!$A$42:$A$50,MATCH(AG_REQ!L22,INPUTS!$B$42:$B$50,1)+1))),IF(AG_REQ!L22&lt;=INDEX(INPUTS!$E$42:$E$50,1),INDEX(INPUTS!$D$42:$D$50,1),IF(AG_REQ!L22&gt;INDEX(INPUTS!$E$42:$E$50,ROWS(INPUTS!$E$42:$E$50)),"LARGER",INDEX(INPUTS!$D$42:$D$50,MATCH(AG_REQ!L22,INPUTS!$E$42:$E$50,1)+1)))))</f>
        <v>14x24</v>
      </c>
      <c r="M22" s="4" t="str">
        <f aca="false">IF(TRIB!M22="","",IF(OR(ARCH!M22="",LEFT(ARCH!M22,3)="14x"),IF(AG_REQ!M22&lt;=INDEX(INPUTS!$B$42:$B$50,1),INDEX(INPUTS!$A$42:$A$50,1),IF(AG_REQ!M22&gt;INDEX(INPUTS!$B$42:$B$50,ROWS(INPUTS!$B$42:$B$50)),"LARGER",INDEX(INPUTS!$A$42:$A$50,MATCH(AG_REQ!M22,INPUTS!$B$42:$B$50,1)+1))),IF(AG_REQ!M22&lt;=INDEX(INPUTS!$E$42:$E$50,1),INDEX(INPUTS!$D$42:$D$50,1),IF(AG_REQ!M22&gt;INDEX(INPUTS!$E$42:$E$50,ROWS(INPUTS!$E$42:$E$50)),"LARGER",INDEX(INPUTS!$D$42:$D$50,MATCH(AG_REQ!M22,INPUTS!$E$42:$E$50,1)+1)))))</f>
        <v>14x24</v>
      </c>
      <c r="N22" s="4" t="str">
        <f aca="false">IF(TRIB!N22="","",IF(OR(ARCH!N22="",LEFT(ARCH!N22,3)="14x"),IF(AG_REQ!N22&lt;=INDEX(INPUTS!$B$42:$B$50,1),INDEX(INPUTS!$A$42:$A$50,1),IF(AG_REQ!N22&gt;INDEX(INPUTS!$B$42:$B$50,ROWS(INPUTS!$B$42:$B$50)),"LARGER",INDEX(INPUTS!$A$42:$A$50,MATCH(AG_REQ!N22,INPUTS!$B$42:$B$50,1)+1))),IF(AG_REQ!N22&lt;=INDEX(INPUTS!$E$42:$E$50,1),INDEX(INPUTS!$D$42:$D$50,1),IF(AG_REQ!N22&gt;INDEX(INPUTS!$E$42:$E$50,ROWS(INPUTS!$E$42:$E$50)),"LARGER",INDEX(INPUTS!$D$42:$D$50,MATCH(AG_REQ!N22,INPUTS!$E$42:$E$50,1)+1)))))</f>
        <v>14x24</v>
      </c>
      <c r="O22" s="4" t="str">
        <f aca="false">IF(TRIB!O22="","",IF(OR(ARCH!O22="",LEFT(ARCH!O22,3)="14x"),IF(AG_REQ!O22&lt;=INDEX(INPUTS!$B$42:$B$50,1),INDEX(INPUTS!$A$42:$A$50,1),IF(AG_REQ!O22&gt;INDEX(INPUTS!$B$42:$B$50,ROWS(INPUTS!$B$42:$B$50)),"LARGER",INDEX(INPUTS!$A$42:$A$50,MATCH(AG_REQ!O22,INPUTS!$B$42:$B$50,1)+1))),IF(AG_REQ!O22&lt;=INDEX(INPUTS!$E$42:$E$50,1),INDEX(INPUTS!$D$42:$D$50,1),IF(AG_REQ!O22&gt;INDEX(INPUTS!$E$42:$E$50,ROWS(INPUTS!$E$42:$E$50)),"LARGER",INDEX(INPUTS!$D$42:$D$50,MATCH(AG_REQ!O22,INPUTS!$E$42:$E$50,1)+1)))))</f>
        <v>14x24</v>
      </c>
      <c r="P22" s="4" t="str">
        <f aca="false">IF(TRIB!P22="","",IF(OR(ARCH!P22="",LEFT(ARCH!P22,3)="14x"),IF(AG_REQ!P22&lt;=INDEX(INPUTS!$B$42:$B$50,1),INDEX(INPUTS!$A$42:$A$50,1),IF(AG_REQ!P22&gt;INDEX(INPUTS!$B$42:$B$50,ROWS(INPUTS!$B$42:$B$50)),"LARGER",INDEX(INPUTS!$A$42:$A$50,MATCH(AG_REQ!P22,INPUTS!$B$42:$B$50,1)+1))),IF(AG_REQ!P22&lt;=INDEX(INPUTS!$E$42:$E$50,1),INDEX(INPUTS!$D$42:$D$50,1),IF(AG_REQ!P22&gt;INDEX(INPUTS!$E$42:$E$50,ROWS(INPUTS!$E$42:$E$50)),"LARGER",INDEX(INPUTS!$D$42:$D$50,MATCH(AG_REQ!P22,INPUTS!$E$42:$E$50,1)+1)))))</f>
        <v>14x24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4" t="str">
        <f aca="false">IF(TRIB!E23="","",IF(OR(ARCH!E23="",LEFT(ARCH!E23,3)="14x"),IF(AG_REQ!E23&lt;=INDEX(INPUTS!$B$42:$B$50,1),INDEX(INPUTS!$A$42:$A$50,1),IF(AG_REQ!E23&gt;INDEX(INPUTS!$B$42:$B$50,ROWS(INPUTS!$B$42:$B$50)),"LARGER",INDEX(INPUTS!$A$42:$A$50,MATCH(AG_REQ!E23,INPUTS!$B$42:$B$50,1)+1))),IF(AG_REQ!E23&lt;=INDEX(INPUTS!$E$42:$E$50,1),INDEX(INPUTS!$D$42:$D$50,1),IF(AG_REQ!E23&gt;INDEX(INPUTS!$E$42:$E$50,ROWS(INPUTS!$E$42:$E$50)),"LARGER",INDEX(INPUTS!$D$42:$D$50,MATCH(AG_REQ!E23,INPUTS!$E$42:$E$50,1)+1)))))</f>
        <v/>
      </c>
      <c r="F23" s="4" t="str">
        <f aca="false">IF(TRIB!F23="","",IF(OR(ARCH!F23="",LEFT(ARCH!F23,3)="14x"),IF(AG_REQ!F23&lt;=INDEX(INPUTS!$B$42:$B$50,1),INDEX(INPUTS!$A$42:$A$50,1),IF(AG_REQ!F23&gt;INDEX(INPUTS!$B$42:$B$50,ROWS(INPUTS!$B$42:$B$50)),"LARGER",INDEX(INPUTS!$A$42:$A$50,MATCH(AG_REQ!F23,INPUTS!$B$42:$B$50,1)+1))),IF(AG_REQ!F23&lt;=INDEX(INPUTS!$E$42:$E$50,1),INDEX(INPUTS!$D$42:$D$50,1),IF(AG_REQ!F23&gt;INDEX(INPUTS!$E$42:$E$50,ROWS(INPUTS!$E$42:$E$50)),"LARGER",INDEX(INPUTS!$D$42:$D$50,MATCH(AG_REQ!F23,INPUTS!$E$42:$E$50,1)+1)))))</f>
        <v>14x24</v>
      </c>
      <c r="G23" s="4" t="str">
        <f aca="false">IF(TRIB!G23="","",IF(OR(ARCH!G23="",LEFT(ARCH!G23,3)="14x"),IF(AG_REQ!G23&lt;=INDEX(INPUTS!$B$42:$B$50,1),INDEX(INPUTS!$A$42:$A$50,1),IF(AG_REQ!G23&gt;INDEX(INPUTS!$B$42:$B$50,ROWS(INPUTS!$B$42:$B$50)),"LARGER",INDEX(INPUTS!$A$42:$A$50,MATCH(AG_REQ!G23,INPUTS!$B$42:$B$50,1)+1))),IF(AG_REQ!G23&lt;=INDEX(INPUTS!$E$42:$E$50,1),INDEX(INPUTS!$D$42:$D$50,1),IF(AG_REQ!G23&gt;INDEX(INPUTS!$E$42:$E$50,ROWS(INPUTS!$E$42:$E$50)),"LARGER",INDEX(INPUTS!$D$42:$D$50,MATCH(AG_REQ!G23,INPUTS!$E$42:$E$50,1)+1)))))</f>
        <v>14x24</v>
      </c>
      <c r="H23" s="4" t="str">
        <f aca="false">IF(TRIB!H23="","",IF(OR(ARCH!H23="",LEFT(ARCH!H23,3)="14x"),IF(AG_REQ!H23&lt;=INDEX(INPUTS!$B$42:$B$50,1),INDEX(INPUTS!$A$42:$A$50,1),IF(AG_REQ!H23&gt;INDEX(INPUTS!$B$42:$B$50,ROWS(INPUTS!$B$42:$B$50)),"LARGER",INDEX(INPUTS!$A$42:$A$50,MATCH(AG_REQ!H23,INPUTS!$B$42:$B$50,1)+1))),IF(AG_REQ!H23&lt;=INDEX(INPUTS!$E$42:$E$50,1),INDEX(INPUTS!$D$42:$D$50,1),IF(AG_REQ!H23&gt;INDEX(INPUTS!$E$42:$E$50,ROWS(INPUTS!$E$42:$E$50)),"LARGER",INDEX(INPUTS!$D$42:$D$50,MATCH(AG_REQ!H23,INPUTS!$E$42:$E$50,1)+1)))))</f>
        <v>14x24</v>
      </c>
      <c r="I23" s="4" t="str">
        <f aca="false">IF(TRIB!I23="","",IF(OR(ARCH!I23="",LEFT(ARCH!I23,3)="14x"),IF(AG_REQ!I23&lt;=INDEX(INPUTS!$B$42:$B$50,1),INDEX(INPUTS!$A$42:$A$50,1),IF(AG_REQ!I23&gt;INDEX(INPUTS!$B$42:$B$50,ROWS(INPUTS!$B$42:$B$50)),"LARGER",INDEX(INPUTS!$A$42:$A$50,MATCH(AG_REQ!I23,INPUTS!$B$42:$B$50,1)+1))),IF(AG_REQ!I23&lt;=INDEX(INPUTS!$E$42:$E$50,1),INDEX(INPUTS!$D$42:$D$50,1),IF(AG_REQ!I23&gt;INDEX(INPUTS!$E$42:$E$50,ROWS(INPUTS!$E$42:$E$50)),"LARGER",INDEX(INPUTS!$D$42:$D$50,MATCH(AG_REQ!I23,INPUTS!$E$42:$E$50,1)+1)))))</f>
        <v>14x24</v>
      </c>
      <c r="J23" s="4" t="str">
        <f aca="false">IF(TRIB!J23="","",IF(OR(ARCH!J23="",LEFT(ARCH!J23,3)="14x"),IF(AG_REQ!J23&lt;=INDEX(INPUTS!$B$42:$B$50,1),INDEX(INPUTS!$A$42:$A$50,1),IF(AG_REQ!J23&gt;INDEX(INPUTS!$B$42:$B$50,ROWS(INPUTS!$B$42:$B$50)),"LARGER",INDEX(INPUTS!$A$42:$A$50,MATCH(AG_REQ!J23,INPUTS!$B$42:$B$50,1)+1))),IF(AG_REQ!J23&lt;=INDEX(INPUTS!$E$42:$E$50,1),INDEX(INPUTS!$D$42:$D$50,1),IF(AG_REQ!J23&gt;INDEX(INPUTS!$E$42:$E$50,ROWS(INPUTS!$E$42:$E$50)),"LARGER",INDEX(INPUTS!$D$42:$D$50,MATCH(AG_REQ!J23,INPUTS!$E$42:$E$50,1)+1)))))</f>
        <v>14x24</v>
      </c>
      <c r="K23" s="4" t="str">
        <f aca="false">IF(TRIB!K23="","",IF(OR(ARCH!K23="",LEFT(ARCH!K23,3)="14x"),IF(AG_REQ!K23&lt;=INDEX(INPUTS!$B$42:$B$50,1),INDEX(INPUTS!$A$42:$A$50,1),IF(AG_REQ!K23&gt;INDEX(INPUTS!$B$42:$B$50,ROWS(INPUTS!$B$42:$B$50)),"LARGER",INDEX(INPUTS!$A$42:$A$50,MATCH(AG_REQ!K23,INPUTS!$B$42:$B$50,1)+1))),IF(AG_REQ!K23&lt;=INDEX(INPUTS!$E$42:$E$50,1),INDEX(INPUTS!$D$42:$D$50,1),IF(AG_REQ!K23&gt;INDEX(INPUTS!$E$42:$E$50,ROWS(INPUTS!$E$42:$E$50)),"LARGER",INDEX(INPUTS!$D$42:$D$50,MATCH(AG_REQ!K23,INPUTS!$E$42:$E$50,1)+1)))))</f>
        <v>14x24</v>
      </c>
      <c r="L23" s="4" t="str">
        <f aca="false">IF(TRIB!L23="","",IF(OR(ARCH!L23="",LEFT(ARCH!L23,3)="14x"),IF(AG_REQ!L23&lt;=INDEX(INPUTS!$B$42:$B$50,1),INDEX(INPUTS!$A$42:$A$50,1),IF(AG_REQ!L23&gt;INDEX(INPUTS!$B$42:$B$50,ROWS(INPUTS!$B$42:$B$50)),"LARGER",INDEX(INPUTS!$A$42:$A$50,MATCH(AG_REQ!L23,INPUTS!$B$42:$B$50,1)+1))),IF(AG_REQ!L23&lt;=INDEX(INPUTS!$E$42:$E$50,1),INDEX(INPUTS!$D$42:$D$50,1),IF(AG_REQ!L23&gt;INDEX(INPUTS!$E$42:$E$50,ROWS(INPUTS!$E$42:$E$50)),"LARGER",INDEX(INPUTS!$D$42:$D$50,MATCH(AG_REQ!L23,INPUTS!$E$42:$E$50,1)+1)))))</f>
        <v>14x24</v>
      </c>
      <c r="M23" s="4" t="str">
        <f aca="false">IF(TRIB!M23="","",IF(OR(ARCH!M23="",LEFT(ARCH!M23,3)="14x"),IF(AG_REQ!M23&lt;=INDEX(INPUTS!$B$42:$B$50,1),INDEX(INPUTS!$A$42:$A$50,1),IF(AG_REQ!M23&gt;INDEX(INPUTS!$B$42:$B$50,ROWS(INPUTS!$B$42:$B$50)),"LARGER",INDEX(INPUTS!$A$42:$A$50,MATCH(AG_REQ!M23,INPUTS!$B$42:$B$50,1)+1))),IF(AG_REQ!M23&lt;=INDEX(INPUTS!$E$42:$E$50,1),INDEX(INPUTS!$D$42:$D$50,1),IF(AG_REQ!M23&gt;INDEX(INPUTS!$E$42:$E$50,ROWS(INPUTS!$E$42:$E$50)),"LARGER",INDEX(INPUTS!$D$42:$D$50,MATCH(AG_REQ!M23,INPUTS!$E$42:$E$50,1)+1)))))</f>
        <v>14x24</v>
      </c>
      <c r="N23" s="4" t="str">
        <f aca="false">IF(TRIB!N23="","",IF(OR(ARCH!N23="",LEFT(ARCH!N23,3)="14x"),IF(AG_REQ!N23&lt;=INDEX(INPUTS!$B$42:$B$50,1),INDEX(INPUTS!$A$42:$A$50,1),IF(AG_REQ!N23&gt;INDEX(INPUTS!$B$42:$B$50,ROWS(INPUTS!$B$42:$B$50)),"LARGER",INDEX(INPUTS!$A$42:$A$50,MATCH(AG_REQ!N23,INPUTS!$B$42:$B$50,1)+1))),IF(AG_REQ!N23&lt;=INDEX(INPUTS!$E$42:$E$50,1),INDEX(INPUTS!$D$42:$D$50,1),IF(AG_REQ!N23&gt;INDEX(INPUTS!$E$42:$E$50,ROWS(INPUTS!$E$42:$E$50)),"LARGER",INDEX(INPUTS!$D$42:$D$50,MATCH(AG_REQ!N23,INPUTS!$E$42:$E$50,1)+1)))))</f>
        <v>14x24</v>
      </c>
      <c r="O23" s="4" t="str">
        <f aca="false">IF(TRIB!O23="","",IF(OR(ARCH!O23="",LEFT(ARCH!O23,3)="14x"),IF(AG_REQ!O23&lt;=INDEX(INPUTS!$B$42:$B$50,1),INDEX(INPUTS!$A$42:$A$50,1),IF(AG_REQ!O23&gt;INDEX(INPUTS!$B$42:$B$50,ROWS(INPUTS!$B$42:$B$50)),"LARGER",INDEX(INPUTS!$A$42:$A$50,MATCH(AG_REQ!O23,INPUTS!$B$42:$B$50,1)+1))),IF(AG_REQ!O23&lt;=INDEX(INPUTS!$E$42:$E$50,1),INDEX(INPUTS!$D$42:$D$50,1),IF(AG_REQ!O23&gt;INDEX(INPUTS!$E$42:$E$50,ROWS(INPUTS!$E$42:$E$50)),"LARGER",INDEX(INPUTS!$D$42:$D$50,MATCH(AG_REQ!O23,INPUTS!$E$42:$E$50,1)+1)))))</f>
        <v>14x24</v>
      </c>
      <c r="P23" s="4" t="str">
        <f aca="false">IF(TRIB!P23="","",IF(OR(ARCH!P23="",LEFT(ARCH!P23,3)="14x"),IF(AG_REQ!P23&lt;=INDEX(INPUTS!$B$42:$B$50,1),INDEX(INPUTS!$A$42:$A$50,1),IF(AG_REQ!P23&gt;INDEX(INPUTS!$B$42:$B$50,ROWS(INPUTS!$B$42:$B$50)),"LARGER",INDEX(INPUTS!$A$42:$A$50,MATCH(AG_REQ!P23,INPUTS!$B$42:$B$50,1)+1))),IF(AG_REQ!P23&lt;=INDEX(INPUTS!$E$42:$E$50,1),INDEX(INPUTS!$D$42:$D$50,1),IF(AG_REQ!P23&gt;INDEX(INPUTS!$E$42:$E$50,ROWS(INPUTS!$E$42:$E$50)),"LARGER",INDEX(INPUTS!$D$42:$D$50,MATCH(AG_REQ!P23,INPUTS!$E$42:$E$50,1)+1)))))</f>
        <v>14x24</v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4" t="str">
        <f aca="false">IF(TRIB!E24="","",IF(OR(ARCH!E24="",LEFT(ARCH!E24,3)="14x"),IF(AG_REQ!E24&lt;=INDEX(INPUTS!$B$42:$B$50,1),INDEX(INPUTS!$A$42:$A$50,1),IF(AG_REQ!E24&gt;INDEX(INPUTS!$B$42:$B$50,ROWS(INPUTS!$B$42:$B$50)),"LARGER",INDEX(INPUTS!$A$42:$A$50,MATCH(AG_REQ!E24,INPUTS!$B$42:$B$50,1)+1))),IF(AG_REQ!E24&lt;=INDEX(INPUTS!$E$42:$E$50,1),INDEX(INPUTS!$D$42:$D$50,1),IF(AG_REQ!E24&gt;INDEX(INPUTS!$E$42:$E$50,ROWS(INPUTS!$E$42:$E$50)),"LARGER",INDEX(INPUTS!$D$42:$D$50,MATCH(AG_REQ!E24,INPUTS!$E$42:$E$50,1)+1)))))</f>
        <v/>
      </c>
      <c r="F24" s="4" t="str">
        <f aca="false">IF(TRIB!F24="","",IF(OR(ARCH!F24="",LEFT(ARCH!F24,3)="14x"),IF(AG_REQ!F24&lt;=INDEX(INPUTS!$B$42:$B$50,1),INDEX(INPUTS!$A$42:$A$50,1),IF(AG_REQ!F24&gt;INDEX(INPUTS!$B$42:$B$50,ROWS(INPUTS!$B$42:$B$50)),"LARGER",INDEX(INPUTS!$A$42:$A$50,MATCH(AG_REQ!F24,INPUTS!$B$42:$B$50,1)+1))),IF(AG_REQ!F24&lt;=INDEX(INPUTS!$E$42:$E$50,1),INDEX(INPUTS!$D$42:$D$50,1),IF(AG_REQ!F24&gt;INDEX(INPUTS!$E$42:$E$50,ROWS(INPUTS!$E$42:$E$50)),"LARGER",INDEX(INPUTS!$D$42:$D$50,MATCH(AG_REQ!F24,INPUTS!$E$42:$E$50,1)+1)))))</f>
        <v>14x24</v>
      </c>
      <c r="G24" s="4" t="str">
        <f aca="false">IF(TRIB!G24="","",IF(OR(ARCH!G24="",LEFT(ARCH!G24,3)="14x"),IF(AG_REQ!G24&lt;=INDEX(INPUTS!$B$42:$B$50,1),INDEX(INPUTS!$A$42:$A$50,1),IF(AG_REQ!G24&gt;INDEX(INPUTS!$B$42:$B$50,ROWS(INPUTS!$B$42:$B$50)),"LARGER",INDEX(INPUTS!$A$42:$A$50,MATCH(AG_REQ!G24,INPUTS!$B$42:$B$50,1)+1))),IF(AG_REQ!G24&lt;=INDEX(INPUTS!$E$42:$E$50,1),INDEX(INPUTS!$D$42:$D$50,1),IF(AG_REQ!G24&gt;INDEX(INPUTS!$E$42:$E$50,ROWS(INPUTS!$E$42:$E$50)),"LARGER",INDEX(INPUTS!$D$42:$D$50,MATCH(AG_REQ!G24,INPUTS!$E$42:$E$50,1)+1)))))</f>
        <v>14x24</v>
      </c>
      <c r="H24" s="4" t="str">
        <f aca="false">IF(TRIB!H24="","",IF(OR(ARCH!H24="",LEFT(ARCH!H24,3)="14x"),IF(AG_REQ!H24&lt;=INDEX(INPUTS!$B$42:$B$50,1),INDEX(INPUTS!$A$42:$A$50,1),IF(AG_REQ!H24&gt;INDEX(INPUTS!$B$42:$B$50,ROWS(INPUTS!$B$42:$B$50)),"LARGER",INDEX(INPUTS!$A$42:$A$50,MATCH(AG_REQ!H24,INPUTS!$B$42:$B$50,1)+1))),IF(AG_REQ!H24&lt;=INDEX(INPUTS!$E$42:$E$50,1),INDEX(INPUTS!$D$42:$D$50,1),IF(AG_REQ!H24&gt;INDEX(INPUTS!$E$42:$E$50,ROWS(INPUTS!$E$42:$E$50)),"LARGER",INDEX(INPUTS!$D$42:$D$50,MATCH(AG_REQ!H24,INPUTS!$E$42:$E$50,1)+1)))))</f>
        <v>14x24</v>
      </c>
      <c r="I24" s="4" t="str">
        <f aca="false">IF(TRIB!I24="","",IF(OR(ARCH!I24="",LEFT(ARCH!I24,3)="14x"),IF(AG_REQ!I24&lt;=INDEX(INPUTS!$B$42:$B$50,1),INDEX(INPUTS!$A$42:$A$50,1),IF(AG_REQ!I24&gt;INDEX(INPUTS!$B$42:$B$50,ROWS(INPUTS!$B$42:$B$50)),"LARGER",INDEX(INPUTS!$A$42:$A$50,MATCH(AG_REQ!I24,INPUTS!$B$42:$B$50,1)+1))),IF(AG_REQ!I24&lt;=INDEX(INPUTS!$E$42:$E$50,1),INDEX(INPUTS!$D$42:$D$50,1),IF(AG_REQ!I24&gt;INDEX(INPUTS!$E$42:$E$50,ROWS(INPUTS!$E$42:$E$50)),"LARGER",INDEX(INPUTS!$D$42:$D$50,MATCH(AG_REQ!I24,INPUTS!$E$42:$E$50,1)+1)))))</f>
        <v>14x24</v>
      </c>
      <c r="J24" s="4" t="str">
        <f aca="false">IF(TRIB!J24="","",IF(OR(ARCH!J24="",LEFT(ARCH!J24,3)="14x"),IF(AG_REQ!J24&lt;=INDEX(INPUTS!$B$42:$B$50,1),INDEX(INPUTS!$A$42:$A$50,1),IF(AG_REQ!J24&gt;INDEX(INPUTS!$B$42:$B$50,ROWS(INPUTS!$B$42:$B$50)),"LARGER",INDEX(INPUTS!$A$42:$A$50,MATCH(AG_REQ!J24,INPUTS!$B$42:$B$50,1)+1))),IF(AG_REQ!J24&lt;=INDEX(INPUTS!$E$42:$E$50,1),INDEX(INPUTS!$D$42:$D$50,1),IF(AG_REQ!J24&gt;INDEX(INPUTS!$E$42:$E$50,ROWS(INPUTS!$E$42:$E$50)),"LARGER",INDEX(INPUTS!$D$42:$D$50,MATCH(AG_REQ!J24,INPUTS!$E$42:$E$50,1)+1)))))</f>
        <v>14x24</v>
      </c>
      <c r="K24" s="4" t="str">
        <f aca="false">IF(TRIB!K24="","",IF(OR(ARCH!K24="",LEFT(ARCH!K24,3)="14x"),IF(AG_REQ!K24&lt;=INDEX(INPUTS!$B$42:$B$50,1),INDEX(INPUTS!$A$42:$A$50,1),IF(AG_REQ!K24&gt;INDEX(INPUTS!$B$42:$B$50,ROWS(INPUTS!$B$42:$B$50)),"LARGER",INDEX(INPUTS!$A$42:$A$50,MATCH(AG_REQ!K24,INPUTS!$B$42:$B$50,1)+1))),IF(AG_REQ!K24&lt;=INDEX(INPUTS!$E$42:$E$50,1),INDEX(INPUTS!$D$42:$D$50,1),IF(AG_REQ!K24&gt;INDEX(INPUTS!$E$42:$E$50,ROWS(INPUTS!$E$42:$E$50)),"LARGER",INDEX(INPUTS!$D$42:$D$50,MATCH(AG_REQ!K24,INPUTS!$E$42:$E$50,1)+1)))))</f>
        <v>14x24</v>
      </c>
      <c r="L24" s="4" t="str">
        <f aca="false">IF(TRIB!L24="","",IF(OR(ARCH!L24="",LEFT(ARCH!L24,3)="14x"),IF(AG_REQ!L24&lt;=INDEX(INPUTS!$B$42:$B$50,1),INDEX(INPUTS!$A$42:$A$50,1),IF(AG_REQ!L24&gt;INDEX(INPUTS!$B$42:$B$50,ROWS(INPUTS!$B$42:$B$50)),"LARGER",INDEX(INPUTS!$A$42:$A$50,MATCH(AG_REQ!L24,INPUTS!$B$42:$B$50,1)+1))),IF(AG_REQ!L24&lt;=INDEX(INPUTS!$E$42:$E$50,1),INDEX(INPUTS!$D$42:$D$50,1),IF(AG_REQ!L24&gt;INDEX(INPUTS!$E$42:$E$50,ROWS(INPUTS!$E$42:$E$50)),"LARGER",INDEX(INPUTS!$D$42:$D$50,MATCH(AG_REQ!L24,INPUTS!$E$42:$E$50,1)+1)))))</f>
        <v>14x24</v>
      </c>
      <c r="M24" s="4" t="str">
        <f aca="false">IF(TRIB!M24="","",IF(OR(ARCH!M24="",LEFT(ARCH!M24,3)="14x"),IF(AG_REQ!M24&lt;=INDEX(INPUTS!$B$42:$B$50,1),INDEX(INPUTS!$A$42:$A$50,1),IF(AG_REQ!M24&gt;INDEX(INPUTS!$B$42:$B$50,ROWS(INPUTS!$B$42:$B$50)),"LARGER",INDEX(INPUTS!$A$42:$A$50,MATCH(AG_REQ!M24,INPUTS!$B$42:$B$50,1)+1))),IF(AG_REQ!M24&lt;=INDEX(INPUTS!$E$42:$E$50,1),INDEX(INPUTS!$D$42:$D$50,1),IF(AG_REQ!M24&gt;INDEX(INPUTS!$E$42:$E$50,ROWS(INPUTS!$E$42:$E$50)),"LARGER",INDEX(INPUTS!$D$42:$D$50,MATCH(AG_REQ!M24,INPUTS!$E$42:$E$50,1)+1)))))</f>
        <v>14x24</v>
      </c>
      <c r="N24" s="4" t="str">
        <f aca="false">IF(TRIB!N24="","",IF(OR(ARCH!N24="",LEFT(ARCH!N24,3)="14x"),IF(AG_REQ!N24&lt;=INDEX(INPUTS!$B$42:$B$50,1),INDEX(INPUTS!$A$42:$A$50,1),IF(AG_REQ!N24&gt;INDEX(INPUTS!$B$42:$B$50,ROWS(INPUTS!$B$42:$B$50)),"LARGER",INDEX(INPUTS!$A$42:$A$50,MATCH(AG_REQ!N24,INPUTS!$B$42:$B$50,1)+1))),IF(AG_REQ!N24&lt;=INDEX(INPUTS!$E$42:$E$50,1),INDEX(INPUTS!$D$42:$D$50,1),IF(AG_REQ!N24&gt;INDEX(INPUTS!$E$42:$E$50,ROWS(INPUTS!$E$42:$E$50)),"LARGER",INDEX(INPUTS!$D$42:$D$50,MATCH(AG_REQ!N24,INPUTS!$E$42:$E$50,1)+1)))))</f>
        <v>14x24</v>
      </c>
      <c r="O24" s="4" t="str">
        <f aca="false">IF(TRIB!O24="","",IF(OR(ARCH!O24="",LEFT(ARCH!O24,3)="14x"),IF(AG_REQ!O24&lt;=INDEX(INPUTS!$B$42:$B$50,1),INDEX(INPUTS!$A$42:$A$50,1),IF(AG_REQ!O24&gt;INDEX(INPUTS!$B$42:$B$50,ROWS(INPUTS!$B$42:$B$50)),"LARGER",INDEX(INPUTS!$A$42:$A$50,MATCH(AG_REQ!O24,INPUTS!$B$42:$B$50,1)+1))),IF(AG_REQ!O24&lt;=INDEX(INPUTS!$E$42:$E$50,1),INDEX(INPUTS!$D$42:$D$50,1),IF(AG_REQ!O24&gt;INDEX(INPUTS!$E$42:$E$50,ROWS(INPUTS!$E$42:$E$50)),"LARGER",INDEX(INPUTS!$D$42:$D$50,MATCH(AG_REQ!O24,INPUTS!$E$42:$E$50,1)+1)))))</f>
        <v>14x24</v>
      </c>
      <c r="P24" s="4" t="str">
        <f aca="false">IF(TRIB!P24="","",IF(OR(ARCH!P24="",LEFT(ARCH!P24,3)="14x"),IF(AG_REQ!P24&lt;=INDEX(INPUTS!$B$42:$B$50,1),INDEX(INPUTS!$A$42:$A$50,1),IF(AG_REQ!P24&gt;INDEX(INPUTS!$B$42:$B$50,ROWS(INPUTS!$B$42:$B$50)),"LARGER",INDEX(INPUTS!$A$42:$A$50,MATCH(AG_REQ!P24,INPUTS!$B$42:$B$50,1)+1))),IF(AG_REQ!P24&lt;=INDEX(INPUTS!$E$42:$E$50,1),INDEX(INPUTS!$D$42:$D$50,1),IF(AG_REQ!P24&gt;INDEX(INPUTS!$E$42:$E$50,ROWS(INPUTS!$E$42:$E$50)),"LARGER",INDEX(INPUTS!$D$42:$D$50,MATCH(AG_REQ!P24,INPUTS!$E$42:$E$50,1)+1)))))</f>
        <v>14x24</v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4" t="str">
        <f aca="false">IF(TRIB!E25="","",IF(OR(ARCH!E25="",LEFT(ARCH!E25,3)="14x"),IF(AG_REQ!E25&lt;=INDEX(INPUTS!$B$42:$B$50,1),INDEX(INPUTS!$A$42:$A$50,1),IF(AG_REQ!E25&gt;INDEX(INPUTS!$B$42:$B$50,ROWS(INPUTS!$B$42:$B$50)),"LARGER",INDEX(INPUTS!$A$42:$A$50,MATCH(AG_REQ!E25,INPUTS!$B$42:$B$50,1)+1))),IF(AG_REQ!E25&lt;=INDEX(INPUTS!$E$42:$E$50,1),INDEX(INPUTS!$D$42:$D$50,1),IF(AG_REQ!E25&gt;INDEX(INPUTS!$E$42:$E$50,ROWS(INPUTS!$E$42:$E$50)),"LARGER",INDEX(INPUTS!$D$42:$D$50,MATCH(AG_REQ!E25,INPUTS!$E$42:$E$50,1)+1)))))</f>
        <v/>
      </c>
      <c r="F25" s="4" t="str">
        <f aca="false">IF(TRIB!F25="","",IF(OR(ARCH!F25="",LEFT(ARCH!F25,3)="14x"),IF(AG_REQ!F25&lt;=INDEX(INPUTS!$B$42:$B$50,1),INDEX(INPUTS!$A$42:$A$50,1),IF(AG_REQ!F25&gt;INDEX(INPUTS!$B$42:$B$50,ROWS(INPUTS!$B$42:$B$50)),"LARGER",INDEX(INPUTS!$A$42:$A$50,MATCH(AG_REQ!F25,INPUTS!$B$42:$B$50,1)+1))),IF(AG_REQ!F25&lt;=INDEX(INPUTS!$E$42:$E$50,1),INDEX(INPUTS!$D$42:$D$50,1),IF(AG_REQ!F25&gt;INDEX(INPUTS!$E$42:$E$50,ROWS(INPUTS!$E$42:$E$50)),"LARGER",INDEX(INPUTS!$D$42:$D$50,MATCH(AG_REQ!F25,INPUTS!$E$42:$E$50,1)+1)))))</f>
        <v>14x24</v>
      </c>
      <c r="G25" s="4" t="str">
        <f aca="false">IF(TRIB!G25="","",IF(OR(ARCH!G25="",LEFT(ARCH!G25,3)="14x"),IF(AG_REQ!G25&lt;=INDEX(INPUTS!$B$42:$B$50,1),INDEX(INPUTS!$A$42:$A$50,1),IF(AG_REQ!G25&gt;INDEX(INPUTS!$B$42:$B$50,ROWS(INPUTS!$B$42:$B$50)),"LARGER",INDEX(INPUTS!$A$42:$A$50,MATCH(AG_REQ!G25,INPUTS!$B$42:$B$50,1)+1))),IF(AG_REQ!G25&lt;=INDEX(INPUTS!$E$42:$E$50,1),INDEX(INPUTS!$D$42:$D$50,1),IF(AG_REQ!G25&gt;INDEX(INPUTS!$E$42:$E$50,ROWS(INPUTS!$E$42:$E$50)),"LARGER",INDEX(INPUTS!$D$42:$D$50,MATCH(AG_REQ!G25,INPUTS!$E$42:$E$50,1)+1)))))</f>
        <v>14x24</v>
      </c>
      <c r="H25" s="4" t="str">
        <f aca="false">IF(TRIB!H25="","",IF(OR(ARCH!H25="",LEFT(ARCH!H25,3)="14x"),IF(AG_REQ!H25&lt;=INDEX(INPUTS!$B$42:$B$50,1),INDEX(INPUTS!$A$42:$A$50,1),IF(AG_REQ!H25&gt;INDEX(INPUTS!$B$42:$B$50,ROWS(INPUTS!$B$42:$B$50)),"LARGER",INDEX(INPUTS!$A$42:$A$50,MATCH(AG_REQ!H25,INPUTS!$B$42:$B$50,1)+1))),IF(AG_REQ!H25&lt;=INDEX(INPUTS!$E$42:$E$50,1),INDEX(INPUTS!$D$42:$D$50,1),IF(AG_REQ!H25&gt;INDEX(INPUTS!$E$42:$E$50,ROWS(INPUTS!$E$42:$E$50)),"LARGER",INDEX(INPUTS!$D$42:$D$50,MATCH(AG_REQ!H25,INPUTS!$E$42:$E$50,1)+1)))))</f>
        <v>14x24</v>
      </c>
      <c r="I25" s="4" t="str">
        <f aca="false">IF(TRIB!I25="","",IF(OR(ARCH!I25="",LEFT(ARCH!I25,3)="14x"),IF(AG_REQ!I25&lt;=INDEX(INPUTS!$B$42:$B$50,1),INDEX(INPUTS!$A$42:$A$50,1),IF(AG_REQ!I25&gt;INDEX(INPUTS!$B$42:$B$50,ROWS(INPUTS!$B$42:$B$50)),"LARGER",INDEX(INPUTS!$A$42:$A$50,MATCH(AG_REQ!I25,INPUTS!$B$42:$B$50,1)+1))),IF(AG_REQ!I25&lt;=INDEX(INPUTS!$E$42:$E$50,1),INDEX(INPUTS!$D$42:$D$50,1),IF(AG_REQ!I25&gt;INDEX(INPUTS!$E$42:$E$50,ROWS(INPUTS!$E$42:$E$50)),"LARGER",INDEX(INPUTS!$D$42:$D$50,MATCH(AG_REQ!I25,INPUTS!$E$42:$E$50,1)+1)))))</f>
        <v>14x24</v>
      </c>
      <c r="J25" s="4" t="str">
        <f aca="false">IF(TRIB!J25="","",IF(OR(ARCH!J25="",LEFT(ARCH!J25,3)="14x"),IF(AG_REQ!J25&lt;=INDEX(INPUTS!$B$42:$B$50,1),INDEX(INPUTS!$A$42:$A$50,1),IF(AG_REQ!J25&gt;INDEX(INPUTS!$B$42:$B$50,ROWS(INPUTS!$B$42:$B$50)),"LARGER",INDEX(INPUTS!$A$42:$A$50,MATCH(AG_REQ!J25,INPUTS!$B$42:$B$50,1)+1))),IF(AG_REQ!J25&lt;=INDEX(INPUTS!$E$42:$E$50,1),INDEX(INPUTS!$D$42:$D$50,1),IF(AG_REQ!J25&gt;INDEX(INPUTS!$E$42:$E$50,ROWS(INPUTS!$E$42:$E$50)),"LARGER",INDEX(INPUTS!$D$42:$D$50,MATCH(AG_REQ!J25,INPUTS!$E$42:$E$50,1)+1)))))</f>
        <v>14x24</v>
      </c>
      <c r="K25" s="4" t="str">
        <f aca="false">IF(TRIB!K25="","",IF(OR(ARCH!K25="",LEFT(ARCH!K25,3)="14x"),IF(AG_REQ!K25&lt;=INDEX(INPUTS!$B$42:$B$50,1),INDEX(INPUTS!$A$42:$A$50,1),IF(AG_REQ!K25&gt;INDEX(INPUTS!$B$42:$B$50,ROWS(INPUTS!$B$42:$B$50)),"LARGER",INDEX(INPUTS!$A$42:$A$50,MATCH(AG_REQ!K25,INPUTS!$B$42:$B$50,1)+1))),IF(AG_REQ!K25&lt;=INDEX(INPUTS!$E$42:$E$50,1),INDEX(INPUTS!$D$42:$D$50,1),IF(AG_REQ!K25&gt;INDEX(INPUTS!$E$42:$E$50,ROWS(INPUTS!$E$42:$E$50)),"LARGER",INDEX(INPUTS!$D$42:$D$50,MATCH(AG_REQ!K25,INPUTS!$E$42:$E$50,1)+1)))))</f>
        <v>14x24</v>
      </c>
      <c r="L25" s="4" t="str">
        <f aca="false">IF(TRIB!L25="","",IF(OR(ARCH!L25="",LEFT(ARCH!L25,3)="14x"),IF(AG_REQ!L25&lt;=INDEX(INPUTS!$B$42:$B$50,1),INDEX(INPUTS!$A$42:$A$50,1),IF(AG_REQ!L25&gt;INDEX(INPUTS!$B$42:$B$50,ROWS(INPUTS!$B$42:$B$50)),"LARGER",INDEX(INPUTS!$A$42:$A$50,MATCH(AG_REQ!L25,INPUTS!$B$42:$B$50,1)+1))),IF(AG_REQ!L25&lt;=INDEX(INPUTS!$E$42:$E$50,1),INDEX(INPUTS!$D$42:$D$50,1),IF(AG_REQ!L25&gt;INDEX(INPUTS!$E$42:$E$50,ROWS(INPUTS!$E$42:$E$50)),"LARGER",INDEX(INPUTS!$D$42:$D$50,MATCH(AG_REQ!L25,INPUTS!$E$42:$E$50,1)+1)))))</f>
        <v>14x24</v>
      </c>
      <c r="M25" s="4" t="str">
        <f aca="false">IF(TRIB!M25="","",IF(OR(ARCH!M25="",LEFT(ARCH!M25,3)="14x"),IF(AG_REQ!M25&lt;=INDEX(INPUTS!$B$42:$B$50,1),INDEX(INPUTS!$A$42:$A$50,1),IF(AG_REQ!M25&gt;INDEX(INPUTS!$B$42:$B$50,ROWS(INPUTS!$B$42:$B$50)),"LARGER",INDEX(INPUTS!$A$42:$A$50,MATCH(AG_REQ!M25,INPUTS!$B$42:$B$50,1)+1))),IF(AG_REQ!M25&lt;=INDEX(INPUTS!$E$42:$E$50,1),INDEX(INPUTS!$D$42:$D$50,1),IF(AG_REQ!M25&gt;INDEX(INPUTS!$E$42:$E$50,ROWS(INPUTS!$E$42:$E$50)),"LARGER",INDEX(INPUTS!$D$42:$D$50,MATCH(AG_REQ!M25,INPUTS!$E$42:$E$50,1)+1)))))</f>
        <v>14x24</v>
      </c>
      <c r="N25" s="4" t="str">
        <f aca="false">IF(TRIB!N25="","",IF(OR(ARCH!N25="",LEFT(ARCH!N25,3)="14x"),IF(AG_REQ!N25&lt;=INDEX(INPUTS!$B$42:$B$50,1),INDEX(INPUTS!$A$42:$A$50,1),IF(AG_REQ!N25&gt;INDEX(INPUTS!$B$42:$B$50,ROWS(INPUTS!$B$42:$B$50)),"LARGER",INDEX(INPUTS!$A$42:$A$50,MATCH(AG_REQ!N25,INPUTS!$B$42:$B$50,1)+1))),IF(AG_REQ!N25&lt;=INDEX(INPUTS!$E$42:$E$50,1),INDEX(INPUTS!$D$42:$D$50,1),IF(AG_REQ!N25&gt;INDEX(INPUTS!$E$42:$E$50,ROWS(INPUTS!$E$42:$E$50)),"LARGER",INDEX(INPUTS!$D$42:$D$50,MATCH(AG_REQ!N25,INPUTS!$E$42:$E$50,1)+1)))))</f>
        <v>14x24</v>
      </c>
      <c r="O25" s="4" t="str">
        <f aca="false">IF(TRIB!O25="","",IF(OR(ARCH!O25="",LEFT(ARCH!O25,3)="14x"),IF(AG_REQ!O25&lt;=INDEX(INPUTS!$B$42:$B$50,1),INDEX(INPUTS!$A$42:$A$50,1),IF(AG_REQ!O25&gt;INDEX(INPUTS!$B$42:$B$50,ROWS(INPUTS!$B$42:$B$50)),"LARGER",INDEX(INPUTS!$A$42:$A$50,MATCH(AG_REQ!O25,INPUTS!$B$42:$B$50,1)+1))),IF(AG_REQ!O25&lt;=INDEX(INPUTS!$E$42:$E$50,1),INDEX(INPUTS!$D$42:$D$50,1),IF(AG_REQ!O25&gt;INDEX(INPUTS!$E$42:$E$50,ROWS(INPUTS!$E$42:$E$50)),"LARGER",INDEX(INPUTS!$D$42:$D$50,MATCH(AG_REQ!O25,INPUTS!$E$42:$E$50,1)+1)))))</f>
        <v>14x24</v>
      </c>
      <c r="P25" s="4" t="str">
        <f aca="false">IF(TRIB!P25="","",IF(OR(ARCH!P25="",LEFT(ARCH!P25,3)="14x"),IF(AG_REQ!P25&lt;=INDEX(INPUTS!$B$42:$B$50,1),INDEX(INPUTS!$A$42:$A$50,1),IF(AG_REQ!P25&gt;INDEX(INPUTS!$B$42:$B$50,ROWS(INPUTS!$B$42:$B$50)),"LARGER",INDEX(INPUTS!$A$42:$A$50,MATCH(AG_REQ!P25,INPUTS!$B$42:$B$50,1)+1))),IF(AG_REQ!P25&lt;=INDEX(INPUTS!$E$42:$E$50,1),INDEX(INPUTS!$D$42:$D$50,1),IF(AG_REQ!P25&gt;INDEX(INPUTS!$E$42:$E$50,ROWS(INPUTS!$E$42:$E$50)),"LARGER",INDEX(INPUTS!$D$42:$D$50,MATCH(AG_REQ!P25,INPUTS!$E$42:$E$50,1)+1)))))</f>
        <v>14x24</v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4" t="str">
        <f aca="false">IF(TRIB!E26="","",IF(OR(ARCH!E26="",LEFT(ARCH!E26,3)="14x"),IF(AG_REQ!E26&lt;=INDEX(INPUTS!$B$42:$B$50,1),INDEX(INPUTS!$A$42:$A$50,1),IF(AG_REQ!E26&gt;INDEX(INPUTS!$B$42:$B$50,ROWS(INPUTS!$B$42:$B$50)),"LARGER",INDEX(INPUTS!$A$42:$A$50,MATCH(AG_REQ!E26,INPUTS!$B$42:$B$50,1)+1))),IF(AG_REQ!E26&lt;=INDEX(INPUTS!$E$42:$E$50,1),INDEX(INPUTS!$D$42:$D$50,1),IF(AG_REQ!E26&gt;INDEX(INPUTS!$E$42:$E$50,ROWS(INPUTS!$E$42:$E$50)),"LARGER",INDEX(INPUTS!$D$42:$D$50,MATCH(AG_REQ!E26,INPUTS!$E$42:$E$50,1)+1)))))</f>
        <v/>
      </c>
      <c r="F26" s="4" t="str">
        <f aca="false">IF(TRIB!F26="","",IF(OR(ARCH!F26="",LEFT(ARCH!F26,3)="14x"),IF(AG_REQ!F26&lt;=INDEX(INPUTS!$B$42:$B$50,1),INDEX(INPUTS!$A$42:$A$50,1),IF(AG_REQ!F26&gt;INDEX(INPUTS!$B$42:$B$50,ROWS(INPUTS!$B$42:$B$50)),"LARGER",INDEX(INPUTS!$A$42:$A$50,MATCH(AG_REQ!F26,INPUTS!$B$42:$B$50,1)+1))),IF(AG_REQ!F26&lt;=INDEX(INPUTS!$E$42:$E$50,1),INDEX(INPUTS!$D$42:$D$50,1),IF(AG_REQ!F26&gt;INDEX(INPUTS!$E$42:$E$50,ROWS(INPUTS!$E$42:$E$50)),"LARGER",INDEX(INPUTS!$D$42:$D$50,MATCH(AG_REQ!F26,INPUTS!$E$42:$E$50,1)+1)))))</f>
        <v>14x24</v>
      </c>
      <c r="G26" s="4" t="str">
        <f aca="false">IF(TRIB!G26="","",IF(OR(ARCH!G26="",LEFT(ARCH!G26,3)="14x"),IF(AG_REQ!G26&lt;=INDEX(INPUTS!$B$42:$B$50,1),INDEX(INPUTS!$A$42:$A$50,1),IF(AG_REQ!G26&gt;INDEX(INPUTS!$B$42:$B$50,ROWS(INPUTS!$B$42:$B$50)),"LARGER",INDEX(INPUTS!$A$42:$A$50,MATCH(AG_REQ!G26,INPUTS!$B$42:$B$50,1)+1))),IF(AG_REQ!G26&lt;=INDEX(INPUTS!$E$42:$E$50,1),INDEX(INPUTS!$D$42:$D$50,1),IF(AG_REQ!G26&gt;INDEX(INPUTS!$E$42:$E$50,ROWS(INPUTS!$E$42:$E$50)),"LARGER",INDEX(INPUTS!$D$42:$D$50,MATCH(AG_REQ!G26,INPUTS!$E$42:$E$50,1)+1)))))</f>
        <v>14x24</v>
      </c>
      <c r="H26" s="4" t="str">
        <f aca="false">IF(TRIB!H26="","",IF(OR(ARCH!H26="",LEFT(ARCH!H26,3)="14x"),IF(AG_REQ!H26&lt;=INDEX(INPUTS!$B$42:$B$50,1),INDEX(INPUTS!$A$42:$A$50,1),IF(AG_REQ!H26&gt;INDEX(INPUTS!$B$42:$B$50,ROWS(INPUTS!$B$42:$B$50)),"LARGER",INDEX(INPUTS!$A$42:$A$50,MATCH(AG_REQ!H26,INPUTS!$B$42:$B$50,1)+1))),IF(AG_REQ!H26&lt;=INDEX(INPUTS!$E$42:$E$50,1),INDEX(INPUTS!$D$42:$D$50,1),IF(AG_REQ!H26&gt;INDEX(INPUTS!$E$42:$E$50,ROWS(INPUTS!$E$42:$E$50)),"LARGER",INDEX(INPUTS!$D$42:$D$50,MATCH(AG_REQ!H26,INPUTS!$E$42:$E$50,1)+1)))))</f>
        <v>14x24</v>
      </c>
      <c r="I26" s="4" t="str">
        <f aca="false">IF(TRIB!I26="","",IF(OR(ARCH!I26="",LEFT(ARCH!I26,3)="14x"),IF(AG_REQ!I26&lt;=INDEX(INPUTS!$B$42:$B$50,1),INDEX(INPUTS!$A$42:$A$50,1),IF(AG_REQ!I26&gt;INDEX(INPUTS!$B$42:$B$50,ROWS(INPUTS!$B$42:$B$50)),"LARGER",INDEX(INPUTS!$A$42:$A$50,MATCH(AG_REQ!I26,INPUTS!$B$42:$B$50,1)+1))),IF(AG_REQ!I26&lt;=INDEX(INPUTS!$E$42:$E$50,1),INDEX(INPUTS!$D$42:$D$50,1),IF(AG_REQ!I26&gt;INDEX(INPUTS!$E$42:$E$50,ROWS(INPUTS!$E$42:$E$50)),"LARGER",INDEX(INPUTS!$D$42:$D$50,MATCH(AG_REQ!I26,INPUTS!$E$42:$E$50,1)+1)))))</f>
        <v>14x24</v>
      </c>
      <c r="J26" s="4" t="str">
        <f aca="false">IF(TRIB!J26="","",IF(OR(ARCH!J26="",LEFT(ARCH!J26,3)="14x"),IF(AG_REQ!J26&lt;=INDEX(INPUTS!$B$42:$B$50,1),INDEX(INPUTS!$A$42:$A$50,1),IF(AG_REQ!J26&gt;INDEX(INPUTS!$B$42:$B$50,ROWS(INPUTS!$B$42:$B$50)),"LARGER",INDEX(INPUTS!$A$42:$A$50,MATCH(AG_REQ!J26,INPUTS!$B$42:$B$50,1)+1))),IF(AG_REQ!J26&lt;=INDEX(INPUTS!$E$42:$E$50,1),INDEX(INPUTS!$D$42:$D$50,1),IF(AG_REQ!J26&gt;INDEX(INPUTS!$E$42:$E$50,ROWS(INPUTS!$E$42:$E$50)),"LARGER",INDEX(INPUTS!$D$42:$D$50,MATCH(AG_REQ!J26,INPUTS!$E$42:$E$50,1)+1)))))</f>
        <v>14x24</v>
      </c>
      <c r="K26" s="4" t="str">
        <f aca="false">IF(TRIB!K26="","",IF(OR(ARCH!K26="",LEFT(ARCH!K26,3)="14x"),IF(AG_REQ!K26&lt;=INDEX(INPUTS!$B$42:$B$50,1),INDEX(INPUTS!$A$42:$A$50,1),IF(AG_REQ!K26&gt;INDEX(INPUTS!$B$42:$B$50,ROWS(INPUTS!$B$42:$B$50)),"LARGER",INDEX(INPUTS!$A$42:$A$50,MATCH(AG_REQ!K26,INPUTS!$B$42:$B$50,1)+1))),IF(AG_REQ!K26&lt;=INDEX(INPUTS!$E$42:$E$50,1),INDEX(INPUTS!$D$42:$D$50,1),IF(AG_REQ!K26&gt;INDEX(INPUTS!$E$42:$E$50,ROWS(INPUTS!$E$42:$E$50)),"LARGER",INDEX(INPUTS!$D$42:$D$50,MATCH(AG_REQ!K26,INPUTS!$E$42:$E$50,1)+1)))))</f>
        <v>14x24</v>
      </c>
      <c r="L26" s="4" t="str">
        <f aca="false">IF(TRIB!L26="","",IF(OR(ARCH!L26="",LEFT(ARCH!L26,3)="14x"),IF(AG_REQ!L26&lt;=INDEX(INPUTS!$B$42:$B$50,1),INDEX(INPUTS!$A$42:$A$50,1),IF(AG_REQ!L26&gt;INDEX(INPUTS!$B$42:$B$50,ROWS(INPUTS!$B$42:$B$50)),"LARGER",INDEX(INPUTS!$A$42:$A$50,MATCH(AG_REQ!L26,INPUTS!$B$42:$B$50,1)+1))),IF(AG_REQ!L26&lt;=INDEX(INPUTS!$E$42:$E$50,1),INDEX(INPUTS!$D$42:$D$50,1),IF(AG_REQ!L26&gt;INDEX(INPUTS!$E$42:$E$50,ROWS(INPUTS!$E$42:$E$50)),"LARGER",INDEX(INPUTS!$D$42:$D$50,MATCH(AG_REQ!L26,INPUTS!$E$42:$E$50,1)+1)))))</f>
        <v>14x24</v>
      </c>
      <c r="M26" s="4" t="str">
        <f aca="false">IF(TRIB!M26="","",IF(OR(ARCH!M26="",LEFT(ARCH!M26,3)="14x"),IF(AG_REQ!M26&lt;=INDEX(INPUTS!$B$42:$B$50,1),INDEX(INPUTS!$A$42:$A$50,1),IF(AG_REQ!M26&gt;INDEX(INPUTS!$B$42:$B$50,ROWS(INPUTS!$B$42:$B$50)),"LARGER",INDEX(INPUTS!$A$42:$A$50,MATCH(AG_REQ!M26,INPUTS!$B$42:$B$50,1)+1))),IF(AG_REQ!M26&lt;=INDEX(INPUTS!$E$42:$E$50,1),INDEX(INPUTS!$D$42:$D$50,1),IF(AG_REQ!M26&gt;INDEX(INPUTS!$E$42:$E$50,ROWS(INPUTS!$E$42:$E$50)),"LARGER",INDEX(INPUTS!$D$42:$D$50,MATCH(AG_REQ!M26,INPUTS!$E$42:$E$50,1)+1)))))</f>
        <v>14x24</v>
      </c>
      <c r="N26" s="4" t="str">
        <f aca="false">IF(TRIB!N26="","",IF(OR(ARCH!N26="",LEFT(ARCH!N26,3)="14x"),IF(AG_REQ!N26&lt;=INDEX(INPUTS!$B$42:$B$50,1),INDEX(INPUTS!$A$42:$A$50,1),IF(AG_REQ!N26&gt;INDEX(INPUTS!$B$42:$B$50,ROWS(INPUTS!$B$42:$B$50)),"LARGER",INDEX(INPUTS!$A$42:$A$50,MATCH(AG_REQ!N26,INPUTS!$B$42:$B$50,1)+1))),IF(AG_REQ!N26&lt;=INDEX(INPUTS!$E$42:$E$50,1),INDEX(INPUTS!$D$42:$D$50,1),IF(AG_REQ!N26&gt;INDEX(INPUTS!$E$42:$E$50,ROWS(INPUTS!$E$42:$E$50)),"LARGER",INDEX(INPUTS!$D$42:$D$50,MATCH(AG_REQ!N26,INPUTS!$E$42:$E$50,1)+1)))))</f>
        <v>14x24</v>
      </c>
      <c r="O26" s="4" t="str">
        <f aca="false">IF(TRIB!O26="","",IF(OR(ARCH!O26="",LEFT(ARCH!O26,3)="14x"),IF(AG_REQ!O26&lt;=INDEX(INPUTS!$B$42:$B$50,1),INDEX(INPUTS!$A$42:$A$50,1),IF(AG_REQ!O26&gt;INDEX(INPUTS!$B$42:$B$50,ROWS(INPUTS!$B$42:$B$50)),"LARGER",INDEX(INPUTS!$A$42:$A$50,MATCH(AG_REQ!O26,INPUTS!$B$42:$B$50,1)+1))),IF(AG_REQ!O26&lt;=INDEX(INPUTS!$E$42:$E$50,1),INDEX(INPUTS!$D$42:$D$50,1),IF(AG_REQ!O26&gt;INDEX(INPUTS!$E$42:$E$50,ROWS(INPUTS!$E$42:$E$50)),"LARGER",INDEX(INPUTS!$D$42:$D$50,MATCH(AG_REQ!O26,INPUTS!$E$42:$E$50,1)+1)))))</f>
        <v>14x24</v>
      </c>
      <c r="P26" s="4" t="str">
        <f aca="false">IF(TRIB!P26="","",IF(OR(ARCH!P26="",LEFT(ARCH!P26,3)="14x"),IF(AG_REQ!P26&lt;=INDEX(INPUTS!$B$42:$B$50,1),INDEX(INPUTS!$A$42:$A$50,1),IF(AG_REQ!P26&gt;INDEX(INPUTS!$B$42:$B$50,ROWS(INPUTS!$B$42:$B$50)),"LARGER",INDEX(INPUTS!$A$42:$A$50,MATCH(AG_REQ!P26,INPUTS!$B$42:$B$50,1)+1))),IF(AG_REQ!P26&lt;=INDEX(INPUTS!$E$42:$E$50,1),INDEX(INPUTS!$D$42:$D$50,1),IF(AG_REQ!P26&gt;INDEX(INPUTS!$E$42:$E$50,ROWS(INPUTS!$E$42:$E$50)),"LARGER",INDEX(INPUTS!$D$42:$D$50,MATCH(AG_REQ!P26,INPUTS!$E$42:$E$50,1)+1)))))</f>
        <v>14x24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4" t="str">
        <f aca="false">IF(TRIB!E27="","",IF(OR(ARCH!E27="",LEFT(ARCH!E27,3)="14x"),IF(AG_REQ!E27&lt;=INDEX(INPUTS!$B$42:$B$50,1),INDEX(INPUTS!$A$42:$A$50,1),IF(AG_REQ!E27&gt;INDEX(INPUTS!$B$42:$B$50,ROWS(INPUTS!$B$42:$B$50)),"LARGER",INDEX(INPUTS!$A$42:$A$50,MATCH(AG_REQ!E27,INPUTS!$B$42:$B$50,1)+1))),IF(AG_REQ!E27&lt;=INDEX(INPUTS!$E$42:$E$50,1),INDEX(INPUTS!$D$42:$D$50,1),IF(AG_REQ!E27&gt;INDEX(INPUTS!$E$42:$E$50,ROWS(INPUTS!$E$42:$E$50)),"LARGER",INDEX(INPUTS!$D$42:$D$50,MATCH(AG_REQ!E27,INPUTS!$E$42:$E$50,1)+1)))))</f>
        <v/>
      </c>
      <c r="F27" s="4" t="str">
        <f aca="false">IF(TRIB!F27="","",IF(OR(ARCH!F27="",LEFT(ARCH!F27,3)="14x"),IF(AG_REQ!F27&lt;=INDEX(INPUTS!$B$42:$B$50,1),INDEX(INPUTS!$A$42:$A$50,1),IF(AG_REQ!F27&gt;INDEX(INPUTS!$B$42:$B$50,ROWS(INPUTS!$B$42:$B$50)),"LARGER",INDEX(INPUTS!$A$42:$A$50,MATCH(AG_REQ!F27,INPUTS!$B$42:$B$50,1)+1))),IF(AG_REQ!F27&lt;=INDEX(INPUTS!$E$42:$E$50,1),INDEX(INPUTS!$D$42:$D$50,1),IF(AG_REQ!F27&gt;INDEX(INPUTS!$E$42:$E$50,ROWS(INPUTS!$E$42:$E$50)),"LARGER",INDEX(INPUTS!$D$42:$D$50,MATCH(AG_REQ!F27,INPUTS!$E$42:$E$50,1)+1)))))</f>
        <v>14x24</v>
      </c>
      <c r="G27" s="4" t="str">
        <f aca="false">IF(TRIB!G27="","",IF(OR(ARCH!G27="",LEFT(ARCH!G27,3)="14x"),IF(AG_REQ!G27&lt;=INDEX(INPUTS!$B$42:$B$50,1),INDEX(INPUTS!$A$42:$A$50,1),IF(AG_REQ!G27&gt;INDEX(INPUTS!$B$42:$B$50,ROWS(INPUTS!$B$42:$B$50)),"LARGER",INDEX(INPUTS!$A$42:$A$50,MATCH(AG_REQ!G27,INPUTS!$B$42:$B$50,1)+1))),IF(AG_REQ!G27&lt;=INDEX(INPUTS!$E$42:$E$50,1),INDEX(INPUTS!$D$42:$D$50,1),IF(AG_REQ!G27&gt;INDEX(INPUTS!$E$42:$E$50,ROWS(INPUTS!$E$42:$E$50)),"LARGER",INDEX(INPUTS!$D$42:$D$50,MATCH(AG_REQ!G27,INPUTS!$E$42:$E$50,1)+1)))))</f>
        <v>14x24</v>
      </c>
      <c r="H27" s="4" t="str">
        <f aca="false">IF(TRIB!H27="","",IF(OR(ARCH!H27="",LEFT(ARCH!H27,3)="14x"),IF(AG_REQ!H27&lt;=INDEX(INPUTS!$B$42:$B$50,1),INDEX(INPUTS!$A$42:$A$50,1),IF(AG_REQ!H27&gt;INDEX(INPUTS!$B$42:$B$50,ROWS(INPUTS!$B$42:$B$50)),"LARGER",INDEX(INPUTS!$A$42:$A$50,MATCH(AG_REQ!H27,INPUTS!$B$42:$B$50,1)+1))),IF(AG_REQ!H27&lt;=INDEX(INPUTS!$E$42:$E$50,1),INDEX(INPUTS!$D$42:$D$50,1),IF(AG_REQ!H27&gt;INDEX(INPUTS!$E$42:$E$50,ROWS(INPUTS!$E$42:$E$50)),"LARGER",INDEX(INPUTS!$D$42:$D$50,MATCH(AG_REQ!H27,INPUTS!$E$42:$E$50,1)+1)))))</f>
        <v>14x24</v>
      </c>
      <c r="I27" s="4" t="str">
        <f aca="false">IF(TRIB!I27="","",IF(OR(ARCH!I27="",LEFT(ARCH!I27,3)="14x"),IF(AG_REQ!I27&lt;=INDEX(INPUTS!$B$42:$B$50,1),INDEX(INPUTS!$A$42:$A$50,1),IF(AG_REQ!I27&gt;INDEX(INPUTS!$B$42:$B$50,ROWS(INPUTS!$B$42:$B$50)),"LARGER",INDEX(INPUTS!$A$42:$A$50,MATCH(AG_REQ!I27,INPUTS!$B$42:$B$50,1)+1))),IF(AG_REQ!I27&lt;=INDEX(INPUTS!$E$42:$E$50,1),INDEX(INPUTS!$D$42:$D$50,1),IF(AG_REQ!I27&gt;INDEX(INPUTS!$E$42:$E$50,ROWS(INPUTS!$E$42:$E$50)),"LARGER",INDEX(INPUTS!$D$42:$D$50,MATCH(AG_REQ!I27,INPUTS!$E$42:$E$50,1)+1)))))</f>
        <v>14x24</v>
      </c>
      <c r="J27" s="4" t="str">
        <f aca="false">IF(TRIB!J27="","",IF(OR(ARCH!J27="",LEFT(ARCH!J27,3)="14x"),IF(AG_REQ!J27&lt;=INDEX(INPUTS!$B$42:$B$50,1),INDEX(INPUTS!$A$42:$A$50,1),IF(AG_REQ!J27&gt;INDEX(INPUTS!$B$42:$B$50,ROWS(INPUTS!$B$42:$B$50)),"LARGER",INDEX(INPUTS!$A$42:$A$50,MATCH(AG_REQ!J27,INPUTS!$B$42:$B$50,1)+1))),IF(AG_REQ!J27&lt;=INDEX(INPUTS!$E$42:$E$50,1),INDEX(INPUTS!$D$42:$D$50,1),IF(AG_REQ!J27&gt;INDEX(INPUTS!$E$42:$E$50,ROWS(INPUTS!$E$42:$E$50)),"LARGER",INDEX(INPUTS!$D$42:$D$50,MATCH(AG_REQ!J27,INPUTS!$E$42:$E$50,1)+1)))))</f>
        <v>14x24</v>
      </c>
      <c r="K27" s="4" t="str">
        <f aca="false">IF(TRIB!K27="","",IF(OR(ARCH!K27="",LEFT(ARCH!K27,3)="14x"),IF(AG_REQ!K27&lt;=INDEX(INPUTS!$B$42:$B$50,1),INDEX(INPUTS!$A$42:$A$50,1),IF(AG_REQ!K27&gt;INDEX(INPUTS!$B$42:$B$50,ROWS(INPUTS!$B$42:$B$50)),"LARGER",INDEX(INPUTS!$A$42:$A$50,MATCH(AG_REQ!K27,INPUTS!$B$42:$B$50,1)+1))),IF(AG_REQ!K27&lt;=INDEX(INPUTS!$E$42:$E$50,1),INDEX(INPUTS!$D$42:$D$50,1),IF(AG_REQ!K27&gt;INDEX(INPUTS!$E$42:$E$50,ROWS(INPUTS!$E$42:$E$50)),"LARGER",INDEX(INPUTS!$D$42:$D$50,MATCH(AG_REQ!K27,INPUTS!$E$42:$E$50,1)+1)))))</f>
        <v>14x24</v>
      </c>
      <c r="L27" s="4" t="str">
        <f aca="false">IF(TRIB!L27="","",IF(OR(ARCH!L27="",LEFT(ARCH!L27,3)="14x"),IF(AG_REQ!L27&lt;=INDEX(INPUTS!$B$42:$B$50,1),INDEX(INPUTS!$A$42:$A$50,1),IF(AG_REQ!L27&gt;INDEX(INPUTS!$B$42:$B$50,ROWS(INPUTS!$B$42:$B$50)),"LARGER",INDEX(INPUTS!$A$42:$A$50,MATCH(AG_REQ!L27,INPUTS!$B$42:$B$50,1)+1))),IF(AG_REQ!L27&lt;=INDEX(INPUTS!$E$42:$E$50,1),INDEX(INPUTS!$D$42:$D$50,1),IF(AG_REQ!L27&gt;INDEX(INPUTS!$E$42:$E$50,ROWS(INPUTS!$E$42:$E$50)),"LARGER",INDEX(INPUTS!$D$42:$D$50,MATCH(AG_REQ!L27,INPUTS!$E$42:$E$50,1)+1)))))</f>
        <v>14x24</v>
      </c>
      <c r="M27" s="4" t="str">
        <f aca="false">IF(TRIB!M27="","",IF(OR(ARCH!M27="",LEFT(ARCH!M27,3)="14x"),IF(AG_REQ!M27&lt;=INDEX(INPUTS!$B$42:$B$50,1),INDEX(INPUTS!$A$42:$A$50,1),IF(AG_REQ!M27&gt;INDEX(INPUTS!$B$42:$B$50,ROWS(INPUTS!$B$42:$B$50)),"LARGER",INDEX(INPUTS!$A$42:$A$50,MATCH(AG_REQ!M27,INPUTS!$B$42:$B$50,1)+1))),IF(AG_REQ!M27&lt;=INDEX(INPUTS!$E$42:$E$50,1),INDEX(INPUTS!$D$42:$D$50,1),IF(AG_REQ!M27&gt;INDEX(INPUTS!$E$42:$E$50,ROWS(INPUTS!$E$42:$E$50)),"LARGER",INDEX(INPUTS!$D$42:$D$50,MATCH(AG_REQ!M27,INPUTS!$E$42:$E$50,1)+1)))))</f>
        <v>14x24</v>
      </c>
      <c r="N27" s="4" t="str">
        <f aca="false">IF(TRIB!N27="","",IF(OR(ARCH!N27="",LEFT(ARCH!N27,3)="14x"),IF(AG_REQ!N27&lt;=INDEX(INPUTS!$B$42:$B$50,1),INDEX(INPUTS!$A$42:$A$50,1),IF(AG_REQ!N27&gt;INDEX(INPUTS!$B$42:$B$50,ROWS(INPUTS!$B$42:$B$50)),"LARGER",INDEX(INPUTS!$A$42:$A$50,MATCH(AG_REQ!N27,INPUTS!$B$42:$B$50,1)+1))),IF(AG_REQ!N27&lt;=INDEX(INPUTS!$E$42:$E$50,1),INDEX(INPUTS!$D$42:$D$50,1),IF(AG_REQ!N27&gt;INDEX(INPUTS!$E$42:$E$50,ROWS(INPUTS!$E$42:$E$50)),"LARGER",INDEX(INPUTS!$D$42:$D$50,MATCH(AG_REQ!N27,INPUTS!$E$42:$E$50,1)+1)))))</f>
        <v>14x24</v>
      </c>
      <c r="O27" s="4" t="str">
        <f aca="false">IF(TRIB!O27="","",IF(OR(ARCH!O27="",LEFT(ARCH!O27,3)="14x"),IF(AG_REQ!O27&lt;=INDEX(INPUTS!$B$42:$B$50,1),INDEX(INPUTS!$A$42:$A$50,1),IF(AG_REQ!O27&gt;INDEX(INPUTS!$B$42:$B$50,ROWS(INPUTS!$B$42:$B$50)),"LARGER",INDEX(INPUTS!$A$42:$A$50,MATCH(AG_REQ!O27,INPUTS!$B$42:$B$50,1)+1))),IF(AG_REQ!O27&lt;=INDEX(INPUTS!$E$42:$E$50,1),INDEX(INPUTS!$D$42:$D$50,1),IF(AG_REQ!O27&gt;INDEX(INPUTS!$E$42:$E$50,ROWS(INPUTS!$E$42:$E$50)),"LARGER",INDEX(INPUTS!$D$42:$D$50,MATCH(AG_REQ!O27,INPUTS!$E$42:$E$50,1)+1)))))</f>
        <v>14x24</v>
      </c>
      <c r="P27" s="4" t="str">
        <f aca="false">IF(TRIB!P27="","",IF(OR(ARCH!P27="",LEFT(ARCH!P27,3)="14x"),IF(AG_REQ!P27&lt;=INDEX(INPUTS!$B$42:$B$50,1),INDEX(INPUTS!$A$42:$A$50,1),IF(AG_REQ!P27&gt;INDEX(INPUTS!$B$42:$B$50,ROWS(INPUTS!$B$42:$B$50)),"LARGER",INDEX(INPUTS!$A$42:$A$50,MATCH(AG_REQ!P27,INPUTS!$B$42:$B$50,1)+1))),IF(AG_REQ!P27&lt;=INDEX(INPUTS!$E$42:$E$50,1),INDEX(INPUTS!$D$42:$D$50,1),IF(AG_REQ!P27&gt;INDEX(INPUTS!$E$42:$E$50,ROWS(INPUTS!$E$42:$E$50)),"LARGER",INDEX(INPUTS!$D$42:$D$50,MATCH(AG_REQ!P27,INPUTS!$E$42:$E$50,1)+1)))))</f>
        <v>14x24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4" t="str">
        <f aca="false">IF(TRIB!E28="","",IF(OR(ARCH!E28="",LEFT(ARCH!E28,3)="14x"),IF(AG_REQ!E28&lt;=INDEX(INPUTS!$B$42:$B$50,1),INDEX(INPUTS!$A$42:$A$50,1),IF(AG_REQ!E28&gt;INDEX(INPUTS!$B$42:$B$50,ROWS(INPUTS!$B$42:$B$50)),"LARGER",INDEX(INPUTS!$A$42:$A$50,MATCH(AG_REQ!E28,INPUTS!$B$42:$B$50,1)+1))),IF(AG_REQ!E28&lt;=INDEX(INPUTS!$E$42:$E$50,1),INDEX(INPUTS!$D$42:$D$50,1),IF(AG_REQ!E28&gt;INDEX(INPUTS!$E$42:$E$50,ROWS(INPUTS!$E$42:$E$50)),"LARGER",INDEX(INPUTS!$D$42:$D$50,MATCH(AG_REQ!E28,INPUTS!$E$42:$E$50,1)+1)))))</f>
        <v/>
      </c>
      <c r="F28" s="4" t="str">
        <f aca="false">IF(TRIB!F28="","",IF(OR(ARCH!F28="",LEFT(ARCH!F28,3)="14x"),IF(AG_REQ!F28&lt;=INDEX(INPUTS!$B$42:$B$50,1),INDEX(INPUTS!$A$42:$A$50,1),IF(AG_REQ!F28&gt;INDEX(INPUTS!$B$42:$B$50,ROWS(INPUTS!$B$42:$B$50)),"LARGER",INDEX(INPUTS!$A$42:$A$50,MATCH(AG_REQ!F28,INPUTS!$B$42:$B$50,1)+1))),IF(AG_REQ!F28&lt;=INDEX(INPUTS!$E$42:$E$50,1),INDEX(INPUTS!$D$42:$D$50,1),IF(AG_REQ!F28&gt;INDEX(INPUTS!$E$42:$E$50,ROWS(INPUTS!$E$42:$E$50)),"LARGER",INDEX(INPUTS!$D$42:$D$50,MATCH(AG_REQ!F28,INPUTS!$E$42:$E$50,1)+1)))))</f>
        <v>14x24</v>
      </c>
      <c r="G28" s="4" t="str">
        <f aca="false">IF(TRIB!G28="","",IF(OR(ARCH!G28="",LEFT(ARCH!G28,3)="14x"),IF(AG_REQ!G28&lt;=INDEX(INPUTS!$B$42:$B$50,1),INDEX(INPUTS!$A$42:$A$50,1),IF(AG_REQ!G28&gt;INDEX(INPUTS!$B$42:$B$50,ROWS(INPUTS!$B$42:$B$50)),"LARGER",INDEX(INPUTS!$A$42:$A$50,MATCH(AG_REQ!G28,INPUTS!$B$42:$B$50,1)+1))),IF(AG_REQ!G28&lt;=INDEX(INPUTS!$E$42:$E$50,1),INDEX(INPUTS!$D$42:$D$50,1),IF(AG_REQ!G28&gt;INDEX(INPUTS!$E$42:$E$50,ROWS(INPUTS!$E$42:$E$50)),"LARGER",INDEX(INPUTS!$D$42:$D$50,MATCH(AG_REQ!G28,INPUTS!$E$42:$E$50,1)+1)))))</f>
        <v>14x24</v>
      </c>
      <c r="H28" s="4" t="str">
        <f aca="false">IF(TRIB!H28="","",IF(OR(ARCH!H28="",LEFT(ARCH!H28,3)="14x"),IF(AG_REQ!H28&lt;=INDEX(INPUTS!$B$42:$B$50,1),INDEX(INPUTS!$A$42:$A$50,1),IF(AG_REQ!H28&gt;INDEX(INPUTS!$B$42:$B$50,ROWS(INPUTS!$B$42:$B$50)),"LARGER",INDEX(INPUTS!$A$42:$A$50,MATCH(AG_REQ!H28,INPUTS!$B$42:$B$50,1)+1))),IF(AG_REQ!H28&lt;=INDEX(INPUTS!$E$42:$E$50,1),INDEX(INPUTS!$D$42:$D$50,1),IF(AG_REQ!H28&gt;INDEX(INPUTS!$E$42:$E$50,ROWS(INPUTS!$E$42:$E$50)),"LARGER",INDEX(INPUTS!$D$42:$D$50,MATCH(AG_REQ!H28,INPUTS!$E$42:$E$50,1)+1)))))</f>
        <v>14x24</v>
      </c>
      <c r="I28" s="4" t="str">
        <f aca="false">IF(TRIB!I28="","",IF(OR(ARCH!I28="",LEFT(ARCH!I28,3)="14x"),IF(AG_REQ!I28&lt;=INDEX(INPUTS!$B$42:$B$50,1),INDEX(INPUTS!$A$42:$A$50,1),IF(AG_REQ!I28&gt;INDEX(INPUTS!$B$42:$B$50,ROWS(INPUTS!$B$42:$B$50)),"LARGER",INDEX(INPUTS!$A$42:$A$50,MATCH(AG_REQ!I28,INPUTS!$B$42:$B$50,1)+1))),IF(AG_REQ!I28&lt;=INDEX(INPUTS!$E$42:$E$50,1),INDEX(INPUTS!$D$42:$D$50,1),IF(AG_REQ!I28&gt;INDEX(INPUTS!$E$42:$E$50,ROWS(INPUTS!$E$42:$E$50)),"LARGER",INDEX(INPUTS!$D$42:$D$50,MATCH(AG_REQ!I28,INPUTS!$E$42:$E$50,1)+1)))))</f>
        <v>14x24</v>
      </c>
      <c r="J28" s="4" t="str">
        <f aca="false">IF(TRIB!J28="","",IF(OR(ARCH!J28="",LEFT(ARCH!J28,3)="14x"),IF(AG_REQ!J28&lt;=INDEX(INPUTS!$B$42:$B$50,1),INDEX(INPUTS!$A$42:$A$50,1),IF(AG_REQ!J28&gt;INDEX(INPUTS!$B$42:$B$50,ROWS(INPUTS!$B$42:$B$50)),"LARGER",INDEX(INPUTS!$A$42:$A$50,MATCH(AG_REQ!J28,INPUTS!$B$42:$B$50,1)+1))),IF(AG_REQ!J28&lt;=INDEX(INPUTS!$E$42:$E$50,1),INDEX(INPUTS!$D$42:$D$50,1),IF(AG_REQ!J28&gt;INDEX(INPUTS!$E$42:$E$50,ROWS(INPUTS!$E$42:$E$50)),"LARGER",INDEX(INPUTS!$D$42:$D$50,MATCH(AG_REQ!J28,INPUTS!$E$42:$E$50,1)+1)))))</f>
        <v>14x24</v>
      </c>
      <c r="K28" s="4" t="str">
        <f aca="false">IF(TRIB!K28="","",IF(OR(ARCH!K28="",LEFT(ARCH!K28,3)="14x"),IF(AG_REQ!K28&lt;=INDEX(INPUTS!$B$42:$B$50,1),INDEX(INPUTS!$A$42:$A$50,1),IF(AG_REQ!K28&gt;INDEX(INPUTS!$B$42:$B$50,ROWS(INPUTS!$B$42:$B$50)),"LARGER",INDEX(INPUTS!$A$42:$A$50,MATCH(AG_REQ!K28,INPUTS!$B$42:$B$50,1)+1))),IF(AG_REQ!K28&lt;=INDEX(INPUTS!$E$42:$E$50,1),INDEX(INPUTS!$D$42:$D$50,1),IF(AG_REQ!K28&gt;INDEX(INPUTS!$E$42:$E$50,ROWS(INPUTS!$E$42:$E$50)),"LARGER",INDEX(INPUTS!$D$42:$D$50,MATCH(AG_REQ!K28,INPUTS!$E$42:$E$50,1)+1)))))</f>
        <v>14x24</v>
      </c>
      <c r="L28" s="4" t="str">
        <f aca="false">IF(TRIB!L28="","",IF(OR(ARCH!L28="",LEFT(ARCH!L28,3)="14x"),IF(AG_REQ!L28&lt;=INDEX(INPUTS!$B$42:$B$50,1),INDEX(INPUTS!$A$42:$A$50,1),IF(AG_REQ!L28&gt;INDEX(INPUTS!$B$42:$B$50,ROWS(INPUTS!$B$42:$B$50)),"LARGER",INDEX(INPUTS!$A$42:$A$50,MATCH(AG_REQ!L28,INPUTS!$B$42:$B$50,1)+1))),IF(AG_REQ!L28&lt;=INDEX(INPUTS!$E$42:$E$50,1),INDEX(INPUTS!$D$42:$D$50,1),IF(AG_REQ!L28&gt;INDEX(INPUTS!$E$42:$E$50,ROWS(INPUTS!$E$42:$E$50)),"LARGER",INDEX(INPUTS!$D$42:$D$50,MATCH(AG_REQ!L28,INPUTS!$E$42:$E$50,1)+1)))))</f>
        <v>14x24</v>
      </c>
      <c r="M28" s="4" t="str">
        <f aca="false">IF(TRIB!M28="","",IF(OR(ARCH!M28="",LEFT(ARCH!M28,3)="14x"),IF(AG_REQ!M28&lt;=INDEX(INPUTS!$B$42:$B$50,1),INDEX(INPUTS!$A$42:$A$50,1),IF(AG_REQ!M28&gt;INDEX(INPUTS!$B$42:$B$50,ROWS(INPUTS!$B$42:$B$50)),"LARGER",INDEX(INPUTS!$A$42:$A$50,MATCH(AG_REQ!M28,INPUTS!$B$42:$B$50,1)+1))),IF(AG_REQ!M28&lt;=INDEX(INPUTS!$E$42:$E$50,1),INDEX(INPUTS!$D$42:$D$50,1),IF(AG_REQ!M28&gt;INDEX(INPUTS!$E$42:$E$50,ROWS(INPUTS!$E$42:$E$50)),"LARGER",INDEX(INPUTS!$D$42:$D$50,MATCH(AG_REQ!M28,INPUTS!$E$42:$E$50,1)+1)))))</f>
        <v>14x24</v>
      </c>
      <c r="N28" s="4" t="str">
        <f aca="false">IF(TRIB!N28="","",IF(OR(ARCH!N28="",LEFT(ARCH!N28,3)="14x"),IF(AG_REQ!N28&lt;=INDEX(INPUTS!$B$42:$B$50,1),INDEX(INPUTS!$A$42:$A$50,1),IF(AG_REQ!N28&gt;INDEX(INPUTS!$B$42:$B$50,ROWS(INPUTS!$B$42:$B$50)),"LARGER",INDEX(INPUTS!$A$42:$A$50,MATCH(AG_REQ!N28,INPUTS!$B$42:$B$50,1)+1))),IF(AG_REQ!N28&lt;=INDEX(INPUTS!$E$42:$E$50,1),INDEX(INPUTS!$D$42:$D$50,1),IF(AG_REQ!N28&gt;INDEX(INPUTS!$E$42:$E$50,ROWS(INPUTS!$E$42:$E$50)),"LARGER",INDEX(INPUTS!$D$42:$D$50,MATCH(AG_REQ!N28,INPUTS!$E$42:$E$50,1)+1)))))</f>
        <v>14x24</v>
      </c>
      <c r="O28" s="4" t="str">
        <f aca="false">IF(TRIB!O28="","",IF(OR(ARCH!O28="",LEFT(ARCH!O28,3)="14x"),IF(AG_REQ!O28&lt;=INDEX(INPUTS!$B$42:$B$50,1),INDEX(INPUTS!$A$42:$A$50,1),IF(AG_REQ!O28&gt;INDEX(INPUTS!$B$42:$B$50,ROWS(INPUTS!$B$42:$B$50)),"LARGER",INDEX(INPUTS!$A$42:$A$50,MATCH(AG_REQ!O28,INPUTS!$B$42:$B$50,1)+1))),IF(AG_REQ!O28&lt;=INDEX(INPUTS!$E$42:$E$50,1),INDEX(INPUTS!$D$42:$D$50,1),IF(AG_REQ!O28&gt;INDEX(INPUTS!$E$42:$E$50,ROWS(INPUTS!$E$42:$E$50)),"LARGER",INDEX(INPUTS!$D$42:$D$50,MATCH(AG_REQ!O28,INPUTS!$E$42:$E$50,1)+1)))))</f>
        <v>14x24</v>
      </c>
      <c r="P28" s="4" t="str">
        <f aca="false">IF(TRIB!P28="","",IF(OR(ARCH!P28="",LEFT(ARCH!P28,3)="14x"),IF(AG_REQ!P28&lt;=INDEX(INPUTS!$B$42:$B$50,1),INDEX(INPUTS!$A$42:$A$50,1),IF(AG_REQ!P28&gt;INDEX(INPUTS!$B$42:$B$50,ROWS(INPUTS!$B$42:$B$50)),"LARGER",INDEX(INPUTS!$A$42:$A$50,MATCH(AG_REQ!P28,INPUTS!$B$42:$B$50,1)+1))),IF(AG_REQ!P28&lt;=INDEX(INPUTS!$E$42:$E$50,1),INDEX(INPUTS!$D$42:$D$50,1),IF(AG_REQ!P28&gt;INDEX(INPUTS!$E$42:$E$50,ROWS(INPUTS!$E$42:$E$50)),"LARGER",INDEX(INPUTS!$D$42:$D$50,MATCH(AG_REQ!P28,INPUTS!$E$42:$E$50,1)+1)))))</f>
        <v>14x24</v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4" t="str">
        <f aca="false">IF(TRIB!E29="","",IF(OR(ARCH!E29="",LEFT(ARCH!E29,3)="14x"),IF(AG_REQ!E29&lt;=INDEX(INPUTS!$B$42:$B$50,1),INDEX(INPUTS!$A$42:$A$50,1),IF(AG_REQ!E29&gt;INDEX(INPUTS!$B$42:$B$50,ROWS(INPUTS!$B$42:$B$50)),"LARGER",INDEX(INPUTS!$A$42:$A$50,MATCH(AG_REQ!E29,INPUTS!$B$42:$B$50,1)+1))),IF(AG_REQ!E29&lt;=INDEX(INPUTS!$E$42:$E$50,1),INDEX(INPUTS!$D$42:$D$50,1),IF(AG_REQ!E29&gt;INDEX(INPUTS!$E$42:$E$50,ROWS(INPUTS!$E$42:$E$50)),"LARGER",INDEX(INPUTS!$D$42:$D$50,MATCH(AG_REQ!E29,INPUTS!$E$42:$E$50,1)+1)))))</f>
        <v/>
      </c>
      <c r="F29" s="4" t="str">
        <f aca="false">IF(TRIB!F29="","",IF(OR(ARCH!F29="",LEFT(ARCH!F29,3)="14x"),IF(AG_REQ!F29&lt;=INDEX(INPUTS!$B$42:$B$50,1),INDEX(INPUTS!$A$42:$A$50,1),IF(AG_REQ!F29&gt;INDEX(INPUTS!$B$42:$B$50,ROWS(INPUTS!$B$42:$B$50)),"LARGER",INDEX(INPUTS!$A$42:$A$50,MATCH(AG_REQ!F29,INPUTS!$B$42:$B$50,1)+1))),IF(AG_REQ!F29&lt;=INDEX(INPUTS!$E$42:$E$50,1),INDEX(INPUTS!$D$42:$D$50,1),IF(AG_REQ!F29&gt;INDEX(INPUTS!$E$42:$E$50,ROWS(INPUTS!$E$42:$E$50)),"LARGER",INDEX(INPUTS!$D$42:$D$50,MATCH(AG_REQ!F29,INPUTS!$E$42:$E$50,1)+1)))))</f>
        <v>14x24</v>
      </c>
      <c r="G29" s="4" t="str">
        <f aca="false">IF(TRIB!G29="","",IF(OR(ARCH!G29="",LEFT(ARCH!G29,3)="14x"),IF(AG_REQ!G29&lt;=INDEX(INPUTS!$B$42:$B$50,1),INDEX(INPUTS!$A$42:$A$50,1),IF(AG_REQ!G29&gt;INDEX(INPUTS!$B$42:$B$50,ROWS(INPUTS!$B$42:$B$50)),"LARGER",INDEX(INPUTS!$A$42:$A$50,MATCH(AG_REQ!G29,INPUTS!$B$42:$B$50,1)+1))),IF(AG_REQ!G29&lt;=INDEX(INPUTS!$E$42:$E$50,1),INDEX(INPUTS!$D$42:$D$50,1),IF(AG_REQ!G29&gt;INDEX(INPUTS!$E$42:$E$50,ROWS(INPUTS!$E$42:$E$50)),"LARGER",INDEX(INPUTS!$D$42:$D$50,MATCH(AG_REQ!G29,INPUTS!$E$42:$E$50,1)+1)))))</f>
        <v>14x24</v>
      </c>
      <c r="H29" s="4" t="str">
        <f aca="false">IF(TRIB!H29="","",IF(OR(ARCH!H29="",LEFT(ARCH!H29,3)="14x"),IF(AG_REQ!H29&lt;=INDEX(INPUTS!$B$42:$B$50,1),INDEX(INPUTS!$A$42:$A$50,1),IF(AG_REQ!H29&gt;INDEX(INPUTS!$B$42:$B$50,ROWS(INPUTS!$B$42:$B$50)),"LARGER",INDEX(INPUTS!$A$42:$A$50,MATCH(AG_REQ!H29,INPUTS!$B$42:$B$50,1)+1))),IF(AG_REQ!H29&lt;=INDEX(INPUTS!$E$42:$E$50,1),INDEX(INPUTS!$D$42:$D$50,1),IF(AG_REQ!H29&gt;INDEX(INPUTS!$E$42:$E$50,ROWS(INPUTS!$E$42:$E$50)),"LARGER",INDEX(INPUTS!$D$42:$D$50,MATCH(AG_REQ!H29,INPUTS!$E$42:$E$50,1)+1)))))</f>
        <v>14x24</v>
      </c>
      <c r="I29" s="4" t="str">
        <f aca="false">IF(TRIB!I29="","",IF(OR(ARCH!I29="",LEFT(ARCH!I29,3)="14x"),IF(AG_REQ!I29&lt;=INDEX(INPUTS!$B$42:$B$50,1),INDEX(INPUTS!$A$42:$A$50,1),IF(AG_REQ!I29&gt;INDEX(INPUTS!$B$42:$B$50,ROWS(INPUTS!$B$42:$B$50)),"LARGER",INDEX(INPUTS!$A$42:$A$50,MATCH(AG_REQ!I29,INPUTS!$B$42:$B$50,1)+1))),IF(AG_REQ!I29&lt;=INDEX(INPUTS!$E$42:$E$50,1),INDEX(INPUTS!$D$42:$D$50,1),IF(AG_REQ!I29&gt;INDEX(INPUTS!$E$42:$E$50,ROWS(INPUTS!$E$42:$E$50)),"LARGER",INDEX(INPUTS!$D$42:$D$50,MATCH(AG_REQ!I29,INPUTS!$E$42:$E$50,1)+1)))))</f>
        <v>14x24</v>
      </c>
      <c r="J29" s="4" t="str">
        <f aca="false">IF(TRIB!J29="","",IF(OR(ARCH!J29="",LEFT(ARCH!J29,3)="14x"),IF(AG_REQ!J29&lt;=INDEX(INPUTS!$B$42:$B$50,1),INDEX(INPUTS!$A$42:$A$50,1),IF(AG_REQ!J29&gt;INDEX(INPUTS!$B$42:$B$50,ROWS(INPUTS!$B$42:$B$50)),"LARGER",INDEX(INPUTS!$A$42:$A$50,MATCH(AG_REQ!J29,INPUTS!$B$42:$B$50,1)+1))),IF(AG_REQ!J29&lt;=INDEX(INPUTS!$E$42:$E$50,1),INDEX(INPUTS!$D$42:$D$50,1),IF(AG_REQ!J29&gt;INDEX(INPUTS!$E$42:$E$50,ROWS(INPUTS!$E$42:$E$50)),"LARGER",INDEX(INPUTS!$D$42:$D$50,MATCH(AG_REQ!J29,INPUTS!$E$42:$E$50,1)+1)))))</f>
        <v>14x24</v>
      </c>
      <c r="K29" s="4" t="str">
        <f aca="false">IF(TRIB!K29="","",IF(OR(ARCH!K29="",LEFT(ARCH!K29,3)="14x"),IF(AG_REQ!K29&lt;=INDEX(INPUTS!$B$42:$B$50,1),INDEX(INPUTS!$A$42:$A$50,1),IF(AG_REQ!K29&gt;INDEX(INPUTS!$B$42:$B$50,ROWS(INPUTS!$B$42:$B$50)),"LARGER",INDEX(INPUTS!$A$42:$A$50,MATCH(AG_REQ!K29,INPUTS!$B$42:$B$50,1)+1))),IF(AG_REQ!K29&lt;=INDEX(INPUTS!$E$42:$E$50,1),INDEX(INPUTS!$D$42:$D$50,1),IF(AG_REQ!K29&gt;INDEX(INPUTS!$E$42:$E$50,ROWS(INPUTS!$E$42:$E$50)),"LARGER",INDEX(INPUTS!$D$42:$D$50,MATCH(AG_REQ!K29,INPUTS!$E$42:$E$50,1)+1)))))</f>
        <v>14x24</v>
      </c>
      <c r="L29" s="4" t="str">
        <f aca="false">IF(TRIB!L29="","",IF(OR(ARCH!L29="",LEFT(ARCH!L29,3)="14x"),IF(AG_REQ!L29&lt;=INDEX(INPUTS!$B$42:$B$50,1),INDEX(INPUTS!$A$42:$A$50,1),IF(AG_REQ!L29&gt;INDEX(INPUTS!$B$42:$B$50,ROWS(INPUTS!$B$42:$B$50)),"LARGER",INDEX(INPUTS!$A$42:$A$50,MATCH(AG_REQ!L29,INPUTS!$B$42:$B$50,1)+1))),IF(AG_REQ!L29&lt;=INDEX(INPUTS!$E$42:$E$50,1),INDEX(INPUTS!$D$42:$D$50,1),IF(AG_REQ!L29&gt;INDEX(INPUTS!$E$42:$E$50,ROWS(INPUTS!$E$42:$E$50)),"LARGER",INDEX(INPUTS!$D$42:$D$50,MATCH(AG_REQ!L29,INPUTS!$E$42:$E$50,1)+1)))))</f>
        <v>14x24</v>
      </c>
      <c r="M29" s="4" t="str">
        <f aca="false">IF(TRIB!M29="","",IF(OR(ARCH!M29="",LEFT(ARCH!M29,3)="14x"),IF(AG_REQ!M29&lt;=INDEX(INPUTS!$B$42:$B$50,1),INDEX(INPUTS!$A$42:$A$50,1),IF(AG_REQ!M29&gt;INDEX(INPUTS!$B$42:$B$50,ROWS(INPUTS!$B$42:$B$50)),"LARGER",INDEX(INPUTS!$A$42:$A$50,MATCH(AG_REQ!M29,INPUTS!$B$42:$B$50,1)+1))),IF(AG_REQ!M29&lt;=INDEX(INPUTS!$E$42:$E$50,1),INDEX(INPUTS!$D$42:$D$50,1),IF(AG_REQ!M29&gt;INDEX(INPUTS!$E$42:$E$50,ROWS(INPUTS!$E$42:$E$50)),"LARGER",INDEX(INPUTS!$D$42:$D$50,MATCH(AG_REQ!M29,INPUTS!$E$42:$E$50,1)+1)))))</f>
        <v>14x24</v>
      </c>
      <c r="N29" s="4" t="str">
        <f aca="false">IF(TRIB!N29="","",IF(OR(ARCH!N29="",LEFT(ARCH!N29,3)="14x"),IF(AG_REQ!N29&lt;=INDEX(INPUTS!$B$42:$B$50,1),INDEX(INPUTS!$A$42:$A$50,1),IF(AG_REQ!N29&gt;INDEX(INPUTS!$B$42:$B$50,ROWS(INPUTS!$B$42:$B$50)),"LARGER",INDEX(INPUTS!$A$42:$A$50,MATCH(AG_REQ!N29,INPUTS!$B$42:$B$50,1)+1))),IF(AG_REQ!N29&lt;=INDEX(INPUTS!$E$42:$E$50,1),INDEX(INPUTS!$D$42:$D$50,1),IF(AG_REQ!N29&gt;INDEX(INPUTS!$E$42:$E$50,ROWS(INPUTS!$E$42:$E$50)),"LARGER",INDEX(INPUTS!$D$42:$D$50,MATCH(AG_REQ!N29,INPUTS!$E$42:$E$50,1)+1)))))</f>
        <v>14x24</v>
      </c>
      <c r="O29" s="4" t="str">
        <f aca="false">IF(TRIB!O29="","",IF(OR(ARCH!O29="",LEFT(ARCH!O29,3)="14x"),IF(AG_REQ!O29&lt;=INDEX(INPUTS!$B$42:$B$50,1),INDEX(INPUTS!$A$42:$A$50,1),IF(AG_REQ!O29&gt;INDEX(INPUTS!$B$42:$B$50,ROWS(INPUTS!$B$42:$B$50)),"LARGER",INDEX(INPUTS!$A$42:$A$50,MATCH(AG_REQ!O29,INPUTS!$B$42:$B$50,1)+1))),IF(AG_REQ!O29&lt;=INDEX(INPUTS!$E$42:$E$50,1),INDEX(INPUTS!$D$42:$D$50,1),IF(AG_REQ!O29&gt;INDEX(INPUTS!$E$42:$E$50,ROWS(INPUTS!$E$42:$E$50)),"LARGER",INDEX(INPUTS!$D$42:$D$50,MATCH(AG_REQ!O29,INPUTS!$E$42:$E$50,1)+1)))))</f>
        <v>14x24</v>
      </c>
      <c r="P29" s="4" t="str">
        <f aca="false">IF(TRIB!P29="","",IF(OR(ARCH!P29="",LEFT(ARCH!P29,3)="14x"),IF(AG_REQ!P29&lt;=INDEX(INPUTS!$B$42:$B$50,1),INDEX(INPUTS!$A$42:$A$50,1),IF(AG_REQ!P29&gt;INDEX(INPUTS!$B$42:$B$50,ROWS(INPUTS!$B$42:$B$50)),"LARGER",INDEX(INPUTS!$A$42:$A$50,MATCH(AG_REQ!P29,INPUTS!$B$42:$B$50,1)+1))),IF(AG_REQ!P29&lt;=INDEX(INPUTS!$E$42:$E$50,1),INDEX(INPUTS!$D$42:$D$50,1),IF(AG_REQ!P29&gt;INDEX(INPUTS!$E$42:$E$50,ROWS(INPUTS!$E$42:$E$50)),"LARGER",INDEX(INPUTS!$D$42:$D$50,MATCH(AG_REQ!P29,INPUTS!$E$42:$E$50,1)+1)))))</f>
        <v>14x24</v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4" t="str">
        <f aca="false">IF(TRIB!E30="","",IF(OR(ARCH!E30="",LEFT(ARCH!E30,3)="14x"),IF(AG_REQ!E30&lt;=INDEX(INPUTS!$B$42:$B$50,1),INDEX(INPUTS!$A$42:$A$50,1),IF(AG_REQ!E30&gt;INDEX(INPUTS!$B$42:$B$50,ROWS(INPUTS!$B$42:$B$50)),"LARGER",INDEX(INPUTS!$A$42:$A$50,MATCH(AG_REQ!E30,INPUTS!$B$42:$B$50,1)+1))),IF(AG_REQ!E30&lt;=INDEX(INPUTS!$E$42:$E$50,1),INDEX(INPUTS!$D$42:$D$50,1),IF(AG_REQ!E30&gt;INDEX(INPUTS!$E$42:$E$50,ROWS(INPUTS!$E$42:$E$50)),"LARGER",INDEX(INPUTS!$D$42:$D$50,MATCH(AG_REQ!E30,INPUTS!$E$42:$E$50,1)+1)))))</f>
        <v/>
      </c>
      <c r="F30" s="4" t="str">
        <f aca="false">IF(TRIB!F30="","",IF(OR(ARCH!F30="",LEFT(ARCH!F30,3)="14x"),IF(AG_REQ!F30&lt;=INDEX(INPUTS!$B$42:$B$50,1),INDEX(INPUTS!$A$42:$A$50,1),IF(AG_REQ!F30&gt;INDEX(INPUTS!$B$42:$B$50,ROWS(INPUTS!$B$42:$B$50)),"LARGER",INDEX(INPUTS!$A$42:$A$50,MATCH(AG_REQ!F30,INPUTS!$B$42:$B$50,1)+1))),IF(AG_REQ!F30&lt;=INDEX(INPUTS!$E$42:$E$50,1),INDEX(INPUTS!$D$42:$D$50,1),IF(AG_REQ!F30&gt;INDEX(INPUTS!$E$42:$E$50,ROWS(INPUTS!$E$42:$E$50)),"LARGER",INDEX(INPUTS!$D$42:$D$50,MATCH(AG_REQ!F30,INPUTS!$E$42:$E$50,1)+1)))))</f>
        <v>14x24</v>
      </c>
      <c r="G30" s="4" t="str">
        <f aca="false">IF(TRIB!G30="","",IF(OR(ARCH!G30="",LEFT(ARCH!G30,3)="14x"),IF(AG_REQ!G30&lt;=INDEX(INPUTS!$B$42:$B$50,1),INDEX(INPUTS!$A$42:$A$50,1),IF(AG_REQ!G30&gt;INDEX(INPUTS!$B$42:$B$50,ROWS(INPUTS!$B$42:$B$50)),"LARGER",INDEX(INPUTS!$A$42:$A$50,MATCH(AG_REQ!G30,INPUTS!$B$42:$B$50,1)+1))),IF(AG_REQ!G30&lt;=INDEX(INPUTS!$E$42:$E$50,1),INDEX(INPUTS!$D$42:$D$50,1),IF(AG_REQ!G30&gt;INDEX(INPUTS!$E$42:$E$50,ROWS(INPUTS!$E$42:$E$50)),"LARGER",INDEX(INPUTS!$D$42:$D$50,MATCH(AG_REQ!G30,INPUTS!$E$42:$E$50,1)+1)))))</f>
        <v>14x24</v>
      </c>
      <c r="H30" s="4" t="str">
        <f aca="false">IF(TRIB!H30="","",IF(OR(ARCH!H30="",LEFT(ARCH!H30,3)="14x"),IF(AG_REQ!H30&lt;=INDEX(INPUTS!$B$42:$B$50,1),INDEX(INPUTS!$A$42:$A$50,1),IF(AG_REQ!H30&gt;INDEX(INPUTS!$B$42:$B$50,ROWS(INPUTS!$B$42:$B$50)),"LARGER",INDEX(INPUTS!$A$42:$A$50,MATCH(AG_REQ!H30,INPUTS!$B$42:$B$50,1)+1))),IF(AG_REQ!H30&lt;=INDEX(INPUTS!$E$42:$E$50,1),INDEX(INPUTS!$D$42:$D$50,1),IF(AG_REQ!H30&gt;INDEX(INPUTS!$E$42:$E$50,ROWS(INPUTS!$E$42:$E$50)),"LARGER",INDEX(INPUTS!$D$42:$D$50,MATCH(AG_REQ!H30,INPUTS!$E$42:$E$50,1)+1)))))</f>
        <v>14x24</v>
      </c>
      <c r="I30" s="4" t="str">
        <f aca="false">IF(TRIB!I30="","",IF(OR(ARCH!I30="",LEFT(ARCH!I30,3)="14x"),IF(AG_REQ!I30&lt;=INDEX(INPUTS!$B$42:$B$50,1),INDEX(INPUTS!$A$42:$A$50,1),IF(AG_REQ!I30&gt;INDEX(INPUTS!$B$42:$B$50,ROWS(INPUTS!$B$42:$B$50)),"LARGER",INDEX(INPUTS!$A$42:$A$50,MATCH(AG_REQ!I30,INPUTS!$B$42:$B$50,1)+1))),IF(AG_REQ!I30&lt;=INDEX(INPUTS!$E$42:$E$50,1),INDEX(INPUTS!$D$42:$D$50,1),IF(AG_REQ!I30&gt;INDEX(INPUTS!$E$42:$E$50,ROWS(INPUTS!$E$42:$E$50)),"LARGER",INDEX(INPUTS!$D$42:$D$50,MATCH(AG_REQ!I30,INPUTS!$E$42:$E$50,1)+1)))))</f>
        <v>14x24</v>
      </c>
      <c r="J30" s="4" t="str">
        <f aca="false">IF(TRIB!J30="","",IF(OR(ARCH!J30="",LEFT(ARCH!J30,3)="14x"),IF(AG_REQ!J30&lt;=INDEX(INPUTS!$B$42:$B$50,1),INDEX(INPUTS!$A$42:$A$50,1),IF(AG_REQ!J30&gt;INDEX(INPUTS!$B$42:$B$50,ROWS(INPUTS!$B$42:$B$50)),"LARGER",INDEX(INPUTS!$A$42:$A$50,MATCH(AG_REQ!J30,INPUTS!$B$42:$B$50,1)+1))),IF(AG_REQ!J30&lt;=INDEX(INPUTS!$E$42:$E$50,1),INDEX(INPUTS!$D$42:$D$50,1),IF(AG_REQ!J30&gt;INDEX(INPUTS!$E$42:$E$50,ROWS(INPUTS!$E$42:$E$50)),"LARGER",INDEX(INPUTS!$D$42:$D$50,MATCH(AG_REQ!J30,INPUTS!$E$42:$E$50,1)+1)))))</f>
        <v>14x24</v>
      </c>
      <c r="K30" s="4" t="str">
        <f aca="false">IF(TRIB!K30="","",IF(OR(ARCH!K30="",LEFT(ARCH!K30,3)="14x"),IF(AG_REQ!K30&lt;=INDEX(INPUTS!$B$42:$B$50,1),INDEX(INPUTS!$A$42:$A$50,1),IF(AG_REQ!K30&gt;INDEX(INPUTS!$B$42:$B$50,ROWS(INPUTS!$B$42:$B$50)),"LARGER",INDEX(INPUTS!$A$42:$A$50,MATCH(AG_REQ!K30,INPUTS!$B$42:$B$50,1)+1))),IF(AG_REQ!K30&lt;=INDEX(INPUTS!$E$42:$E$50,1),INDEX(INPUTS!$D$42:$D$50,1),IF(AG_REQ!K30&gt;INDEX(INPUTS!$E$42:$E$50,ROWS(INPUTS!$E$42:$E$50)),"LARGER",INDEX(INPUTS!$D$42:$D$50,MATCH(AG_REQ!K30,INPUTS!$E$42:$E$50,1)+1)))))</f>
        <v>14x24</v>
      </c>
      <c r="L30" s="4" t="str">
        <f aca="false">IF(TRIB!L30="","",IF(OR(ARCH!L30="",LEFT(ARCH!L30,3)="14x"),IF(AG_REQ!L30&lt;=INDEX(INPUTS!$B$42:$B$50,1),INDEX(INPUTS!$A$42:$A$50,1),IF(AG_REQ!L30&gt;INDEX(INPUTS!$B$42:$B$50,ROWS(INPUTS!$B$42:$B$50)),"LARGER",INDEX(INPUTS!$A$42:$A$50,MATCH(AG_REQ!L30,INPUTS!$B$42:$B$50,1)+1))),IF(AG_REQ!L30&lt;=INDEX(INPUTS!$E$42:$E$50,1),INDEX(INPUTS!$D$42:$D$50,1),IF(AG_REQ!L30&gt;INDEX(INPUTS!$E$42:$E$50,ROWS(INPUTS!$E$42:$E$50)),"LARGER",INDEX(INPUTS!$D$42:$D$50,MATCH(AG_REQ!L30,INPUTS!$E$42:$E$50,1)+1)))))</f>
        <v>14x24</v>
      </c>
      <c r="M30" s="4" t="str">
        <f aca="false">IF(TRIB!M30="","",IF(OR(ARCH!M30="",LEFT(ARCH!M30,3)="14x"),IF(AG_REQ!M30&lt;=INDEX(INPUTS!$B$42:$B$50,1),INDEX(INPUTS!$A$42:$A$50,1),IF(AG_REQ!M30&gt;INDEX(INPUTS!$B$42:$B$50,ROWS(INPUTS!$B$42:$B$50)),"LARGER",INDEX(INPUTS!$A$42:$A$50,MATCH(AG_REQ!M30,INPUTS!$B$42:$B$50,1)+1))),IF(AG_REQ!M30&lt;=INDEX(INPUTS!$E$42:$E$50,1),INDEX(INPUTS!$D$42:$D$50,1),IF(AG_REQ!M30&gt;INDEX(INPUTS!$E$42:$E$50,ROWS(INPUTS!$E$42:$E$50)),"LARGER",INDEX(INPUTS!$D$42:$D$50,MATCH(AG_REQ!M30,INPUTS!$E$42:$E$50,1)+1)))))</f>
        <v>14x24</v>
      </c>
      <c r="N30" s="4" t="str">
        <f aca="false">IF(TRIB!N30="","",IF(OR(ARCH!N30="",LEFT(ARCH!N30,3)="14x"),IF(AG_REQ!N30&lt;=INDEX(INPUTS!$B$42:$B$50,1),INDEX(INPUTS!$A$42:$A$50,1),IF(AG_REQ!N30&gt;INDEX(INPUTS!$B$42:$B$50,ROWS(INPUTS!$B$42:$B$50)),"LARGER",INDEX(INPUTS!$A$42:$A$50,MATCH(AG_REQ!N30,INPUTS!$B$42:$B$50,1)+1))),IF(AG_REQ!N30&lt;=INDEX(INPUTS!$E$42:$E$50,1),INDEX(INPUTS!$D$42:$D$50,1),IF(AG_REQ!N30&gt;INDEX(INPUTS!$E$42:$E$50,ROWS(INPUTS!$E$42:$E$50)),"LARGER",INDEX(INPUTS!$D$42:$D$50,MATCH(AG_REQ!N30,INPUTS!$E$42:$E$50,1)+1)))))</f>
        <v>14x24</v>
      </c>
      <c r="O30" s="4" t="str">
        <f aca="false">IF(TRIB!O30="","",IF(OR(ARCH!O30="",LEFT(ARCH!O30,3)="14x"),IF(AG_REQ!O30&lt;=INDEX(INPUTS!$B$42:$B$50,1),INDEX(INPUTS!$A$42:$A$50,1),IF(AG_REQ!O30&gt;INDEX(INPUTS!$B$42:$B$50,ROWS(INPUTS!$B$42:$B$50)),"LARGER",INDEX(INPUTS!$A$42:$A$50,MATCH(AG_REQ!O30,INPUTS!$B$42:$B$50,1)+1))),IF(AG_REQ!O30&lt;=INDEX(INPUTS!$E$42:$E$50,1),INDEX(INPUTS!$D$42:$D$50,1),IF(AG_REQ!O30&gt;INDEX(INPUTS!$E$42:$E$50,ROWS(INPUTS!$E$42:$E$50)),"LARGER",INDEX(INPUTS!$D$42:$D$50,MATCH(AG_REQ!O30,INPUTS!$E$42:$E$50,1)+1)))))</f>
        <v>14x24</v>
      </c>
      <c r="P30" s="4" t="str">
        <f aca="false">IF(TRIB!P30="","",IF(OR(ARCH!P30="",LEFT(ARCH!P30,3)="14x"),IF(AG_REQ!P30&lt;=INDEX(INPUTS!$B$42:$B$50,1),INDEX(INPUTS!$A$42:$A$50,1),IF(AG_REQ!P30&gt;INDEX(INPUTS!$B$42:$B$50,ROWS(INPUTS!$B$42:$B$50)),"LARGER",INDEX(INPUTS!$A$42:$A$50,MATCH(AG_REQ!P30,INPUTS!$B$42:$B$50,1)+1))),IF(AG_REQ!P30&lt;=INDEX(INPUTS!$E$42:$E$50,1),INDEX(INPUTS!$D$42:$D$50,1),IF(AG_REQ!P30&gt;INDEX(INPUTS!$E$42:$E$50,ROWS(INPUTS!$E$42:$E$50)),"LARGER",INDEX(INPUTS!$D$42:$D$50,MATCH(AG_REQ!P30,INPUTS!$E$42:$E$50,1)+1)))))</f>
        <v>14x24</v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4" t="str">
        <f aca="false">IF(TRIB!E31="","",IF(OR(ARCH!E31="",LEFT(ARCH!E31,3)="14x"),IF(AG_REQ!E31&lt;=INDEX(INPUTS!$B$42:$B$50,1),INDEX(INPUTS!$A$42:$A$50,1),IF(AG_REQ!E31&gt;INDEX(INPUTS!$B$42:$B$50,ROWS(INPUTS!$B$42:$B$50)),"LARGER",INDEX(INPUTS!$A$42:$A$50,MATCH(AG_REQ!E31,INPUTS!$B$42:$B$50,1)+1))),IF(AG_REQ!E31&lt;=INDEX(INPUTS!$E$42:$E$50,1),INDEX(INPUTS!$D$42:$D$50,1),IF(AG_REQ!E31&gt;INDEX(INPUTS!$E$42:$E$50,ROWS(INPUTS!$E$42:$E$50)),"LARGER",INDEX(INPUTS!$D$42:$D$50,MATCH(AG_REQ!E31,INPUTS!$E$42:$E$50,1)+1)))))</f>
        <v/>
      </c>
      <c r="F31" s="4" t="str">
        <f aca="false">IF(TRIB!F31="","",IF(OR(ARCH!F31="",LEFT(ARCH!F31,3)="14x"),IF(AG_REQ!F31&lt;=INDEX(INPUTS!$B$42:$B$50,1),INDEX(INPUTS!$A$42:$A$50,1),IF(AG_REQ!F31&gt;INDEX(INPUTS!$B$42:$B$50,ROWS(INPUTS!$B$42:$B$50)),"LARGER",INDEX(INPUTS!$A$42:$A$50,MATCH(AG_REQ!F31,INPUTS!$B$42:$B$50,1)+1))),IF(AG_REQ!F31&lt;=INDEX(INPUTS!$E$42:$E$50,1),INDEX(INPUTS!$D$42:$D$50,1),IF(AG_REQ!F31&gt;INDEX(INPUTS!$E$42:$E$50,ROWS(INPUTS!$E$42:$E$50)),"LARGER",INDEX(INPUTS!$D$42:$D$50,MATCH(AG_REQ!F31,INPUTS!$E$42:$E$50,1)+1)))))</f>
        <v>14x24</v>
      </c>
      <c r="G31" s="4" t="str">
        <f aca="false">IF(TRIB!G31="","",IF(OR(ARCH!G31="",LEFT(ARCH!G31,3)="14x"),IF(AG_REQ!G31&lt;=INDEX(INPUTS!$B$42:$B$50,1),INDEX(INPUTS!$A$42:$A$50,1),IF(AG_REQ!G31&gt;INDEX(INPUTS!$B$42:$B$50,ROWS(INPUTS!$B$42:$B$50)),"LARGER",INDEX(INPUTS!$A$42:$A$50,MATCH(AG_REQ!G31,INPUTS!$B$42:$B$50,1)+1))),IF(AG_REQ!G31&lt;=INDEX(INPUTS!$E$42:$E$50,1),INDEX(INPUTS!$D$42:$D$50,1),IF(AG_REQ!G31&gt;INDEX(INPUTS!$E$42:$E$50,ROWS(INPUTS!$E$42:$E$50)),"LARGER",INDEX(INPUTS!$D$42:$D$50,MATCH(AG_REQ!G31,INPUTS!$E$42:$E$50,1)+1)))))</f>
        <v>14x24</v>
      </c>
      <c r="H31" s="4" t="str">
        <f aca="false">IF(TRIB!H31="","",IF(OR(ARCH!H31="",LEFT(ARCH!H31,3)="14x"),IF(AG_REQ!H31&lt;=INDEX(INPUTS!$B$42:$B$50,1),INDEX(INPUTS!$A$42:$A$50,1),IF(AG_REQ!H31&gt;INDEX(INPUTS!$B$42:$B$50,ROWS(INPUTS!$B$42:$B$50)),"LARGER",INDEX(INPUTS!$A$42:$A$50,MATCH(AG_REQ!H31,INPUTS!$B$42:$B$50,1)+1))),IF(AG_REQ!H31&lt;=INDEX(INPUTS!$E$42:$E$50,1),INDEX(INPUTS!$D$42:$D$50,1),IF(AG_REQ!H31&gt;INDEX(INPUTS!$E$42:$E$50,ROWS(INPUTS!$E$42:$E$50)),"LARGER",INDEX(INPUTS!$D$42:$D$50,MATCH(AG_REQ!H31,INPUTS!$E$42:$E$50,1)+1)))))</f>
        <v>14x24</v>
      </c>
      <c r="I31" s="4" t="str">
        <f aca="false">IF(TRIB!I31="","",IF(OR(ARCH!I31="",LEFT(ARCH!I31,3)="14x"),IF(AG_REQ!I31&lt;=INDEX(INPUTS!$B$42:$B$50,1),INDEX(INPUTS!$A$42:$A$50,1),IF(AG_REQ!I31&gt;INDEX(INPUTS!$B$42:$B$50,ROWS(INPUTS!$B$42:$B$50)),"LARGER",INDEX(INPUTS!$A$42:$A$50,MATCH(AG_REQ!I31,INPUTS!$B$42:$B$50,1)+1))),IF(AG_REQ!I31&lt;=INDEX(INPUTS!$E$42:$E$50,1),INDEX(INPUTS!$D$42:$D$50,1),IF(AG_REQ!I31&gt;INDEX(INPUTS!$E$42:$E$50,ROWS(INPUTS!$E$42:$E$50)),"LARGER",INDEX(INPUTS!$D$42:$D$50,MATCH(AG_REQ!I31,INPUTS!$E$42:$E$50,1)+1)))))</f>
        <v>14x24</v>
      </c>
      <c r="J31" s="4" t="str">
        <f aca="false">IF(TRIB!J31="","",IF(OR(ARCH!J31="",LEFT(ARCH!J31,3)="14x"),IF(AG_REQ!J31&lt;=INDEX(INPUTS!$B$42:$B$50,1),INDEX(INPUTS!$A$42:$A$50,1),IF(AG_REQ!J31&gt;INDEX(INPUTS!$B$42:$B$50,ROWS(INPUTS!$B$42:$B$50)),"LARGER",INDEX(INPUTS!$A$42:$A$50,MATCH(AG_REQ!J31,INPUTS!$B$42:$B$50,1)+1))),IF(AG_REQ!J31&lt;=INDEX(INPUTS!$E$42:$E$50,1),INDEX(INPUTS!$D$42:$D$50,1),IF(AG_REQ!J31&gt;INDEX(INPUTS!$E$42:$E$50,ROWS(INPUTS!$E$42:$E$50)),"LARGER",INDEX(INPUTS!$D$42:$D$50,MATCH(AG_REQ!J31,INPUTS!$E$42:$E$50,1)+1)))))</f>
        <v>14x24</v>
      </c>
      <c r="K31" s="4" t="str">
        <f aca="false">IF(TRIB!K31="","",IF(OR(ARCH!K31="",LEFT(ARCH!K31,3)="14x"),IF(AG_REQ!K31&lt;=INDEX(INPUTS!$B$42:$B$50,1),INDEX(INPUTS!$A$42:$A$50,1),IF(AG_REQ!K31&gt;INDEX(INPUTS!$B$42:$B$50,ROWS(INPUTS!$B$42:$B$50)),"LARGER",INDEX(INPUTS!$A$42:$A$50,MATCH(AG_REQ!K31,INPUTS!$B$42:$B$50,1)+1))),IF(AG_REQ!K31&lt;=INDEX(INPUTS!$E$42:$E$50,1),INDEX(INPUTS!$D$42:$D$50,1),IF(AG_REQ!K31&gt;INDEX(INPUTS!$E$42:$E$50,ROWS(INPUTS!$E$42:$E$50)),"LARGER",INDEX(INPUTS!$D$42:$D$50,MATCH(AG_REQ!K31,INPUTS!$E$42:$E$50,1)+1)))))</f>
        <v>14x24</v>
      </c>
      <c r="L31" s="4" t="str">
        <f aca="false">IF(TRIB!L31="","",IF(OR(ARCH!L31="",LEFT(ARCH!L31,3)="14x"),IF(AG_REQ!L31&lt;=INDEX(INPUTS!$B$42:$B$50,1),INDEX(INPUTS!$A$42:$A$50,1),IF(AG_REQ!L31&gt;INDEX(INPUTS!$B$42:$B$50,ROWS(INPUTS!$B$42:$B$50)),"LARGER",INDEX(INPUTS!$A$42:$A$50,MATCH(AG_REQ!L31,INPUTS!$B$42:$B$50,1)+1))),IF(AG_REQ!L31&lt;=INDEX(INPUTS!$E$42:$E$50,1),INDEX(INPUTS!$D$42:$D$50,1),IF(AG_REQ!L31&gt;INDEX(INPUTS!$E$42:$E$50,ROWS(INPUTS!$E$42:$E$50)),"LARGER",INDEX(INPUTS!$D$42:$D$50,MATCH(AG_REQ!L31,INPUTS!$E$42:$E$50,1)+1)))))</f>
        <v>14x24</v>
      </c>
      <c r="M31" s="4" t="str">
        <f aca="false">IF(TRIB!M31="","",IF(OR(ARCH!M31="",LEFT(ARCH!M31,3)="14x"),IF(AG_REQ!M31&lt;=INDEX(INPUTS!$B$42:$B$50,1),INDEX(INPUTS!$A$42:$A$50,1),IF(AG_REQ!M31&gt;INDEX(INPUTS!$B$42:$B$50,ROWS(INPUTS!$B$42:$B$50)),"LARGER",INDEX(INPUTS!$A$42:$A$50,MATCH(AG_REQ!M31,INPUTS!$B$42:$B$50,1)+1))),IF(AG_REQ!M31&lt;=INDEX(INPUTS!$E$42:$E$50,1),INDEX(INPUTS!$D$42:$D$50,1),IF(AG_REQ!M31&gt;INDEX(INPUTS!$E$42:$E$50,ROWS(INPUTS!$E$42:$E$50)),"LARGER",INDEX(INPUTS!$D$42:$D$50,MATCH(AG_REQ!M31,INPUTS!$E$42:$E$50,1)+1)))))</f>
        <v>14x24</v>
      </c>
      <c r="N31" s="4" t="str">
        <f aca="false">IF(TRIB!N31="","",IF(OR(ARCH!N31="",LEFT(ARCH!N31,3)="14x"),IF(AG_REQ!N31&lt;=INDEX(INPUTS!$B$42:$B$50,1),INDEX(INPUTS!$A$42:$A$50,1),IF(AG_REQ!N31&gt;INDEX(INPUTS!$B$42:$B$50,ROWS(INPUTS!$B$42:$B$50)),"LARGER",INDEX(INPUTS!$A$42:$A$50,MATCH(AG_REQ!N31,INPUTS!$B$42:$B$50,1)+1))),IF(AG_REQ!N31&lt;=INDEX(INPUTS!$E$42:$E$50,1),INDEX(INPUTS!$D$42:$D$50,1),IF(AG_REQ!N31&gt;INDEX(INPUTS!$E$42:$E$50,ROWS(INPUTS!$E$42:$E$50)),"LARGER",INDEX(INPUTS!$D$42:$D$50,MATCH(AG_REQ!N31,INPUTS!$E$42:$E$50,1)+1)))))</f>
        <v>14x24</v>
      </c>
      <c r="O31" s="4" t="str">
        <f aca="false">IF(TRIB!O31="","",IF(OR(ARCH!O31="",LEFT(ARCH!O31,3)="14x"),IF(AG_REQ!O31&lt;=INDEX(INPUTS!$B$42:$B$50,1),INDEX(INPUTS!$A$42:$A$50,1),IF(AG_REQ!O31&gt;INDEX(INPUTS!$B$42:$B$50,ROWS(INPUTS!$B$42:$B$50)),"LARGER",INDEX(INPUTS!$A$42:$A$50,MATCH(AG_REQ!O31,INPUTS!$B$42:$B$50,1)+1))),IF(AG_REQ!O31&lt;=INDEX(INPUTS!$E$42:$E$50,1),INDEX(INPUTS!$D$42:$D$50,1),IF(AG_REQ!O31&gt;INDEX(INPUTS!$E$42:$E$50,ROWS(INPUTS!$E$42:$E$50)),"LARGER",INDEX(INPUTS!$D$42:$D$50,MATCH(AG_REQ!O31,INPUTS!$E$42:$E$50,1)+1)))))</f>
        <v>14x24</v>
      </c>
      <c r="P31" s="4" t="str">
        <f aca="false">IF(TRIB!P31="","",IF(OR(ARCH!P31="",LEFT(ARCH!P31,3)="14x"),IF(AG_REQ!P31&lt;=INDEX(INPUTS!$B$42:$B$50,1),INDEX(INPUTS!$A$42:$A$50,1),IF(AG_REQ!P31&gt;INDEX(INPUTS!$B$42:$B$50,ROWS(INPUTS!$B$42:$B$50)),"LARGER",INDEX(INPUTS!$A$42:$A$50,MATCH(AG_REQ!P31,INPUTS!$B$42:$B$50,1)+1))),IF(AG_REQ!P31&lt;=INDEX(INPUTS!$E$42:$E$50,1),INDEX(INPUTS!$D$42:$D$50,1),IF(AG_REQ!P31&gt;INDEX(INPUTS!$E$42:$E$50,ROWS(INPUTS!$E$42:$E$50)),"LARGER",INDEX(INPUTS!$D$42:$D$50,MATCH(AG_REQ!P31,INPUTS!$E$42:$E$50,1)+1)))))</f>
        <v>14x24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4" t="str">
        <f aca="false">IF(TRIB!E32="","",IF(OR(ARCH!E32="",LEFT(ARCH!E32,3)="14x"),IF(AG_REQ!E32&lt;=INDEX(INPUTS!$B$42:$B$50,1),INDEX(INPUTS!$A$42:$A$50,1),IF(AG_REQ!E32&gt;INDEX(INPUTS!$B$42:$B$50,ROWS(INPUTS!$B$42:$B$50)),"LARGER",INDEX(INPUTS!$A$42:$A$50,MATCH(AG_REQ!E32,INPUTS!$B$42:$B$50,1)+1))),IF(AG_REQ!E32&lt;=INDEX(INPUTS!$E$42:$E$50,1),INDEX(INPUTS!$D$42:$D$50,1),IF(AG_REQ!E32&gt;INDEX(INPUTS!$E$42:$E$50,ROWS(INPUTS!$E$42:$E$50)),"LARGER",INDEX(INPUTS!$D$42:$D$50,MATCH(AG_REQ!E32,INPUTS!$E$42:$E$50,1)+1)))))</f>
        <v/>
      </c>
      <c r="F32" s="4" t="str">
        <f aca="false">IF(TRIB!F32="","",IF(OR(ARCH!F32="",LEFT(ARCH!F32,3)="14x"),IF(AG_REQ!F32&lt;=INDEX(INPUTS!$B$42:$B$50,1),INDEX(INPUTS!$A$42:$A$50,1),IF(AG_REQ!F32&gt;INDEX(INPUTS!$B$42:$B$50,ROWS(INPUTS!$B$42:$B$50)),"LARGER",INDEX(INPUTS!$A$42:$A$50,MATCH(AG_REQ!F32,INPUTS!$B$42:$B$50,1)+1))),IF(AG_REQ!F32&lt;=INDEX(INPUTS!$E$42:$E$50,1),INDEX(INPUTS!$D$42:$D$50,1),IF(AG_REQ!F32&gt;INDEX(INPUTS!$E$42:$E$50,ROWS(INPUTS!$E$42:$E$50)),"LARGER",INDEX(INPUTS!$D$42:$D$50,MATCH(AG_REQ!F32,INPUTS!$E$42:$E$50,1)+1)))))</f>
        <v>14x24</v>
      </c>
      <c r="G32" s="4" t="str">
        <f aca="false">IF(TRIB!G32="","",IF(OR(ARCH!G32="",LEFT(ARCH!G32,3)="14x"),IF(AG_REQ!G32&lt;=INDEX(INPUTS!$B$42:$B$50,1),INDEX(INPUTS!$A$42:$A$50,1),IF(AG_REQ!G32&gt;INDEX(INPUTS!$B$42:$B$50,ROWS(INPUTS!$B$42:$B$50)),"LARGER",INDEX(INPUTS!$A$42:$A$50,MATCH(AG_REQ!G32,INPUTS!$B$42:$B$50,1)+1))),IF(AG_REQ!G32&lt;=INDEX(INPUTS!$E$42:$E$50,1),INDEX(INPUTS!$D$42:$D$50,1),IF(AG_REQ!G32&gt;INDEX(INPUTS!$E$42:$E$50,ROWS(INPUTS!$E$42:$E$50)),"LARGER",INDEX(INPUTS!$D$42:$D$50,MATCH(AG_REQ!G32,INPUTS!$E$42:$E$50,1)+1)))))</f>
        <v>14x24</v>
      </c>
      <c r="H32" s="4" t="str">
        <f aca="false">IF(TRIB!H32="","",IF(OR(ARCH!H32="",LEFT(ARCH!H32,3)="14x"),IF(AG_REQ!H32&lt;=INDEX(INPUTS!$B$42:$B$50,1),INDEX(INPUTS!$A$42:$A$50,1),IF(AG_REQ!H32&gt;INDEX(INPUTS!$B$42:$B$50,ROWS(INPUTS!$B$42:$B$50)),"LARGER",INDEX(INPUTS!$A$42:$A$50,MATCH(AG_REQ!H32,INPUTS!$B$42:$B$50,1)+1))),IF(AG_REQ!H32&lt;=INDEX(INPUTS!$E$42:$E$50,1),INDEX(INPUTS!$D$42:$D$50,1),IF(AG_REQ!H32&gt;INDEX(INPUTS!$E$42:$E$50,ROWS(INPUTS!$E$42:$E$50)),"LARGER",INDEX(INPUTS!$D$42:$D$50,MATCH(AG_REQ!H32,INPUTS!$E$42:$E$50,1)+1)))))</f>
        <v>14x24</v>
      </c>
      <c r="I32" s="4" t="str">
        <f aca="false">IF(TRIB!I32="","",IF(OR(ARCH!I32="",LEFT(ARCH!I32,3)="14x"),IF(AG_REQ!I32&lt;=INDEX(INPUTS!$B$42:$B$50,1),INDEX(INPUTS!$A$42:$A$50,1),IF(AG_REQ!I32&gt;INDEX(INPUTS!$B$42:$B$50,ROWS(INPUTS!$B$42:$B$50)),"LARGER",INDEX(INPUTS!$A$42:$A$50,MATCH(AG_REQ!I32,INPUTS!$B$42:$B$50,1)+1))),IF(AG_REQ!I32&lt;=INDEX(INPUTS!$E$42:$E$50,1),INDEX(INPUTS!$D$42:$D$50,1),IF(AG_REQ!I32&gt;INDEX(INPUTS!$E$42:$E$50,ROWS(INPUTS!$E$42:$E$50)),"LARGER",INDEX(INPUTS!$D$42:$D$50,MATCH(AG_REQ!I32,INPUTS!$E$42:$E$50,1)+1)))))</f>
        <v>14x24</v>
      </c>
      <c r="J32" s="4" t="str">
        <f aca="false">IF(TRIB!J32="","",IF(OR(ARCH!J32="",LEFT(ARCH!J32,3)="14x"),IF(AG_REQ!J32&lt;=INDEX(INPUTS!$B$42:$B$50,1),INDEX(INPUTS!$A$42:$A$50,1),IF(AG_REQ!J32&gt;INDEX(INPUTS!$B$42:$B$50,ROWS(INPUTS!$B$42:$B$50)),"LARGER",INDEX(INPUTS!$A$42:$A$50,MATCH(AG_REQ!J32,INPUTS!$B$42:$B$50,1)+1))),IF(AG_REQ!J32&lt;=INDEX(INPUTS!$E$42:$E$50,1),INDEX(INPUTS!$D$42:$D$50,1),IF(AG_REQ!J32&gt;INDEX(INPUTS!$E$42:$E$50,ROWS(INPUTS!$E$42:$E$50)),"LARGER",INDEX(INPUTS!$D$42:$D$50,MATCH(AG_REQ!J32,INPUTS!$E$42:$E$50,1)+1)))))</f>
        <v>14x24</v>
      </c>
      <c r="K32" s="4" t="str">
        <f aca="false">IF(TRIB!K32="","",IF(OR(ARCH!K32="",LEFT(ARCH!K32,3)="14x"),IF(AG_REQ!K32&lt;=INDEX(INPUTS!$B$42:$B$50,1),INDEX(INPUTS!$A$42:$A$50,1),IF(AG_REQ!K32&gt;INDEX(INPUTS!$B$42:$B$50,ROWS(INPUTS!$B$42:$B$50)),"LARGER",INDEX(INPUTS!$A$42:$A$50,MATCH(AG_REQ!K32,INPUTS!$B$42:$B$50,1)+1))),IF(AG_REQ!K32&lt;=INDEX(INPUTS!$E$42:$E$50,1),INDEX(INPUTS!$D$42:$D$50,1),IF(AG_REQ!K32&gt;INDEX(INPUTS!$E$42:$E$50,ROWS(INPUTS!$E$42:$E$50)),"LARGER",INDEX(INPUTS!$D$42:$D$50,MATCH(AG_REQ!K32,INPUTS!$E$42:$E$50,1)+1)))))</f>
        <v>14x24</v>
      </c>
      <c r="L32" s="4" t="str">
        <f aca="false">IF(TRIB!L32="","",IF(OR(ARCH!L32="",LEFT(ARCH!L32,3)="14x"),IF(AG_REQ!L32&lt;=INDEX(INPUTS!$B$42:$B$50,1),INDEX(INPUTS!$A$42:$A$50,1),IF(AG_REQ!L32&gt;INDEX(INPUTS!$B$42:$B$50,ROWS(INPUTS!$B$42:$B$50)),"LARGER",INDEX(INPUTS!$A$42:$A$50,MATCH(AG_REQ!L32,INPUTS!$B$42:$B$50,1)+1))),IF(AG_REQ!L32&lt;=INDEX(INPUTS!$E$42:$E$50,1),INDEX(INPUTS!$D$42:$D$50,1),IF(AG_REQ!L32&gt;INDEX(INPUTS!$E$42:$E$50,ROWS(INPUTS!$E$42:$E$50)),"LARGER",INDEX(INPUTS!$D$42:$D$50,MATCH(AG_REQ!L32,INPUTS!$E$42:$E$50,1)+1)))))</f>
        <v>14x24</v>
      </c>
      <c r="M32" s="4" t="str">
        <f aca="false">IF(TRIB!M32="","",IF(OR(ARCH!M32="",LEFT(ARCH!M32,3)="14x"),IF(AG_REQ!M32&lt;=INDEX(INPUTS!$B$42:$B$50,1),INDEX(INPUTS!$A$42:$A$50,1),IF(AG_REQ!M32&gt;INDEX(INPUTS!$B$42:$B$50,ROWS(INPUTS!$B$42:$B$50)),"LARGER",INDEX(INPUTS!$A$42:$A$50,MATCH(AG_REQ!M32,INPUTS!$B$42:$B$50,1)+1))),IF(AG_REQ!M32&lt;=INDEX(INPUTS!$E$42:$E$50,1),INDEX(INPUTS!$D$42:$D$50,1),IF(AG_REQ!M32&gt;INDEX(INPUTS!$E$42:$E$50,ROWS(INPUTS!$E$42:$E$50)),"LARGER",INDEX(INPUTS!$D$42:$D$50,MATCH(AG_REQ!M32,INPUTS!$E$42:$E$50,1)+1)))))</f>
        <v>14x24</v>
      </c>
      <c r="N32" s="4" t="str">
        <f aca="false">IF(TRIB!N32="","",IF(OR(ARCH!N32="",LEFT(ARCH!N32,3)="14x"),IF(AG_REQ!N32&lt;=INDEX(INPUTS!$B$42:$B$50,1),INDEX(INPUTS!$A$42:$A$50,1),IF(AG_REQ!N32&gt;INDEX(INPUTS!$B$42:$B$50,ROWS(INPUTS!$B$42:$B$50)),"LARGER",INDEX(INPUTS!$A$42:$A$50,MATCH(AG_REQ!N32,INPUTS!$B$42:$B$50,1)+1))),IF(AG_REQ!N32&lt;=INDEX(INPUTS!$E$42:$E$50,1),INDEX(INPUTS!$D$42:$D$50,1),IF(AG_REQ!N32&gt;INDEX(INPUTS!$E$42:$E$50,ROWS(INPUTS!$E$42:$E$50)),"LARGER",INDEX(INPUTS!$D$42:$D$50,MATCH(AG_REQ!N32,INPUTS!$E$42:$E$50,1)+1)))))</f>
        <v>14x24</v>
      </c>
      <c r="O32" s="4" t="str">
        <f aca="false">IF(TRIB!O32="","",IF(OR(ARCH!O32="",LEFT(ARCH!O32,3)="14x"),IF(AG_REQ!O32&lt;=INDEX(INPUTS!$B$42:$B$50,1),INDEX(INPUTS!$A$42:$A$50,1),IF(AG_REQ!O32&gt;INDEX(INPUTS!$B$42:$B$50,ROWS(INPUTS!$B$42:$B$50)),"LARGER",INDEX(INPUTS!$A$42:$A$50,MATCH(AG_REQ!O32,INPUTS!$B$42:$B$50,1)+1))),IF(AG_REQ!O32&lt;=INDEX(INPUTS!$E$42:$E$50,1),INDEX(INPUTS!$D$42:$D$50,1),IF(AG_REQ!O32&gt;INDEX(INPUTS!$E$42:$E$50,ROWS(INPUTS!$E$42:$E$50)),"LARGER",INDEX(INPUTS!$D$42:$D$50,MATCH(AG_REQ!O32,INPUTS!$E$42:$E$50,1)+1)))))</f>
        <v>14x24</v>
      </c>
      <c r="P32" s="4" t="str">
        <f aca="false">IF(TRIB!P32="","",IF(OR(ARCH!P32="",LEFT(ARCH!P32,3)="14x"),IF(AG_REQ!P32&lt;=INDEX(INPUTS!$B$42:$B$50,1),INDEX(INPUTS!$A$42:$A$50,1),IF(AG_REQ!P32&gt;INDEX(INPUTS!$B$42:$B$50,ROWS(INPUTS!$B$42:$B$50)),"LARGER",INDEX(INPUTS!$A$42:$A$50,MATCH(AG_REQ!P32,INPUTS!$B$42:$B$50,1)+1))),IF(AG_REQ!P32&lt;=INDEX(INPUTS!$E$42:$E$50,1),INDEX(INPUTS!$D$42:$D$50,1),IF(AG_REQ!P32&gt;INDEX(INPUTS!$E$42:$E$50,ROWS(INPUTS!$E$42:$E$50)),"LARGER",INDEX(INPUTS!$D$42:$D$50,MATCH(AG_REQ!P32,INPUTS!$E$42:$E$50,1)+1)))))</f>
        <v>14x24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4" t="str">
        <f aca="false">IF(TRIB!E33="","",IF(OR(ARCH!E33="",LEFT(ARCH!E33,3)="14x"),IF(AG_REQ!E33&lt;=INDEX(INPUTS!$B$42:$B$50,1),INDEX(INPUTS!$A$42:$A$50,1),IF(AG_REQ!E33&gt;INDEX(INPUTS!$B$42:$B$50,ROWS(INPUTS!$B$42:$B$50)),"LARGER",INDEX(INPUTS!$A$42:$A$50,MATCH(AG_REQ!E33,INPUTS!$B$42:$B$50,1)+1))),IF(AG_REQ!E33&lt;=INDEX(INPUTS!$E$42:$E$50,1),INDEX(INPUTS!$D$42:$D$50,1),IF(AG_REQ!E33&gt;INDEX(INPUTS!$E$42:$E$50,ROWS(INPUTS!$E$42:$E$50)),"LARGER",INDEX(INPUTS!$D$42:$D$50,MATCH(AG_REQ!E33,INPUTS!$E$42:$E$50,1)+1)))))</f>
        <v/>
      </c>
      <c r="F33" s="4" t="str">
        <f aca="false">IF(TRIB!F33="","",IF(OR(ARCH!F33="",LEFT(ARCH!F33,3)="14x"),IF(AG_REQ!F33&lt;=INDEX(INPUTS!$B$42:$B$50,1),INDEX(INPUTS!$A$42:$A$50,1),IF(AG_REQ!F33&gt;INDEX(INPUTS!$B$42:$B$50,ROWS(INPUTS!$B$42:$B$50)),"LARGER",INDEX(INPUTS!$A$42:$A$50,MATCH(AG_REQ!F33,INPUTS!$B$42:$B$50,1)+1))),IF(AG_REQ!F33&lt;=INDEX(INPUTS!$E$42:$E$50,1),INDEX(INPUTS!$D$42:$D$50,1),IF(AG_REQ!F33&gt;INDEX(INPUTS!$E$42:$E$50,ROWS(INPUTS!$E$42:$E$50)),"LARGER",INDEX(INPUTS!$D$42:$D$50,MATCH(AG_REQ!F33,INPUTS!$E$42:$E$50,1)+1)))))</f>
        <v>14x24</v>
      </c>
      <c r="G33" s="4" t="str">
        <f aca="false">IF(TRIB!G33="","",IF(OR(ARCH!G33="",LEFT(ARCH!G33,3)="14x"),IF(AG_REQ!G33&lt;=INDEX(INPUTS!$B$42:$B$50,1),INDEX(INPUTS!$A$42:$A$50,1),IF(AG_REQ!G33&gt;INDEX(INPUTS!$B$42:$B$50,ROWS(INPUTS!$B$42:$B$50)),"LARGER",INDEX(INPUTS!$A$42:$A$50,MATCH(AG_REQ!G33,INPUTS!$B$42:$B$50,1)+1))),IF(AG_REQ!G33&lt;=INDEX(INPUTS!$E$42:$E$50,1),INDEX(INPUTS!$D$42:$D$50,1),IF(AG_REQ!G33&gt;INDEX(INPUTS!$E$42:$E$50,ROWS(INPUTS!$E$42:$E$50)),"LARGER",INDEX(INPUTS!$D$42:$D$50,MATCH(AG_REQ!G33,INPUTS!$E$42:$E$50,1)+1)))))</f>
        <v>14x24</v>
      </c>
      <c r="H33" s="4" t="str">
        <f aca="false">IF(TRIB!H33="","",IF(OR(ARCH!H33="",LEFT(ARCH!H33,3)="14x"),IF(AG_REQ!H33&lt;=INDEX(INPUTS!$B$42:$B$50,1),INDEX(INPUTS!$A$42:$A$50,1),IF(AG_REQ!H33&gt;INDEX(INPUTS!$B$42:$B$50,ROWS(INPUTS!$B$42:$B$50)),"LARGER",INDEX(INPUTS!$A$42:$A$50,MATCH(AG_REQ!H33,INPUTS!$B$42:$B$50,1)+1))),IF(AG_REQ!H33&lt;=INDEX(INPUTS!$E$42:$E$50,1),INDEX(INPUTS!$D$42:$D$50,1),IF(AG_REQ!H33&gt;INDEX(INPUTS!$E$42:$E$50,ROWS(INPUTS!$E$42:$E$50)),"LARGER",INDEX(INPUTS!$D$42:$D$50,MATCH(AG_REQ!H33,INPUTS!$E$42:$E$50,1)+1)))))</f>
        <v>14x24</v>
      </c>
      <c r="I33" s="4" t="str">
        <f aca="false">IF(TRIB!I33="","",IF(OR(ARCH!I33="",LEFT(ARCH!I33,3)="14x"),IF(AG_REQ!I33&lt;=INDEX(INPUTS!$B$42:$B$50,1),INDEX(INPUTS!$A$42:$A$50,1),IF(AG_REQ!I33&gt;INDEX(INPUTS!$B$42:$B$50,ROWS(INPUTS!$B$42:$B$50)),"LARGER",INDEX(INPUTS!$A$42:$A$50,MATCH(AG_REQ!I33,INPUTS!$B$42:$B$50,1)+1))),IF(AG_REQ!I33&lt;=INDEX(INPUTS!$E$42:$E$50,1),INDEX(INPUTS!$D$42:$D$50,1),IF(AG_REQ!I33&gt;INDEX(INPUTS!$E$42:$E$50,ROWS(INPUTS!$E$42:$E$50)),"LARGER",INDEX(INPUTS!$D$42:$D$50,MATCH(AG_REQ!I33,INPUTS!$E$42:$E$50,1)+1)))))</f>
        <v>14x24</v>
      </c>
      <c r="J33" s="4" t="str">
        <f aca="false">IF(TRIB!J33="","",IF(OR(ARCH!J33="",LEFT(ARCH!J33,3)="14x"),IF(AG_REQ!J33&lt;=INDEX(INPUTS!$B$42:$B$50,1),INDEX(INPUTS!$A$42:$A$50,1),IF(AG_REQ!J33&gt;INDEX(INPUTS!$B$42:$B$50,ROWS(INPUTS!$B$42:$B$50)),"LARGER",INDEX(INPUTS!$A$42:$A$50,MATCH(AG_REQ!J33,INPUTS!$B$42:$B$50,1)+1))),IF(AG_REQ!J33&lt;=INDEX(INPUTS!$E$42:$E$50,1),INDEX(INPUTS!$D$42:$D$50,1),IF(AG_REQ!J33&gt;INDEX(INPUTS!$E$42:$E$50,ROWS(INPUTS!$E$42:$E$50)),"LARGER",INDEX(INPUTS!$D$42:$D$50,MATCH(AG_REQ!J33,INPUTS!$E$42:$E$50,1)+1)))))</f>
        <v>14x24</v>
      </c>
      <c r="K33" s="4" t="str">
        <f aca="false">IF(TRIB!K33="","",IF(OR(ARCH!K33="",LEFT(ARCH!K33,3)="14x"),IF(AG_REQ!K33&lt;=INDEX(INPUTS!$B$42:$B$50,1),INDEX(INPUTS!$A$42:$A$50,1),IF(AG_REQ!K33&gt;INDEX(INPUTS!$B$42:$B$50,ROWS(INPUTS!$B$42:$B$50)),"LARGER",INDEX(INPUTS!$A$42:$A$50,MATCH(AG_REQ!K33,INPUTS!$B$42:$B$50,1)+1))),IF(AG_REQ!K33&lt;=INDEX(INPUTS!$E$42:$E$50,1),INDEX(INPUTS!$D$42:$D$50,1),IF(AG_REQ!K33&gt;INDEX(INPUTS!$E$42:$E$50,ROWS(INPUTS!$E$42:$E$50)),"LARGER",INDEX(INPUTS!$D$42:$D$50,MATCH(AG_REQ!K33,INPUTS!$E$42:$E$50,1)+1)))))</f>
        <v>14x24</v>
      </c>
      <c r="L33" s="4" t="str">
        <f aca="false">IF(TRIB!L33="","",IF(OR(ARCH!L33="",LEFT(ARCH!L33,3)="14x"),IF(AG_REQ!L33&lt;=INDEX(INPUTS!$B$42:$B$50,1),INDEX(INPUTS!$A$42:$A$50,1),IF(AG_REQ!L33&gt;INDEX(INPUTS!$B$42:$B$50,ROWS(INPUTS!$B$42:$B$50)),"LARGER",INDEX(INPUTS!$A$42:$A$50,MATCH(AG_REQ!L33,INPUTS!$B$42:$B$50,1)+1))),IF(AG_REQ!L33&lt;=INDEX(INPUTS!$E$42:$E$50,1),INDEX(INPUTS!$D$42:$D$50,1),IF(AG_REQ!L33&gt;INDEX(INPUTS!$E$42:$E$50,ROWS(INPUTS!$E$42:$E$50)),"LARGER",INDEX(INPUTS!$D$42:$D$50,MATCH(AG_REQ!L33,INPUTS!$E$42:$E$50,1)+1)))))</f>
        <v>14x24</v>
      </c>
      <c r="M33" s="4" t="str">
        <f aca="false">IF(TRIB!M33="","",IF(OR(ARCH!M33="",LEFT(ARCH!M33,3)="14x"),IF(AG_REQ!M33&lt;=INDEX(INPUTS!$B$42:$B$50,1),INDEX(INPUTS!$A$42:$A$50,1),IF(AG_REQ!M33&gt;INDEX(INPUTS!$B$42:$B$50,ROWS(INPUTS!$B$42:$B$50)),"LARGER",INDEX(INPUTS!$A$42:$A$50,MATCH(AG_REQ!M33,INPUTS!$B$42:$B$50,1)+1))),IF(AG_REQ!M33&lt;=INDEX(INPUTS!$E$42:$E$50,1),INDEX(INPUTS!$D$42:$D$50,1),IF(AG_REQ!M33&gt;INDEX(INPUTS!$E$42:$E$50,ROWS(INPUTS!$E$42:$E$50)),"LARGER",INDEX(INPUTS!$D$42:$D$50,MATCH(AG_REQ!M33,INPUTS!$E$42:$E$50,1)+1)))))</f>
        <v>14x24</v>
      </c>
      <c r="N33" s="4" t="str">
        <f aca="false">IF(TRIB!N33="","",IF(OR(ARCH!N33="",LEFT(ARCH!N33,3)="14x"),IF(AG_REQ!N33&lt;=INDEX(INPUTS!$B$42:$B$50,1),INDEX(INPUTS!$A$42:$A$50,1),IF(AG_REQ!N33&gt;INDEX(INPUTS!$B$42:$B$50,ROWS(INPUTS!$B$42:$B$50)),"LARGER",INDEX(INPUTS!$A$42:$A$50,MATCH(AG_REQ!N33,INPUTS!$B$42:$B$50,1)+1))),IF(AG_REQ!N33&lt;=INDEX(INPUTS!$E$42:$E$50,1),INDEX(INPUTS!$D$42:$D$50,1),IF(AG_REQ!N33&gt;INDEX(INPUTS!$E$42:$E$50,ROWS(INPUTS!$E$42:$E$50)),"LARGER",INDEX(INPUTS!$D$42:$D$50,MATCH(AG_REQ!N33,INPUTS!$E$42:$E$50,1)+1)))))</f>
        <v>14x24</v>
      </c>
      <c r="O33" s="4" t="str">
        <f aca="false">IF(TRIB!O33="","",IF(OR(ARCH!O33="",LEFT(ARCH!O33,3)="14x"),IF(AG_REQ!O33&lt;=INDEX(INPUTS!$B$42:$B$50,1),INDEX(INPUTS!$A$42:$A$50,1),IF(AG_REQ!O33&gt;INDEX(INPUTS!$B$42:$B$50,ROWS(INPUTS!$B$42:$B$50)),"LARGER",INDEX(INPUTS!$A$42:$A$50,MATCH(AG_REQ!O33,INPUTS!$B$42:$B$50,1)+1))),IF(AG_REQ!O33&lt;=INDEX(INPUTS!$E$42:$E$50,1),INDEX(INPUTS!$D$42:$D$50,1),IF(AG_REQ!O33&gt;INDEX(INPUTS!$E$42:$E$50,ROWS(INPUTS!$E$42:$E$50)),"LARGER",INDEX(INPUTS!$D$42:$D$50,MATCH(AG_REQ!O33,INPUTS!$E$42:$E$50,1)+1)))))</f>
        <v>14x24</v>
      </c>
      <c r="P33" s="4" t="str">
        <f aca="false">IF(TRIB!P33="","",IF(OR(ARCH!P33="",LEFT(ARCH!P33,3)="14x"),IF(AG_REQ!P33&lt;=INDEX(INPUTS!$B$42:$B$50,1),INDEX(INPUTS!$A$42:$A$50,1),IF(AG_REQ!P33&gt;INDEX(INPUTS!$B$42:$B$50,ROWS(INPUTS!$B$42:$B$50)),"LARGER",INDEX(INPUTS!$A$42:$A$50,MATCH(AG_REQ!P33,INPUTS!$B$42:$B$50,1)+1))),IF(AG_REQ!P33&lt;=INDEX(INPUTS!$E$42:$E$50,1),INDEX(INPUTS!$D$42:$D$50,1),IF(AG_REQ!P33&gt;INDEX(INPUTS!$E$42:$E$50,ROWS(INPUTS!$E$42:$E$50)),"LARGER",INDEX(INPUTS!$D$42:$D$50,MATCH(AG_REQ!P33,INPUTS!$E$42:$E$50,1)+1)))))</f>
        <v>14x24</v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4" t="str">
        <f aca="false">IF(TRIB!E34="","",IF(OR(ARCH!E34="",LEFT(ARCH!E34,3)="14x"),IF(AG_REQ!E34&lt;=INDEX(INPUTS!$B$42:$B$50,1),INDEX(INPUTS!$A$42:$A$50,1),IF(AG_REQ!E34&gt;INDEX(INPUTS!$B$42:$B$50,ROWS(INPUTS!$B$42:$B$50)),"LARGER",INDEX(INPUTS!$A$42:$A$50,MATCH(AG_REQ!E34,INPUTS!$B$42:$B$50,1)+1))),IF(AG_REQ!E34&lt;=INDEX(INPUTS!$E$42:$E$50,1),INDEX(INPUTS!$D$42:$D$50,1),IF(AG_REQ!E34&gt;INDEX(INPUTS!$E$42:$E$50,ROWS(INPUTS!$E$42:$E$50)),"LARGER",INDEX(INPUTS!$D$42:$D$50,MATCH(AG_REQ!E34,INPUTS!$E$42:$E$50,1)+1)))))</f>
        <v/>
      </c>
      <c r="F34" s="4" t="str">
        <f aca="false">IF(TRIB!F34="","",IF(OR(ARCH!F34="",LEFT(ARCH!F34,3)="14x"),IF(AG_REQ!F34&lt;=INDEX(INPUTS!$B$42:$B$50,1),INDEX(INPUTS!$A$42:$A$50,1),IF(AG_REQ!F34&gt;INDEX(INPUTS!$B$42:$B$50,ROWS(INPUTS!$B$42:$B$50)),"LARGER",INDEX(INPUTS!$A$42:$A$50,MATCH(AG_REQ!F34,INPUTS!$B$42:$B$50,1)+1))),IF(AG_REQ!F34&lt;=INDEX(INPUTS!$E$42:$E$50,1),INDEX(INPUTS!$D$42:$D$50,1),IF(AG_REQ!F34&gt;INDEX(INPUTS!$E$42:$E$50,ROWS(INPUTS!$E$42:$E$50)),"LARGER",INDEX(INPUTS!$D$42:$D$50,MATCH(AG_REQ!F34,INPUTS!$E$42:$E$50,1)+1)))))</f>
        <v>14x24</v>
      </c>
      <c r="G34" s="4" t="str">
        <f aca="false">IF(TRIB!G34="","",IF(OR(ARCH!G34="",LEFT(ARCH!G34,3)="14x"),IF(AG_REQ!G34&lt;=INDEX(INPUTS!$B$42:$B$50,1),INDEX(INPUTS!$A$42:$A$50,1),IF(AG_REQ!G34&gt;INDEX(INPUTS!$B$42:$B$50,ROWS(INPUTS!$B$42:$B$50)),"LARGER",INDEX(INPUTS!$A$42:$A$50,MATCH(AG_REQ!G34,INPUTS!$B$42:$B$50,1)+1))),IF(AG_REQ!G34&lt;=INDEX(INPUTS!$E$42:$E$50,1),INDEX(INPUTS!$D$42:$D$50,1),IF(AG_REQ!G34&gt;INDEX(INPUTS!$E$42:$E$50,ROWS(INPUTS!$E$42:$E$50)),"LARGER",INDEX(INPUTS!$D$42:$D$50,MATCH(AG_REQ!G34,INPUTS!$E$42:$E$50,1)+1)))))</f>
        <v>14x24</v>
      </c>
      <c r="H34" s="4" t="str">
        <f aca="false">IF(TRIB!H34="","",IF(OR(ARCH!H34="",LEFT(ARCH!H34,3)="14x"),IF(AG_REQ!H34&lt;=INDEX(INPUTS!$B$42:$B$50,1),INDEX(INPUTS!$A$42:$A$50,1),IF(AG_REQ!H34&gt;INDEX(INPUTS!$B$42:$B$50,ROWS(INPUTS!$B$42:$B$50)),"LARGER",INDEX(INPUTS!$A$42:$A$50,MATCH(AG_REQ!H34,INPUTS!$B$42:$B$50,1)+1))),IF(AG_REQ!H34&lt;=INDEX(INPUTS!$E$42:$E$50,1),INDEX(INPUTS!$D$42:$D$50,1),IF(AG_REQ!H34&gt;INDEX(INPUTS!$E$42:$E$50,ROWS(INPUTS!$E$42:$E$50)),"LARGER",INDEX(INPUTS!$D$42:$D$50,MATCH(AG_REQ!H34,INPUTS!$E$42:$E$50,1)+1)))))</f>
        <v>14x24</v>
      </c>
      <c r="I34" s="4" t="str">
        <f aca="false">IF(TRIB!I34="","",IF(OR(ARCH!I34="",LEFT(ARCH!I34,3)="14x"),IF(AG_REQ!I34&lt;=INDEX(INPUTS!$B$42:$B$50,1),INDEX(INPUTS!$A$42:$A$50,1),IF(AG_REQ!I34&gt;INDEX(INPUTS!$B$42:$B$50,ROWS(INPUTS!$B$42:$B$50)),"LARGER",INDEX(INPUTS!$A$42:$A$50,MATCH(AG_REQ!I34,INPUTS!$B$42:$B$50,1)+1))),IF(AG_REQ!I34&lt;=INDEX(INPUTS!$E$42:$E$50,1),INDEX(INPUTS!$D$42:$D$50,1),IF(AG_REQ!I34&gt;INDEX(INPUTS!$E$42:$E$50,ROWS(INPUTS!$E$42:$E$50)),"LARGER",INDEX(INPUTS!$D$42:$D$50,MATCH(AG_REQ!I34,INPUTS!$E$42:$E$50,1)+1)))))</f>
        <v>14x24</v>
      </c>
      <c r="J34" s="4" t="str">
        <f aca="false">IF(TRIB!J34="","",IF(OR(ARCH!J34="",LEFT(ARCH!J34,3)="14x"),IF(AG_REQ!J34&lt;=INDEX(INPUTS!$B$42:$B$50,1),INDEX(INPUTS!$A$42:$A$50,1),IF(AG_REQ!J34&gt;INDEX(INPUTS!$B$42:$B$50,ROWS(INPUTS!$B$42:$B$50)),"LARGER",INDEX(INPUTS!$A$42:$A$50,MATCH(AG_REQ!J34,INPUTS!$B$42:$B$50,1)+1))),IF(AG_REQ!J34&lt;=INDEX(INPUTS!$E$42:$E$50,1),INDEX(INPUTS!$D$42:$D$50,1),IF(AG_REQ!J34&gt;INDEX(INPUTS!$E$42:$E$50,ROWS(INPUTS!$E$42:$E$50)),"LARGER",INDEX(INPUTS!$D$42:$D$50,MATCH(AG_REQ!J34,INPUTS!$E$42:$E$50,1)+1)))))</f>
        <v>14x24</v>
      </c>
      <c r="K34" s="4" t="str">
        <f aca="false">IF(TRIB!K34="","",IF(OR(ARCH!K34="",LEFT(ARCH!K34,3)="14x"),IF(AG_REQ!K34&lt;=INDEX(INPUTS!$B$42:$B$50,1),INDEX(INPUTS!$A$42:$A$50,1),IF(AG_REQ!K34&gt;INDEX(INPUTS!$B$42:$B$50,ROWS(INPUTS!$B$42:$B$50)),"LARGER",INDEX(INPUTS!$A$42:$A$50,MATCH(AG_REQ!K34,INPUTS!$B$42:$B$50,1)+1))),IF(AG_REQ!K34&lt;=INDEX(INPUTS!$E$42:$E$50,1),INDEX(INPUTS!$D$42:$D$50,1),IF(AG_REQ!K34&gt;INDEX(INPUTS!$E$42:$E$50,ROWS(INPUTS!$E$42:$E$50)),"LARGER",INDEX(INPUTS!$D$42:$D$50,MATCH(AG_REQ!K34,INPUTS!$E$42:$E$50,1)+1)))))</f>
        <v>14x24</v>
      </c>
      <c r="L34" s="4" t="str">
        <f aca="false">IF(TRIB!L34="","",IF(OR(ARCH!L34="",LEFT(ARCH!L34,3)="14x"),IF(AG_REQ!L34&lt;=INDEX(INPUTS!$B$42:$B$50,1),INDEX(INPUTS!$A$42:$A$50,1),IF(AG_REQ!L34&gt;INDEX(INPUTS!$B$42:$B$50,ROWS(INPUTS!$B$42:$B$50)),"LARGER",INDEX(INPUTS!$A$42:$A$50,MATCH(AG_REQ!L34,INPUTS!$B$42:$B$50,1)+1))),IF(AG_REQ!L34&lt;=INDEX(INPUTS!$E$42:$E$50,1),INDEX(INPUTS!$D$42:$D$50,1),IF(AG_REQ!L34&gt;INDEX(INPUTS!$E$42:$E$50,ROWS(INPUTS!$E$42:$E$50)),"LARGER",INDEX(INPUTS!$D$42:$D$50,MATCH(AG_REQ!L34,INPUTS!$E$42:$E$50,1)+1)))))</f>
        <v>14x24</v>
      </c>
      <c r="M34" s="4" t="str">
        <f aca="false">IF(TRIB!M34="","",IF(OR(ARCH!M34="",LEFT(ARCH!M34,3)="14x"),IF(AG_REQ!M34&lt;=INDEX(INPUTS!$B$42:$B$50,1),INDEX(INPUTS!$A$42:$A$50,1),IF(AG_REQ!M34&gt;INDEX(INPUTS!$B$42:$B$50,ROWS(INPUTS!$B$42:$B$50)),"LARGER",INDEX(INPUTS!$A$42:$A$50,MATCH(AG_REQ!M34,INPUTS!$B$42:$B$50,1)+1))),IF(AG_REQ!M34&lt;=INDEX(INPUTS!$E$42:$E$50,1),INDEX(INPUTS!$D$42:$D$50,1),IF(AG_REQ!M34&gt;INDEX(INPUTS!$E$42:$E$50,ROWS(INPUTS!$E$42:$E$50)),"LARGER",INDEX(INPUTS!$D$42:$D$50,MATCH(AG_REQ!M34,INPUTS!$E$42:$E$50,1)+1)))))</f>
        <v>14x24</v>
      </c>
      <c r="N34" s="4" t="str">
        <f aca="false">IF(TRIB!N34="","",IF(OR(ARCH!N34="",LEFT(ARCH!N34,3)="14x"),IF(AG_REQ!N34&lt;=INDEX(INPUTS!$B$42:$B$50,1),INDEX(INPUTS!$A$42:$A$50,1),IF(AG_REQ!N34&gt;INDEX(INPUTS!$B$42:$B$50,ROWS(INPUTS!$B$42:$B$50)),"LARGER",INDEX(INPUTS!$A$42:$A$50,MATCH(AG_REQ!N34,INPUTS!$B$42:$B$50,1)+1))),IF(AG_REQ!N34&lt;=INDEX(INPUTS!$E$42:$E$50,1),INDEX(INPUTS!$D$42:$D$50,1),IF(AG_REQ!N34&gt;INDEX(INPUTS!$E$42:$E$50,ROWS(INPUTS!$E$42:$E$50)),"LARGER",INDEX(INPUTS!$D$42:$D$50,MATCH(AG_REQ!N34,INPUTS!$E$42:$E$50,1)+1)))))</f>
        <v>14x24</v>
      </c>
      <c r="O34" s="4" t="str">
        <f aca="false">IF(TRIB!O34="","",IF(OR(ARCH!O34="",LEFT(ARCH!O34,3)="14x"),IF(AG_REQ!O34&lt;=INDEX(INPUTS!$B$42:$B$50,1),INDEX(INPUTS!$A$42:$A$50,1),IF(AG_REQ!O34&gt;INDEX(INPUTS!$B$42:$B$50,ROWS(INPUTS!$B$42:$B$50)),"LARGER",INDEX(INPUTS!$A$42:$A$50,MATCH(AG_REQ!O34,INPUTS!$B$42:$B$50,1)+1))),IF(AG_REQ!O34&lt;=INDEX(INPUTS!$E$42:$E$50,1),INDEX(INPUTS!$D$42:$D$50,1),IF(AG_REQ!O34&gt;INDEX(INPUTS!$E$42:$E$50,ROWS(INPUTS!$E$42:$E$50)),"LARGER",INDEX(INPUTS!$D$42:$D$50,MATCH(AG_REQ!O34,INPUTS!$E$42:$E$50,1)+1)))))</f>
        <v>14x24</v>
      </c>
      <c r="P34" s="4" t="str">
        <f aca="false">IF(TRIB!P34="","",IF(OR(ARCH!P34="",LEFT(ARCH!P34,3)="14x"),IF(AG_REQ!P34&lt;=INDEX(INPUTS!$B$42:$B$50,1),INDEX(INPUTS!$A$42:$A$50,1),IF(AG_REQ!P34&gt;INDEX(INPUTS!$B$42:$B$50,ROWS(INPUTS!$B$42:$B$50)),"LARGER",INDEX(INPUTS!$A$42:$A$50,MATCH(AG_REQ!P34,INPUTS!$B$42:$B$50,1)+1))),IF(AG_REQ!P34&lt;=INDEX(INPUTS!$E$42:$E$50,1),INDEX(INPUTS!$D$42:$D$50,1),IF(AG_REQ!P34&gt;INDEX(INPUTS!$E$42:$E$50,ROWS(INPUTS!$E$42:$E$50)),"LARGER",INDEX(INPUTS!$D$42:$D$50,MATCH(AG_REQ!P34,INPUTS!$E$42:$E$50,1)+1)))))</f>
        <v>14x24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4" t="str">
        <f aca="false">IF(TRIB!E35="","",IF(OR(ARCH!E35="",LEFT(ARCH!E35,3)="14x"),IF(AG_REQ!E35&lt;=INDEX(INPUTS!$B$42:$B$50,1),INDEX(INPUTS!$A$42:$A$50,1),IF(AG_REQ!E35&gt;INDEX(INPUTS!$B$42:$B$50,ROWS(INPUTS!$B$42:$B$50)),"LARGER",INDEX(INPUTS!$A$42:$A$50,MATCH(AG_REQ!E35,INPUTS!$B$42:$B$50,1)+1))),IF(AG_REQ!E35&lt;=INDEX(INPUTS!$E$42:$E$50,1),INDEX(INPUTS!$D$42:$D$50,1),IF(AG_REQ!E35&gt;INDEX(INPUTS!$E$42:$E$50,ROWS(INPUTS!$E$42:$E$50)),"LARGER",INDEX(INPUTS!$D$42:$D$50,MATCH(AG_REQ!E35,INPUTS!$E$42:$E$50,1)+1)))))</f>
        <v/>
      </c>
      <c r="F35" s="4" t="str">
        <f aca="false">IF(TRIB!F35="","",IF(OR(ARCH!F35="",LEFT(ARCH!F35,3)="14x"),IF(AG_REQ!F35&lt;=INDEX(INPUTS!$B$42:$B$50,1),INDEX(INPUTS!$A$42:$A$50,1),IF(AG_REQ!F35&gt;INDEX(INPUTS!$B$42:$B$50,ROWS(INPUTS!$B$42:$B$50)),"LARGER",INDEX(INPUTS!$A$42:$A$50,MATCH(AG_REQ!F35,INPUTS!$B$42:$B$50,1)+1))),IF(AG_REQ!F35&lt;=INDEX(INPUTS!$E$42:$E$50,1),INDEX(INPUTS!$D$42:$D$50,1),IF(AG_REQ!F35&gt;INDEX(INPUTS!$E$42:$E$50,ROWS(INPUTS!$E$42:$E$50)),"LARGER",INDEX(INPUTS!$D$42:$D$50,MATCH(AG_REQ!F35,INPUTS!$E$42:$E$50,1)+1)))))</f>
        <v/>
      </c>
      <c r="G35" s="4" t="str">
        <f aca="false">IF(TRIB!G35="","",IF(OR(ARCH!G35="",LEFT(ARCH!G35,3)="14x"),IF(AG_REQ!G35&lt;=INDEX(INPUTS!$B$42:$B$50,1),INDEX(INPUTS!$A$42:$A$50,1),IF(AG_REQ!G35&gt;INDEX(INPUTS!$B$42:$B$50,ROWS(INPUTS!$B$42:$B$50)),"LARGER",INDEX(INPUTS!$A$42:$A$50,MATCH(AG_REQ!G35,INPUTS!$B$42:$B$50,1)+1))),IF(AG_REQ!G35&lt;=INDEX(INPUTS!$E$42:$E$50,1),INDEX(INPUTS!$D$42:$D$50,1),IF(AG_REQ!G35&gt;INDEX(INPUTS!$E$42:$E$50,ROWS(INPUTS!$E$42:$E$50)),"LARGER",INDEX(INPUTS!$D$42:$D$50,MATCH(AG_REQ!G35,INPUTS!$E$42:$E$50,1)+1)))))</f>
        <v>14x24</v>
      </c>
      <c r="H35" s="4" t="str">
        <f aca="false">IF(TRIB!H35="","",IF(OR(ARCH!H35="",LEFT(ARCH!H35,3)="14x"),IF(AG_REQ!H35&lt;=INDEX(INPUTS!$B$42:$B$50,1),INDEX(INPUTS!$A$42:$A$50,1),IF(AG_REQ!H35&gt;INDEX(INPUTS!$B$42:$B$50,ROWS(INPUTS!$B$42:$B$50)),"LARGER",INDEX(INPUTS!$A$42:$A$50,MATCH(AG_REQ!H35,INPUTS!$B$42:$B$50,1)+1))),IF(AG_REQ!H35&lt;=INDEX(INPUTS!$E$42:$E$50,1),INDEX(INPUTS!$D$42:$D$50,1),IF(AG_REQ!H35&gt;INDEX(INPUTS!$E$42:$E$50,ROWS(INPUTS!$E$42:$E$50)),"LARGER",INDEX(INPUTS!$D$42:$D$50,MATCH(AG_REQ!H35,INPUTS!$E$42:$E$50,1)+1)))))</f>
        <v>14x24</v>
      </c>
      <c r="I35" s="4" t="str">
        <f aca="false">IF(TRIB!I35="","",IF(OR(ARCH!I35="",LEFT(ARCH!I35,3)="14x"),IF(AG_REQ!I35&lt;=INDEX(INPUTS!$B$42:$B$50,1),INDEX(INPUTS!$A$42:$A$50,1),IF(AG_REQ!I35&gt;INDEX(INPUTS!$B$42:$B$50,ROWS(INPUTS!$B$42:$B$50)),"LARGER",INDEX(INPUTS!$A$42:$A$50,MATCH(AG_REQ!I35,INPUTS!$B$42:$B$50,1)+1))),IF(AG_REQ!I35&lt;=INDEX(INPUTS!$E$42:$E$50,1),INDEX(INPUTS!$D$42:$D$50,1),IF(AG_REQ!I35&gt;INDEX(INPUTS!$E$42:$E$50,ROWS(INPUTS!$E$42:$E$50)),"LARGER",INDEX(INPUTS!$D$42:$D$50,MATCH(AG_REQ!I35,INPUTS!$E$42:$E$50,1)+1)))))</f>
        <v>14x24</v>
      </c>
      <c r="J35" s="4" t="str">
        <f aca="false">IF(TRIB!J35="","",IF(OR(ARCH!J35="",LEFT(ARCH!J35,3)="14x"),IF(AG_REQ!J35&lt;=INDEX(INPUTS!$B$42:$B$50,1),INDEX(INPUTS!$A$42:$A$50,1),IF(AG_REQ!J35&gt;INDEX(INPUTS!$B$42:$B$50,ROWS(INPUTS!$B$42:$B$50)),"LARGER",INDEX(INPUTS!$A$42:$A$50,MATCH(AG_REQ!J35,INPUTS!$B$42:$B$50,1)+1))),IF(AG_REQ!J35&lt;=INDEX(INPUTS!$E$42:$E$50,1),INDEX(INPUTS!$D$42:$D$50,1),IF(AG_REQ!J35&gt;INDEX(INPUTS!$E$42:$E$50,ROWS(INPUTS!$E$42:$E$50)),"LARGER",INDEX(INPUTS!$D$42:$D$50,MATCH(AG_REQ!J35,INPUTS!$E$42:$E$50,1)+1)))))</f>
        <v>14x24</v>
      </c>
      <c r="K35" s="4" t="str">
        <f aca="false">IF(TRIB!K35="","",IF(OR(ARCH!K35="",LEFT(ARCH!K35,3)="14x"),IF(AG_REQ!K35&lt;=INDEX(INPUTS!$B$42:$B$50,1),INDEX(INPUTS!$A$42:$A$50,1),IF(AG_REQ!K35&gt;INDEX(INPUTS!$B$42:$B$50,ROWS(INPUTS!$B$42:$B$50)),"LARGER",INDEX(INPUTS!$A$42:$A$50,MATCH(AG_REQ!K35,INPUTS!$B$42:$B$50,1)+1))),IF(AG_REQ!K35&lt;=INDEX(INPUTS!$E$42:$E$50,1),INDEX(INPUTS!$D$42:$D$50,1),IF(AG_REQ!K35&gt;INDEX(INPUTS!$E$42:$E$50,ROWS(INPUTS!$E$42:$E$50)),"LARGER",INDEX(INPUTS!$D$42:$D$50,MATCH(AG_REQ!K35,INPUTS!$E$42:$E$50,1)+1)))))</f>
        <v>14x24</v>
      </c>
      <c r="L35" s="4" t="str">
        <f aca="false">IF(TRIB!L35="","",IF(OR(ARCH!L35="",LEFT(ARCH!L35,3)="14x"),IF(AG_REQ!L35&lt;=INDEX(INPUTS!$B$42:$B$50,1),INDEX(INPUTS!$A$42:$A$50,1),IF(AG_REQ!L35&gt;INDEX(INPUTS!$B$42:$B$50,ROWS(INPUTS!$B$42:$B$50)),"LARGER",INDEX(INPUTS!$A$42:$A$50,MATCH(AG_REQ!L35,INPUTS!$B$42:$B$50,1)+1))),IF(AG_REQ!L35&lt;=INDEX(INPUTS!$E$42:$E$50,1),INDEX(INPUTS!$D$42:$D$50,1),IF(AG_REQ!L35&gt;INDEX(INPUTS!$E$42:$E$50,ROWS(INPUTS!$E$42:$E$50)),"LARGER",INDEX(INPUTS!$D$42:$D$50,MATCH(AG_REQ!L35,INPUTS!$E$42:$E$50,1)+1)))))</f>
        <v>14x24</v>
      </c>
      <c r="M35" s="4" t="str">
        <f aca="false">IF(TRIB!M35="","",IF(OR(ARCH!M35="",LEFT(ARCH!M35,3)="14x"),IF(AG_REQ!M35&lt;=INDEX(INPUTS!$B$42:$B$50,1),INDEX(INPUTS!$A$42:$A$50,1),IF(AG_REQ!M35&gt;INDEX(INPUTS!$B$42:$B$50,ROWS(INPUTS!$B$42:$B$50)),"LARGER",INDEX(INPUTS!$A$42:$A$50,MATCH(AG_REQ!M35,INPUTS!$B$42:$B$50,1)+1))),IF(AG_REQ!M35&lt;=INDEX(INPUTS!$E$42:$E$50,1),INDEX(INPUTS!$D$42:$D$50,1),IF(AG_REQ!M35&gt;INDEX(INPUTS!$E$42:$E$50,ROWS(INPUTS!$E$42:$E$50)),"LARGER",INDEX(INPUTS!$D$42:$D$50,MATCH(AG_REQ!M35,INPUTS!$E$42:$E$50,1)+1)))))</f>
        <v>14x24</v>
      </c>
      <c r="N35" s="4" t="str">
        <f aca="false">IF(TRIB!N35="","",IF(OR(ARCH!N35="",LEFT(ARCH!N35,3)="14x"),IF(AG_REQ!N35&lt;=INDEX(INPUTS!$B$42:$B$50,1),INDEX(INPUTS!$A$42:$A$50,1),IF(AG_REQ!N35&gt;INDEX(INPUTS!$B$42:$B$50,ROWS(INPUTS!$B$42:$B$50)),"LARGER",INDEX(INPUTS!$A$42:$A$50,MATCH(AG_REQ!N35,INPUTS!$B$42:$B$50,1)+1))),IF(AG_REQ!N35&lt;=INDEX(INPUTS!$E$42:$E$50,1),INDEX(INPUTS!$D$42:$D$50,1),IF(AG_REQ!N35&gt;INDEX(INPUTS!$E$42:$E$50,ROWS(INPUTS!$E$42:$E$50)),"LARGER",INDEX(INPUTS!$D$42:$D$50,MATCH(AG_REQ!N35,INPUTS!$E$42:$E$50,1)+1)))))</f>
        <v>14x24</v>
      </c>
      <c r="O35" s="4" t="str">
        <f aca="false">IF(TRIB!O35="","",IF(OR(ARCH!O35="",LEFT(ARCH!O35,3)="14x"),IF(AG_REQ!O35&lt;=INDEX(INPUTS!$B$42:$B$50,1),INDEX(INPUTS!$A$42:$A$50,1),IF(AG_REQ!O35&gt;INDEX(INPUTS!$B$42:$B$50,ROWS(INPUTS!$B$42:$B$50)),"LARGER",INDEX(INPUTS!$A$42:$A$50,MATCH(AG_REQ!O35,INPUTS!$B$42:$B$50,1)+1))),IF(AG_REQ!O35&lt;=INDEX(INPUTS!$E$42:$E$50,1),INDEX(INPUTS!$D$42:$D$50,1),IF(AG_REQ!O35&gt;INDEX(INPUTS!$E$42:$E$50,ROWS(INPUTS!$E$42:$E$50)),"LARGER",INDEX(INPUTS!$D$42:$D$50,MATCH(AG_REQ!O35,INPUTS!$E$42:$E$50,1)+1)))))</f>
        <v>14x24</v>
      </c>
      <c r="P35" s="4" t="str">
        <f aca="false">IF(TRIB!P35="","",IF(OR(ARCH!P35="",LEFT(ARCH!P35,3)="14x"),IF(AG_REQ!P35&lt;=INDEX(INPUTS!$B$42:$B$50,1),INDEX(INPUTS!$A$42:$A$50,1),IF(AG_REQ!P35&gt;INDEX(INPUTS!$B$42:$B$50,ROWS(INPUTS!$B$42:$B$50)),"LARGER",INDEX(INPUTS!$A$42:$A$50,MATCH(AG_REQ!P35,INPUTS!$B$42:$B$50,1)+1))),IF(AG_REQ!P35&lt;=INDEX(INPUTS!$E$42:$E$50,1),INDEX(INPUTS!$D$42:$D$50,1),IF(AG_REQ!P35&gt;INDEX(INPUTS!$E$42:$E$50,ROWS(INPUTS!$E$42:$E$50)),"LARGER",INDEX(INPUTS!$D$42:$D$50,MATCH(AG_REQ!P35,INPUTS!$E$42:$E$50,1)+1)))))</f>
        <v>14x24</v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4" t="str">
        <f aca="false">IF(TRIB!E36="","",IF(OR(ARCH!E36="",LEFT(ARCH!E36,3)="14x"),IF(AG_REQ!E36&lt;=INDEX(INPUTS!$B$42:$B$50,1),INDEX(INPUTS!$A$42:$A$50,1),IF(AG_REQ!E36&gt;INDEX(INPUTS!$B$42:$B$50,ROWS(INPUTS!$B$42:$B$50)),"LARGER",INDEX(INPUTS!$A$42:$A$50,MATCH(AG_REQ!E36,INPUTS!$B$42:$B$50,1)+1))),IF(AG_REQ!E36&lt;=INDEX(INPUTS!$E$42:$E$50,1),INDEX(INPUTS!$D$42:$D$50,1),IF(AG_REQ!E36&gt;INDEX(INPUTS!$E$42:$E$50,ROWS(INPUTS!$E$42:$E$50)),"LARGER",INDEX(INPUTS!$D$42:$D$50,MATCH(AG_REQ!E36,INPUTS!$E$42:$E$50,1)+1)))))</f>
        <v/>
      </c>
      <c r="F36" s="4" t="str">
        <f aca="false">IF(TRIB!F36="","",IF(OR(ARCH!F36="",LEFT(ARCH!F36,3)="14x"),IF(AG_REQ!F36&lt;=INDEX(INPUTS!$B$42:$B$50,1),INDEX(INPUTS!$A$42:$A$50,1),IF(AG_REQ!F36&gt;INDEX(INPUTS!$B$42:$B$50,ROWS(INPUTS!$B$42:$B$50)),"LARGER",INDEX(INPUTS!$A$42:$A$50,MATCH(AG_REQ!F36,INPUTS!$B$42:$B$50,1)+1))),IF(AG_REQ!F36&lt;=INDEX(INPUTS!$E$42:$E$50,1),INDEX(INPUTS!$D$42:$D$50,1),IF(AG_REQ!F36&gt;INDEX(INPUTS!$E$42:$E$50,ROWS(INPUTS!$E$42:$E$50)),"LARGER",INDEX(INPUTS!$D$42:$D$50,MATCH(AG_REQ!F36,INPUTS!$E$42:$E$50,1)+1)))))</f>
        <v>14x24</v>
      </c>
      <c r="G36" s="4" t="str">
        <f aca="false">IF(TRIB!G36="","",IF(OR(ARCH!G36="",LEFT(ARCH!G36,3)="14x"),IF(AG_REQ!G36&lt;=INDEX(INPUTS!$B$42:$B$50,1),INDEX(INPUTS!$A$42:$A$50,1),IF(AG_REQ!G36&gt;INDEX(INPUTS!$B$42:$B$50,ROWS(INPUTS!$B$42:$B$50)),"LARGER",INDEX(INPUTS!$A$42:$A$50,MATCH(AG_REQ!G36,INPUTS!$B$42:$B$50,1)+1))),IF(AG_REQ!G36&lt;=INDEX(INPUTS!$E$42:$E$50,1),INDEX(INPUTS!$D$42:$D$50,1),IF(AG_REQ!G36&gt;INDEX(INPUTS!$E$42:$E$50,ROWS(INPUTS!$E$42:$E$50)),"LARGER",INDEX(INPUTS!$D$42:$D$50,MATCH(AG_REQ!G36,INPUTS!$E$42:$E$50,1)+1)))))</f>
        <v>14x24</v>
      </c>
      <c r="H36" s="4" t="str">
        <f aca="false">IF(TRIB!H36="","",IF(OR(ARCH!H36="",LEFT(ARCH!H36,3)="14x"),IF(AG_REQ!H36&lt;=INDEX(INPUTS!$B$42:$B$50,1),INDEX(INPUTS!$A$42:$A$50,1),IF(AG_REQ!H36&gt;INDEX(INPUTS!$B$42:$B$50,ROWS(INPUTS!$B$42:$B$50)),"LARGER",INDEX(INPUTS!$A$42:$A$50,MATCH(AG_REQ!H36,INPUTS!$B$42:$B$50,1)+1))),IF(AG_REQ!H36&lt;=INDEX(INPUTS!$E$42:$E$50,1),INDEX(INPUTS!$D$42:$D$50,1),IF(AG_REQ!H36&gt;INDEX(INPUTS!$E$42:$E$50,ROWS(INPUTS!$E$42:$E$50)),"LARGER",INDEX(INPUTS!$D$42:$D$50,MATCH(AG_REQ!H36,INPUTS!$E$42:$E$50,1)+1)))))</f>
        <v>14x24</v>
      </c>
      <c r="I36" s="4" t="str">
        <f aca="false">IF(TRIB!I36="","",IF(OR(ARCH!I36="",LEFT(ARCH!I36,3)="14x"),IF(AG_REQ!I36&lt;=INDEX(INPUTS!$B$42:$B$50,1),INDEX(INPUTS!$A$42:$A$50,1),IF(AG_REQ!I36&gt;INDEX(INPUTS!$B$42:$B$50,ROWS(INPUTS!$B$42:$B$50)),"LARGER",INDEX(INPUTS!$A$42:$A$50,MATCH(AG_REQ!I36,INPUTS!$B$42:$B$50,1)+1))),IF(AG_REQ!I36&lt;=INDEX(INPUTS!$E$42:$E$50,1),INDEX(INPUTS!$D$42:$D$50,1),IF(AG_REQ!I36&gt;INDEX(INPUTS!$E$42:$E$50,ROWS(INPUTS!$E$42:$E$50)),"LARGER",INDEX(INPUTS!$D$42:$D$50,MATCH(AG_REQ!I36,INPUTS!$E$42:$E$50,1)+1)))))</f>
        <v>14x24</v>
      </c>
      <c r="J36" s="4" t="str">
        <f aca="false">IF(TRIB!J36="","",IF(OR(ARCH!J36="",LEFT(ARCH!J36,3)="14x"),IF(AG_REQ!J36&lt;=INDEX(INPUTS!$B$42:$B$50,1),INDEX(INPUTS!$A$42:$A$50,1),IF(AG_REQ!J36&gt;INDEX(INPUTS!$B$42:$B$50,ROWS(INPUTS!$B$42:$B$50)),"LARGER",INDEX(INPUTS!$A$42:$A$50,MATCH(AG_REQ!J36,INPUTS!$B$42:$B$50,1)+1))),IF(AG_REQ!J36&lt;=INDEX(INPUTS!$E$42:$E$50,1),INDEX(INPUTS!$D$42:$D$50,1),IF(AG_REQ!J36&gt;INDEX(INPUTS!$E$42:$E$50,ROWS(INPUTS!$E$42:$E$50)),"LARGER",INDEX(INPUTS!$D$42:$D$50,MATCH(AG_REQ!J36,INPUTS!$E$42:$E$50,1)+1)))))</f>
        <v>14x24</v>
      </c>
      <c r="K36" s="4" t="str">
        <f aca="false">IF(TRIB!K36="","",IF(OR(ARCH!K36="",LEFT(ARCH!K36,3)="14x"),IF(AG_REQ!K36&lt;=INDEX(INPUTS!$B$42:$B$50,1),INDEX(INPUTS!$A$42:$A$50,1),IF(AG_REQ!K36&gt;INDEX(INPUTS!$B$42:$B$50,ROWS(INPUTS!$B$42:$B$50)),"LARGER",INDEX(INPUTS!$A$42:$A$50,MATCH(AG_REQ!K36,INPUTS!$B$42:$B$50,1)+1))),IF(AG_REQ!K36&lt;=INDEX(INPUTS!$E$42:$E$50,1),INDEX(INPUTS!$D$42:$D$50,1),IF(AG_REQ!K36&gt;INDEX(INPUTS!$E$42:$E$50,ROWS(INPUTS!$E$42:$E$50)),"LARGER",INDEX(INPUTS!$D$42:$D$50,MATCH(AG_REQ!K36,INPUTS!$E$42:$E$50,1)+1)))))</f>
        <v>14x24</v>
      </c>
      <c r="L36" s="4" t="str">
        <f aca="false">IF(TRIB!L36="","",IF(OR(ARCH!L36="",LEFT(ARCH!L36,3)="14x"),IF(AG_REQ!L36&lt;=INDEX(INPUTS!$B$42:$B$50,1),INDEX(INPUTS!$A$42:$A$50,1),IF(AG_REQ!L36&gt;INDEX(INPUTS!$B$42:$B$50,ROWS(INPUTS!$B$42:$B$50)),"LARGER",INDEX(INPUTS!$A$42:$A$50,MATCH(AG_REQ!L36,INPUTS!$B$42:$B$50,1)+1))),IF(AG_REQ!L36&lt;=INDEX(INPUTS!$E$42:$E$50,1),INDEX(INPUTS!$D$42:$D$50,1),IF(AG_REQ!L36&gt;INDEX(INPUTS!$E$42:$E$50,ROWS(INPUTS!$E$42:$E$50)),"LARGER",INDEX(INPUTS!$D$42:$D$50,MATCH(AG_REQ!L36,INPUTS!$E$42:$E$50,1)+1)))))</f>
        <v>14x24</v>
      </c>
      <c r="M36" s="4" t="str">
        <f aca="false">IF(TRIB!M36="","",IF(OR(ARCH!M36="",LEFT(ARCH!M36,3)="14x"),IF(AG_REQ!M36&lt;=INDEX(INPUTS!$B$42:$B$50,1),INDEX(INPUTS!$A$42:$A$50,1),IF(AG_REQ!M36&gt;INDEX(INPUTS!$B$42:$B$50,ROWS(INPUTS!$B$42:$B$50)),"LARGER",INDEX(INPUTS!$A$42:$A$50,MATCH(AG_REQ!M36,INPUTS!$B$42:$B$50,1)+1))),IF(AG_REQ!M36&lt;=INDEX(INPUTS!$E$42:$E$50,1),INDEX(INPUTS!$D$42:$D$50,1),IF(AG_REQ!M36&gt;INDEX(INPUTS!$E$42:$E$50,ROWS(INPUTS!$E$42:$E$50)),"LARGER",INDEX(INPUTS!$D$42:$D$50,MATCH(AG_REQ!M36,INPUTS!$E$42:$E$50,1)+1)))))</f>
        <v>14x24</v>
      </c>
      <c r="N36" s="4" t="str">
        <f aca="false">IF(TRIB!N36="","",IF(OR(ARCH!N36="",LEFT(ARCH!N36,3)="14x"),IF(AG_REQ!N36&lt;=INDEX(INPUTS!$B$42:$B$50,1),INDEX(INPUTS!$A$42:$A$50,1),IF(AG_REQ!N36&gt;INDEX(INPUTS!$B$42:$B$50,ROWS(INPUTS!$B$42:$B$50)),"LARGER",INDEX(INPUTS!$A$42:$A$50,MATCH(AG_REQ!N36,INPUTS!$B$42:$B$50,1)+1))),IF(AG_REQ!N36&lt;=INDEX(INPUTS!$E$42:$E$50,1),INDEX(INPUTS!$D$42:$D$50,1),IF(AG_REQ!N36&gt;INDEX(INPUTS!$E$42:$E$50,ROWS(INPUTS!$E$42:$E$50)),"LARGER",INDEX(INPUTS!$D$42:$D$50,MATCH(AG_REQ!N36,INPUTS!$E$42:$E$50,1)+1)))))</f>
        <v>14x24</v>
      </c>
      <c r="O36" s="4" t="str">
        <f aca="false">IF(TRIB!O36="","",IF(OR(ARCH!O36="",LEFT(ARCH!O36,3)="14x"),IF(AG_REQ!O36&lt;=INDEX(INPUTS!$B$42:$B$50,1),INDEX(INPUTS!$A$42:$A$50,1),IF(AG_REQ!O36&gt;INDEX(INPUTS!$B$42:$B$50,ROWS(INPUTS!$B$42:$B$50)),"LARGER",INDEX(INPUTS!$A$42:$A$50,MATCH(AG_REQ!O36,INPUTS!$B$42:$B$50,1)+1))),IF(AG_REQ!O36&lt;=INDEX(INPUTS!$E$42:$E$50,1),INDEX(INPUTS!$D$42:$D$50,1),IF(AG_REQ!O36&gt;INDEX(INPUTS!$E$42:$E$50,ROWS(INPUTS!$E$42:$E$50)),"LARGER",INDEX(INPUTS!$D$42:$D$50,MATCH(AG_REQ!O36,INPUTS!$E$42:$E$50,1)+1)))))</f>
        <v>14x30</v>
      </c>
      <c r="P36" s="4" t="str">
        <f aca="false">IF(TRIB!P36="","",IF(OR(ARCH!P36="",LEFT(ARCH!P36,3)="14x"),IF(AG_REQ!P36&lt;=INDEX(INPUTS!$B$42:$B$50,1),INDEX(INPUTS!$A$42:$A$50,1),IF(AG_REQ!P36&gt;INDEX(INPUTS!$B$42:$B$50,ROWS(INPUTS!$B$42:$B$50)),"LARGER",INDEX(INPUTS!$A$42:$A$50,MATCH(AG_REQ!P36,INPUTS!$B$42:$B$50,1)+1))),IF(AG_REQ!P36&lt;=INDEX(INPUTS!$E$42:$E$50,1),INDEX(INPUTS!$D$42:$D$50,1),IF(AG_REQ!P36&gt;INDEX(INPUTS!$E$42:$E$50,ROWS(INPUTS!$E$42:$E$50)),"LARGER",INDEX(INPUTS!$D$42:$D$50,MATCH(AG_REQ!P36,INPUTS!$E$42:$E$50,1)+1)))))</f>
        <v>14x30</v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4" t="str">
        <f aca="false">IF(TRIB!E37="","",IF(OR(ARCH!E37="",LEFT(ARCH!E37,3)="14x"),IF(AG_REQ!E37&lt;=INDEX(INPUTS!$B$42:$B$50,1),INDEX(INPUTS!$A$42:$A$50,1),IF(AG_REQ!E37&gt;INDEX(INPUTS!$B$42:$B$50,ROWS(INPUTS!$B$42:$B$50)),"LARGER",INDEX(INPUTS!$A$42:$A$50,MATCH(AG_REQ!E37,INPUTS!$B$42:$B$50,1)+1))),IF(AG_REQ!E37&lt;=INDEX(INPUTS!$E$42:$E$50,1),INDEX(INPUTS!$D$42:$D$50,1),IF(AG_REQ!E37&gt;INDEX(INPUTS!$E$42:$E$50,ROWS(INPUTS!$E$42:$E$50)),"LARGER",INDEX(INPUTS!$D$42:$D$50,MATCH(AG_REQ!E37,INPUTS!$E$42:$E$50,1)+1)))))</f>
        <v/>
      </c>
      <c r="F37" s="4" t="str">
        <f aca="false">IF(TRIB!F37="","",IF(OR(ARCH!F37="",LEFT(ARCH!F37,3)="14x"),IF(AG_REQ!F37&lt;=INDEX(INPUTS!$B$42:$B$50,1),INDEX(INPUTS!$A$42:$A$50,1),IF(AG_REQ!F37&gt;INDEX(INPUTS!$B$42:$B$50,ROWS(INPUTS!$B$42:$B$50)),"LARGER",INDEX(INPUTS!$A$42:$A$50,MATCH(AG_REQ!F37,INPUTS!$B$42:$B$50,1)+1))),IF(AG_REQ!F37&lt;=INDEX(INPUTS!$E$42:$E$50,1),INDEX(INPUTS!$D$42:$D$50,1),IF(AG_REQ!F37&gt;INDEX(INPUTS!$E$42:$E$50,ROWS(INPUTS!$E$42:$E$50)),"LARGER",INDEX(INPUTS!$D$42:$D$50,MATCH(AG_REQ!F37,INPUTS!$E$42:$E$50,1)+1)))))</f>
        <v>14x24</v>
      </c>
      <c r="G37" s="4" t="str">
        <f aca="false">IF(TRIB!G37="","",IF(OR(ARCH!G37="",LEFT(ARCH!G37,3)="14x"),IF(AG_REQ!G37&lt;=INDEX(INPUTS!$B$42:$B$50,1),INDEX(INPUTS!$A$42:$A$50,1),IF(AG_REQ!G37&gt;INDEX(INPUTS!$B$42:$B$50,ROWS(INPUTS!$B$42:$B$50)),"LARGER",INDEX(INPUTS!$A$42:$A$50,MATCH(AG_REQ!G37,INPUTS!$B$42:$B$50,1)+1))),IF(AG_REQ!G37&lt;=INDEX(INPUTS!$E$42:$E$50,1),INDEX(INPUTS!$D$42:$D$50,1),IF(AG_REQ!G37&gt;INDEX(INPUTS!$E$42:$E$50,ROWS(INPUTS!$E$42:$E$50)),"LARGER",INDEX(INPUTS!$D$42:$D$50,MATCH(AG_REQ!G37,INPUTS!$E$42:$E$50,1)+1)))))</f>
        <v>14x24</v>
      </c>
      <c r="H37" s="4" t="str">
        <f aca="false">IF(TRIB!H37="","",IF(OR(ARCH!H37="",LEFT(ARCH!H37,3)="14x"),IF(AG_REQ!H37&lt;=INDEX(INPUTS!$B$42:$B$50,1),INDEX(INPUTS!$A$42:$A$50,1),IF(AG_REQ!H37&gt;INDEX(INPUTS!$B$42:$B$50,ROWS(INPUTS!$B$42:$B$50)),"LARGER",INDEX(INPUTS!$A$42:$A$50,MATCH(AG_REQ!H37,INPUTS!$B$42:$B$50,1)+1))),IF(AG_REQ!H37&lt;=INDEX(INPUTS!$E$42:$E$50,1),INDEX(INPUTS!$D$42:$D$50,1),IF(AG_REQ!H37&gt;INDEX(INPUTS!$E$42:$E$50,ROWS(INPUTS!$E$42:$E$50)),"LARGER",INDEX(INPUTS!$D$42:$D$50,MATCH(AG_REQ!H37,INPUTS!$E$42:$E$50,1)+1)))))</f>
        <v>14x24</v>
      </c>
      <c r="I37" s="4" t="str">
        <f aca="false">IF(TRIB!I37="","",IF(OR(ARCH!I37="",LEFT(ARCH!I37,3)="14x"),IF(AG_REQ!I37&lt;=INDEX(INPUTS!$B$42:$B$50,1),INDEX(INPUTS!$A$42:$A$50,1),IF(AG_REQ!I37&gt;INDEX(INPUTS!$B$42:$B$50,ROWS(INPUTS!$B$42:$B$50)),"LARGER",INDEX(INPUTS!$A$42:$A$50,MATCH(AG_REQ!I37,INPUTS!$B$42:$B$50,1)+1))),IF(AG_REQ!I37&lt;=INDEX(INPUTS!$E$42:$E$50,1),INDEX(INPUTS!$D$42:$D$50,1),IF(AG_REQ!I37&gt;INDEX(INPUTS!$E$42:$E$50,ROWS(INPUTS!$E$42:$E$50)),"LARGER",INDEX(INPUTS!$D$42:$D$50,MATCH(AG_REQ!I37,INPUTS!$E$42:$E$50,1)+1)))))</f>
        <v>14x24</v>
      </c>
      <c r="J37" s="4" t="str">
        <f aca="false">IF(TRIB!J37="","",IF(OR(ARCH!J37="",LEFT(ARCH!J37,3)="14x"),IF(AG_REQ!J37&lt;=INDEX(INPUTS!$B$42:$B$50,1),INDEX(INPUTS!$A$42:$A$50,1),IF(AG_REQ!J37&gt;INDEX(INPUTS!$B$42:$B$50,ROWS(INPUTS!$B$42:$B$50)),"LARGER",INDEX(INPUTS!$A$42:$A$50,MATCH(AG_REQ!J37,INPUTS!$B$42:$B$50,1)+1))),IF(AG_REQ!J37&lt;=INDEX(INPUTS!$E$42:$E$50,1),INDEX(INPUTS!$D$42:$D$50,1),IF(AG_REQ!J37&gt;INDEX(INPUTS!$E$42:$E$50,ROWS(INPUTS!$E$42:$E$50)),"LARGER",INDEX(INPUTS!$D$42:$D$50,MATCH(AG_REQ!J37,INPUTS!$E$42:$E$50,1)+1)))))</f>
        <v>14x24</v>
      </c>
      <c r="K37" s="4" t="str">
        <f aca="false">IF(TRIB!K37="","",IF(OR(ARCH!K37="",LEFT(ARCH!K37,3)="14x"),IF(AG_REQ!K37&lt;=INDEX(INPUTS!$B$42:$B$50,1),INDEX(INPUTS!$A$42:$A$50,1),IF(AG_REQ!K37&gt;INDEX(INPUTS!$B$42:$B$50,ROWS(INPUTS!$B$42:$B$50)),"LARGER",INDEX(INPUTS!$A$42:$A$50,MATCH(AG_REQ!K37,INPUTS!$B$42:$B$50,1)+1))),IF(AG_REQ!K37&lt;=INDEX(INPUTS!$E$42:$E$50,1),INDEX(INPUTS!$D$42:$D$50,1),IF(AG_REQ!K37&gt;INDEX(INPUTS!$E$42:$E$50,ROWS(INPUTS!$E$42:$E$50)),"LARGER",INDEX(INPUTS!$D$42:$D$50,MATCH(AG_REQ!K37,INPUTS!$E$42:$E$50,1)+1)))))</f>
        <v>14x24</v>
      </c>
      <c r="L37" s="4" t="str">
        <f aca="false">IF(TRIB!L37="","",IF(OR(ARCH!L37="",LEFT(ARCH!L37,3)="14x"),IF(AG_REQ!L37&lt;=INDEX(INPUTS!$B$42:$B$50,1),INDEX(INPUTS!$A$42:$A$50,1),IF(AG_REQ!L37&gt;INDEX(INPUTS!$B$42:$B$50,ROWS(INPUTS!$B$42:$B$50)),"LARGER",INDEX(INPUTS!$A$42:$A$50,MATCH(AG_REQ!L37,INPUTS!$B$42:$B$50,1)+1))),IF(AG_REQ!L37&lt;=INDEX(INPUTS!$E$42:$E$50,1),INDEX(INPUTS!$D$42:$D$50,1),IF(AG_REQ!L37&gt;INDEX(INPUTS!$E$42:$E$50,ROWS(INPUTS!$E$42:$E$50)),"LARGER",INDEX(INPUTS!$D$42:$D$50,MATCH(AG_REQ!L37,INPUTS!$E$42:$E$50,1)+1)))))</f>
        <v>14x24</v>
      </c>
      <c r="M37" s="4" t="str">
        <f aca="false">IF(TRIB!M37="","",IF(OR(ARCH!M37="",LEFT(ARCH!M37,3)="14x"),IF(AG_REQ!M37&lt;=INDEX(INPUTS!$B$42:$B$50,1),INDEX(INPUTS!$A$42:$A$50,1),IF(AG_REQ!M37&gt;INDEX(INPUTS!$B$42:$B$50,ROWS(INPUTS!$B$42:$B$50)),"LARGER",INDEX(INPUTS!$A$42:$A$50,MATCH(AG_REQ!M37,INPUTS!$B$42:$B$50,1)+1))),IF(AG_REQ!M37&lt;=INDEX(INPUTS!$E$42:$E$50,1),INDEX(INPUTS!$D$42:$D$50,1),IF(AG_REQ!M37&gt;INDEX(INPUTS!$E$42:$E$50,ROWS(INPUTS!$E$42:$E$50)),"LARGER",INDEX(INPUTS!$D$42:$D$50,MATCH(AG_REQ!M37,INPUTS!$E$42:$E$50,1)+1)))))</f>
        <v>14x24</v>
      </c>
      <c r="N37" s="4" t="str">
        <f aca="false">IF(TRIB!N37="","",IF(OR(ARCH!N37="",LEFT(ARCH!N37,3)="14x"),IF(AG_REQ!N37&lt;=INDEX(INPUTS!$B$42:$B$50,1),INDEX(INPUTS!$A$42:$A$50,1),IF(AG_REQ!N37&gt;INDEX(INPUTS!$B$42:$B$50,ROWS(INPUTS!$B$42:$B$50)),"LARGER",INDEX(INPUTS!$A$42:$A$50,MATCH(AG_REQ!N37,INPUTS!$B$42:$B$50,1)+1))),IF(AG_REQ!N37&lt;=INDEX(INPUTS!$E$42:$E$50,1),INDEX(INPUTS!$D$42:$D$50,1),IF(AG_REQ!N37&gt;INDEX(INPUTS!$E$42:$E$50,ROWS(INPUTS!$E$42:$E$50)),"LARGER",INDEX(INPUTS!$D$42:$D$50,MATCH(AG_REQ!N37,INPUTS!$E$42:$E$50,1)+1)))))</f>
        <v>14x24</v>
      </c>
      <c r="O37" s="4" t="str">
        <f aca="false">IF(TRIB!O37="","",IF(OR(ARCH!O37="",LEFT(ARCH!O37,3)="14x"),IF(AG_REQ!O37&lt;=INDEX(INPUTS!$B$42:$B$50,1),INDEX(INPUTS!$A$42:$A$50,1),IF(AG_REQ!O37&gt;INDEX(INPUTS!$B$42:$B$50,ROWS(INPUTS!$B$42:$B$50)),"LARGER",INDEX(INPUTS!$A$42:$A$50,MATCH(AG_REQ!O37,INPUTS!$B$42:$B$50,1)+1))),IF(AG_REQ!O37&lt;=INDEX(INPUTS!$E$42:$E$50,1),INDEX(INPUTS!$D$42:$D$50,1),IF(AG_REQ!O37&gt;INDEX(INPUTS!$E$42:$E$50,ROWS(INPUTS!$E$42:$E$50)),"LARGER",INDEX(INPUTS!$D$42:$D$50,MATCH(AG_REQ!O37,INPUTS!$E$42:$E$50,1)+1)))))</f>
        <v>14x24</v>
      </c>
      <c r="P37" s="4" t="str">
        <f aca="false">IF(TRIB!P37="","",IF(OR(ARCH!P37="",LEFT(ARCH!P37,3)="14x"),IF(AG_REQ!P37&lt;=INDEX(INPUTS!$B$42:$B$50,1),INDEX(INPUTS!$A$42:$A$50,1),IF(AG_REQ!P37&gt;INDEX(INPUTS!$B$42:$B$50,ROWS(INPUTS!$B$42:$B$50)),"LARGER",INDEX(INPUTS!$A$42:$A$50,MATCH(AG_REQ!P37,INPUTS!$B$42:$B$50,1)+1))),IF(AG_REQ!P37&lt;=INDEX(INPUTS!$E$42:$E$50,1),INDEX(INPUTS!$D$42:$D$50,1),IF(AG_REQ!P37&gt;INDEX(INPUTS!$E$42:$E$50,ROWS(INPUTS!$E$42:$E$50)),"LARGER",INDEX(INPUTS!$D$42:$D$50,MATCH(AG_REQ!P37,INPUTS!$E$42:$E$50,1)+1)))))</f>
        <v>14x24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4" t="str">
        <f aca="false">IF(TRIB!E38="","",IF(OR(ARCH!E38="",LEFT(ARCH!E38,3)="14x"),IF(AG_REQ!E38&lt;=INDEX(INPUTS!$B$42:$B$50,1),INDEX(INPUTS!$A$42:$A$50,1),IF(AG_REQ!E38&gt;INDEX(INPUTS!$B$42:$B$50,ROWS(INPUTS!$B$42:$B$50)),"LARGER",INDEX(INPUTS!$A$42:$A$50,MATCH(AG_REQ!E38,INPUTS!$B$42:$B$50,1)+1))),IF(AG_REQ!E38&lt;=INDEX(INPUTS!$E$42:$E$50,1),INDEX(INPUTS!$D$42:$D$50,1),IF(AG_REQ!E38&gt;INDEX(INPUTS!$E$42:$E$50,ROWS(INPUTS!$E$42:$E$50)),"LARGER",INDEX(INPUTS!$D$42:$D$50,MATCH(AG_REQ!E38,INPUTS!$E$42:$E$50,1)+1)))))</f>
        <v/>
      </c>
      <c r="F38" s="4" t="str">
        <f aca="false">IF(TRIB!F38="","",IF(OR(ARCH!F38="",LEFT(ARCH!F38,3)="14x"),IF(AG_REQ!F38&lt;=INDEX(INPUTS!$B$42:$B$50,1),INDEX(INPUTS!$A$42:$A$50,1),IF(AG_REQ!F38&gt;INDEX(INPUTS!$B$42:$B$50,ROWS(INPUTS!$B$42:$B$50)),"LARGER",INDEX(INPUTS!$A$42:$A$50,MATCH(AG_REQ!F38,INPUTS!$B$42:$B$50,1)+1))),IF(AG_REQ!F38&lt;=INDEX(INPUTS!$E$42:$E$50,1),INDEX(INPUTS!$D$42:$D$50,1),IF(AG_REQ!F38&gt;INDEX(INPUTS!$E$42:$E$50,ROWS(INPUTS!$E$42:$E$50)),"LARGER",INDEX(INPUTS!$D$42:$D$50,MATCH(AG_REQ!F38,INPUTS!$E$42:$E$50,1)+1)))))</f>
        <v>14x24</v>
      </c>
      <c r="G38" s="4" t="str">
        <f aca="false">IF(TRIB!G38="","",IF(OR(ARCH!G38="",LEFT(ARCH!G38,3)="14x"),IF(AG_REQ!G38&lt;=INDEX(INPUTS!$B$42:$B$50,1),INDEX(INPUTS!$A$42:$A$50,1),IF(AG_REQ!G38&gt;INDEX(INPUTS!$B$42:$B$50,ROWS(INPUTS!$B$42:$B$50)),"LARGER",INDEX(INPUTS!$A$42:$A$50,MATCH(AG_REQ!G38,INPUTS!$B$42:$B$50,1)+1))),IF(AG_REQ!G38&lt;=INDEX(INPUTS!$E$42:$E$50,1),INDEX(INPUTS!$D$42:$D$50,1),IF(AG_REQ!G38&gt;INDEX(INPUTS!$E$42:$E$50,ROWS(INPUTS!$E$42:$E$50)),"LARGER",INDEX(INPUTS!$D$42:$D$50,MATCH(AG_REQ!G38,INPUTS!$E$42:$E$50,1)+1)))))</f>
        <v>14x24</v>
      </c>
      <c r="H38" s="4" t="str">
        <f aca="false">IF(TRIB!H38="","",IF(OR(ARCH!H38="",LEFT(ARCH!H38,3)="14x"),IF(AG_REQ!H38&lt;=INDEX(INPUTS!$B$42:$B$50,1),INDEX(INPUTS!$A$42:$A$50,1),IF(AG_REQ!H38&gt;INDEX(INPUTS!$B$42:$B$50,ROWS(INPUTS!$B$42:$B$50)),"LARGER",INDEX(INPUTS!$A$42:$A$50,MATCH(AG_REQ!H38,INPUTS!$B$42:$B$50,1)+1))),IF(AG_REQ!H38&lt;=INDEX(INPUTS!$E$42:$E$50,1),INDEX(INPUTS!$D$42:$D$50,1),IF(AG_REQ!H38&gt;INDEX(INPUTS!$E$42:$E$50,ROWS(INPUTS!$E$42:$E$50)),"LARGER",INDEX(INPUTS!$D$42:$D$50,MATCH(AG_REQ!H38,INPUTS!$E$42:$E$50,1)+1)))))</f>
        <v>14x24</v>
      </c>
      <c r="I38" s="4" t="str">
        <f aca="false">IF(TRIB!I38="","",IF(OR(ARCH!I38="",LEFT(ARCH!I38,3)="14x"),IF(AG_REQ!I38&lt;=INDEX(INPUTS!$B$42:$B$50,1),INDEX(INPUTS!$A$42:$A$50,1),IF(AG_REQ!I38&gt;INDEX(INPUTS!$B$42:$B$50,ROWS(INPUTS!$B$42:$B$50)),"LARGER",INDEX(INPUTS!$A$42:$A$50,MATCH(AG_REQ!I38,INPUTS!$B$42:$B$50,1)+1))),IF(AG_REQ!I38&lt;=INDEX(INPUTS!$E$42:$E$50,1),INDEX(INPUTS!$D$42:$D$50,1),IF(AG_REQ!I38&gt;INDEX(INPUTS!$E$42:$E$50,ROWS(INPUTS!$E$42:$E$50)),"LARGER",INDEX(INPUTS!$D$42:$D$50,MATCH(AG_REQ!I38,INPUTS!$E$42:$E$50,1)+1)))))</f>
        <v>14x24</v>
      </c>
      <c r="J38" s="4" t="str">
        <f aca="false">IF(TRIB!J38="","",IF(OR(ARCH!J38="",LEFT(ARCH!J38,3)="14x"),IF(AG_REQ!J38&lt;=INDEX(INPUTS!$B$42:$B$50,1),INDEX(INPUTS!$A$42:$A$50,1),IF(AG_REQ!J38&gt;INDEX(INPUTS!$B$42:$B$50,ROWS(INPUTS!$B$42:$B$50)),"LARGER",INDEX(INPUTS!$A$42:$A$50,MATCH(AG_REQ!J38,INPUTS!$B$42:$B$50,1)+1))),IF(AG_REQ!J38&lt;=INDEX(INPUTS!$E$42:$E$50,1),INDEX(INPUTS!$D$42:$D$50,1),IF(AG_REQ!J38&gt;INDEX(INPUTS!$E$42:$E$50,ROWS(INPUTS!$E$42:$E$50)),"LARGER",INDEX(INPUTS!$D$42:$D$50,MATCH(AG_REQ!J38,INPUTS!$E$42:$E$50,1)+1)))))</f>
        <v>14x24</v>
      </c>
      <c r="K38" s="4" t="str">
        <f aca="false">IF(TRIB!K38="","",IF(OR(ARCH!K38="",LEFT(ARCH!K38,3)="14x"),IF(AG_REQ!K38&lt;=INDEX(INPUTS!$B$42:$B$50,1),INDEX(INPUTS!$A$42:$A$50,1),IF(AG_REQ!K38&gt;INDEX(INPUTS!$B$42:$B$50,ROWS(INPUTS!$B$42:$B$50)),"LARGER",INDEX(INPUTS!$A$42:$A$50,MATCH(AG_REQ!K38,INPUTS!$B$42:$B$50,1)+1))),IF(AG_REQ!K38&lt;=INDEX(INPUTS!$E$42:$E$50,1),INDEX(INPUTS!$D$42:$D$50,1),IF(AG_REQ!K38&gt;INDEX(INPUTS!$E$42:$E$50,ROWS(INPUTS!$E$42:$E$50)),"LARGER",INDEX(INPUTS!$D$42:$D$50,MATCH(AG_REQ!K38,INPUTS!$E$42:$E$50,1)+1)))))</f>
        <v>14x24</v>
      </c>
      <c r="L38" s="4" t="str">
        <f aca="false">IF(TRIB!L38="","",IF(OR(ARCH!L38="",LEFT(ARCH!L38,3)="14x"),IF(AG_REQ!L38&lt;=INDEX(INPUTS!$B$42:$B$50,1),INDEX(INPUTS!$A$42:$A$50,1),IF(AG_REQ!L38&gt;INDEX(INPUTS!$B$42:$B$50,ROWS(INPUTS!$B$42:$B$50)),"LARGER",INDEX(INPUTS!$A$42:$A$50,MATCH(AG_REQ!L38,INPUTS!$B$42:$B$50,1)+1))),IF(AG_REQ!L38&lt;=INDEX(INPUTS!$E$42:$E$50,1),INDEX(INPUTS!$D$42:$D$50,1),IF(AG_REQ!L38&gt;INDEX(INPUTS!$E$42:$E$50,ROWS(INPUTS!$E$42:$E$50)),"LARGER",INDEX(INPUTS!$D$42:$D$50,MATCH(AG_REQ!L38,INPUTS!$E$42:$E$50,1)+1)))))</f>
        <v>14x24</v>
      </c>
      <c r="M38" s="4" t="str">
        <f aca="false">IF(TRIB!M38="","",IF(OR(ARCH!M38="",LEFT(ARCH!M38,3)="14x"),IF(AG_REQ!M38&lt;=INDEX(INPUTS!$B$42:$B$50,1),INDEX(INPUTS!$A$42:$A$50,1),IF(AG_REQ!M38&gt;INDEX(INPUTS!$B$42:$B$50,ROWS(INPUTS!$B$42:$B$50)),"LARGER",INDEX(INPUTS!$A$42:$A$50,MATCH(AG_REQ!M38,INPUTS!$B$42:$B$50,1)+1))),IF(AG_REQ!M38&lt;=INDEX(INPUTS!$E$42:$E$50,1),INDEX(INPUTS!$D$42:$D$50,1),IF(AG_REQ!M38&gt;INDEX(INPUTS!$E$42:$E$50,ROWS(INPUTS!$E$42:$E$50)),"LARGER",INDEX(INPUTS!$D$42:$D$50,MATCH(AG_REQ!M38,INPUTS!$E$42:$E$50,1)+1)))))</f>
        <v>14x24</v>
      </c>
      <c r="N38" s="4" t="str">
        <f aca="false">IF(TRIB!N38="","",IF(OR(ARCH!N38="",LEFT(ARCH!N38,3)="14x"),IF(AG_REQ!N38&lt;=INDEX(INPUTS!$B$42:$B$50,1),INDEX(INPUTS!$A$42:$A$50,1),IF(AG_REQ!N38&gt;INDEX(INPUTS!$B$42:$B$50,ROWS(INPUTS!$B$42:$B$50)),"LARGER",INDEX(INPUTS!$A$42:$A$50,MATCH(AG_REQ!N38,INPUTS!$B$42:$B$50,1)+1))),IF(AG_REQ!N38&lt;=INDEX(INPUTS!$E$42:$E$50,1),INDEX(INPUTS!$D$42:$D$50,1),IF(AG_REQ!N38&gt;INDEX(INPUTS!$E$42:$E$50,ROWS(INPUTS!$E$42:$E$50)),"LARGER",INDEX(INPUTS!$D$42:$D$50,MATCH(AG_REQ!N38,INPUTS!$E$42:$E$50,1)+1)))))</f>
        <v>14x24</v>
      </c>
      <c r="O38" s="4" t="str">
        <f aca="false">IF(TRIB!O38="","",IF(OR(ARCH!O38="",LEFT(ARCH!O38,3)="14x"),IF(AG_REQ!O38&lt;=INDEX(INPUTS!$B$42:$B$50,1),INDEX(INPUTS!$A$42:$A$50,1),IF(AG_REQ!O38&gt;INDEX(INPUTS!$B$42:$B$50,ROWS(INPUTS!$B$42:$B$50)),"LARGER",INDEX(INPUTS!$A$42:$A$50,MATCH(AG_REQ!O38,INPUTS!$B$42:$B$50,1)+1))),IF(AG_REQ!O38&lt;=INDEX(INPUTS!$E$42:$E$50,1),INDEX(INPUTS!$D$42:$D$50,1),IF(AG_REQ!O38&gt;INDEX(INPUTS!$E$42:$E$50,ROWS(INPUTS!$E$42:$E$50)),"LARGER",INDEX(INPUTS!$D$42:$D$50,MATCH(AG_REQ!O38,INPUTS!$E$42:$E$50,1)+1)))))</f>
        <v>14x24</v>
      </c>
      <c r="P38" s="4" t="str">
        <f aca="false">IF(TRIB!P38="","",IF(OR(ARCH!P38="",LEFT(ARCH!P38,3)="14x"),IF(AG_REQ!P38&lt;=INDEX(INPUTS!$B$42:$B$50,1),INDEX(INPUTS!$A$42:$A$50,1),IF(AG_REQ!P38&gt;INDEX(INPUTS!$B$42:$B$50,ROWS(INPUTS!$B$42:$B$50)),"LARGER",INDEX(INPUTS!$A$42:$A$50,MATCH(AG_REQ!P38,INPUTS!$B$42:$B$50,1)+1))),IF(AG_REQ!P38&lt;=INDEX(INPUTS!$E$42:$E$50,1),INDEX(INPUTS!$D$42:$D$50,1),IF(AG_REQ!P38&gt;INDEX(INPUTS!$E$42:$E$50,ROWS(INPUTS!$E$42:$E$50)),"LARGER",INDEX(INPUTS!$D$42:$D$50,MATCH(AG_REQ!P38,INPUTS!$E$42:$E$50,1)+1)))))</f>
        <v>14x24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4" t="str">
        <f aca="false">IF(TRIB!E39="","",IF(OR(ARCH!E39="",LEFT(ARCH!E39,3)="14x"),IF(AG_REQ!E39&lt;=INDEX(INPUTS!$B$42:$B$50,1),INDEX(INPUTS!$A$42:$A$50,1),IF(AG_REQ!E39&gt;INDEX(INPUTS!$B$42:$B$50,ROWS(INPUTS!$B$42:$B$50)),"LARGER",INDEX(INPUTS!$A$42:$A$50,MATCH(AG_REQ!E39,INPUTS!$B$42:$B$50,1)+1))),IF(AG_REQ!E39&lt;=INDEX(INPUTS!$E$42:$E$50,1),INDEX(INPUTS!$D$42:$D$50,1),IF(AG_REQ!E39&gt;INDEX(INPUTS!$E$42:$E$50,ROWS(INPUTS!$E$42:$E$50)),"LARGER",INDEX(INPUTS!$D$42:$D$50,MATCH(AG_REQ!E39,INPUTS!$E$42:$E$50,1)+1)))))</f>
        <v/>
      </c>
      <c r="F39" s="4" t="str">
        <f aca="false">IF(TRIB!F39="","",IF(OR(ARCH!F39="",LEFT(ARCH!F39,3)="14x"),IF(AG_REQ!F39&lt;=INDEX(INPUTS!$B$42:$B$50,1),INDEX(INPUTS!$A$42:$A$50,1),IF(AG_REQ!F39&gt;INDEX(INPUTS!$B$42:$B$50,ROWS(INPUTS!$B$42:$B$50)),"LARGER",INDEX(INPUTS!$A$42:$A$50,MATCH(AG_REQ!F39,INPUTS!$B$42:$B$50,1)+1))),IF(AG_REQ!F39&lt;=INDEX(INPUTS!$E$42:$E$50,1),INDEX(INPUTS!$D$42:$D$50,1),IF(AG_REQ!F39&gt;INDEX(INPUTS!$E$42:$E$50,ROWS(INPUTS!$E$42:$E$50)),"LARGER",INDEX(INPUTS!$D$42:$D$50,MATCH(AG_REQ!F39,INPUTS!$E$42:$E$50,1)+1)))))</f>
        <v>14x24</v>
      </c>
      <c r="G39" s="4" t="str">
        <f aca="false">IF(TRIB!G39="","",IF(OR(ARCH!G39="",LEFT(ARCH!G39,3)="14x"),IF(AG_REQ!G39&lt;=INDEX(INPUTS!$B$42:$B$50,1),INDEX(INPUTS!$A$42:$A$50,1),IF(AG_REQ!G39&gt;INDEX(INPUTS!$B$42:$B$50,ROWS(INPUTS!$B$42:$B$50)),"LARGER",INDEX(INPUTS!$A$42:$A$50,MATCH(AG_REQ!G39,INPUTS!$B$42:$B$50,1)+1))),IF(AG_REQ!G39&lt;=INDEX(INPUTS!$E$42:$E$50,1),INDEX(INPUTS!$D$42:$D$50,1),IF(AG_REQ!G39&gt;INDEX(INPUTS!$E$42:$E$50,ROWS(INPUTS!$E$42:$E$50)),"LARGER",INDEX(INPUTS!$D$42:$D$50,MATCH(AG_REQ!G39,INPUTS!$E$42:$E$50,1)+1)))))</f>
        <v>14x24</v>
      </c>
      <c r="H39" s="4" t="str">
        <f aca="false">IF(TRIB!H39="","",IF(OR(ARCH!H39="",LEFT(ARCH!H39,3)="14x"),IF(AG_REQ!H39&lt;=INDEX(INPUTS!$B$42:$B$50,1),INDEX(INPUTS!$A$42:$A$50,1),IF(AG_REQ!H39&gt;INDEX(INPUTS!$B$42:$B$50,ROWS(INPUTS!$B$42:$B$50)),"LARGER",INDEX(INPUTS!$A$42:$A$50,MATCH(AG_REQ!H39,INPUTS!$B$42:$B$50,1)+1))),IF(AG_REQ!H39&lt;=INDEX(INPUTS!$E$42:$E$50,1),INDEX(INPUTS!$D$42:$D$50,1),IF(AG_REQ!H39&gt;INDEX(INPUTS!$E$42:$E$50,ROWS(INPUTS!$E$42:$E$50)),"LARGER",INDEX(INPUTS!$D$42:$D$50,MATCH(AG_REQ!H39,INPUTS!$E$42:$E$50,1)+1)))))</f>
        <v>14x24</v>
      </c>
      <c r="I39" s="4" t="str">
        <f aca="false">IF(TRIB!I39="","",IF(OR(ARCH!I39="",LEFT(ARCH!I39,3)="14x"),IF(AG_REQ!I39&lt;=INDEX(INPUTS!$B$42:$B$50,1),INDEX(INPUTS!$A$42:$A$50,1),IF(AG_REQ!I39&gt;INDEX(INPUTS!$B$42:$B$50,ROWS(INPUTS!$B$42:$B$50)),"LARGER",INDEX(INPUTS!$A$42:$A$50,MATCH(AG_REQ!I39,INPUTS!$B$42:$B$50,1)+1))),IF(AG_REQ!I39&lt;=INDEX(INPUTS!$E$42:$E$50,1),INDEX(INPUTS!$D$42:$D$50,1),IF(AG_REQ!I39&gt;INDEX(INPUTS!$E$42:$E$50,ROWS(INPUTS!$E$42:$E$50)),"LARGER",INDEX(INPUTS!$D$42:$D$50,MATCH(AG_REQ!I39,INPUTS!$E$42:$E$50,1)+1)))))</f>
        <v>14x24</v>
      </c>
      <c r="J39" s="4" t="str">
        <f aca="false">IF(TRIB!J39="","",IF(OR(ARCH!J39="",LEFT(ARCH!J39,3)="14x"),IF(AG_REQ!J39&lt;=INDEX(INPUTS!$B$42:$B$50,1),INDEX(INPUTS!$A$42:$A$50,1),IF(AG_REQ!J39&gt;INDEX(INPUTS!$B$42:$B$50,ROWS(INPUTS!$B$42:$B$50)),"LARGER",INDEX(INPUTS!$A$42:$A$50,MATCH(AG_REQ!J39,INPUTS!$B$42:$B$50,1)+1))),IF(AG_REQ!J39&lt;=INDEX(INPUTS!$E$42:$E$50,1),INDEX(INPUTS!$D$42:$D$50,1),IF(AG_REQ!J39&gt;INDEX(INPUTS!$E$42:$E$50,ROWS(INPUTS!$E$42:$E$50)),"LARGER",INDEX(INPUTS!$D$42:$D$50,MATCH(AG_REQ!J39,INPUTS!$E$42:$E$50,1)+1)))))</f>
        <v>14x24</v>
      </c>
      <c r="K39" s="4" t="str">
        <f aca="false">IF(TRIB!K39="","",IF(OR(ARCH!K39="",LEFT(ARCH!K39,3)="14x"),IF(AG_REQ!K39&lt;=INDEX(INPUTS!$B$42:$B$50,1),INDEX(INPUTS!$A$42:$A$50,1),IF(AG_REQ!K39&gt;INDEX(INPUTS!$B$42:$B$50,ROWS(INPUTS!$B$42:$B$50)),"LARGER",INDEX(INPUTS!$A$42:$A$50,MATCH(AG_REQ!K39,INPUTS!$B$42:$B$50,1)+1))),IF(AG_REQ!K39&lt;=INDEX(INPUTS!$E$42:$E$50,1),INDEX(INPUTS!$D$42:$D$50,1),IF(AG_REQ!K39&gt;INDEX(INPUTS!$E$42:$E$50,ROWS(INPUTS!$E$42:$E$50)),"LARGER",INDEX(INPUTS!$D$42:$D$50,MATCH(AG_REQ!K39,INPUTS!$E$42:$E$50,1)+1)))))</f>
        <v>14x24</v>
      </c>
      <c r="L39" s="4" t="str">
        <f aca="false">IF(TRIB!L39="","",IF(OR(ARCH!L39="",LEFT(ARCH!L39,3)="14x"),IF(AG_REQ!L39&lt;=INDEX(INPUTS!$B$42:$B$50,1),INDEX(INPUTS!$A$42:$A$50,1),IF(AG_REQ!L39&gt;INDEX(INPUTS!$B$42:$B$50,ROWS(INPUTS!$B$42:$B$50)),"LARGER",INDEX(INPUTS!$A$42:$A$50,MATCH(AG_REQ!L39,INPUTS!$B$42:$B$50,1)+1))),IF(AG_REQ!L39&lt;=INDEX(INPUTS!$E$42:$E$50,1),INDEX(INPUTS!$D$42:$D$50,1),IF(AG_REQ!L39&gt;INDEX(INPUTS!$E$42:$E$50,ROWS(INPUTS!$E$42:$E$50)),"LARGER",INDEX(INPUTS!$D$42:$D$50,MATCH(AG_REQ!L39,INPUTS!$E$42:$E$50,1)+1)))))</f>
        <v>14x24</v>
      </c>
      <c r="M39" s="4" t="str">
        <f aca="false">IF(TRIB!M39="","",IF(OR(ARCH!M39="",LEFT(ARCH!M39,3)="14x"),IF(AG_REQ!M39&lt;=INDEX(INPUTS!$B$42:$B$50,1),INDEX(INPUTS!$A$42:$A$50,1),IF(AG_REQ!M39&gt;INDEX(INPUTS!$B$42:$B$50,ROWS(INPUTS!$B$42:$B$50)),"LARGER",INDEX(INPUTS!$A$42:$A$50,MATCH(AG_REQ!M39,INPUTS!$B$42:$B$50,1)+1))),IF(AG_REQ!M39&lt;=INDEX(INPUTS!$E$42:$E$50,1),INDEX(INPUTS!$D$42:$D$50,1),IF(AG_REQ!M39&gt;INDEX(INPUTS!$E$42:$E$50,ROWS(INPUTS!$E$42:$E$50)),"LARGER",INDEX(INPUTS!$D$42:$D$50,MATCH(AG_REQ!M39,INPUTS!$E$42:$E$50,1)+1)))))</f>
        <v>14x24</v>
      </c>
      <c r="N39" s="4" t="str">
        <f aca="false">IF(TRIB!N39="","",IF(OR(ARCH!N39="",LEFT(ARCH!N39,3)="14x"),IF(AG_REQ!N39&lt;=INDEX(INPUTS!$B$42:$B$50,1),INDEX(INPUTS!$A$42:$A$50,1),IF(AG_REQ!N39&gt;INDEX(INPUTS!$B$42:$B$50,ROWS(INPUTS!$B$42:$B$50)),"LARGER",INDEX(INPUTS!$A$42:$A$50,MATCH(AG_REQ!N39,INPUTS!$B$42:$B$50,1)+1))),IF(AG_REQ!N39&lt;=INDEX(INPUTS!$E$42:$E$50,1),INDEX(INPUTS!$D$42:$D$50,1),IF(AG_REQ!N39&gt;INDEX(INPUTS!$E$42:$E$50,ROWS(INPUTS!$E$42:$E$50)),"LARGER",INDEX(INPUTS!$D$42:$D$50,MATCH(AG_REQ!N39,INPUTS!$E$42:$E$50,1)+1)))))</f>
        <v>14x24</v>
      </c>
      <c r="O39" s="4" t="str">
        <f aca="false">IF(TRIB!O39="","",IF(OR(ARCH!O39="",LEFT(ARCH!O39,3)="14x"),IF(AG_REQ!O39&lt;=INDEX(INPUTS!$B$42:$B$50,1),INDEX(INPUTS!$A$42:$A$50,1),IF(AG_REQ!O39&gt;INDEX(INPUTS!$B$42:$B$50,ROWS(INPUTS!$B$42:$B$50)),"LARGER",INDEX(INPUTS!$A$42:$A$50,MATCH(AG_REQ!O39,INPUTS!$B$42:$B$50,1)+1))),IF(AG_REQ!O39&lt;=INDEX(INPUTS!$E$42:$E$50,1),INDEX(INPUTS!$D$42:$D$50,1),IF(AG_REQ!O39&gt;INDEX(INPUTS!$E$42:$E$50,ROWS(INPUTS!$E$42:$E$50)),"LARGER",INDEX(INPUTS!$D$42:$D$50,MATCH(AG_REQ!O39,INPUTS!$E$42:$E$50,1)+1)))))</f>
        <v>14x24</v>
      </c>
      <c r="P39" s="4" t="str">
        <f aca="false">IF(TRIB!P39="","",IF(OR(ARCH!P39="",LEFT(ARCH!P39,3)="14x"),IF(AG_REQ!P39&lt;=INDEX(INPUTS!$B$42:$B$50,1),INDEX(INPUTS!$A$42:$A$50,1),IF(AG_REQ!P39&gt;INDEX(INPUTS!$B$42:$B$50,ROWS(INPUTS!$B$42:$B$50)),"LARGER",INDEX(INPUTS!$A$42:$A$50,MATCH(AG_REQ!P39,INPUTS!$B$42:$B$50,1)+1))),IF(AG_REQ!P39&lt;=INDEX(INPUTS!$E$42:$E$50,1),INDEX(INPUTS!$D$42:$D$50,1),IF(AG_REQ!P39&gt;INDEX(INPUTS!$E$42:$E$50,ROWS(INPUTS!$E$42:$E$50)),"LARGER",INDEX(INPUTS!$D$42:$D$50,MATCH(AG_REQ!P39,INPUTS!$E$42:$E$50,1)+1)))))</f>
        <v>14x24</v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4" t="str">
        <f aca="false">IF(TRIB!E40="","",IF(OR(ARCH!E40="",LEFT(ARCH!E40,3)="14x"),IF(AG_REQ!E40&lt;=INDEX(INPUTS!$B$42:$B$50,1),INDEX(INPUTS!$A$42:$A$50,1),IF(AG_REQ!E40&gt;INDEX(INPUTS!$B$42:$B$50,ROWS(INPUTS!$B$42:$B$50)),"LARGER",INDEX(INPUTS!$A$42:$A$50,MATCH(AG_REQ!E40,INPUTS!$B$42:$B$50,1)+1))),IF(AG_REQ!E40&lt;=INDEX(INPUTS!$E$42:$E$50,1),INDEX(INPUTS!$D$42:$D$50,1),IF(AG_REQ!E40&gt;INDEX(INPUTS!$E$42:$E$50,ROWS(INPUTS!$E$42:$E$50)),"LARGER",INDEX(INPUTS!$D$42:$D$50,MATCH(AG_REQ!E40,INPUTS!$E$42:$E$50,1)+1)))))</f>
        <v/>
      </c>
      <c r="F40" s="4" t="str">
        <f aca="false">IF(TRIB!F40="","",IF(OR(ARCH!F40="",LEFT(ARCH!F40,3)="14x"),IF(AG_REQ!F40&lt;=INDEX(INPUTS!$B$42:$B$50,1),INDEX(INPUTS!$A$42:$A$50,1),IF(AG_REQ!F40&gt;INDEX(INPUTS!$B$42:$B$50,ROWS(INPUTS!$B$42:$B$50)),"LARGER",INDEX(INPUTS!$A$42:$A$50,MATCH(AG_REQ!F40,INPUTS!$B$42:$B$50,1)+1))),IF(AG_REQ!F40&lt;=INDEX(INPUTS!$E$42:$E$50,1),INDEX(INPUTS!$D$42:$D$50,1),IF(AG_REQ!F40&gt;INDEX(INPUTS!$E$42:$E$50,ROWS(INPUTS!$E$42:$E$50)),"LARGER",INDEX(INPUTS!$D$42:$D$50,MATCH(AG_REQ!F40,INPUTS!$E$42:$E$50,1)+1)))))</f>
        <v>14x24</v>
      </c>
      <c r="G40" s="4" t="str">
        <f aca="false">IF(TRIB!G40="","",IF(OR(ARCH!G40="",LEFT(ARCH!G40,3)="14x"),IF(AG_REQ!G40&lt;=INDEX(INPUTS!$B$42:$B$50,1),INDEX(INPUTS!$A$42:$A$50,1),IF(AG_REQ!G40&gt;INDEX(INPUTS!$B$42:$B$50,ROWS(INPUTS!$B$42:$B$50)),"LARGER",INDEX(INPUTS!$A$42:$A$50,MATCH(AG_REQ!G40,INPUTS!$B$42:$B$50,1)+1))),IF(AG_REQ!G40&lt;=INDEX(INPUTS!$E$42:$E$50,1),INDEX(INPUTS!$D$42:$D$50,1),IF(AG_REQ!G40&gt;INDEX(INPUTS!$E$42:$E$50,ROWS(INPUTS!$E$42:$E$50)),"LARGER",INDEX(INPUTS!$D$42:$D$50,MATCH(AG_REQ!G40,INPUTS!$E$42:$E$50,1)+1)))))</f>
        <v>14x24</v>
      </c>
      <c r="H40" s="4" t="str">
        <f aca="false">IF(TRIB!H40="","",IF(OR(ARCH!H40="",LEFT(ARCH!H40,3)="14x"),IF(AG_REQ!H40&lt;=INDEX(INPUTS!$B$42:$B$50,1),INDEX(INPUTS!$A$42:$A$50,1),IF(AG_REQ!H40&gt;INDEX(INPUTS!$B$42:$B$50,ROWS(INPUTS!$B$42:$B$50)),"LARGER",INDEX(INPUTS!$A$42:$A$50,MATCH(AG_REQ!H40,INPUTS!$B$42:$B$50,1)+1))),IF(AG_REQ!H40&lt;=INDEX(INPUTS!$E$42:$E$50,1),INDEX(INPUTS!$D$42:$D$50,1),IF(AG_REQ!H40&gt;INDEX(INPUTS!$E$42:$E$50,ROWS(INPUTS!$E$42:$E$50)),"LARGER",INDEX(INPUTS!$D$42:$D$50,MATCH(AG_REQ!H40,INPUTS!$E$42:$E$50,1)+1)))))</f>
        <v>14x24</v>
      </c>
      <c r="I40" s="4" t="str">
        <f aca="false">IF(TRIB!I40="","",IF(OR(ARCH!I40="",LEFT(ARCH!I40,3)="14x"),IF(AG_REQ!I40&lt;=INDEX(INPUTS!$B$42:$B$50,1),INDEX(INPUTS!$A$42:$A$50,1),IF(AG_REQ!I40&gt;INDEX(INPUTS!$B$42:$B$50,ROWS(INPUTS!$B$42:$B$50)),"LARGER",INDEX(INPUTS!$A$42:$A$50,MATCH(AG_REQ!I40,INPUTS!$B$42:$B$50,1)+1))),IF(AG_REQ!I40&lt;=INDEX(INPUTS!$E$42:$E$50,1),INDEX(INPUTS!$D$42:$D$50,1),IF(AG_REQ!I40&gt;INDEX(INPUTS!$E$42:$E$50,ROWS(INPUTS!$E$42:$E$50)),"LARGER",INDEX(INPUTS!$D$42:$D$50,MATCH(AG_REQ!I40,INPUTS!$E$42:$E$50,1)+1)))))</f>
        <v>14x24</v>
      </c>
      <c r="J40" s="4" t="str">
        <f aca="false">IF(TRIB!J40="","",IF(OR(ARCH!J40="",LEFT(ARCH!J40,3)="14x"),IF(AG_REQ!J40&lt;=INDEX(INPUTS!$B$42:$B$50,1),INDEX(INPUTS!$A$42:$A$50,1),IF(AG_REQ!J40&gt;INDEX(INPUTS!$B$42:$B$50,ROWS(INPUTS!$B$42:$B$50)),"LARGER",INDEX(INPUTS!$A$42:$A$50,MATCH(AG_REQ!J40,INPUTS!$B$42:$B$50,1)+1))),IF(AG_REQ!J40&lt;=INDEX(INPUTS!$E$42:$E$50,1),INDEX(INPUTS!$D$42:$D$50,1),IF(AG_REQ!J40&gt;INDEX(INPUTS!$E$42:$E$50,ROWS(INPUTS!$E$42:$E$50)),"LARGER",INDEX(INPUTS!$D$42:$D$50,MATCH(AG_REQ!J40,INPUTS!$E$42:$E$50,1)+1)))))</f>
        <v>14x24</v>
      </c>
      <c r="K40" s="4" t="str">
        <f aca="false">IF(TRIB!K40="","",IF(OR(ARCH!K40="",LEFT(ARCH!K40,3)="14x"),IF(AG_REQ!K40&lt;=INDEX(INPUTS!$B$42:$B$50,1),INDEX(INPUTS!$A$42:$A$50,1),IF(AG_REQ!K40&gt;INDEX(INPUTS!$B$42:$B$50,ROWS(INPUTS!$B$42:$B$50)),"LARGER",INDEX(INPUTS!$A$42:$A$50,MATCH(AG_REQ!K40,INPUTS!$B$42:$B$50,1)+1))),IF(AG_REQ!K40&lt;=INDEX(INPUTS!$E$42:$E$50,1),INDEX(INPUTS!$D$42:$D$50,1),IF(AG_REQ!K40&gt;INDEX(INPUTS!$E$42:$E$50,ROWS(INPUTS!$E$42:$E$50)),"LARGER",INDEX(INPUTS!$D$42:$D$50,MATCH(AG_REQ!K40,INPUTS!$E$42:$E$50,1)+1)))))</f>
        <v>14x24</v>
      </c>
      <c r="L40" s="4" t="str">
        <f aca="false">IF(TRIB!L40="","",IF(OR(ARCH!L40="",LEFT(ARCH!L40,3)="14x"),IF(AG_REQ!L40&lt;=INDEX(INPUTS!$B$42:$B$50,1),INDEX(INPUTS!$A$42:$A$50,1),IF(AG_REQ!L40&gt;INDEX(INPUTS!$B$42:$B$50,ROWS(INPUTS!$B$42:$B$50)),"LARGER",INDEX(INPUTS!$A$42:$A$50,MATCH(AG_REQ!L40,INPUTS!$B$42:$B$50,1)+1))),IF(AG_REQ!L40&lt;=INDEX(INPUTS!$E$42:$E$50,1),INDEX(INPUTS!$D$42:$D$50,1),IF(AG_REQ!L40&gt;INDEX(INPUTS!$E$42:$E$50,ROWS(INPUTS!$E$42:$E$50)),"LARGER",INDEX(INPUTS!$D$42:$D$50,MATCH(AG_REQ!L40,INPUTS!$E$42:$E$50,1)+1)))))</f>
        <v>14x24</v>
      </c>
      <c r="M40" s="4" t="str">
        <f aca="false">IF(TRIB!M40="","",IF(OR(ARCH!M40="",LEFT(ARCH!M40,3)="14x"),IF(AG_REQ!M40&lt;=INDEX(INPUTS!$B$42:$B$50,1),INDEX(INPUTS!$A$42:$A$50,1),IF(AG_REQ!M40&gt;INDEX(INPUTS!$B$42:$B$50,ROWS(INPUTS!$B$42:$B$50)),"LARGER",INDEX(INPUTS!$A$42:$A$50,MATCH(AG_REQ!M40,INPUTS!$B$42:$B$50,1)+1))),IF(AG_REQ!M40&lt;=INDEX(INPUTS!$E$42:$E$50,1),INDEX(INPUTS!$D$42:$D$50,1),IF(AG_REQ!M40&gt;INDEX(INPUTS!$E$42:$E$50,ROWS(INPUTS!$E$42:$E$50)),"LARGER",INDEX(INPUTS!$D$42:$D$50,MATCH(AG_REQ!M40,INPUTS!$E$42:$E$50,1)+1)))))</f>
        <v>14x24</v>
      </c>
      <c r="N40" s="4" t="str">
        <f aca="false">IF(TRIB!N40="","",IF(OR(ARCH!N40="",LEFT(ARCH!N40,3)="14x"),IF(AG_REQ!N40&lt;=INDEX(INPUTS!$B$42:$B$50,1),INDEX(INPUTS!$A$42:$A$50,1),IF(AG_REQ!N40&gt;INDEX(INPUTS!$B$42:$B$50,ROWS(INPUTS!$B$42:$B$50)),"LARGER",INDEX(INPUTS!$A$42:$A$50,MATCH(AG_REQ!N40,INPUTS!$B$42:$B$50,1)+1))),IF(AG_REQ!N40&lt;=INDEX(INPUTS!$E$42:$E$50,1),INDEX(INPUTS!$D$42:$D$50,1),IF(AG_REQ!N40&gt;INDEX(INPUTS!$E$42:$E$50,ROWS(INPUTS!$E$42:$E$50)),"LARGER",INDEX(INPUTS!$D$42:$D$50,MATCH(AG_REQ!N40,INPUTS!$E$42:$E$50,1)+1)))))</f>
        <v>14x24</v>
      </c>
      <c r="O40" s="4" t="str">
        <f aca="false">IF(TRIB!O40="","",IF(OR(ARCH!O40="",LEFT(ARCH!O40,3)="14x"),IF(AG_REQ!O40&lt;=INDEX(INPUTS!$B$42:$B$50,1),INDEX(INPUTS!$A$42:$A$50,1),IF(AG_REQ!O40&gt;INDEX(INPUTS!$B$42:$B$50,ROWS(INPUTS!$B$42:$B$50)),"LARGER",INDEX(INPUTS!$A$42:$A$50,MATCH(AG_REQ!O40,INPUTS!$B$42:$B$50,1)+1))),IF(AG_REQ!O40&lt;=INDEX(INPUTS!$E$42:$E$50,1),INDEX(INPUTS!$D$42:$D$50,1),IF(AG_REQ!O40&gt;INDEX(INPUTS!$E$42:$E$50,ROWS(INPUTS!$E$42:$E$50)),"LARGER",INDEX(INPUTS!$D$42:$D$50,MATCH(AG_REQ!O40,INPUTS!$E$42:$E$50,1)+1)))))</f>
        <v>14x24</v>
      </c>
      <c r="P40" s="4" t="str">
        <f aca="false">IF(TRIB!P40="","",IF(OR(ARCH!P40="",LEFT(ARCH!P40,3)="14x"),IF(AG_REQ!P40&lt;=INDEX(INPUTS!$B$42:$B$50,1),INDEX(INPUTS!$A$42:$A$50,1),IF(AG_REQ!P40&gt;INDEX(INPUTS!$B$42:$B$50,ROWS(INPUTS!$B$42:$B$50)),"LARGER",INDEX(INPUTS!$A$42:$A$50,MATCH(AG_REQ!P40,INPUTS!$B$42:$B$50,1)+1))),IF(AG_REQ!P40&lt;=INDEX(INPUTS!$E$42:$E$50,1),INDEX(INPUTS!$D$42:$D$50,1),IF(AG_REQ!P40&gt;INDEX(INPUTS!$E$42:$E$50,ROWS(INPUTS!$E$42:$E$50)),"LARGER",INDEX(INPUTS!$D$42:$D$50,MATCH(AG_REQ!P40,INPUTS!$E$42:$E$50,1)+1)))))</f>
        <v>14x24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4" t="str">
        <f aca="false">IF(TRIB!E41="","",IF(OR(ARCH!E41="",LEFT(ARCH!E41,3)="14x"),IF(AG_REQ!E41&lt;=INDEX(INPUTS!$B$42:$B$50,1),INDEX(INPUTS!$A$42:$A$50,1),IF(AG_REQ!E41&gt;INDEX(INPUTS!$B$42:$B$50,ROWS(INPUTS!$B$42:$B$50)),"LARGER",INDEX(INPUTS!$A$42:$A$50,MATCH(AG_REQ!E41,INPUTS!$B$42:$B$50,1)+1))),IF(AG_REQ!E41&lt;=INDEX(INPUTS!$E$42:$E$50,1),INDEX(INPUTS!$D$42:$D$50,1),IF(AG_REQ!E41&gt;INDEX(INPUTS!$E$42:$E$50,ROWS(INPUTS!$E$42:$E$50)),"LARGER",INDEX(INPUTS!$D$42:$D$50,MATCH(AG_REQ!E41,INPUTS!$E$42:$E$50,1)+1)))))</f>
        <v/>
      </c>
      <c r="F41" s="4" t="str">
        <f aca="false">IF(TRIB!F41="","",IF(OR(ARCH!F41="",LEFT(ARCH!F41,3)="14x"),IF(AG_REQ!F41&lt;=INDEX(INPUTS!$B$42:$B$50,1),INDEX(INPUTS!$A$42:$A$50,1),IF(AG_REQ!F41&gt;INDEX(INPUTS!$B$42:$B$50,ROWS(INPUTS!$B$42:$B$50)),"LARGER",INDEX(INPUTS!$A$42:$A$50,MATCH(AG_REQ!F41,INPUTS!$B$42:$B$50,1)+1))),IF(AG_REQ!F41&lt;=INDEX(INPUTS!$E$42:$E$50,1),INDEX(INPUTS!$D$42:$D$50,1),IF(AG_REQ!F41&gt;INDEX(INPUTS!$E$42:$E$50,ROWS(INPUTS!$E$42:$E$50)),"LARGER",INDEX(INPUTS!$D$42:$D$50,MATCH(AG_REQ!F41,INPUTS!$E$42:$E$50,1)+1)))))</f>
        <v>14x24</v>
      </c>
      <c r="G41" s="4" t="str">
        <f aca="false">IF(TRIB!G41="","",IF(OR(ARCH!G41="",LEFT(ARCH!G41,3)="14x"),IF(AG_REQ!G41&lt;=INDEX(INPUTS!$B$42:$B$50,1),INDEX(INPUTS!$A$42:$A$50,1),IF(AG_REQ!G41&gt;INDEX(INPUTS!$B$42:$B$50,ROWS(INPUTS!$B$42:$B$50)),"LARGER",INDEX(INPUTS!$A$42:$A$50,MATCH(AG_REQ!G41,INPUTS!$B$42:$B$50,1)+1))),IF(AG_REQ!G41&lt;=INDEX(INPUTS!$E$42:$E$50,1),INDEX(INPUTS!$D$42:$D$50,1),IF(AG_REQ!G41&gt;INDEX(INPUTS!$E$42:$E$50,ROWS(INPUTS!$E$42:$E$50)),"LARGER",INDEX(INPUTS!$D$42:$D$50,MATCH(AG_REQ!G41,INPUTS!$E$42:$E$50,1)+1)))))</f>
        <v>14x24</v>
      </c>
      <c r="H41" s="4" t="str">
        <f aca="false">IF(TRIB!H41="","",IF(OR(ARCH!H41="",LEFT(ARCH!H41,3)="14x"),IF(AG_REQ!H41&lt;=INDEX(INPUTS!$B$42:$B$50,1),INDEX(INPUTS!$A$42:$A$50,1),IF(AG_REQ!H41&gt;INDEX(INPUTS!$B$42:$B$50,ROWS(INPUTS!$B$42:$B$50)),"LARGER",INDEX(INPUTS!$A$42:$A$50,MATCH(AG_REQ!H41,INPUTS!$B$42:$B$50,1)+1))),IF(AG_REQ!H41&lt;=INDEX(INPUTS!$E$42:$E$50,1),INDEX(INPUTS!$D$42:$D$50,1),IF(AG_REQ!H41&gt;INDEX(INPUTS!$E$42:$E$50,ROWS(INPUTS!$E$42:$E$50)),"LARGER",INDEX(INPUTS!$D$42:$D$50,MATCH(AG_REQ!H41,INPUTS!$E$42:$E$50,1)+1)))))</f>
        <v>14x24</v>
      </c>
      <c r="I41" s="4" t="str">
        <f aca="false">IF(TRIB!I41="","",IF(OR(ARCH!I41="",LEFT(ARCH!I41,3)="14x"),IF(AG_REQ!I41&lt;=INDEX(INPUTS!$B$42:$B$50,1),INDEX(INPUTS!$A$42:$A$50,1),IF(AG_REQ!I41&gt;INDEX(INPUTS!$B$42:$B$50,ROWS(INPUTS!$B$42:$B$50)),"LARGER",INDEX(INPUTS!$A$42:$A$50,MATCH(AG_REQ!I41,INPUTS!$B$42:$B$50,1)+1))),IF(AG_REQ!I41&lt;=INDEX(INPUTS!$E$42:$E$50,1),INDEX(INPUTS!$D$42:$D$50,1),IF(AG_REQ!I41&gt;INDEX(INPUTS!$E$42:$E$50,ROWS(INPUTS!$E$42:$E$50)),"LARGER",INDEX(INPUTS!$D$42:$D$50,MATCH(AG_REQ!I41,INPUTS!$E$42:$E$50,1)+1)))))</f>
        <v>14x24</v>
      </c>
      <c r="J41" s="4" t="str">
        <f aca="false">IF(TRIB!J41="","",IF(OR(ARCH!J41="",LEFT(ARCH!J41,3)="14x"),IF(AG_REQ!J41&lt;=INDEX(INPUTS!$B$42:$B$50,1),INDEX(INPUTS!$A$42:$A$50,1),IF(AG_REQ!J41&gt;INDEX(INPUTS!$B$42:$B$50,ROWS(INPUTS!$B$42:$B$50)),"LARGER",INDEX(INPUTS!$A$42:$A$50,MATCH(AG_REQ!J41,INPUTS!$B$42:$B$50,1)+1))),IF(AG_REQ!J41&lt;=INDEX(INPUTS!$E$42:$E$50,1),INDEX(INPUTS!$D$42:$D$50,1),IF(AG_REQ!J41&gt;INDEX(INPUTS!$E$42:$E$50,ROWS(INPUTS!$E$42:$E$50)),"LARGER",INDEX(INPUTS!$D$42:$D$50,MATCH(AG_REQ!J41,INPUTS!$E$42:$E$50,1)+1)))))</f>
        <v>14x24</v>
      </c>
      <c r="K41" s="4" t="str">
        <f aca="false">IF(TRIB!K41="","",IF(OR(ARCH!K41="",LEFT(ARCH!K41,3)="14x"),IF(AG_REQ!K41&lt;=INDEX(INPUTS!$B$42:$B$50,1),INDEX(INPUTS!$A$42:$A$50,1),IF(AG_REQ!K41&gt;INDEX(INPUTS!$B$42:$B$50,ROWS(INPUTS!$B$42:$B$50)),"LARGER",INDEX(INPUTS!$A$42:$A$50,MATCH(AG_REQ!K41,INPUTS!$B$42:$B$50,1)+1))),IF(AG_REQ!K41&lt;=INDEX(INPUTS!$E$42:$E$50,1),INDEX(INPUTS!$D$42:$D$50,1),IF(AG_REQ!K41&gt;INDEX(INPUTS!$E$42:$E$50,ROWS(INPUTS!$E$42:$E$50)),"LARGER",INDEX(INPUTS!$D$42:$D$50,MATCH(AG_REQ!K41,INPUTS!$E$42:$E$50,1)+1)))))</f>
        <v>14x24</v>
      </c>
      <c r="L41" s="4" t="str">
        <f aca="false">IF(TRIB!L41="","",IF(OR(ARCH!L41="",LEFT(ARCH!L41,3)="14x"),IF(AG_REQ!L41&lt;=INDEX(INPUTS!$B$42:$B$50,1),INDEX(INPUTS!$A$42:$A$50,1),IF(AG_REQ!L41&gt;INDEX(INPUTS!$B$42:$B$50,ROWS(INPUTS!$B$42:$B$50)),"LARGER",INDEX(INPUTS!$A$42:$A$50,MATCH(AG_REQ!L41,INPUTS!$B$42:$B$50,1)+1))),IF(AG_REQ!L41&lt;=INDEX(INPUTS!$E$42:$E$50,1),INDEX(INPUTS!$D$42:$D$50,1),IF(AG_REQ!L41&gt;INDEX(INPUTS!$E$42:$E$50,ROWS(INPUTS!$E$42:$E$50)),"LARGER",INDEX(INPUTS!$D$42:$D$50,MATCH(AG_REQ!L41,INPUTS!$E$42:$E$50,1)+1)))))</f>
        <v>14x24</v>
      </c>
      <c r="M41" s="4" t="str">
        <f aca="false">IF(TRIB!M41="","",IF(OR(ARCH!M41="",LEFT(ARCH!M41,3)="14x"),IF(AG_REQ!M41&lt;=INDEX(INPUTS!$B$42:$B$50,1),INDEX(INPUTS!$A$42:$A$50,1),IF(AG_REQ!M41&gt;INDEX(INPUTS!$B$42:$B$50,ROWS(INPUTS!$B$42:$B$50)),"LARGER",INDEX(INPUTS!$A$42:$A$50,MATCH(AG_REQ!M41,INPUTS!$B$42:$B$50,1)+1))),IF(AG_REQ!M41&lt;=INDEX(INPUTS!$E$42:$E$50,1),INDEX(INPUTS!$D$42:$D$50,1),IF(AG_REQ!M41&gt;INDEX(INPUTS!$E$42:$E$50,ROWS(INPUTS!$E$42:$E$50)),"LARGER",INDEX(INPUTS!$D$42:$D$50,MATCH(AG_REQ!M41,INPUTS!$E$42:$E$50,1)+1)))))</f>
        <v>14x24</v>
      </c>
      <c r="N41" s="4" t="str">
        <f aca="false">IF(TRIB!N41="","",IF(OR(ARCH!N41="",LEFT(ARCH!N41,3)="14x"),IF(AG_REQ!N41&lt;=INDEX(INPUTS!$B$42:$B$50,1),INDEX(INPUTS!$A$42:$A$50,1),IF(AG_REQ!N41&gt;INDEX(INPUTS!$B$42:$B$50,ROWS(INPUTS!$B$42:$B$50)),"LARGER",INDEX(INPUTS!$A$42:$A$50,MATCH(AG_REQ!N41,INPUTS!$B$42:$B$50,1)+1))),IF(AG_REQ!N41&lt;=INDEX(INPUTS!$E$42:$E$50,1),INDEX(INPUTS!$D$42:$D$50,1),IF(AG_REQ!N41&gt;INDEX(INPUTS!$E$42:$E$50,ROWS(INPUTS!$E$42:$E$50)),"LARGER",INDEX(INPUTS!$D$42:$D$50,MATCH(AG_REQ!N41,INPUTS!$E$42:$E$50,1)+1)))))</f>
        <v>14x24</v>
      </c>
      <c r="O41" s="4" t="str">
        <f aca="false">IF(TRIB!O41="","",IF(OR(ARCH!O41="",LEFT(ARCH!O41,3)="14x"),IF(AG_REQ!O41&lt;=INDEX(INPUTS!$B$42:$B$50,1),INDEX(INPUTS!$A$42:$A$50,1),IF(AG_REQ!O41&gt;INDEX(INPUTS!$B$42:$B$50,ROWS(INPUTS!$B$42:$B$50)),"LARGER",INDEX(INPUTS!$A$42:$A$50,MATCH(AG_REQ!O41,INPUTS!$B$42:$B$50,1)+1))),IF(AG_REQ!O41&lt;=INDEX(INPUTS!$E$42:$E$50,1),INDEX(INPUTS!$D$42:$D$50,1),IF(AG_REQ!O41&gt;INDEX(INPUTS!$E$42:$E$50,ROWS(INPUTS!$E$42:$E$50)),"LARGER",INDEX(INPUTS!$D$42:$D$50,MATCH(AG_REQ!O41,INPUTS!$E$42:$E$50,1)+1)))))</f>
        <v>14x24</v>
      </c>
      <c r="P41" s="4" t="str">
        <f aca="false">IF(TRIB!P41="","",IF(OR(ARCH!P41="",LEFT(ARCH!P41,3)="14x"),IF(AG_REQ!P41&lt;=INDEX(INPUTS!$B$42:$B$50,1),INDEX(INPUTS!$A$42:$A$50,1),IF(AG_REQ!P41&gt;INDEX(INPUTS!$B$42:$B$50,ROWS(INPUTS!$B$42:$B$50)),"LARGER",INDEX(INPUTS!$A$42:$A$50,MATCH(AG_REQ!P41,INPUTS!$B$42:$B$50,1)+1))),IF(AG_REQ!P41&lt;=INDEX(INPUTS!$E$42:$E$50,1),INDEX(INPUTS!$D$42:$D$50,1),IF(AG_REQ!P41&gt;INDEX(INPUTS!$E$42:$E$50,ROWS(INPUTS!$E$42:$E$50)),"LARGER",INDEX(INPUTS!$D$42:$D$50,MATCH(AG_REQ!P41,INPUTS!$E$42:$E$50,1)+1)))))</f>
        <v>14x24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4" t="str">
        <f aca="false">IF(TRIB!E42="","",IF(OR(ARCH!E42="",LEFT(ARCH!E42,3)="14x"),IF(AG_REQ!E42&lt;=INDEX(INPUTS!$B$42:$B$50,1),INDEX(INPUTS!$A$42:$A$50,1),IF(AG_REQ!E42&gt;INDEX(INPUTS!$B$42:$B$50,ROWS(INPUTS!$B$42:$B$50)),"LARGER",INDEX(INPUTS!$A$42:$A$50,MATCH(AG_REQ!E42,INPUTS!$B$42:$B$50,1)+1))),IF(AG_REQ!E42&lt;=INDEX(INPUTS!$E$42:$E$50,1),INDEX(INPUTS!$D$42:$D$50,1),IF(AG_REQ!E42&gt;INDEX(INPUTS!$E$42:$E$50,ROWS(INPUTS!$E$42:$E$50)),"LARGER",INDEX(INPUTS!$D$42:$D$50,MATCH(AG_REQ!E42,INPUTS!$E$42:$E$50,1)+1)))))</f>
        <v/>
      </c>
      <c r="F42" s="4" t="str">
        <f aca="false">IF(TRIB!F42="","",IF(OR(ARCH!F42="",LEFT(ARCH!F42,3)="14x"),IF(AG_REQ!F42&lt;=INDEX(INPUTS!$B$42:$B$50,1),INDEX(INPUTS!$A$42:$A$50,1),IF(AG_REQ!F42&gt;INDEX(INPUTS!$B$42:$B$50,ROWS(INPUTS!$B$42:$B$50)),"LARGER",INDEX(INPUTS!$A$42:$A$50,MATCH(AG_REQ!F42,INPUTS!$B$42:$B$50,1)+1))),IF(AG_REQ!F42&lt;=INDEX(INPUTS!$E$42:$E$50,1),INDEX(INPUTS!$D$42:$D$50,1),IF(AG_REQ!F42&gt;INDEX(INPUTS!$E$42:$E$50,ROWS(INPUTS!$E$42:$E$50)),"LARGER",INDEX(INPUTS!$D$42:$D$50,MATCH(AG_REQ!F42,INPUTS!$E$42:$E$50,1)+1)))))</f>
        <v>14x24</v>
      </c>
      <c r="G42" s="4" t="str">
        <f aca="false">IF(TRIB!G42="","",IF(OR(ARCH!G42="",LEFT(ARCH!G42,3)="14x"),IF(AG_REQ!G42&lt;=INDEX(INPUTS!$B$42:$B$50,1),INDEX(INPUTS!$A$42:$A$50,1),IF(AG_REQ!G42&gt;INDEX(INPUTS!$B$42:$B$50,ROWS(INPUTS!$B$42:$B$50)),"LARGER",INDEX(INPUTS!$A$42:$A$50,MATCH(AG_REQ!G42,INPUTS!$B$42:$B$50,1)+1))),IF(AG_REQ!G42&lt;=INDEX(INPUTS!$E$42:$E$50,1),INDEX(INPUTS!$D$42:$D$50,1),IF(AG_REQ!G42&gt;INDEX(INPUTS!$E$42:$E$50,ROWS(INPUTS!$E$42:$E$50)),"LARGER",INDEX(INPUTS!$D$42:$D$50,MATCH(AG_REQ!G42,INPUTS!$E$42:$E$50,1)+1)))))</f>
        <v>14x24</v>
      </c>
      <c r="H42" s="4" t="str">
        <f aca="false">IF(TRIB!H42="","",IF(OR(ARCH!H42="",LEFT(ARCH!H42,3)="14x"),IF(AG_REQ!H42&lt;=INDEX(INPUTS!$B$42:$B$50,1),INDEX(INPUTS!$A$42:$A$50,1),IF(AG_REQ!H42&gt;INDEX(INPUTS!$B$42:$B$50,ROWS(INPUTS!$B$42:$B$50)),"LARGER",INDEX(INPUTS!$A$42:$A$50,MATCH(AG_REQ!H42,INPUTS!$B$42:$B$50,1)+1))),IF(AG_REQ!H42&lt;=INDEX(INPUTS!$E$42:$E$50,1),INDEX(INPUTS!$D$42:$D$50,1),IF(AG_REQ!H42&gt;INDEX(INPUTS!$E$42:$E$50,ROWS(INPUTS!$E$42:$E$50)),"LARGER",INDEX(INPUTS!$D$42:$D$50,MATCH(AG_REQ!H42,INPUTS!$E$42:$E$50,1)+1)))))</f>
        <v>14x24</v>
      </c>
      <c r="I42" s="4" t="str">
        <f aca="false">IF(TRIB!I42="","",IF(OR(ARCH!I42="",LEFT(ARCH!I42,3)="14x"),IF(AG_REQ!I42&lt;=INDEX(INPUTS!$B$42:$B$50,1),INDEX(INPUTS!$A$42:$A$50,1),IF(AG_REQ!I42&gt;INDEX(INPUTS!$B$42:$B$50,ROWS(INPUTS!$B$42:$B$50)),"LARGER",INDEX(INPUTS!$A$42:$A$50,MATCH(AG_REQ!I42,INPUTS!$B$42:$B$50,1)+1))),IF(AG_REQ!I42&lt;=INDEX(INPUTS!$E$42:$E$50,1),INDEX(INPUTS!$D$42:$D$50,1),IF(AG_REQ!I42&gt;INDEX(INPUTS!$E$42:$E$50,ROWS(INPUTS!$E$42:$E$50)),"LARGER",INDEX(INPUTS!$D$42:$D$50,MATCH(AG_REQ!I42,INPUTS!$E$42:$E$50,1)+1)))))</f>
        <v>14x24</v>
      </c>
      <c r="J42" s="4" t="str">
        <f aca="false">IF(TRIB!J42="","",IF(OR(ARCH!J42="",LEFT(ARCH!J42,3)="14x"),IF(AG_REQ!J42&lt;=INDEX(INPUTS!$B$42:$B$50,1),INDEX(INPUTS!$A$42:$A$50,1),IF(AG_REQ!J42&gt;INDEX(INPUTS!$B$42:$B$50,ROWS(INPUTS!$B$42:$B$50)),"LARGER",INDEX(INPUTS!$A$42:$A$50,MATCH(AG_REQ!J42,INPUTS!$B$42:$B$50,1)+1))),IF(AG_REQ!J42&lt;=INDEX(INPUTS!$E$42:$E$50,1),INDEX(INPUTS!$D$42:$D$50,1),IF(AG_REQ!J42&gt;INDEX(INPUTS!$E$42:$E$50,ROWS(INPUTS!$E$42:$E$50)),"LARGER",INDEX(INPUTS!$D$42:$D$50,MATCH(AG_REQ!J42,INPUTS!$E$42:$E$50,1)+1)))))</f>
        <v>14x24</v>
      </c>
      <c r="K42" s="4" t="str">
        <f aca="false">IF(TRIB!K42="","",IF(OR(ARCH!K42="",LEFT(ARCH!K42,3)="14x"),IF(AG_REQ!K42&lt;=INDEX(INPUTS!$B$42:$B$50,1),INDEX(INPUTS!$A$42:$A$50,1),IF(AG_REQ!K42&gt;INDEX(INPUTS!$B$42:$B$50,ROWS(INPUTS!$B$42:$B$50)),"LARGER",INDEX(INPUTS!$A$42:$A$50,MATCH(AG_REQ!K42,INPUTS!$B$42:$B$50,1)+1))),IF(AG_REQ!K42&lt;=INDEX(INPUTS!$E$42:$E$50,1),INDEX(INPUTS!$D$42:$D$50,1),IF(AG_REQ!K42&gt;INDEX(INPUTS!$E$42:$E$50,ROWS(INPUTS!$E$42:$E$50)),"LARGER",INDEX(INPUTS!$D$42:$D$50,MATCH(AG_REQ!K42,INPUTS!$E$42:$E$50,1)+1)))))</f>
        <v>14x24</v>
      </c>
      <c r="L42" s="4" t="str">
        <f aca="false">IF(TRIB!L42="","",IF(OR(ARCH!L42="",LEFT(ARCH!L42,3)="14x"),IF(AG_REQ!L42&lt;=INDEX(INPUTS!$B$42:$B$50,1),INDEX(INPUTS!$A$42:$A$50,1),IF(AG_REQ!L42&gt;INDEX(INPUTS!$B$42:$B$50,ROWS(INPUTS!$B$42:$B$50)),"LARGER",INDEX(INPUTS!$A$42:$A$50,MATCH(AG_REQ!L42,INPUTS!$B$42:$B$50,1)+1))),IF(AG_REQ!L42&lt;=INDEX(INPUTS!$E$42:$E$50,1),INDEX(INPUTS!$D$42:$D$50,1),IF(AG_REQ!L42&gt;INDEX(INPUTS!$E$42:$E$50,ROWS(INPUTS!$E$42:$E$50)),"LARGER",INDEX(INPUTS!$D$42:$D$50,MATCH(AG_REQ!L42,INPUTS!$E$42:$E$50,1)+1)))))</f>
        <v>14x24</v>
      </c>
      <c r="M42" s="4" t="str">
        <f aca="false">IF(TRIB!M42="","",IF(OR(ARCH!M42="",LEFT(ARCH!M42,3)="14x"),IF(AG_REQ!M42&lt;=INDEX(INPUTS!$B$42:$B$50,1),INDEX(INPUTS!$A$42:$A$50,1),IF(AG_REQ!M42&gt;INDEX(INPUTS!$B$42:$B$50,ROWS(INPUTS!$B$42:$B$50)),"LARGER",INDEX(INPUTS!$A$42:$A$50,MATCH(AG_REQ!M42,INPUTS!$B$42:$B$50,1)+1))),IF(AG_REQ!M42&lt;=INDEX(INPUTS!$E$42:$E$50,1),INDEX(INPUTS!$D$42:$D$50,1),IF(AG_REQ!M42&gt;INDEX(INPUTS!$E$42:$E$50,ROWS(INPUTS!$E$42:$E$50)),"LARGER",INDEX(INPUTS!$D$42:$D$50,MATCH(AG_REQ!M42,INPUTS!$E$42:$E$50,1)+1)))))</f>
        <v>14x24</v>
      </c>
      <c r="N42" s="4" t="str">
        <f aca="false">IF(TRIB!N42="","",IF(OR(ARCH!N42="",LEFT(ARCH!N42,3)="14x"),IF(AG_REQ!N42&lt;=INDEX(INPUTS!$B$42:$B$50,1),INDEX(INPUTS!$A$42:$A$50,1),IF(AG_REQ!N42&gt;INDEX(INPUTS!$B$42:$B$50,ROWS(INPUTS!$B$42:$B$50)),"LARGER",INDEX(INPUTS!$A$42:$A$50,MATCH(AG_REQ!N42,INPUTS!$B$42:$B$50,1)+1))),IF(AG_REQ!N42&lt;=INDEX(INPUTS!$E$42:$E$50,1),INDEX(INPUTS!$D$42:$D$50,1),IF(AG_REQ!N42&gt;INDEX(INPUTS!$E$42:$E$50,ROWS(INPUTS!$E$42:$E$50)),"LARGER",INDEX(INPUTS!$D$42:$D$50,MATCH(AG_REQ!N42,INPUTS!$E$42:$E$50,1)+1)))))</f>
        <v>14x24</v>
      </c>
      <c r="O42" s="4" t="str">
        <f aca="false">IF(TRIB!O42="","",IF(OR(ARCH!O42="",LEFT(ARCH!O42,3)="14x"),IF(AG_REQ!O42&lt;=INDEX(INPUTS!$B$42:$B$50,1),INDEX(INPUTS!$A$42:$A$50,1),IF(AG_REQ!O42&gt;INDEX(INPUTS!$B$42:$B$50,ROWS(INPUTS!$B$42:$B$50)),"LARGER",INDEX(INPUTS!$A$42:$A$50,MATCH(AG_REQ!O42,INPUTS!$B$42:$B$50,1)+1))),IF(AG_REQ!O42&lt;=INDEX(INPUTS!$E$42:$E$50,1),INDEX(INPUTS!$D$42:$D$50,1),IF(AG_REQ!O42&gt;INDEX(INPUTS!$E$42:$E$50,ROWS(INPUTS!$E$42:$E$50)),"LARGER",INDEX(INPUTS!$D$42:$D$50,MATCH(AG_REQ!O42,INPUTS!$E$42:$E$50,1)+1)))))</f>
        <v>14x24</v>
      </c>
      <c r="P42" s="4" t="str">
        <f aca="false">IF(TRIB!P42="","",IF(OR(ARCH!P42="",LEFT(ARCH!P42,3)="14x"),IF(AG_REQ!P42&lt;=INDEX(INPUTS!$B$42:$B$50,1),INDEX(INPUTS!$A$42:$A$50,1),IF(AG_REQ!P42&gt;INDEX(INPUTS!$B$42:$B$50,ROWS(INPUTS!$B$42:$B$50)),"LARGER",INDEX(INPUTS!$A$42:$A$50,MATCH(AG_REQ!P42,INPUTS!$B$42:$B$50,1)+1))),IF(AG_REQ!P42&lt;=INDEX(INPUTS!$E$42:$E$50,1),INDEX(INPUTS!$D$42:$D$50,1),IF(AG_REQ!P42&gt;INDEX(INPUTS!$E$42:$E$50,ROWS(INPUTS!$E$42:$E$50)),"LARGER",INDEX(INPUTS!$D$42:$D$50,MATCH(AG_REQ!P42,INPUTS!$E$42:$E$50,1)+1)))))</f>
        <v>14x24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4" t="str">
        <f aca="false">IF(TRIB!E43="","",IF(OR(ARCH!E43="",LEFT(ARCH!E43,3)="14x"),IF(AG_REQ!E43&lt;=INDEX(INPUTS!$B$42:$B$50,1),INDEX(INPUTS!$A$42:$A$50,1),IF(AG_REQ!E43&gt;INDEX(INPUTS!$B$42:$B$50,ROWS(INPUTS!$B$42:$B$50)),"LARGER",INDEX(INPUTS!$A$42:$A$50,MATCH(AG_REQ!E43,INPUTS!$B$42:$B$50,1)+1))),IF(AG_REQ!E43&lt;=INDEX(INPUTS!$E$42:$E$50,1),INDEX(INPUTS!$D$42:$D$50,1),IF(AG_REQ!E43&gt;INDEX(INPUTS!$E$42:$E$50,ROWS(INPUTS!$E$42:$E$50)),"LARGER",INDEX(INPUTS!$D$42:$D$50,MATCH(AG_REQ!E43,INPUTS!$E$42:$E$50,1)+1)))))</f>
        <v/>
      </c>
      <c r="F43" s="4" t="str">
        <f aca="false">IF(TRIB!F43="","",IF(OR(ARCH!F43="",LEFT(ARCH!F43,3)="14x"),IF(AG_REQ!F43&lt;=INDEX(INPUTS!$B$42:$B$50,1),INDEX(INPUTS!$A$42:$A$50,1),IF(AG_REQ!F43&gt;INDEX(INPUTS!$B$42:$B$50,ROWS(INPUTS!$B$42:$B$50)),"LARGER",INDEX(INPUTS!$A$42:$A$50,MATCH(AG_REQ!F43,INPUTS!$B$42:$B$50,1)+1))),IF(AG_REQ!F43&lt;=INDEX(INPUTS!$E$42:$E$50,1),INDEX(INPUTS!$D$42:$D$50,1),IF(AG_REQ!F43&gt;INDEX(INPUTS!$E$42:$E$50,ROWS(INPUTS!$E$42:$E$50)),"LARGER",INDEX(INPUTS!$D$42:$D$50,MATCH(AG_REQ!F43,INPUTS!$E$42:$E$50,1)+1)))))</f>
        <v>14x24</v>
      </c>
      <c r="G43" s="4" t="str">
        <f aca="false">IF(TRIB!G43="","",IF(OR(ARCH!G43="",LEFT(ARCH!G43,3)="14x"),IF(AG_REQ!G43&lt;=INDEX(INPUTS!$B$42:$B$50,1),INDEX(INPUTS!$A$42:$A$50,1),IF(AG_REQ!G43&gt;INDEX(INPUTS!$B$42:$B$50,ROWS(INPUTS!$B$42:$B$50)),"LARGER",INDEX(INPUTS!$A$42:$A$50,MATCH(AG_REQ!G43,INPUTS!$B$42:$B$50,1)+1))),IF(AG_REQ!G43&lt;=INDEX(INPUTS!$E$42:$E$50,1),INDEX(INPUTS!$D$42:$D$50,1),IF(AG_REQ!G43&gt;INDEX(INPUTS!$E$42:$E$50,ROWS(INPUTS!$E$42:$E$50)),"LARGER",INDEX(INPUTS!$D$42:$D$50,MATCH(AG_REQ!G43,INPUTS!$E$42:$E$50,1)+1)))))</f>
        <v>14x24</v>
      </c>
      <c r="H43" s="4" t="str">
        <f aca="false">IF(TRIB!H43="","",IF(OR(ARCH!H43="",LEFT(ARCH!H43,3)="14x"),IF(AG_REQ!H43&lt;=INDEX(INPUTS!$B$42:$B$50,1),INDEX(INPUTS!$A$42:$A$50,1),IF(AG_REQ!H43&gt;INDEX(INPUTS!$B$42:$B$50,ROWS(INPUTS!$B$42:$B$50)),"LARGER",INDEX(INPUTS!$A$42:$A$50,MATCH(AG_REQ!H43,INPUTS!$B$42:$B$50,1)+1))),IF(AG_REQ!H43&lt;=INDEX(INPUTS!$E$42:$E$50,1),INDEX(INPUTS!$D$42:$D$50,1),IF(AG_REQ!H43&gt;INDEX(INPUTS!$E$42:$E$50,ROWS(INPUTS!$E$42:$E$50)),"LARGER",INDEX(INPUTS!$D$42:$D$50,MATCH(AG_REQ!H43,INPUTS!$E$42:$E$50,1)+1)))))</f>
        <v>14x24</v>
      </c>
      <c r="I43" s="4" t="str">
        <f aca="false">IF(TRIB!I43="","",IF(OR(ARCH!I43="",LEFT(ARCH!I43,3)="14x"),IF(AG_REQ!I43&lt;=INDEX(INPUTS!$B$42:$B$50,1),INDEX(INPUTS!$A$42:$A$50,1),IF(AG_REQ!I43&gt;INDEX(INPUTS!$B$42:$B$50,ROWS(INPUTS!$B$42:$B$50)),"LARGER",INDEX(INPUTS!$A$42:$A$50,MATCH(AG_REQ!I43,INPUTS!$B$42:$B$50,1)+1))),IF(AG_REQ!I43&lt;=INDEX(INPUTS!$E$42:$E$50,1),INDEX(INPUTS!$D$42:$D$50,1),IF(AG_REQ!I43&gt;INDEX(INPUTS!$E$42:$E$50,ROWS(INPUTS!$E$42:$E$50)),"LARGER",INDEX(INPUTS!$D$42:$D$50,MATCH(AG_REQ!I43,INPUTS!$E$42:$E$50,1)+1)))))</f>
        <v>14x24</v>
      </c>
      <c r="J43" s="4" t="str">
        <f aca="false">IF(TRIB!J43="","",IF(OR(ARCH!J43="",LEFT(ARCH!J43,3)="14x"),IF(AG_REQ!J43&lt;=INDEX(INPUTS!$B$42:$B$50,1),INDEX(INPUTS!$A$42:$A$50,1),IF(AG_REQ!J43&gt;INDEX(INPUTS!$B$42:$B$50,ROWS(INPUTS!$B$42:$B$50)),"LARGER",INDEX(INPUTS!$A$42:$A$50,MATCH(AG_REQ!J43,INPUTS!$B$42:$B$50,1)+1))),IF(AG_REQ!J43&lt;=INDEX(INPUTS!$E$42:$E$50,1),INDEX(INPUTS!$D$42:$D$50,1),IF(AG_REQ!J43&gt;INDEX(INPUTS!$E$42:$E$50,ROWS(INPUTS!$E$42:$E$50)),"LARGER",INDEX(INPUTS!$D$42:$D$50,MATCH(AG_REQ!J43,INPUTS!$E$42:$E$50,1)+1)))))</f>
        <v>14x24</v>
      </c>
      <c r="K43" s="4" t="str">
        <f aca="false">IF(TRIB!K43="","",IF(OR(ARCH!K43="",LEFT(ARCH!K43,3)="14x"),IF(AG_REQ!K43&lt;=INDEX(INPUTS!$B$42:$B$50,1),INDEX(INPUTS!$A$42:$A$50,1),IF(AG_REQ!K43&gt;INDEX(INPUTS!$B$42:$B$50,ROWS(INPUTS!$B$42:$B$50)),"LARGER",INDEX(INPUTS!$A$42:$A$50,MATCH(AG_REQ!K43,INPUTS!$B$42:$B$50,1)+1))),IF(AG_REQ!K43&lt;=INDEX(INPUTS!$E$42:$E$50,1),INDEX(INPUTS!$D$42:$D$50,1),IF(AG_REQ!K43&gt;INDEX(INPUTS!$E$42:$E$50,ROWS(INPUTS!$E$42:$E$50)),"LARGER",INDEX(INPUTS!$D$42:$D$50,MATCH(AG_REQ!K43,INPUTS!$E$42:$E$50,1)+1)))))</f>
        <v>14x24</v>
      </c>
      <c r="L43" s="4" t="str">
        <f aca="false">IF(TRIB!L43="","",IF(OR(ARCH!L43="",LEFT(ARCH!L43,3)="14x"),IF(AG_REQ!L43&lt;=INDEX(INPUTS!$B$42:$B$50,1),INDEX(INPUTS!$A$42:$A$50,1),IF(AG_REQ!L43&gt;INDEX(INPUTS!$B$42:$B$50,ROWS(INPUTS!$B$42:$B$50)),"LARGER",INDEX(INPUTS!$A$42:$A$50,MATCH(AG_REQ!L43,INPUTS!$B$42:$B$50,1)+1))),IF(AG_REQ!L43&lt;=INDEX(INPUTS!$E$42:$E$50,1),INDEX(INPUTS!$D$42:$D$50,1),IF(AG_REQ!L43&gt;INDEX(INPUTS!$E$42:$E$50,ROWS(INPUTS!$E$42:$E$50)),"LARGER",INDEX(INPUTS!$D$42:$D$50,MATCH(AG_REQ!L43,INPUTS!$E$42:$E$50,1)+1)))))</f>
        <v>14x24</v>
      </c>
      <c r="M43" s="4" t="str">
        <f aca="false">IF(TRIB!M43="","",IF(OR(ARCH!M43="",LEFT(ARCH!M43,3)="14x"),IF(AG_REQ!M43&lt;=INDEX(INPUTS!$B$42:$B$50,1),INDEX(INPUTS!$A$42:$A$50,1),IF(AG_REQ!M43&gt;INDEX(INPUTS!$B$42:$B$50,ROWS(INPUTS!$B$42:$B$50)),"LARGER",INDEX(INPUTS!$A$42:$A$50,MATCH(AG_REQ!M43,INPUTS!$B$42:$B$50,1)+1))),IF(AG_REQ!M43&lt;=INDEX(INPUTS!$E$42:$E$50,1),INDEX(INPUTS!$D$42:$D$50,1),IF(AG_REQ!M43&gt;INDEX(INPUTS!$E$42:$E$50,ROWS(INPUTS!$E$42:$E$50)),"LARGER",INDEX(INPUTS!$D$42:$D$50,MATCH(AG_REQ!M43,INPUTS!$E$42:$E$50,1)+1)))))</f>
        <v>14x24</v>
      </c>
      <c r="N43" s="4" t="str">
        <f aca="false">IF(TRIB!N43="","",IF(OR(ARCH!N43="",LEFT(ARCH!N43,3)="14x"),IF(AG_REQ!N43&lt;=INDEX(INPUTS!$B$42:$B$50,1),INDEX(INPUTS!$A$42:$A$50,1),IF(AG_REQ!N43&gt;INDEX(INPUTS!$B$42:$B$50,ROWS(INPUTS!$B$42:$B$50)),"LARGER",INDEX(INPUTS!$A$42:$A$50,MATCH(AG_REQ!N43,INPUTS!$B$42:$B$50,1)+1))),IF(AG_REQ!N43&lt;=INDEX(INPUTS!$E$42:$E$50,1),INDEX(INPUTS!$D$42:$D$50,1),IF(AG_REQ!N43&gt;INDEX(INPUTS!$E$42:$E$50,ROWS(INPUTS!$E$42:$E$50)),"LARGER",INDEX(INPUTS!$D$42:$D$50,MATCH(AG_REQ!N43,INPUTS!$E$42:$E$50,1)+1)))))</f>
        <v>14x24</v>
      </c>
      <c r="O43" s="4" t="str">
        <f aca="false">IF(TRIB!O43="","",IF(OR(ARCH!O43="",LEFT(ARCH!O43,3)="14x"),IF(AG_REQ!O43&lt;=INDEX(INPUTS!$B$42:$B$50,1),INDEX(INPUTS!$A$42:$A$50,1),IF(AG_REQ!O43&gt;INDEX(INPUTS!$B$42:$B$50,ROWS(INPUTS!$B$42:$B$50)),"LARGER",INDEX(INPUTS!$A$42:$A$50,MATCH(AG_REQ!O43,INPUTS!$B$42:$B$50,1)+1))),IF(AG_REQ!O43&lt;=INDEX(INPUTS!$E$42:$E$50,1),INDEX(INPUTS!$D$42:$D$50,1),IF(AG_REQ!O43&gt;INDEX(INPUTS!$E$42:$E$50,ROWS(INPUTS!$E$42:$E$50)),"LARGER",INDEX(INPUTS!$D$42:$D$50,MATCH(AG_REQ!O43,INPUTS!$E$42:$E$50,1)+1)))))</f>
        <v>14x24</v>
      </c>
      <c r="P43" s="4" t="str">
        <f aca="false">IF(TRIB!P43="","",IF(OR(ARCH!P43="",LEFT(ARCH!P43,3)="14x"),IF(AG_REQ!P43&lt;=INDEX(INPUTS!$B$42:$B$50,1),INDEX(INPUTS!$A$42:$A$50,1),IF(AG_REQ!P43&gt;INDEX(INPUTS!$B$42:$B$50,ROWS(INPUTS!$B$42:$B$50)),"LARGER",INDEX(INPUTS!$A$42:$A$50,MATCH(AG_REQ!P43,INPUTS!$B$42:$B$50,1)+1))),IF(AG_REQ!P43&lt;=INDEX(INPUTS!$E$42:$E$50,1),INDEX(INPUTS!$D$42:$D$50,1),IF(AG_REQ!P43&gt;INDEX(INPUTS!$E$42:$E$50,ROWS(INPUTS!$E$42:$E$50)),"LARGER",INDEX(INPUTS!$D$42:$D$50,MATCH(AG_REQ!P43,INPUTS!$E$42:$E$50,1)+1)))))</f>
        <v>14x24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4" t="str">
        <f aca="false">IF(TRIB!E44="","",IF(OR(ARCH!E44="",LEFT(ARCH!E44,3)="14x"),IF(AG_REQ!E44&lt;=INDEX(INPUTS!$B$42:$B$50,1),INDEX(INPUTS!$A$42:$A$50,1),IF(AG_REQ!E44&gt;INDEX(INPUTS!$B$42:$B$50,ROWS(INPUTS!$B$42:$B$50)),"LARGER",INDEX(INPUTS!$A$42:$A$50,MATCH(AG_REQ!E44,INPUTS!$B$42:$B$50,1)+1))),IF(AG_REQ!E44&lt;=INDEX(INPUTS!$E$42:$E$50,1),INDEX(INPUTS!$D$42:$D$50,1),IF(AG_REQ!E44&gt;INDEX(INPUTS!$E$42:$E$50,ROWS(INPUTS!$E$42:$E$50)),"LARGER",INDEX(INPUTS!$D$42:$D$50,MATCH(AG_REQ!E44,INPUTS!$E$42:$E$50,1)+1)))))</f>
        <v/>
      </c>
      <c r="F44" s="4" t="str">
        <f aca="false">IF(TRIB!F44="","",IF(OR(ARCH!F44="",LEFT(ARCH!F44,3)="14x"),IF(AG_REQ!F44&lt;=INDEX(INPUTS!$B$42:$B$50,1),INDEX(INPUTS!$A$42:$A$50,1),IF(AG_REQ!F44&gt;INDEX(INPUTS!$B$42:$B$50,ROWS(INPUTS!$B$42:$B$50)),"LARGER",INDEX(INPUTS!$A$42:$A$50,MATCH(AG_REQ!F44,INPUTS!$B$42:$B$50,1)+1))),IF(AG_REQ!F44&lt;=INDEX(INPUTS!$E$42:$E$50,1),INDEX(INPUTS!$D$42:$D$50,1),IF(AG_REQ!F44&gt;INDEX(INPUTS!$E$42:$E$50,ROWS(INPUTS!$E$42:$E$50)),"LARGER",INDEX(INPUTS!$D$42:$D$50,MATCH(AG_REQ!F44,INPUTS!$E$42:$E$50,1)+1)))))</f>
        <v>14x24</v>
      </c>
      <c r="G44" s="4" t="str">
        <f aca="false">IF(TRIB!G44="","",IF(OR(ARCH!G44="",LEFT(ARCH!G44,3)="14x"),IF(AG_REQ!G44&lt;=INDEX(INPUTS!$B$42:$B$50,1),INDEX(INPUTS!$A$42:$A$50,1),IF(AG_REQ!G44&gt;INDEX(INPUTS!$B$42:$B$50,ROWS(INPUTS!$B$42:$B$50)),"LARGER",INDEX(INPUTS!$A$42:$A$50,MATCH(AG_REQ!G44,INPUTS!$B$42:$B$50,1)+1))),IF(AG_REQ!G44&lt;=INDEX(INPUTS!$E$42:$E$50,1),INDEX(INPUTS!$D$42:$D$50,1),IF(AG_REQ!G44&gt;INDEX(INPUTS!$E$42:$E$50,ROWS(INPUTS!$E$42:$E$50)),"LARGER",INDEX(INPUTS!$D$42:$D$50,MATCH(AG_REQ!G44,INPUTS!$E$42:$E$50,1)+1)))))</f>
        <v>14x24</v>
      </c>
      <c r="H44" s="4" t="str">
        <f aca="false">IF(TRIB!H44="","",IF(OR(ARCH!H44="",LEFT(ARCH!H44,3)="14x"),IF(AG_REQ!H44&lt;=INDEX(INPUTS!$B$42:$B$50,1),INDEX(INPUTS!$A$42:$A$50,1),IF(AG_REQ!H44&gt;INDEX(INPUTS!$B$42:$B$50,ROWS(INPUTS!$B$42:$B$50)),"LARGER",INDEX(INPUTS!$A$42:$A$50,MATCH(AG_REQ!H44,INPUTS!$B$42:$B$50,1)+1))),IF(AG_REQ!H44&lt;=INDEX(INPUTS!$E$42:$E$50,1),INDEX(INPUTS!$D$42:$D$50,1),IF(AG_REQ!H44&gt;INDEX(INPUTS!$E$42:$E$50,ROWS(INPUTS!$E$42:$E$50)),"LARGER",INDEX(INPUTS!$D$42:$D$50,MATCH(AG_REQ!H44,INPUTS!$E$42:$E$50,1)+1)))))</f>
        <v>14x24</v>
      </c>
      <c r="I44" s="4" t="str">
        <f aca="false">IF(TRIB!I44="","",IF(OR(ARCH!I44="",LEFT(ARCH!I44,3)="14x"),IF(AG_REQ!I44&lt;=INDEX(INPUTS!$B$42:$B$50,1),INDEX(INPUTS!$A$42:$A$50,1),IF(AG_REQ!I44&gt;INDEX(INPUTS!$B$42:$B$50,ROWS(INPUTS!$B$42:$B$50)),"LARGER",INDEX(INPUTS!$A$42:$A$50,MATCH(AG_REQ!I44,INPUTS!$B$42:$B$50,1)+1))),IF(AG_REQ!I44&lt;=INDEX(INPUTS!$E$42:$E$50,1),INDEX(INPUTS!$D$42:$D$50,1),IF(AG_REQ!I44&gt;INDEX(INPUTS!$E$42:$E$50,ROWS(INPUTS!$E$42:$E$50)),"LARGER",INDEX(INPUTS!$D$42:$D$50,MATCH(AG_REQ!I44,INPUTS!$E$42:$E$50,1)+1)))))</f>
        <v>14x24</v>
      </c>
      <c r="J44" s="4" t="str">
        <f aca="false">IF(TRIB!J44="","",IF(OR(ARCH!J44="",LEFT(ARCH!J44,3)="14x"),IF(AG_REQ!J44&lt;=INDEX(INPUTS!$B$42:$B$50,1),INDEX(INPUTS!$A$42:$A$50,1),IF(AG_REQ!J44&gt;INDEX(INPUTS!$B$42:$B$50,ROWS(INPUTS!$B$42:$B$50)),"LARGER",INDEX(INPUTS!$A$42:$A$50,MATCH(AG_REQ!J44,INPUTS!$B$42:$B$50,1)+1))),IF(AG_REQ!J44&lt;=INDEX(INPUTS!$E$42:$E$50,1),INDEX(INPUTS!$D$42:$D$50,1),IF(AG_REQ!J44&gt;INDEX(INPUTS!$E$42:$E$50,ROWS(INPUTS!$E$42:$E$50)),"LARGER",INDEX(INPUTS!$D$42:$D$50,MATCH(AG_REQ!J44,INPUTS!$E$42:$E$50,1)+1)))))</f>
        <v>14x24</v>
      </c>
      <c r="K44" s="4" t="str">
        <f aca="false">IF(TRIB!K44="","",IF(OR(ARCH!K44="",LEFT(ARCH!K44,3)="14x"),IF(AG_REQ!K44&lt;=INDEX(INPUTS!$B$42:$B$50,1),INDEX(INPUTS!$A$42:$A$50,1),IF(AG_REQ!K44&gt;INDEX(INPUTS!$B$42:$B$50,ROWS(INPUTS!$B$42:$B$50)),"LARGER",INDEX(INPUTS!$A$42:$A$50,MATCH(AG_REQ!K44,INPUTS!$B$42:$B$50,1)+1))),IF(AG_REQ!K44&lt;=INDEX(INPUTS!$E$42:$E$50,1),INDEX(INPUTS!$D$42:$D$50,1),IF(AG_REQ!K44&gt;INDEX(INPUTS!$E$42:$E$50,ROWS(INPUTS!$E$42:$E$50)),"LARGER",INDEX(INPUTS!$D$42:$D$50,MATCH(AG_REQ!K44,INPUTS!$E$42:$E$50,1)+1)))))</f>
        <v>14x24</v>
      </c>
      <c r="L44" s="4" t="str">
        <f aca="false">IF(TRIB!L44="","",IF(OR(ARCH!L44="",LEFT(ARCH!L44,3)="14x"),IF(AG_REQ!L44&lt;=INDEX(INPUTS!$B$42:$B$50,1),INDEX(INPUTS!$A$42:$A$50,1),IF(AG_REQ!L44&gt;INDEX(INPUTS!$B$42:$B$50,ROWS(INPUTS!$B$42:$B$50)),"LARGER",INDEX(INPUTS!$A$42:$A$50,MATCH(AG_REQ!L44,INPUTS!$B$42:$B$50,1)+1))),IF(AG_REQ!L44&lt;=INDEX(INPUTS!$E$42:$E$50,1),INDEX(INPUTS!$D$42:$D$50,1),IF(AG_REQ!L44&gt;INDEX(INPUTS!$E$42:$E$50,ROWS(INPUTS!$E$42:$E$50)),"LARGER",INDEX(INPUTS!$D$42:$D$50,MATCH(AG_REQ!L44,INPUTS!$E$42:$E$50,1)+1)))))</f>
        <v>14x24</v>
      </c>
      <c r="M44" s="4" t="str">
        <f aca="false">IF(TRIB!M44="","",IF(OR(ARCH!M44="",LEFT(ARCH!M44,3)="14x"),IF(AG_REQ!M44&lt;=INDEX(INPUTS!$B$42:$B$50,1),INDEX(INPUTS!$A$42:$A$50,1),IF(AG_REQ!M44&gt;INDEX(INPUTS!$B$42:$B$50,ROWS(INPUTS!$B$42:$B$50)),"LARGER",INDEX(INPUTS!$A$42:$A$50,MATCH(AG_REQ!M44,INPUTS!$B$42:$B$50,1)+1))),IF(AG_REQ!M44&lt;=INDEX(INPUTS!$E$42:$E$50,1),INDEX(INPUTS!$D$42:$D$50,1),IF(AG_REQ!M44&gt;INDEX(INPUTS!$E$42:$E$50,ROWS(INPUTS!$E$42:$E$50)),"LARGER",INDEX(INPUTS!$D$42:$D$50,MATCH(AG_REQ!M44,INPUTS!$E$42:$E$50,1)+1)))))</f>
        <v>14x24</v>
      </c>
      <c r="N44" s="4" t="str">
        <f aca="false">IF(TRIB!N44="","",IF(OR(ARCH!N44="",LEFT(ARCH!N44,3)="14x"),IF(AG_REQ!N44&lt;=INDEX(INPUTS!$B$42:$B$50,1),INDEX(INPUTS!$A$42:$A$50,1),IF(AG_REQ!N44&gt;INDEX(INPUTS!$B$42:$B$50,ROWS(INPUTS!$B$42:$B$50)),"LARGER",INDEX(INPUTS!$A$42:$A$50,MATCH(AG_REQ!N44,INPUTS!$B$42:$B$50,1)+1))),IF(AG_REQ!N44&lt;=INDEX(INPUTS!$E$42:$E$50,1),INDEX(INPUTS!$D$42:$D$50,1),IF(AG_REQ!N44&gt;INDEX(INPUTS!$E$42:$E$50,ROWS(INPUTS!$E$42:$E$50)),"LARGER",INDEX(INPUTS!$D$42:$D$50,MATCH(AG_REQ!N44,INPUTS!$E$42:$E$50,1)+1)))))</f>
        <v>14x24</v>
      </c>
      <c r="O44" s="4" t="str">
        <f aca="false">IF(TRIB!O44="","",IF(OR(ARCH!O44="",LEFT(ARCH!O44,3)="14x"),IF(AG_REQ!O44&lt;=INDEX(INPUTS!$B$42:$B$50,1),INDEX(INPUTS!$A$42:$A$50,1),IF(AG_REQ!O44&gt;INDEX(INPUTS!$B$42:$B$50,ROWS(INPUTS!$B$42:$B$50)),"LARGER",INDEX(INPUTS!$A$42:$A$50,MATCH(AG_REQ!O44,INPUTS!$B$42:$B$50,1)+1))),IF(AG_REQ!O44&lt;=INDEX(INPUTS!$E$42:$E$50,1),INDEX(INPUTS!$D$42:$D$50,1),IF(AG_REQ!O44&gt;INDEX(INPUTS!$E$42:$E$50,ROWS(INPUTS!$E$42:$E$50)),"LARGER",INDEX(INPUTS!$D$42:$D$50,MATCH(AG_REQ!O44,INPUTS!$E$42:$E$50,1)+1)))))</f>
        <v>14x24</v>
      </c>
      <c r="P44" s="4" t="str">
        <f aca="false">IF(TRIB!P44="","",IF(OR(ARCH!P44="",LEFT(ARCH!P44,3)="14x"),IF(AG_REQ!P44&lt;=INDEX(INPUTS!$B$42:$B$50,1),INDEX(INPUTS!$A$42:$A$50,1),IF(AG_REQ!P44&gt;INDEX(INPUTS!$B$42:$B$50,ROWS(INPUTS!$B$42:$B$50)),"LARGER",INDEX(INPUTS!$A$42:$A$50,MATCH(AG_REQ!P44,INPUTS!$B$42:$B$50,1)+1))),IF(AG_REQ!P44&lt;=INDEX(INPUTS!$E$42:$E$50,1),INDEX(INPUTS!$D$42:$D$50,1),IF(AG_REQ!P44&gt;INDEX(INPUTS!$E$42:$E$50,ROWS(INPUTS!$E$42:$E$50)),"LARGER",INDEX(INPUTS!$D$42:$D$50,MATCH(AG_REQ!P44,INPUTS!$E$42:$E$50,1)+1)))))</f>
        <v>14x24</v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4" t="str">
        <f aca="false">IF(TRIB!E45="","",IF(OR(ARCH!E45="",LEFT(ARCH!E45,3)="14x"),IF(AG_REQ!E45&lt;=INDEX(INPUTS!$B$42:$B$50,1),INDEX(INPUTS!$A$42:$A$50,1),IF(AG_REQ!E45&gt;INDEX(INPUTS!$B$42:$B$50,ROWS(INPUTS!$B$42:$B$50)),"LARGER",INDEX(INPUTS!$A$42:$A$50,MATCH(AG_REQ!E45,INPUTS!$B$42:$B$50,1)+1))),IF(AG_REQ!E45&lt;=INDEX(INPUTS!$E$42:$E$50,1),INDEX(INPUTS!$D$42:$D$50,1),IF(AG_REQ!E45&gt;INDEX(INPUTS!$E$42:$E$50,ROWS(INPUTS!$E$42:$E$50)),"LARGER",INDEX(INPUTS!$D$42:$D$50,MATCH(AG_REQ!E45,INPUTS!$E$42:$E$50,1)+1)))))</f>
        <v/>
      </c>
      <c r="F45" s="4" t="str">
        <f aca="false">IF(TRIB!F45="","",IF(OR(ARCH!F45="",LEFT(ARCH!F45,3)="14x"),IF(AG_REQ!F45&lt;=INDEX(INPUTS!$B$42:$B$50,1),INDEX(INPUTS!$A$42:$A$50,1),IF(AG_REQ!F45&gt;INDEX(INPUTS!$B$42:$B$50,ROWS(INPUTS!$B$42:$B$50)),"LARGER",INDEX(INPUTS!$A$42:$A$50,MATCH(AG_REQ!F45,INPUTS!$B$42:$B$50,1)+1))),IF(AG_REQ!F45&lt;=INDEX(INPUTS!$E$42:$E$50,1),INDEX(INPUTS!$D$42:$D$50,1),IF(AG_REQ!F45&gt;INDEX(INPUTS!$E$42:$E$50,ROWS(INPUTS!$E$42:$E$50)),"LARGER",INDEX(INPUTS!$D$42:$D$50,MATCH(AG_REQ!F45,INPUTS!$E$42:$E$50,1)+1)))))</f>
        <v>14x24</v>
      </c>
      <c r="G45" s="4" t="str">
        <f aca="false">IF(TRIB!G45="","",IF(OR(ARCH!G45="",LEFT(ARCH!G45,3)="14x"),IF(AG_REQ!G45&lt;=INDEX(INPUTS!$B$42:$B$50,1),INDEX(INPUTS!$A$42:$A$50,1),IF(AG_REQ!G45&gt;INDEX(INPUTS!$B$42:$B$50,ROWS(INPUTS!$B$42:$B$50)),"LARGER",INDEX(INPUTS!$A$42:$A$50,MATCH(AG_REQ!G45,INPUTS!$B$42:$B$50,1)+1))),IF(AG_REQ!G45&lt;=INDEX(INPUTS!$E$42:$E$50,1),INDEX(INPUTS!$D$42:$D$50,1),IF(AG_REQ!G45&gt;INDEX(INPUTS!$E$42:$E$50,ROWS(INPUTS!$E$42:$E$50)),"LARGER",INDEX(INPUTS!$D$42:$D$50,MATCH(AG_REQ!G45,INPUTS!$E$42:$E$50,1)+1)))))</f>
        <v>14x24</v>
      </c>
      <c r="H45" s="4" t="str">
        <f aca="false">IF(TRIB!H45="","",IF(OR(ARCH!H45="",LEFT(ARCH!H45,3)="14x"),IF(AG_REQ!H45&lt;=INDEX(INPUTS!$B$42:$B$50,1),INDEX(INPUTS!$A$42:$A$50,1),IF(AG_REQ!H45&gt;INDEX(INPUTS!$B$42:$B$50,ROWS(INPUTS!$B$42:$B$50)),"LARGER",INDEX(INPUTS!$A$42:$A$50,MATCH(AG_REQ!H45,INPUTS!$B$42:$B$50,1)+1))),IF(AG_REQ!H45&lt;=INDEX(INPUTS!$E$42:$E$50,1),INDEX(INPUTS!$D$42:$D$50,1),IF(AG_REQ!H45&gt;INDEX(INPUTS!$E$42:$E$50,ROWS(INPUTS!$E$42:$E$50)),"LARGER",INDEX(INPUTS!$D$42:$D$50,MATCH(AG_REQ!H45,INPUTS!$E$42:$E$50,1)+1)))))</f>
        <v>14x24</v>
      </c>
      <c r="I45" s="4" t="str">
        <f aca="false">IF(TRIB!I45="","",IF(OR(ARCH!I45="",LEFT(ARCH!I45,3)="14x"),IF(AG_REQ!I45&lt;=INDEX(INPUTS!$B$42:$B$50,1),INDEX(INPUTS!$A$42:$A$50,1),IF(AG_REQ!I45&gt;INDEX(INPUTS!$B$42:$B$50,ROWS(INPUTS!$B$42:$B$50)),"LARGER",INDEX(INPUTS!$A$42:$A$50,MATCH(AG_REQ!I45,INPUTS!$B$42:$B$50,1)+1))),IF(AG_REQ!I45&lt;=INDEX(INPUTS!$E$42:$E$50,1),INDEX(INPUTS!$D$42:$D$50,1),IF(AG_REQ!I45&gt;INDEX(INPUTS!$E$42:$E$50,ROWS(INPUTS!$E$42:$E$50)),"LARGER",INDEX(INPUTS!$D$42:$D$50,MATCH(AG_REQ!I45,INPUTS!$E$42:$E$50,1)+1)))))</f>
        <v>14x24</v>
      </c>
      <c r="J45" s="4" t="str">
        <f aca="false">IF(TRIB!J45="","",IF(OR(ARCH!J45="",LEFT(ARCH!J45,3)="14x"),IF(AG_REQ!J45&lt;=INDEX(INPUTS!$B$42:$B$50,1),INDEX(INPUTS!$A$42:$A$50,1),IF(AG_REQ!J45&gt;INDEX(INPUTS!$B$42:$B$50,ROWS(INPUTS!$B$42:$B$50)),"LARGER",INDEX(INPUTS!$A$42:$A$50,MATCH(AG_REQ!J45,INPUTS!$B$42:$B$50,1)+1))),IF(AG_REQ!J45&lt;=INDEX(INPUTS!$E$42:$E$50,1),INDEX(INPUTS!$D$42:$D$50,1),IF(AG_REQ!J45&gt;INDEX(INPUTS!$E$42:$E$50,ROWS(INPUTS!$E$42:$E$50)),"LARGER",INDEX(INPUTS!$D$42:$D$50,MATCH(AG_REQ!J45,INPUTS!$E$42:$E$50,1)+1)))))</f>
        <v>14x24</v>
      </c>
      <c r="K45" s="4" t="str">
        <f aca="false">IF(TRIB!K45="","",IF(OR(ARCH!K45="",LEFT(ARCH!K45,3)="14x"),IF(AG_REQ!K45&lt;=INDEX(INPUTS!$B$42:$B$50,1),INDEX(INPUTS!$A$42:$A$50,1),IF(AG_REQ!K45&gt;INDEX(INPUTS!$B$42:$B$50,ROWS(INPUTS!$B$42:$B$50)),"LARGER",INDEX(INPUTS!$A$42:$A$50,MATCH(AG_REQ!K45,INPUTS!$B$42:$B$50,1)+1))),IF(AG_REQ!K45&lt;=INDEX(INPUTS!$E$42:$E$50,1),INDEX(INPUTS!$D$42:$D$50,1),IF(AG_REQ!K45&gt;INDEX(INPUTS!$E$42:$E$50,ROWS(INPUTS!$E$42:$E$50)),"LARGER",INDEX(INPUTS!$D$42:$D$50,MATCH(AG_REQ!K45,INPUTS!$E$42:$E$50,1)+1)))))</f>
        <v>14x24</v>
      </c>
      <c r="L45" s="4" t="str">
        <f aca="false">IF(TRIB!L45="","",IF(OR(ARCH!L45="",LEFT(ARCH!L45,3)="14x"),IF(AG_REQ!L45&lt;=INDEX(INPUTS!$B$42:$B$50,1),INDEX(INPUTS!$A$42:$A$50,1),IF(AG_REQ!L45&gt;INDEX(INPUTS!$B$42:$B$50,ROWS(INPUTS!$B$42:$B$50)),"LARGER",INDEX(INPUTS!$A$42:$A$50,MATCH(AG_REQ!L45,INPUTS!$B$42:$B$50,1)+1))),IF(AG_REQ!L45&lt;=INDEX(INPUTS!$E$42:$E$50,1),INDEX(INPUTS!$D$42:$D$50,1),IF(AG_REQ!L45&gt;INDEX(INPUTS!$E$42:$E$50,ROWS(INPUTS!$E$42:$E$50)),"LARGER",INDEX(INPUTS!$D$42:$D$50,MATCH(AG_REQ!L45,INPUTS!$E$42:$E$50,1)+1)))))</f>
        <v>14x24</v>
      </c>
      <c r="M45" s="4" t="str">
        <f aca="false">IF(TRIB!M45="","",IF(OR(ARCH!M45="",LEFT(ARCH!M45,3)="14x"),IF(AG_REQ!M45&lt;=INDEX(INPUTS!$B$42:$B$50,1),INDEX(INPUTS!$A$42:$A$50,1),IF(AG_REQ!M45&gt;INDEX(INPUTS!$B$42:$B$50,ROWS(INPUTS!$B$42:$B$50)),"LARGER",INDEX(INPUTS!$A$42:$A$50,MATCH(AG_REQ!M45,INPUTS!$B$42:$B$50,1)+1))),IF(AG_REQ!M45&lt;=INDEX(INPUTS!$E$42:$E$50,1),INDEX(INPUTS!$D$42:$D$50,1),IF(AG_REQ!M45&gt;INDEX(INPUTS!$E$42:$E$50,ROWS(INPUTS!$E$42:$E$50)),"LARGER",INDEX(INPUTS!$D$42:$D$50,MATCH(AG_REQ!M45,INPUTS!$E$42:$E$50,1)+1)))))</f>
        <v>14x24</v>
      </c>
      <c r="N45" s="4" t="str">
        <f aca="false">IF(TRIB!N45="","",IF(OR(ARCH!N45="",LEFT(ARCH!N45,3)="14x"),IF(AG_REQ!N45&lt;=INDEX(INPUTS!$B$42:$B$50,1),INDEX(INPUTS!$A$42:$A$50,1),IF(AG_REQ!N45&gt;INDEX(INPUTS!$B$42:$B$50,ROWS(INPUTS!$B$42:$B$50)),"LARGER",INDEX(INPUTS!$A$42:$A$50,MATCH(AG_REQ!N45,INPUTS!$B$42:$B$50,1)+1))),IF(AG_REQ!N45&lt;=INDEX(INPUTS!$E$42:$E$50,1),INDEX(INPUTS!$D$42:$D$50,1),IF(AG_REQ!N45&gt;INDEX(INPUTS!$E$42:$E$50,ROWS(INPUTS!$E$42:$E$50)),"LARGER",INDEX(INPUTS!$D$42:$D$50,MATCH(AG_REQ!N45,INPUTS!$E$42:$E$50,1)+1)))))</f>
        <v>14x24</v>
      </c>
      <c r="O45" s="4" t="str">
        <f aca="false">IF(TRIB!O45="","",IF(OR(ARCH!O45="",LEFT(ARCH!O45,3)="14x"),IF(AG_REQ!O45&lt;=INDEX(INPUTS!$B$42:$B$50,1),INDEX(INPUTS!$A$42:$A$50,1),IF(AG_REQ!O45&gt;INDEX(INPUTS!$B$42:$B$50,ROWS(INPUTS!$B$42:$B$50)),"LARGER",INDEX(INPUTS!$A$42:$A$50,MATCH(AG_REQ!O45,INPUTS!$B$42:$B$50,1)+1))),IF(AG_REQ!O45&lt;=INDEX(INPUTS!$E$42:$E$50,1),INDEX(INPUTS!$D$42:$D$50,1),IF(AG_REQ!O45&gt;INDEX(INPUTS!$E$42:$E$50,ROWS(INPUTS!$E$42:$E$50)),"LARGER",INDEX(INPUTS!$D$42:$D$50,MATCH(AG_REQ!O45,INPUTS!$E$42:$E$50,1)+1)))))</f>
        <v>14x24</v>
      </c>
      <c r="P45" s="4" t="str">
        <f aca="false">IF(TRIB!P45="","",IF(OR(ARCH!P45="",LEFT(ARCH!P45,3)="14x"),IF(AG_REQ!P45&lt;=INDEX(INPUTS!$B$42:$B$50,1),INDEX(INPUTS!$A$42:$A$50,1),IF(AG_REQ!P45&gt;INDEX(INPUTS!$B$42:$B$50,ROWS(INPUTS!$B$42:$B$50)),"LARGER",INDEX(INPUTS!$A$42:$A$50,MATCH(AG_REQ!P45,INPUTS!$B$42:$B$50,1)+1))),IF(AG_REQ!P45&lt;=INDEX(INPUTS!$E$42:$E$50,1),INDEX(INPUTS!$D$42:$D$50,1),IF(AG_REQ!P45&gt;INDEX(INPUTS!$E$42:$E$50,ROWS(INPUTS!$E$42:$E$50)),"LARGER",INDEX(INPUTS!$D$42:$D$50,MATCH(AG_REQ!P45,INPUTS!$E$42:$E$50,1)+1)))))</f>
        <v>14x24</v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4" t="str">
        <f aca="false">IF(TRIB!E46="","",IF(OR(ARCH!E46="",LEFT(ARCH!E46,3)="14x"),IF(AG_REQ!E46&lt;=INDEX(INPUTS!$B$42:$B$50,1),INDEX(INPUTS!$A$42:$A$50,1),IF(AG_REQ!E46&gt;INDEX(INPUTS!$B$42:$B$50,ROWS(INPUTS!$B$42:$B$50)),"LARGER",INDEX(INPUTS!$A$42:$A$50,MATCH(AG_REQ!E46,INPUTS!$B$42:$B$50,1)+1))),IF(AG_REQ!E46&lt;=INDEX(INPUTS!$E$42:$E$50,1),INDEX(INPUTS!$D$42:$D$50,1),IF(AG_REQ!E46&gt;INDEX(INPUTS!$E$42:$E$50,ROWS(INPUTS!$E$42:$E$50)),"LARGER",INDEX(INPUTS!$D$42:$D$50,MATCH(AG_REQ!E46,INPUTS!$E$42:$E$50,1)+1)))))</f>
        <v/>
      </c>
      <c r="F46" s="4" t="str">
        <f aca="false">IF(TRIB!F46="","",IF(OR(ARCH!F46="",LEFT(ARCH!F46,3)="14x"),IF(AG_REQ!F46&lt;=INDEX(INPUTS!$B$42:$B$50,1),INDEX(INPUTS!$A$42:$A$50,1),IF(AG_REQ!F46&gt;INDEX(INPUTS!$B$42:$B$50,ROWS(INPUTS!$B$42:$B$50)),"LARGER",INDEX(INPUTS!$A$42:$A$50,MATCH(AG_REQ!F46,INPUTS!$B$42:$B$50,1)+1))),IF(AG_REQ!F46&lt;=INDEX(INPUTS!$E$42:$E$50,1),INDEX(INPUTS!$D$42:$D$50,1),IF(AG_REQ!F46&gt;INDEX(INPUTS!$E$42:$E$50,ROWS(INPUTS!$E$42:$E$50)),"LARGER",INDEX(INPUTS!$D$42:$D$50,MATCH(AG_REQ!F46,INPUTS!$E$42:$E$50,1)+1)))))</f>
        <v>14x24</v>
      </c>
      <c r="G46" s="4" t="str">
        <f aca="false">IF(TRIB!G46="","",IF(OR(ARCH!G46="",LEFT(ARCH!G46,3)="14x"),IF(AG_REQ!G46&lt;=INDEX(INPUTS!$B$42:$B$50,1),INDEX(INPUTS!$A$42:$A$50,1),IF(AG_REQ!G46&gt;INDEX(INPUTS!$B$42:$B$50,ROWS(INPUTS!$B$42:$B$50)),"LARGER",INDEX(INPUTS!$A$42:$A$50,MATCH(AG_REQ!G46,INPUTS!$B$42:$B$50,1)+1))),IF(AG_REQ!G46&lt;=INDEX(INPUTS!$E$42:$E$50,1),INDEX(INPUTS!$D$42:$D$50,1),IF(AG_REQ!G46&gt;INDEX(INPUTS!$E$42:$E$50,ROWS(INPUTS!$E$42:$E$50)),"LARGER",INDEX(INPUTS!$D$42:$D$50,MATCH(AG_REQ!G46,INPUTS!$E$42:$E$50,1)+1)))))</f>
        <v>14x24</v>
      </c>
      <c r="H46" s="4" t="str">
        <f aca="false">IF(TRIB!H46="","",IF(OR(ARCH!H46="",LEFT(ARCH!H46,3)="14x"),IF(AG_REQ!H46&lt;=INDEX(INPUTS!$B$42:$B$50,1),INDEX(INPUTS!$A$42:$A$50,1),IF(AG_REQ!H46&gt;INDEX(INPUTS!$B$42:$B$50,ROWS(INPUTS!$B$42:$B$50)),"LARGER",INDEX(INPUTS!$A$42:$A$50,MATCH(AG_REQ!H46,INPUTS!$B$42:$B$50,1)+1))),IF(AG_REQ!H46&lt;=INDEX(INPUTS!$E$42:$E$50,1),INDEX(INPUTS!$D$42:$D$50,1),IF(AG_REQ!H46&gt;INDEX(INPUTS!$E$42:$E$50,ROWS(INPUTS!$E$42:$E$50)),"LARGER",INDEX(INPUTS!$D$42:$D$50,MATCH(AG_REQ!H46,INPUTS!$E$42:$E$50,1)+1)))))</f>
        <v>14x24</v>
      </c>
      <c r="I46" s="4" t="str">
        <f aca="false">IF(TRIB!I46="","",IF(OR(ARCH!I46="",LEFT(ARCH!I46,3)="14x"),IF(AG_REQ!I46&lt;=INDEX(INPUTS!$B$42:$B$50,1),INDEX(INPUTS!$A$42:$A$50,1),IF(AG_REQ!I46&gt;INDEX(INPUTS!$B$42:$B$50,ROWS(INPUTS!$B$42:$B$50)),"LARGER",INDEX(INPUTS!$A$42:$A$50,MATCH(AG_REQ!I46,INPUTS!$B$42:$B$50,1)+1))),IF(AG_REQ!I46&lt;=INDEX(INPUTS!$E$42:$E$50,1),INDEX(INPUTS!$D$42:$D$50,1),IF(AG_REQ!I46&gt;INDEX(INPUTS!$E$42:$E$50,ROWS(INPUTS!$E$42:$E$50)),"LARGER",INDEX(INPUTS!$D$42:$D$50,MATCH(AG_REQ!I46,INPUTS!$E$42:$E$50,1)+1)))))</f>
        <v>14x24</v>
      </c>
      <c r="J46" s="4" t="str">
        <f aca="false">IF(TRIB!J46="","",IF(OR(ARCH!J46="",LEFT(ARCH!J46,3)="14x"),IF(AG_REQ!J46&lt;=INDEX(INPUTS!$B$42:$B$50,1),INDEX(INPUTS!$A$42:$A$50,1),IF(AG_REQ!J46&gt;INDEX(INPUTS!$B$42:$B$50,ROWS(INPUTS!$B$42:$B$50)),"LARGER",INDEX(INPUTS!$A$42:$A$50,MATCH(AG_REQ!J46,INPUTS!$B$42:$B$50,1)+1))),IF(AG_REQ!J46&lt;=INDEX(INPUTS!$E$42:$E$50,1),INDEX(INPUTS!$D$42:$D$50,1),IF(AG_REQ!J46&gt;INDEX(INPUTS!$E$42:$E$50,ROWS(INPUTS!$E$42:$E$50)),"LARGER",INDEX(INPUTS!$D$42:$D$50,MATCH(AG_REQ!J46,INPUTS!$E$42:$E$50,1)+1)))))</f>
        <v>14x24</v>
      </c>
      <c r="K46" s="4" t="str">
        <f aca="false">IF(TRIB!K46="","",IF(OR(ARCH!K46="",LEFT(ARCH!K46,3)="14x"),IF(AG_REQ!K46&lt;=INDEX(INPUTS!$B$42:$B$50,1),INDEX(INPUTS!$A$42:$A$50,1),IF(AG_REQ!K46&gt;INDEX(INPUTS!$B$42:$B$50,ROWS(INPUTS!$B$42:$B$50)),"LARGER",INDEX(INPUTS!$A$42:$A$50,MATCH(AG_REQ!K46,INPUTS!$B$42:$B$50,1)+1))),IF(AG_REQ!K46&lt;=INDEX(INPUTS!$E$42:$E$50,1),INDEX(INPUTS!$D$42:$D$50,1),IF(AG_REQ!K46&gt;INDEX(INPUTS!$E$42:$E$50,ROWS(INPUTS!$E$42:$E$50)),"LARGER",INDEX(INPUTS!$D$42:$D$50,MATCH(AG_REQ!K46,INPUTS!$E$42:$E$50,1)+1)))))</f>
        <v>14x24</v>
      </c>
      <c r="L46" s="4" t="str">
        <f aca="false">IF(TRIB!L46="","",IF(OR(ARCH!L46="",LEFT(ARCH!L46,3)="14x"),IF(AG_REQ!L46&lt;=INDEX(INPUTS!$B$42:$B$50,1),INDEX(INPUTS!$A$42:$A$50,1),IF(AG_REQ!L46&gt;INDEX(INPUTS!$B$42:$B$50,ROWS(INPUTS!$B$42:$B$50)),"LARGER",INDEX(INPUTS!$A$42:$A$50,MATCH(AG_REQ!L46,INPUTS!$B$42:$B$50,1)+1))),IF(AG_REQ!L46&lt;=INDEX(INPUTS!$E$42:$E$50,1),INDEX(INPUTS!$D$42:$D$50,1),IF(AG_REQ!L46&gt;INDEX(INPUTS!$E$42:$E$50,ROWS(INPUTS!$E$42:$E$50)),"LARGER",INDEX(INPUTS!$D$42:$D$50,MATCH(AG_REQ!L46,INPUTS!$E$42:$E$50,1)+1)))))</f>
        <v>14x24</v>
      </c>
      <c r="M46" s="4" t="str">
        <f aca="false">IF(TRIB!M46="","",IF(OR(ARCH!M46="",LEFT(ARCH!M46,3)="14x"),IF(AG_REQ!M46&lt;=INDEX(INPUTS!$B$42:$B$50,1),INDEX(INPUTS!$A$42:$A$50,1),IF(AG_REQ!M46&gt;INDEX(INPUTS!$B$42:$B$50,ROWS(INPUTS!$B$42:$B$50)),"LARGER",INDEX(INPUTS!$A$42:$A$50,MATCH(AG_REQ!M46,INPUTS!$B$42:$B$50,1)+1))),IF(AG_REQ!M46&lt;=INDEX(INPUTS!$E$42:$E$50,1),INDEX(INPUTS!$D$42:$D$50,1),IF(AG_REQ!M46&gt;INDEX(INPUTS!$E$42:$E$50,ROWS(INPUTS!$E$42:$E$50)),"LARGER",INDEX(INPUTS!$D$42:$D$50,MATCH(AG_REQ!M46,INPUTS!$E$42:$E$50,1)+1)))))</f>
        <v>14x24</v>
      </c>
      <c r="N46" s="4" t="str">
        <f aca="false">IF(TRIB!N46="","",IF(OR(ARCH!N46="",LEFT(ARCH!N46,3)="14x"),IF(AG_REQ!N46&lt;=INDEX(INPUTS!$B$42:$B$50,1),INDEX(INPUTS!$A$42:$A$50,1),IF(AG_REQ!N46&gt;INDEX(INPUTS!$B$42:$B$50,ROWS(INPUTS!$B$42:$B$50)),"LARGER",INDEX(INPUTS!$A$42:$A$50,MATCH(AG_REQ!N46,INPUTS!$B$42:$B$50,1)+1))),IF(AG_REQ!N46&lt;=INDEX(INPUTS!$E$42:$E$50,1),INDEX(INPUTS!$D$42:$D$50,1),IF(AG_REQ!N46&gt;INDEX(INPUTS!$E$42:$E$50,ROWS(INPUTS!$E$42:$E$50)),"LARGER",INDEX(INPUTS!$D$42:$D$50,MATCH(AG_REQ!N46,INPUTS!$E$42:$E$50,1)+1)))))</f>
        <v>14x24</v>
      </c>
      <c r="O46" s="4" t="str">
        <f aca="false">IF(TRIB!O46="","",IF(OR(ARCH!O46="",LEFT(ARCH!O46,3)="14x"),IF(AG_REQ!O46&lt;=INDEX(INPUTS!$B$42:$B$50,1),INDEX(INPUTS!$A$42:$A$50,1),IF(AG_REQ!O46&gt;INDEX(INPUTS!$B$42:$B$50,ROWS(INPUTS!$B$42:$B$50)),"LARGER",INDEX(INPUTS!$A$42:$A$50,MATCH(AG_REQ!O46,INPUTS!$B$42:$B$50,1)+1))),IF(AG_REQ!O46&lt;=INDEX(INPUTS!$E$42:$E$50,1),INDEX(INPUTS!$D$42:$D$50,1),IF(AG_REQ!O46&gt;INDEX(INPUTS!$E$42:$E$50,ROWS(INPUTS!$E$42:$E$50)),"LARGER",INDEX(INPUTS!$D$42:$D$50,MATCH(AG_REQ!O46,INPUTS!$E$42:$E$50,1)+1)))))</f>
        <v>14x24</v>
      </c>
      <c r="P46" s="4" t="str">
        <f aca="false">IF(TRIB!P46="","",IF(OR(ARCH!P46="",LEFT(ARCH!P46,3)="14x"),IF(AG_REQ!P46&lt;=INDEX(INPUTS!$B$42:$B$50,1),INDEX(INPUTS!$A$42:$A$50,1),IF(AG_REQ!P46&gt;INDEX(INPUTS!$B$42:$B$50,ROWS(INPUTS!$B$42:$B$50)),"LARGER",INDEX(INPUTS!$A$42:$A$50,MATCH(AG_REQ!P46,INPUTS!$B$42:$B$50,1)+1))),IF(AG_REQ!P46&lt;=INDEX(INPUTS!$E$42:$E$50,1),INDEX(INPUTS!$D$42:$D$50,1),IF(AG_REQ!P46&gt;INDEX(INPUTS!$E$42:$E$50,ROWS(INPUTS!$E$42:$E$50)),"LARGER",INDEX(INPUTS!$D$42:$D$50,MATCH(AG_REQ!P46,INPUTS!$E$42:$E$50,1)+1)))))</f>
        <v>14x24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4" t="str">
        <f aca="false">IF(TRIB!E47="","",IF(OR(ARCH!E47="",LEFT(ARCH!E47,3)="14x"),IF(AG_REQ!E47&lt;=INDEX(INPUTS!$B$42:$B$50,1),INDEX(INPUTS!$A$42:$A$50,1),IF(AG_REQ!E47&gt;INDEX(INPUTS!$B$42:$B$50,ROWS(INPUTS!$B$42:$B$50)),"LARGER",INDEX(INPUTS!$A$42:$A$50,MATCH(AG_REQ!E47,INPUTS!$B$42:$B$50,1)+1))),IF(AG_REQ!E47&lt;=INDEX(INPUTS!$E$42:$E$50,1),INDEX(INPUTS!$D$42:$D$50,1),IF(AG_REQ!E47&gt;INDEX(INPUTS!$E$42:$E$50,ROWS(INPUTS!$E$42:$E$50)),"LARGER",INDEX(INPUTS!$D$42:$D$50,MATCH(AG_REQ!E47,INPUTS!$E$42:$E$50,1)+1)))))</f>
        <v/>
      </c>
      <c r="F47" s="4" t="str">
        <f aca="false">IF(TRIB!F47="","",IF(OR(ARCH!F47="",LEFT(ARCH!F47,3)="14x"),IF(AG_REQ!F47&lt;=INDEX(INPUTS!$B$42:$B$50,1),INDEX(INPUTS!$A$42:$A$50,1),IF(AG_REQ!F47&gt;INDEX(INPUTS!$B$42:$B$50,ROWS(INPUTS!$B$42:$B$50)),"LARGER",INDEX(INPUTS!$A$42:$A$50,MATCH(AG_REQ!F47,INPUTS!$B$42:$B$50,1)+1))),IF(AG_REQ!F47&lt;=INDEX(INPUTS!$E$42:$E$50,1),INDEX(INPUTS!$D$42:$D$50,1),IF(AG_REQ!F47&gt;INDEX(INPUTS!$E$42:$E$50,ROWS(INPUTS!$E$42:$E$50)),"LARGER",INDEX(INPUTS!$D$42:$D$50,MATCH(AG_REQ!F47,INPUTS!$E$42:$E$50,1)+1)))))</f>
        <v>14x24</v>
      </c>
      <c r="G47" s="4" t="str">
        <f aca="false">IF(TRIB!G47="","",IF(OR(ARCH!G47="",LEFT(ARCH!G47,3)="14x"),IF(AG_REQ!G47&lt;=INDEX(INPUTS!$B$42:$B$50,1),INDEX(INPUTS!$A$42:$A$50,1),IF(AG_REQ!G47&gt;INDEX(INPUTS!$B$42:$B$50,ROWS(INPUTS!$B$42:$B$50)),"LARGER",INDEX(INPUTS!$A$42:$A$50,MATCH(AG_REQ!G47,INPUTS!$B$42:$B$50,1)+1))),IF(AG_REQ!G47&lt;=INDEX(INPUTS!$E$42:$E$50,1),INDEX(INPUTS!$D$42:$D$50,1),IF(AG_REQ!G47&gt;INDEX(INPUTS!$E$42:$E$50,ROWS(INPUTS!$E$42:$E$50)),"LARGER",INDEX(INPUTS!$D$42:$D$50,MATCH(AG_REQ!G47,INPUTS!$E$42:$E$50,1)+1)))))</f>
        <v>14x24</v>
      </c>
      <c r="H47" s="4" t="str">
        <f aca="false">IF(TRIB!H47="","",IF(OR(ARCH!H47="",LEFT(ARCH!H47,3)="14x"),IF(AG_REQ!H47&lt;=INDEX(INPUTS!$B$42:$B$50,1),INDEX(INPUTS!$A$42:$A$50,1),IF(AG_REQ!H47&gt;INDEX(INPUTS!$B$42:$B$50,ROWS(INPUTS!$B$42:$B$50)),"LARGER",INDEX(INPUTS!$A$42:$A$50,MATCH(AG_REQ!H47,INPUTS!$B$42:$B$50,1)+1))),IF(AG_REQ!H47&lt;=INDEX(INPUTS!$E$42:$E$50,1),INDEX(INPUTS!$D$42:$D$50,1),IF(AG_REQ!H47&gt;INDEX(INPUTS!$E$42:$E$50,ROWS(INPUTS!$E$42:$E$50)),"LARGER",INDEX(INPUTS!$D$42:$D$50,MATCH(AG_REQ!H47,INPUTS!$E$42:$E$50,1)+1)))))</f>
        <v>14x24</v>
      </c>
      <c r="I47" s="4" t="str">
        <f aca="false">IF(TRIB!I47="","",IF(OR(ARCH!I47="",LEFT(ARCH!I47,3)="14x"),IF(AG_REQ!I47&lt;=INDEX(INPUTS!$B$42:$B$50,1),INDEX(INPUTS!$A$42:$A$50,1),IF(AG_REQ!I47&gt;INDEX(INPUTS!$B$42:$B$50,ROWS(INPUTS!$B$42:$B$50)),"LARGER",INDEX(INPUTS!$A$42:$A$50,MATCH(AG_REQ!I47,INPUTS!$B$42:$B$50,1)+1))),IF(AG_REQ!I47&lt;=INDEX(INPUTS!$E$42:$E$50,1),INDEX(INPUTS!$D$42:$D$50,1),IF(AG_REQ!I47&gt;INDEX(INPUTS!$E$42:$E$50,ROWS(INPUTS!$E$42:$E$50)),"LARGER",INDEX(INPUTS!$D$42:$D$50,MATCH(AG_REQ!I47,INPUTS!$E$42:$E$50,1)+1)))))</f>
        <v>14x24</v>
      </c>
      <c r="J47" s="4" t="str">
        <f aca="false">IF(TRIB!J47="","",IF(OR(ARCH!J47="",LEFT(ARCH!J47,3)="14x"),IF(AG_REQ!J47&lt;=INDEX(INPUTS!$B$42:$B$50,1),INDEX(INPUTS!$A$42:$A$50,1),IF(AG_REQ!J47&gt;INDEX(INPUTS!$B$42:$B$50,ROWS(INPUTS!$B$42:$B$50)),"LARGER",INDEX(INPUTS!$A$42:$A$50,MATCH(AG_REQ!J47,INPUTS!$B$42:$B$50,1)+1))),IF(AG_REQ!J47&lt;=INDEX(INPUTS!$E$42:$E$50,1),INDEX(INPUTS!$D$42:$D$50,1),IF(AG_REQ!J47&gt;INDEX(INPUTS!$E$42:$E$50,ROWS(INPUTS!$E$42:$E$50)),"LARGER",INDEX(INPUTS!$D$42:$D$50,MATCH(AG_REQ!J47,INPUTS!$E$42:$E$50,1)+1)))))</f>
        <v>14x24</v>
      </c>
      <c r="K47" s="4" t="str">
        <f aca="false">IF(TRIB!K47="","",IF(OR(ARCH!K47="",LEFT(ARCH!K47,3)="14x"),IF(AG_REQ!K47&lt;=INDEX(INPUTS!$B$42:$B$50,1),INDEX(INPUTS!$A$42:$A$50,1),IF(AG_REQ!K47&gt;INDEX(INPUTS!$B$42:$B$50,ROWS(INPUTS!$B$42:$B$50)),"LARGER",INDEX(INPUTS!$A$42:$A$50,MATCH(AG_REQ!K47,INPUTS!$B$42:$B$50,1)+1))),IF(AG_REQ!K47&lt;=INDEX(INPUTS!$E$42:$E$50,1),INDEX(INPUTS!$D$42:$D$50,1),IF(AG_REQ!K47&gt;INDEX(INPUTS!$E$42:$E$50,ROWS(INPUTS!$E$42:$E$50)),"LARGER",INDEX(INPUTS!$D$42:$D$50,MATCH(AG_REQ!K47,INPUTS!$E$42:$E$50,1)+1)))))</f>
        <v>14x24</v>
      </c>
      <c r="L47" s="4" t="str">
        <f aca="false">IF(TRIB!L47="","",IF(OR(ARCH!L47="",LEFT(ARCH!L47,3)="14x"),IF(AG_REQ!L47&lt;=INDEX(INPUTS!$B$42:$B$50,1),INDEX(INPUTS!$A$42:$A$50,1),IF(AG_REQ!L47&gt;INDEX(INPUTS!$B$42:$B$50,ROWS(INPUTS!$B$42:$B$50)),"LARGER",INDEX(INPUTS!$A$42:$A$50,MATCH(AG_REQ!L47,INPUTS!$B$42:$B$50,1)+1))),IF(AG_REQ!L47&lt;=INDEX(INPUTS!$E$42:$E$50,1),INDEX(INPUTS!$D$42:$D$50,1),IF(AG_REQ!L47&gt;INDEX(INPUTS!$E$42:$E$50,ROWS(INPUTS!$E$42:$E$50)),"LARGER",INDEX(INPUTS!$D$42:$D$50,MATCH(AG_REQ!L47,INPUTS!$E$42:$E$50,1)+1)))))</f>
        <v>14x24</v>
      </c>
      <c r="M47" s="4" t="str">
        <f aca="false">IF(TRIB!M47="","",IF(OR(ARCH!M47="",LEFT(ARCH!M47,3)="14x"),IF(AG_REQ!M47&lt;=INDEX(INPUTS!$B$42:$B$50,1),INDEX(INPUTS!$A$42:$A$50,1),IF(AG_REQ!M47&gt;INDEX(INPUTS!$B$42:$B$50,ROWS(INPUTS!$B$42:$B$50)),"LARGER",INDEX(INPUTS!$A$42:$A$50,MATCH(AG_REQ!M47,INPUTS!$B$42:$B$50,1)+1))),IF(AG_REQ!M47&lt;=INDEX(INPUTS!$E$42:$E$50,1),INDEX(INPUTS!$D$42:$D$50,1),IF(AG_REQ!M47&gt;INDEX(INPUTS!$E$42:$E$50,ROWS(INPUTS!$E$42:$E$50)),"LARGER",INDEX(INPUTS!$D$42:$D$50,MATCH(AG_REQ!M47,INPUTS!$E$42:$E$50,1)+1)))))</f>
        <v>14x24</v>
      </c>
      <c r="N47" s="4" t="str">
        <f aca="false">IF(TRIB!N47="","",IF(OR(ARCH!N47="",LEFT(ARCH!N47,3)="14x"),IF(AG_REQ!N47&lt;=INDEX(INPUTS!$B$42:$B$50,1),INDEX(INPUTS!$A$42:$A$50,1),IF(AG_REQ!N47&gt;INDEX(INPUTS!$B$42:$B$50,ROWS(INPUTS!$B$42:$B$50)),"LARGER",INDEX(INPUTS!$A$42:$A$50,MATCH(AG_REQ!N47,INPUTS!$B$42:$B$50,1)+1))),IF(AG_REQ!N47&lt;=INDEX(INPUTS!$E$42:$E$50,1),INDEX(INPUTS!$D$42:$D$50,1),IF(AG_REQ!N47&gt;INDEX(INPUTS!$E$42:$E$50,ROWS(INPUTS!$E$42:$E$50)),"LARGER",INDEX(INPUTS!$D$42:$D$50,MATCH(AG_REQ!N47,INPUTS!$E$42:$E$50,1)+1)))))</f>
        <v>14x24</v>
      </c>
      <c r="O47" s="4" t="str">
        <f aca="false">IF(TRIB!O47="","",IF(OR(ARCH!O47="",LEFT(ARCH!O47,3)="14x"),IF(AG_REQ!O47&lt;=INDEX(INPUTS!$B$42:$B$50,1),INDEX(INPUTS!$A$42:$A$50,1),IF(AG_REQ!O47&gt;INDEX(INPUTS!$B$42:$B$50,ROWS(INPUTS!$B$42:$B$50)),"LARGER",INDEX(INPUTS!$A$42:$A$50,MATCH(AG_REQ!O47,INPUTS!$B$42:$B$50,1)+1))),IF(AG_REQ!O47&lt;=INDEX(INPUTS!$E$42:$E$50,1),INDEX(INPUTS!$D$42:$D$50,1),IF(AG_REQ!O47&gt;INDEX(INPUTS!$E$42:$E$50,ROWS(INPUTS!$E$42:$E$50)),"LARGER",INDEX(INPUTS!$D$42:$D$50,MATCH(AG_REQ!O47,INPUTS!$E$42:$E$50,1)+1)))))</f>
        <v>14x24</v>
      </c>
      <c r="P47" s="4" t="str">
        <f aca="false">IF(TRIB!P47="","",IF(OR(ARCH!P47="",LEFT(ARCH!P47,3)="14x"),IF(AG_REQ!P47&lt;=INDEX(INPUTS!$B$42:$B$50,1),INDEX(INPUTS!$A$42:$A$50,1),IF(AG_REQ!P47&gt;INDEX(INPUTS!$B$42:$B$50,ROWS(INPUTS!$B$42:$B$50)),"LARGER",INDEX(INPUTS!$A$42:$A$50,MATCH(AG_REQ!P47,INPUTS!$B$42:$B$50,1)+1))),IF(AG_REQ!P47&lt;=INDEX(INPUTS!$E$42:$E$50,1),INDEX(INPUTS!$D$42:$D$50,1),IF(AG_REQ!P47&gt;INDEX(INPUTS!$E$42:$E$50,ROWS(INPUTS!$E$42:$E$50)),"LARGER",INDEX(INPUTS!$D$42:$D$50,MATCH(AG_REQ!P47,INPUTS!$E$42:$E$50,1)+1)))))</f>
        <v>14x24</v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4" t="str">
        <f aca="false">IF(TRIB!E48="","",IF(OR(ARCH!E48="",LEFT(ARCH!E48,3)="14x"),IF(AG_REQ!E48&lt;=INDEX(INPUTS!$B$42:$B$50,1),INDEX(INPUTS!$A$42:$A$50,1),IF(AG_REQ!E48&gt;INDEX(INPUTS!$B$42:$B$50,ROWS(INPUTS!$B$42:$B$50)),"LARGER",INDEX(INPUTS!$A$42:$A$50,MATCH(AG_REQ!E48,INPUTS!$B$42:$B$50,1)+1))),IF(AG_REQ!E48&lt;=INDEX(INPUTS!$E$42:$E$50,1),INDEX(INPUTS!$D$42:$D$50,1),IF(AG_REQ!E48&gt;INDEX(INPUTS!$E$42:$E$50,ROWS(INPUTS!$E$42:$E$50)),"LARGER",INDEX(INPUTS!$D$42:$D$50,MATCH(AG_REQ!E48,INPUTS!$E$42:$E$50,1)+1)))))</f>
        <v/>
      </c>
      <c r="F48" s="4" t="str">
        <f aca="false">IF(TRIB!F48="","",IF(OR(ARCH!F48="",LEFT(ARCH!F48,3)="14x"),IF(AG_REQ!F48&lt;=INDEX(INPUTS!$B$42:$B$50,1),INDEX(INPUTS!$A$42:$A$50,1),IF(AG_REQ!F48&gt;INDEX(INPUTS!$B$42:$B$50,ROWS(INPUTS!$B$42:$B$50)),"LARGER",INDEX(INPUTS!$A$42:$A$50,MATCH(AG_REQ!F48,INPUTS!$B$42:$B$50,1)+1))),IF(AG_REQ!F48&lt;=INDEX(INPUTS!$E$42:$E$50,1),INDEX(INPUTS!$D$42:$D$50,1),IF(AG_REQ!F48&gt;INDEX(INPUTS!$E$42:$E$50,ROWS(INPUTS!$E$42:$E$50)),"LARGER",INDEX(INPUTS!$D$42:$D$50,MATCH(AG_REQ!F48,INPUTS!$E$42:$E$50,1)+1)))))</f>
        <v>14x24</v>
      </c>
      <c r="G48" s="4" t="str">
        <f aca="false">IF(TRIB!G48="","",IF(OR(ARCH!G48="",LEFT(ARCH!G48,3)="14x"),IF(AG_REQ!G48&lt;=INDEX(INPUTS!$B$42:$B$50,1),INDEX(INPUTS!$A$42:$A$50,1),IF(AG_REQ!G48&gt;INDEX(INPUTS!$B$42:$B$50,ROWS(INPUTS!$B$42:$B$50)),"LARGER",INDEX(INPUTS!$A$42:$A$50,MATCH(AG_REQ!G48,INPUTS!$B$42:$B$50,1)+1))),IF(AG_REQ!G48&lt;=INDEX(INPUTS!$E$42:$E$50,1),INDEX(INPUTS!$D$42:$D$50,1),IF(AG_REQ!G48&gt;INDEX(INPUTS!$E$42:$E$50,ROWS(INPUTS!$E$42:$E$50)),"LARGER",INDEX(INPUTS!$D$42:$D$50,MATCH(AG_REQ!G48,INPUTS!$E$42:$E$50,1)+1)))))</f>
        <v>14x24</v>
      </c>
      <c r="H48" s="4" t="str">
        <f aca="false">IF(TRIB!H48="","",IF(OR(ARCH!H48="",LEFT(ARCH!H48,3)="14x"),IF(AG_REQ!H48&lt;=INDEX(INPUTS!$B$42:$B$50,1),INDEX(INPUTS!$A$42:$A$50,1),IF(AG_REQ!H48&gt;INDEX(INPUTS!$B$42:$B$50,ROWS(INPUTS!$B$42:$B$50)),"LARGER",INDEX(INPUTS!$A$42:$A$50,MATCH(AG_REQ!H48,INPUTS!$B$42:$B$50,1)+1))),IF(AG_REQ!H48&lt;=INDEX(INPUTS!$E$42:$E$50,1),INDEX(INPUTS!$D$42:$D$50,1),IF(AG_REQ!H48&gt;INDEX(INPUTS!$E$42:$E$50,ROWS(INPUTS!$E$42:$E$50)),"LARGER",INDEX(INPUTS!$D$42:$D$50,MATCH(AG_REQ!H48,INPUTS!$E$42:$E$50,1)+1)))))</f>
        <v>14x24</v>
      </c>
      <c r="I48" s="4" t="str">
        <f aca="false">IF(TRIB!I48="","",IF(OR(ARCH!I48="",LEFT(ARCH!I48,3)="14x"),IF(AG_REQ!I48&lt;=INDEX(INPUTS!$B$42:$B$50,1),INDEX(INPUTS!$A$42:$A$50,1),IF(AG_REQ!I48&gt;INDEX(INPUTS!$B$42:$B$50,ROWS(INPUTS!$B$42:$B$50)),"LARGER",INDEX(INPUTS!$A$42:$A$50,MATCH(AG_REQ!I48,INPUTS!$B$42:$B$50,1)+1))),IF(AG_REQ!I48&lt;=INDEX(INPUTS!$E$42:$E$50,1),INDEX(INPUTS!$D$42:$D$50,1),IF(AG_REQ!I48&gt;INDEX(INPUTS!$E$42:$E$50,ROWS(INPUTS!$E$42:$E$50)),"LARGER",INDEX(INPUTS!$D$42:$D$50,MATCH(AG_REQ!I48,INPUTS!$E$42:$E$50,1)+1)))))</f>
        <v>14x24</v>
      </c>
      <c r="J48" s="4" t="str">
        <f aca="false">IF(TRIB!J48="","",IF(OR(ARCH!J48="",LEFT(ARCH!J48,3)="14x"),IF(AG_REQ!J48&lt;=INDEX(INPUTS!$B$42:$B$50,1),INDEX(INPUTS!$A$42:$A$50,1),IF(AG_REQ!J48&gt;INDEX(INPUTS!$B$42:$B$50,ROWS(INPUTS!$B$42:$B$50)),"LARGER",INDEX(INPUTS!$A$42:$A$50,MATCH(AG_REQ!J48,INPUTS!$B$42:$B$50,1)+1))),IF(AG_REQ!J48&lt;=INDEX(INPUTS!$E$42:$E$50,1),INDEX(INPUTS!$D$42:$D$50,1),IF(AG_REQ!J48&gt;INDEX(INPUTS!$E$42:$E$50,ROWS(INPUTS!$E$42:$E$50)),"LARGER",INDEX(INPUTS!$D$42:$D$50,MATCH(AG_REQ!J48,INPUTS!$E$42:$E$50,1)+1)))))</f>
        <v>14x24</v>
      </c>
      <c r="K48" s="4" t="str">
        <f aca="false">IF(TRIB!K48="","",IF(OR(ARCH!K48="",LEFT(ARCH!K48,3)="14x"),IF(AG_REQ!K48&lt;=INDEX(INPUTS!$B$42:$B$50,1),INDEX(INPUTS!$A$42:$A$50,1),IF(AG_REQ!K48&gt;INDEX(INPUTS!$B$42:$B$50,ROWS(INPUTS!$B$42:$B$50)),"LARGER",INDEX(INPUTS!$A$42:$A$50,MATCH(AG_REQ!K48,INPUTS!$B$42:$B$50,1)+1))),IF(AG_REQ!K48&lt;=INDEX(INPUTS!$E$42:$E$50,1),INDEX(INPUTS!$D$42:$D$50,1),IF(AG_REQ!K48&gt;INDEX(INPUTS!$E$42:$E$50,ROWS(INPUTS!$E$42:$E$50)),"LARGER",INDEX(INPUTS!$D$42:$D$50,MATCH(AG_REQ!K48,INPUTS!$E$42:$E$50,1)+1)))))</f>
        <v>14x24</v>
      </c>
      <c r="L48" s="4" t="str">
        <f aca="false">IF(TRIB!L48="","",IF(OR(ARCH!L48="",LEFT(ARCH!L48,3)="14x"),IF(AG_REQ!L48&lt;=INDEX(INPUTS!$B$42:$B$50,1),INDEX(INPUTS!$A$42:$A$50,1),IF(AG_REQ!L48&gt;INDEX(INPUTS!$B$42:$B$50,ROWS(INPUTS!$B$42:$B$50)),"LARGER",INDEX(INPUTS!$A$42:$A$50,MATCH(AG_REQ!L48,INPUTS!$B$42:$B$50,1)+1))),IF(AG_REQ!L48&lt;=INDEX(INPUTS!$E$42:$E$50,1),INDEX(INPUTS!$D$42:$D$50,1),IF(AG_REQ!L48&gt;INDEX(INPUTS!$E$42:$E$50,ROWS(INPUTS!$E$42:$E$50)),"LARGER",INDEX(INPUTS!$D$42:$D$50,MATCH(AG_REQ!L48,INPUTS!$E$42:$E$50,1)+1)))))</f>
        <v>14x24</v>
      </c>
      <c r="M48" s="4" t="str">
        <f aca="false">IF(TRIB!M48="","",IF(OR(ARCH!M48="",LEFT(ARCH!M48,3)="14x"),IF(AG_REQ!M48&lt;=INDEX(INPUTS!$B$42:$B$50,1),INDEX(INPUTS!$A$42:$A$50,1),IF(AG_REQ!M48&gt;INDEX(INPUTS!$B$42:$B$50,ROWS(INPUTS!$B$42:$B$50)),"LARGER",INDEX(INPUTS!$A$42:$A$50,MATCH(AG_REQ!M48,INPUTS!$B$42:$B$50,1)+1))),IF(AG_REQ!M48&lt;=INDEX(INPUTS!$E$42:$E$50,1),INDEX(INPUTS!$D$42:$D$50,1),IF(AG_REQ!M48&gt;INDEX(INPUTS!$E$42:$E$50,ROWS(INPUTS!$E$42:$E$50)),"LARGER",INDEX(INPUTS!$D$42:$D$50,MATCH(AG_REQ!M48,INPUTS!$E$42:$E$50,1)+1)))))</f>
        <v>14x24</v>
      </c>
      <c r="N48" s="4" t="str">
        <f aca="false">IF(TRIB!N48="","",IF(OR(ARCH!N48="",LEFT(ARCH!N48,3)="14x"),IF(AG_REQ!N48&lt;=INDEX(INPUTS!$B$42:$B$50,1),INDEX(INPUTS!$A$42:$A$50,1),IF(AG_REQ!N48&gt;INDEX(INPUTS!$B$42:$B$50,ROWS(INPUTS!$B$42:$B$50)),"LARGER",INDEX(INPUTS!$A$42:$A$50,MATCH(AG_REQ!N48,INPUTS!$B$42:$B$50,1)+1))),IF(AG_REQ!N48&lt;=INDEX(INPUTS!$E$42:$E$50,1),INDEX(INPUTS!$D$42:$D$50,1),IF(AG_REQ!N48&gt;INDEX(INPUTS!$E$42:$E$50,ROWS(INPUTS!$E$42:$E$50)),"LARGER",INDEX(INPUTS!$D$42:$D$50,MATCH(AG_REQ!N48,INPUTS!$E$42:$E$50,1)+1)))))</f>
        <v>14x24</v>
      </c>
      <c r="O48" s="4" t="str">
        <f aca="false">IF(TRIB!O48="","",IF(OR(ARCH!O48="",LEFT(ARCH!O48,3)="14x"),IF(AG_REQ!O48&lt;=INDEX(INPUTS!$B$42:$B$50,1),INDEX(INPUTS!$A$42:$A$50,1),IF(AG_REQ!O48&gt;INDEX(INPUTS!$B$42:$B$50,ROWS(INPUTS!$B$42:$B$50)),"LARGER",INDEX(INPUTS!$A$42:$A$50,MATCH(AG_REQ!O48,INPUTS!$B$42:$B$50,1)+1))),IF(AG_REQ!O48&lt;=INDEX(INPUTS!$E$42:$E$50,1),INDEX(INPUTS!$D$42:$D$50,1),IF(AG_REQ!O48&gt;INDEX(INPUTS!$E$42:$E$50,ROWS(INPUTS!$E$42:$E$50)),"LARGER",INDEX(INPUTS!$D$42:$D$50,MATCH(AG_REQ!O48,INPUTS!$E$42:$E$50,1)+1)))))</f>
        <v>14x24</v>
      </c>
      <c r="P48" s="4" t="str">
        <f aca="false">IF(TRIB!P48="","",IF(OR(ARCH!P48="",LEFT(ARCH!P48,3)="14x"),IF(AG_REQ!P48&lt;=INDEX(INPUTS!$B$42:$B$50,1),INDEX(INPUTS!$A$42:$A$50,1),IF(AG_REQ!P48&gt;INDEX(INPUTS!$B$42:$B$50,ROWS(INPUTS!$B$42:$B$50)),"LARGER",INDEX(INPUTS!$A$42:$A$50,MATCH(AG_REQ!P48,INPUTS!$B$42:$B$50,1)+1))),IF(AG_REQ!P48&lt;=INDEX(INPUTS!$E$42:$E$50,1),INDEX(INPUTS!$D$42:$D$50,1),IF(AG_REQ!P48&gt;INDEX(INPUTS!$E$42:$E$50,ROWS(INPUTS!$E$42:$E$50)),"LARGER",INDEX(INPUTS!$D$42:$D$50,MATCH(AG_REQ!P48,INPUTS!$E$42:$E$50,1)+1)))))</f>
        <v>14x24</v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4" t="str">
        <f aca="false">IF(TRIB!E49="","",IF(OR(ARCH!E49="",LEFT(ARCH!E49,3)="14x"),IF(AG_REQ!E49&lt;=INDEX(INPUTS!$B$42:$B$50,1),INDEX(INPUTS!$A$42:$A$50,1),IF(AG_REQ!E49&gt;INDEX(INPUTS!$B$42:$B$50,ROWS(INPUTS!$B$42:$B$50)),"LARGER",INDEX(INPUTS!$A$42:$A$50,MATCH(AG_REQ!E49,INPUTS!$B$42:$B$50,1)+1))),IF(AG_REQ!E49&lt;=INDEX(INPUTS!$E$42:$E$50,1),INDEX(INPUTS!$D$42:$D$50,1),IF(AG_REQ!E49&gt;INDEX(INPUTS!$E$42:$E$50,ROWS(INPUTS!$E$42:$E$50)),"LARGER",INDEX(INPUTS!$D$42:$D$50,MATCH(AG_REQ!E49,INPUTS!$E$42:$E$50,1)+1)))))</f>
        <v/>
      </c>
      <c r="F49" s="4" t="str">
        <f aca="false">IF(TRIB!F49="","",IF(OR(ARCH!F49="",LEFT(ARCH!F49,3)="14x"),IF(AG_REQ!F49&lt;=INDEX(INPUTS!$B$42:$B$50,1),INDEX(INPUTS!$A$42:$A$50,1),IF(AG_REQ!F49&gt;INDEX(INPUTS!$B$42:$B$50,ROWS(INPUTS!$B$42:$B$50)),"LARGER",INDEX(INPUTS!$A$42:$A$50,MATCH(AG_REQ!F49,INPUTS!$B$42:$B$50,1)+1))),IF(AG_REQ!F49&lt;=INDEX(INPUTS!$E$42:$E$50,1),INDEX(INPUTS!$D$42:$D$50,1),IF(AG_REQ!F49&gt;INDEX(INPUTS!$E$42:$E$50,ROWS(INPUTS!$E$42:$E$50)),"LARGER",INDEX(INPUTS!$D$42:$D$50,MATCH(AG_REQ!F49,INPUTS!$E$42:$E$50,1)+1)))))</f>
        <v>14x24</v>
      </c>
      <c r="G49" s="4" t="str">
        <f aca="false">IF(TRIB!G49="","",IF(OR(ARCH!G49="",LEFT(ARCH!G49,3)="14x"),IF(AG_REQ!G49&lt;=INDEX(INPUTS!$B$42:$B$50,1),INDEX(INPUTS!$A$42:$A$50,1),IF(AG_REQ!G49&gt;INDEX(INPUTS!$B$42:$B$50,ROWS(INPUTS!$B$42:$B$50)),"LARGER",INDEX(INPUTS!$A$42:$A$50,MATCH(AG_REQ!G49,INPUTS!$B$42:$B$50,1)+1))),IF(AG_REQ!G49&lt;=INDEX(INPUTS!$E$42:$E$50,1),INDEX(INPUTS!$D$42:$D$50,1),IF(AG_REQ!G49&gt;INDEX(INPUTS!$E$42:$E$50,ROWS(INPUTS!$E$42:$E$50)),"LARGER",INDEX(INPUTS!$D$42:$D$50,MATCH(AG_REQ!G49,INPUTS!$E$42:$E$50,1)+1)))))</f>
        <v>14x24</v>
      </c>
      <c r="H49" s="4" t="str">
        <f aca="false">IF(TRIB!H49="","",IF(OR(ARCH!H49="",LEFT(ARCH!H49,3)="14x"),IF(AG_REQ!H49&lt;=INDEX(INPUTS!$B$42:$B$50,1),INDEX(INPUTS!$A$42:$A$50,1),IF(AG_REQ!H49&gt;INDEX(INPUTS!$B$42:$B$50,ROWS(INPUTS!$B$42:$B$50)),"LARGER",INDEX(INPUTS!$A$42:$A$50,MATCH(AG_REQ!H49,INPUTS!$B$42:$B$50,1)+1))),IF(AG_REQ!H49&lt;=INDEX(INPUTS!$E$42:$E$50,1),INDEX(INPUTS!$D$42:$D$50,1),IF(AG_REQ!H49&gt;INDEX(INPUTS!$E$42:$E$50,ROWS(INPUTS!$E$42:$E$50)),"LARGER",INDEX(INPUTS!$D$42:$D$50,MATCH(AG_REQ!H49,INPUTS!$E$42:$E$50,1)+1)))))</f>
        <v>14x24</v>
      </c>
      <c r="I49" s="4" t="str">
        <f aca="false">IF(TRIB!I49="","",IF(OR(ARCH!I49="",LEFT(ARCH!I49,3)="14x"),IF(AG_REQ!I49&lt;=INDEX(INPUTS!$B$42:$B$50,1),INDEX(INPUTS!$A$42:$A$50,1),IF(AG_REQ!I49&gt;INDEX(INPUTS!$B$42:$B$50,ROWS(INPUTS!$B$42:$B$50)),"LARGER",INDEX(INPUTS!$A$42:$A$50,MATCH(AG_REQ!I49,INPUTS!$B$42:$B$50,1)+1))),IF(AG_REQ!I49&lt;=INDEX(INPUTS!$E$42:$E$50,1),INDEX(INPUTS!$D$42:$D$50,1),IF(AG_REQ!I49&gt;INDEX(INPUTS!$E$42:$E$50,ROWS(INPUTS!$E$42:$E$50)),"LARGER",INDEX(INPUTS!$D$42:$D$50,MATCH(AG_REQ!I49,INPUTS!$E$42:$E$50,1)+1)))))</f>
        <v>14x24</v>
      </c>
      <c r="J49" s="4" t="str">
        <f aca="false">IF(TRIB!J49="","",IF(OR(ARCH!J49="",LEFT(ARCH!J49,3)="14x"),IF(AG_REQ!J49&lt;=INDEX(INPUTS!$B$42:$B$50,1),INDEX(INPUTS!$A$42:$A$50,1),IF(AG_REQ!J49&gt;INDEX(INPUTS!$B$42:$B$50,ROWS(INPUTS!$B$42:$B$50)),"LARGER",INDEX(INPUTS!$A$42:$A$50,MATCH(AG_REQ!J49,INPUTS!$B$42:$B$50,1)+1))),IF(AG_REQ!J49&lt;=INDEX(INPUTS!$E$42:$E$50,1),INDEX(INPUTS!$D$42:$D$50,1),IF(AG_REQ!J49&gt;INDEX(INPUTS!$E$42:$E$50,ROWS(INPUTS!$E$42:$E$50)),"LARGER",INDEX(INPUTS!$D$42:$D$50,MATCH(AG_REQ!J49,INPUTS!$E$42:$E$50,1)+1)))))</f>
        <v>14x24</v>
      </c>
      <c r="K49" s="4" t="str">
        <f aca="false">IF(TRIB!K49="","",IF(OR(ARCH!K49="",LEFT(ARCH!K49,3)="14x"),IF(AG_REQ!K49&lt;=INDEX(INPUTS!$B$42:$B$50,1),INDEX(INPUTS!$A$42:$A$50,1),IF(AG_REQ!K49&gt;INDEX(INPUTS!$B$42:$B$50,ROWS(INPUTS!$B$42:$B$50)),"LARGER",INDEX(INPUTS!$A$42:$A$50,MATCH(AG_REQ!K49,INPUTS!$B$42:$B$50,1)+1))),IF(AG_REQ!K49&lt;=INDEX(INPUTS!$E$42:$E$50,1),INDEX(INPUTS!$D$42:$D$50,1),IF(AG_REQ!K49&gt;INDEX(INPUTS!$E$42:$E$50,ROWS(INPUTS!$E$42:$E$50)),"LARGER",INDEX(INPUTS!$D$42:$D$50,MATCH(AG_REQ!K49,INPUTS!$E$42:$E$50,1)+1)))))</f>
        <v>14x24</v>
      </c>
      <c r="L49" s="4" t="str">
        <f aca="false">IF(TRIB!L49="","",IF(OR(ARCH!L49="",LEFT(ARCH!L49,3)="14x"),IF(AG_REQ!L49&lt;=INDEX(INPUTS!$B$42:$B$50,1),INDEX(INPUTS!$A$42:$A$50,1),IF(AG_REQ!L49&gt;INDEX(INPUTS!$B$42:$B$50,ROWS(INPUTS!$B$42:$B$50)),"LARGER",INDEX(INPUTS!$A$42:$A$50,MATCH(AG_REQ!L49,INPUTS!$B$42:$B$50,1)+1))),IF(AG_REQ!L49&lt;=INDEX(INPUTS!$E$42:$E$50,1),INDEX(INPUTS!$D$42:$D$50,1),IF(AG_REQ!L49&gt;INDEX(INPUTS!$E$42:$E$50,ROWS(INPUTS!$E$42:$E$50)),"LARGER",INDEX(INPUTS!$D$42:$D$50,MATCH(AG_REQ!L49,INPUTS!$E$42:$E$50,1)+1)))))</f>
        <v>14x24</v>
      </c>
      <c r="M49" s="4" t="str">
        <f aca="false">IF(TRIB!M49="","",IF(OR(ARCH!M49="",LEFT(ARCH!M49,3)="14x"),IF(AG_REQ!M49&lt;=INDEX(INPUTS!$B$42:$B$50,1),INDEX(INPUTS!$A$42:$A$50,1),IF(AG_REQ!M49&gt;INDEX(INPUTS!$B$42:$B$50,ROWS(INPUTS!$B$42:$B$50)),"LARGER",INDEX(INPUTS!$A$42:$A$50,MATCH(AG_REQ!M49,INPUTS!$B$42:$B$50,1)+1))),IF(AG_REQ!M49&lt;=INDEX(INPUTS!$E$42:$E$50,1),INDEX(INPUTS!$D$42:$D$50,1),IF(AG_REQ!M49&gt;INDEX(INPUTS!$E$42:$E$50,ROWS(INPUTS!$E$42:$E$50)),"LARGER",INDEX(INPUTS!$D$42:$D$50,MATCH(AG_REQ!M49,INPUTS!$E$42:$E$50,1)+1)))))</f>
        <v>14x24</v>
      </c>
      <c r="N49" s="4" t="str">
        <f aca="false">IF(TRIB!N49="","",IF(OR(ARCH!N49="",LEFT(ARCH!N49,3)="14x"),IF(AG_REQ!N49&lt;=INDEX(INPUTS!$B$42:$B$50,1),INDEX(INPUTS!$A$42:$A$50,1),IF(AG_REQ!N49&gt;INDEX(INPUTS!$B$42:$B$50,ROWS(INPUTS!$B$42:$B$50)),"LARGER",INDEX(INPUTS!$A$42:$A$50,MATCH(AG_REQ!N49,INPUTS!$B$42:$B$50,1)+1))),IF(AG_REQ!N49&lt;=INDEX(INPUTS!$E$42:$E$50,1),INDEX(INPUTS!$D$42:$D$50,1),IF(AG_REQ!N49&gt;INDEX(INPUTS!$E$42:$E$50,ROWS(INPUTS!$E$42:$E$50)),"LARGER",INDEX(INPUTS!$D$42:$D$50,MATCH(AG_REQ!N49,INPUTS!$E$42:$E$50,1)+1)))))</f>
        <v>14x24</v>
      </c>
      <c r="O49" s="4" t="str">
        <f aca="false">IF(TRIB!O49="","",IF(OR(ARCH!O49="",LEFT(ARCH!O49,3)="14x"),IF(AG_REQ!O49&lt;=INDEX(INPUTS!$B$42:$B$50,1),INDEX(INPUTS!$A$42:$A$50,1),IF(AG_REQ!O49&gt;INDEX(INPUTS!$B$42:$B$50,ROWS(INPUTS!$B$42:$B$50)),"LARGER",INDEX(INPUTS!$A$42:$A$50,MATCH(AG_REQ!O49,INPUTS!$B$42:$B$50,1)+1))),IF(AG_REQ!O49&lt;=INDEX(INPUTS!$E$42:$E$50,1),INDEX(INPUTS!$D$42:$D$50,1),IF(AG_REQ!O49&gt;INDEX(INPUTS!$E$42:$E$50,ROWS(INPUTS!$E$42:$E$50)),"LARGER",INDEX(INPUTS!$D$42:$D$50,MATCH(AG_REQ!O49,INPUTS!$E$42:$E$50,1)+1)))))</f>
        <v>14x24</v>
      </c>
      <c r="P49" s="4" t="str">
        <f aca="false">IF(TRIB!P49="","",IF(OR(ARCH!P49="",LEFT(ARCH!P49,3)="14x"),IF(AG_REQ!P49&lt;=INDEX(INPUTS!$B$42:$B$50,1),INDEX(INPUTS!$A$42:$A$50,1),IF(AG_REQ!P49&gt;INDEX(INPUTS!$B$42:$B$50,ROWS(INPUTS!$B$42:$B$50)),"LARGER",INDEX(INPUTS!$A$42:$A$50,MATCH(AG_REQ!P49,INPUTS!$B$42:$B$50,1)+1))),IF(AG_REQ!P49&lt;=INDEX(INPUTS!$E$42:$E$50,1),INDEX(INPUTS!$D$42:$D$50,1),IF(AG_REQ!P49&gt;INDEX(INPUTS!$E$42:$E$50,ROWS(INPUTS!$E$42:$E$50)),"LARGER",INDEX(INPUTS!$D$42:$D$50,MATCH(AG_REQ!P49,INPUTS!$E$42:$E$50,1)+1)))))</f>
        <v>14x24</v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4" t="str">
        <f aca="false">IF(TRIB!E50="","",IF(OR(ARCH!E50="",LEFT(ARCH!E50,3)="14x"),IF(AG_REQ!E50&lt;=INDEX(INPUTS!$B$42:$B$50,1),INDEX(INPUTS!$A$42:$A$50,1),IF(AG_REQ!E50&gt;INDEX(INPUTS!$B$42:$B$50,ROWS(INPUTS!$B$42:$B$50)),"LARGER",INDEX(INPUTS!$A$42:$A$50,MATCH(AG_REQ!E50,INPUTS!$B$42:$B$50,1)+1))),IF(AG_REQ!E50&lt;=INDEX(INPUTS!$E$42:$E$50,1),INDEX(INPUTS!$D$42:$D$50,1),IF(AG_REQ!E50&gt;INDEX(INPUTS!$E$42:$E$50,ROWS(INPUTS!$E$42:$E$50)),"LARGER",INDEX(INPUTS!$D$42:$D$50,MATCH(AG_REQ!E50,INPUTS!$E$42:$E$50,1)+1)))))</f>
        <v/>
      </c>
      <c r="F50" s="4" t="str">
        <f aca="false">IF(TRIB!F50="","",IF(OR(ARCH!F50="",LEFT(ARCH!F50,3)="14x"),IF(AG_REQ!F50&lt;=INDEX(INPUTS!$B$42:$B$50,1),INDEX(INPUTS!$A$42:$A$50,1),IF(AG_REQ!F50&gt;INDEX(INPUTS!$B$42:$B$50,ROWS(INPUTS!$B$42:$B$50)),"LARGER",INDEX(INPUTS!$A$42:$A$50,MATCH(AG_REQ!F50,INPUTS!$B$42:$B$50,1)+1))),IF(AG_REQ!F50&lt;=INDEX(INPUTS!$E$42:$E$50,1),INDEX(INPUTS!$D$42:$D$50,1),IF(AG_REQ!F50&gt;INDEX(INPUTS!$E$42:$E$50,ROWS(INPUTS!$E$42:$E$50)),"LARGER",INDEX(INPUTS!$D$42:$D$50,MATCH(AG_REQ!F50,INPUTS!$E$42:$E$50,1)+1)))))</f>
        <v>14x24</v>
      </c>
      <c r="G50" s="4" t="str">
        <f aca="false">IF(TRIB!G50="","",IF(OR(ARCH!G50="",LEFT(ARCH!G50,3)="14x"),IF(AG_REQ!G50&lt;=INDEX(INPUTS!$B$42:$B$50,1),INDEX(INPUTS!$A$42:$A$50,1),IF(AG_REQ!G50&gt;INDEX(INPUTS!$B$42:$B$50,ROWS(INPUTS!$B$42:$B$50)),"LARGER",INDEX(INPUTS!$A$42:$A$50,MATCH(AG_REQ!G50,INPUTS!$B$42:$B$50,1)+1))),IF(AG_REQ!G50&lt;=INDEX(INPUTS!$E$42:$E$50,1),INDEX(INPUTS!$D$42:$D$50,1),IF(AG_REQ!G50&gt;INDEX(INPUTS!$E$42:$E$50,ROWS(INPUTS!$E$42:$E$50)),"LARGER",INDEX(INPUTS!$D$42:$D$50,MATCH(AG_REQ!G50,INPUTS!$E$42:$E$50,1)+1)))))</f>
        <v>14x24</v>
      </c>
      <c r="H50" s="4" t="str">
        <f aca="false">IF(TRIB!H50="","",IF(OR(ARCH!H50="",LEFT(ARCH!H50,3)="14x"),IF(AG_REQ!H50&lt;=INDEX(INPUTS!$B$42:$B$50,1),INDEX(INPUTS!$A$42:$A$50,1),IF(AG_REQ!H50&gt;INDEX(INPUTS!$B$42:$B$50,ROWS(INPUTS!$B$42:$B$50)),"LARGER",INDEX(INPUTS!$A$42:$A$50,MATCH(AG_REQ!H50,INPUTS!$B$42:$B$50,1)+1))),IF(AG_REQ!H50&lt;=INDEX(INPUTS!$E$42:$E$50,1),INDEX(INPUTS!$D$42:$D$50,1),IF(AG_REQ!H50&gt;INDEX(INPUTS!$E$42:$E$50,ROWS(INPUTS!$E$42:$E$50)),"LARGER",INDEX(INPUTS!$D$42:$D$50,MATCH(AG_REQ!H50,INPUTS!$E$42:$E$50,1)+1)))))</f>
        <v>14x24</v>
      </c>
      <c r="I50" s="4" t="str">
        <f aca="false">IF(TRIB!I50="","",IF(OR(ARCH!I50="",LEFT(ARCH!I50,3)="14x"),IF(AG_REQ!I50&lt;=INDEX(INPUTS!$B$42:$B$50,1),INDEX(INPUTS!$A$42:$A$50,1),IF(AG_REQ!I50&gt;INDEX(INPUTS!$B$42:$B$50,ROWS(INPUTS!$B$42:$B$50)),"LARGER",INDEX(INPUTS!$A$42:$A$50,MATCH(AG_REQ!I50,INPUTS!$B$42:$B$50,1)+1))),IF(AG_REQ!I50&lt;=INDEX(INPUTS!$E$42:$E$50,1),INDEX(INPUTS!$D$42:$D$50,1),IF(AG_REQ!I50&gt;INDEX(INPUTS!$E$42:$E$50,ROWS(INPUTS!$E$42:$E$50)),"LARGER",INDEX(INPUTS!$D$42:$D$50,MATCH(AG_REQ!I50,INPUTS!$E$42:$E$50,1)+1)))))</f>
        <v>14x24</v>
      </c>
      <c r="J50" s="4" t="str">
        <f aca="false">IF(TRIB!J50="","",IF(OR(ARCH!J50="",LEFT(ARCH!J50,3)="14x"),IF(AG_REQ!J50&lt;=INDEX(INPUTS!$B$42:$B$50,1),INDEX(INPUTS!$A$42:$A$50,1),IF(AG_REQ!J50&gt;INDEX(INPUTS!$B$42:$B$50,ROWS(INPUTS!$B$42:$B$50)),"LARGER",INDEX(INPUTS!$A$42:$A$50,MATCH(AG_REQ!J50,INPUTS!$B$42:$B$50,1)+1))),IF(AG_REQ!J50&lt;=INDEX(INPUTS!$E$42:$E$50,1),INDEX(INPUTS!$D$42:$D$50,1),IF(AG_REQ!J50&gt;INDEX(INPUTS!$E$42:$E$50,ROWS(INPUTS!$E$42:$E$50)),"LARGER",INDEX(INPUTS!$D$42:$D$50,MATCH(AG_REQ!J50,INPUTS!$E$42:$E$50,1)+1)))))</f>
        <v>14x24</v>
      </c>
      <c r="K50" s="4" t="str">
        <f aca="false">IF(TRIB!K50="","",IF(OR(ARCH!K50="",LEFT(ARCH!K50,3)="14x"),IF(AG_REQ!K50&lt;=INDEX(INPUTS!$B$42:$B$50,1),INDEX(INPUTS!$A$42:$A$50,1),IF(AG_REQ!K50&gt;INDEX(INPUTS!$B$42:$B$50,ROWS(INPUTS!$B$42:$B$50)),"LARGER",INDEX(INPUTS!$A$42:$A$50,MATCH(AG_REQ!K50,INPUTS!$B$42:$B$50,1)+1))),IF(AG_REQ!K50&lt;=INDEX(INPUTS!$E$42:$E$50,1),INDEX(INPUTS!$D$42:$D$50,1),IF(AG_REQ!K50&gt;INDEX(INPUTS!$E$42:$E$50,ROWS(INPUTS!$E$42:$E$50)),"LARGER",INDEX(INPUTS!$D$42:$D$50,MATCH(AG_REQ!K50,INPUTS!$E$42:$E$50,1)+1)))))</f>
        <v>14x24</v>
      </c>
      <c r="L50" s="4" t="str">
        <f aca="false">IF(TRIB!L50="","",IF(OR(ARCH!L50="",LEFT(ARCH!L50,3)="14x"),IF(AG_REQ!L50&lt;=INDEX(INPUTS!$B$42:$B$50,1),INDEX(INPUTS!$A$42:$A$50,1),IF(AG_REQ!L50&gt;INDEX(INPUTS!$B$42:$B$50,ROWS(INPUTS!$B$42:$B$50)),"LARGER",INDEX(INPUTS!$A$42:$A$50,MATCH(AG_REQ!L50,INPUTS!$B$42:$B$50,1)+1))),IF(AG_REQ!L50&lt;=INDEX(INPUTS!$E$42:$E$50,1),INDEX(INPUTS!$D$42:$D$50,1),IF(AG_REQ!L50&gt;INDEX(INPUTS!$E$42:$E$50,ROWS(INPUTS!$E$42:$E$50)),"LARGER",INDEX(INPUTS!$D$42:$D$50,MATCH(AG_REQ!L50,INPUTS!$E$42:$E$50,1)+1)))))</f>
        <v>14x24</v>
      </c>
      <c r="M50" s="4" t="str">
        <f aca="false">IF(TRIB!M50="","",IF(OR(ARCH!M50="",LEFT(ARCH!M50,3)="14x"),IF(AG_REQ!M50&lt;=INDEX(INPUTS!$B$42:$B$50,1),INDEX(INPUTS!$A$42:$A$50,1),IF(AG_REQ!M50&gt;INDEX(INPUTS!$B$42:$B$50,ROWS(INPUTS!$B$42:$B$50)),"LARGER",INDEX(INPUTS!$A$42:$A$50,MATCH(AG_REQ!M50,INPUTS!$B$42:$B$50,1)+1))),IF(AG_REQ!M50&lt;=INDEX(INPUTS!$E$42:$E$50,1),INDEX(INPUTS!$D$42:$D$50,1),IF(AG_REQ!M50&gt;INDEX(INPUTS!$E$42:$E$50,ROWS(INPUTS!$E$42:$E$50)),"LARGER",INDEX(INPUTS!$D$42:$D$50,MATCH(AG_REQ!M50,INPUTS!$E$42:$E$50,1)+1)))))</f>
        <v>14x24</v>
      </c>
      <c r="N50" s="4" t="str">
        <f aca="false">IF(TRIB!N50="","",IF(OR(ARCH!N50="",LEFT(ARCH!N50,3)="14x"),IF(AG_REQ!N50&lt;=INDEX(INPUTS!$B$42:$B$50,1),INDEX(INPUTS!$A$42:$A$50,1),IF(AG_REQ!N50&gt;INDEX(INPUTS!$B$42:$B$50,ROWS(INPUTS!$B$42:$B$50)),"LARGER",INDEX(INPUTS!$A$42:$A$50,MATCH(AG_REQ!N50,INPUTS!$B$42:$B$50,1)+1))),IF(AG_REQ!N50&lt;=INDEX(INPUTS!$E$42:$E$50,1),INDEX(INPUTS!$D$42:$D$50,1),IF(AG_REQ!N50&gt;INDEX(INPUTS!$E$42:$E$50,ROWS(INPUTS!$E$42:$E$50)),"LARGER",INDEX(INPUTS!$D$42:$D$50,MATCH(AG_REQ!N50,INPUTS!$E$42:$E$50,1)+1)))))</f>
        <v>14x24</v>
      </c>
      <c r="O50" s="4" t="str">
        <f aca="false">IF(TRIB!O50="","",IF(OR(ARCH!O50="",LEFT(ARCH!O50,3)="14x"),IF(AG_REQ!O50&lt;=INDEX(INPUTS!$B$42:$B$50,1),INDEX(INPUTS!$A$42:$A$50,1),IF(AG_REQ!O50&gt;INDEX(INPUTS!$B$42:$B$50,ROWS(INPUTS!$B$42:$B$50)),"LARGER",INDEX(INPUTS!$A$42:$A$50,MATCH(AG_REQ!O50,INPUTS!$B$42:$B$50,1)+1))),IF(AG_REQ!O50&lt;=INDEX(INPUTS!$E$42:$E$50,1),INDEX(INPUTS!$D$42:$D$50,1),IF(AG_REQ!O50&gt;INDEX(INPUTS!$E$42:$E$50,ROWS(INPUTS!$E$42:$E$50)),"LARGER",INDEX(INPUTS!$D$42:$D$50,MATCH(AG_REQ!O50,INPUTS!$E$42:$E$50,1)+1)))))</f>
        <v>14x24</v>
      </c>
      <c r="P50" s="4" t="str">
        <f aca="false">IF(TRIB!P50="","",IF(OR(ARCH!P50="",LEFT(ARCH!P50,3)="14x"),IF(AG_REQ!P50&lt;=INDEX(INPUTS!$B$42:$B$50,1),INDEX(INPUTS!$A$42:$A$50,1),IF(AG_REQ!P50&gt;INDEX(INPUTS!$B$42:$B$50,ROWS(INPUTS!$B$42:$B$50)),"LARGER",INDEX(INPUTS!$A$42:$A$50,MATCH(AG_REQ!P50,INPUTS!$B$42:$B$50,1)+1))),IF(AG_REQ!P50&lt;=INDEX(INPUTS!$E$42:$E$50,1),INDEX(INPUTS!$D$42:$D$50,1),IF(AG_REQ!P50&gt;INDEX(INPUTS!$E$42:$E$50,ROWS(INPUTS!$E$42:$E$50)),"LARGER",INDEX(INPUTS!$D$42:$D$50,MATCH(AG_REQ!P50,INPUTS!$E$42:$E$50,1)+1)))))</f>
        <v>14x24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4" t="str">
        <f aca="false">IF(TRIB!E51="","",IF(OR(ARCH!E51="",LEFT(ARCH!E51,3)="14x"),IF(AG_REQ!E51&lt;=INDEX(INPUTS!$B$42:$B$50,1),INDEX(INPUTS!$A$42:$A$50,1),IF(AG_REQ!E51&gt;INDEX(INPUTS!$B$42:$B$50,ROWS(INPUTS!$B$42:$B$50)),"LARGER",INDEX(INPUTS!$A$42:$A$50,MATCH(AG_REQ!E51,INPUTS!$B$42:$B$50,1)+1))),IF(AG_REQ!E51&lt;=INDEX(INPUTS!$E$42:$E$50,1),INDEX(INPUTS!$D$42:$D$50,1),IF(AG_REQ!E51&gt;INDEX(INPUTS!$E$42:$E$50,ROWS(INPUTS!$E$42:$E$50)),"LARGER",INDEX(INPUTS!$D$42:$D$50,MATCH(AG_REQ!E51,INPUTS!$E$42:$E$50,1)+1)))))</f>
        <v/>
      </c>
      <c r="F51" s="4" t="str">
        <f aca="false">IF(TRIB!F51="","",IF(OR(ARCH!F51="",LEFT(ARCH!F51,3)="14x"),IF(AG_REQ!F51&lt;=INDEX(INPUTS!$B$42:$B$50,1),INDEX(INPUTS!$A$42:$A$50,1),IF(AG_REQ!F51&gt;INDEX(INPUTS!$B$42:$B$50,ROWS(INPUTS!$B$42:$B$50)),"LARGER",INDEX(INPUTS!$A$42:$A$50,MATCH(AG_REQ!F51,INPUTS!$B$42:$B$50,1)+1))),IF(AG_REQ!F51&lt;=INDEX(INPUTS!$E$42:$E$50,1),INDEX(INPUTS!$D$42:$D$50,1),IF(AG_REQ!F51&gt;INDEX(INPUTS!$E$42:$E$50,ROWS(INPUTS!$E$42:$E$50)),"LARGER",INDEX(INPUTS!$D$42:$D$50,MATCH(AG_REQ!F51,INPUTS!$E$42:$E$50,1)+1)))))</f>
        <v>14x24</v>
      </c>
      <c r="G51" s="4" t="str">
        <f aca="false">IF(TRIB!G51="","",IF(OR(ARCH!G51="",LEFT(ARCH!G51,3)="14x"),IF(AG_REQ!G51&lt;=INDEX(INPUTS!$B$42:$B$50,1),INDEX(INPUTS!$A$42:$A$50,1),IF(AG_REQ!G51&gt;INDEX(INPUTS!$B$42:$B$50,ROWS(INPUTS!$B$42:$B$50)),"LARGER",INDEX(INPUTS!$A$42:$A$50,MATCH(AG_REQ!G51,INPUTS!$B$42:$B$50,1)+1))),IF(AG_REQ!G51&lt;=INDEX(INPUTS!$E$42:$E$50,1),INDEX(INPUTS!$D$42:$D$50,1),IF(AG_REQ!G51&gt;INDEX(INPUTS!$E$42:$E$50,ROWS(INPUTS!$E$42:$E$50)),"LARGER",INDEX(INPUTS!$D$42:$D$50,MATCH(AG_REQ!G51,INPUTS!$E$42:$E$50,1)+1)))))</f>
        <v>14x24</v>
      </c>
      <c r="H51" s="4" t="str">
        <f aca="false">IF(TRIB!H51="","",IF(OR(ARCH!H51="",LEFT(ARCH!H51,3)="14x"),IF(AG_REQ!H51&lt;=INDEX(INPUTS!$B$42:$B$50,1),INDEX(INPUTS!$A$42:$A$50,1),IF(AG_REQ!H51&gt;INDEX(INPUTS!$B$42:$B$50,ROWS(INPUTS!$B$42:$B$50)),"LARGER",INDEX(INPUTS!$A$42:$A$50,MATCH(AG_REQ!H51,INPUTS!$B$42:$B$50,1)+1))),IF(AG_REQ!H51&lt;=INDEX(INPUTS!$E$42:$E$50,1),INDEX(INPUTS!$D$42:$D$50,1),IF(AG_REQ!H51&gt;INDEX(INPUTS!$E$42:$E$50,ROWS(INPUTS!$E$42:$E$50)),"LARGER",INDEX(INPUTS!$D$42:$D$50,MATCH(AG_REQ!H51,INPUTS!$E$42:$E$50,1)+1)))))</f>
        <v>14x24</v>
      </c>
      <c r="I51" s="4" t="str">
        <f aca="false">IF(TRIB!I51="","",IF(OR(ARCH!I51="",LEFT(ARCH!I51,3)="14x"),IF(AG_REQ!I51&lt;=INDEX(INPUTS!$B$42:$B$50,1),INDEX(INPUTS!$A$42:$A$50,1),IF(AG_REQ!I51&gt;INDEX(INPUTS!$B$42:$B$50,ROWS(INPUTS!$B$42:$B$50)),"LARGER",INDEX(INPUTS!$A$42:$A$50,MATCH(AG_REQ!I51,INPUTS!$B$42:$B$50,1)+1))),IF(AG_REQ!I51&lt;=INDEX(INPUTS!$E$42:$E$50,1),INDEX(INPUTS!$D$42:$D$50,1),IF(AG_REQ!I51&gt;INDEX(INPUTS!$E$42:$E$50,ROWS(INPUTS!$E$42:$E$50)),"LARGER",INDEX(INPUTS!$D$42:$D$50,MATCH(AG_REQ!I51,INPUTS!$E$42:$E$50,1)+1)))))</f>
        <v>14x24</v>
      </c>
      <c r="J51" s="4" t="str">
        <f aca="false">IF(TRIB!J51="","",IF(OR(ARCH!J51="",LEFT(ARCH!J51,3)="14x"),IF(AG_REQ!J51&lt;=INDEX(INPUTS!$B$42:$B$50,1),INDEX(INPUTS!$A$42:$A$50,1),IF(AG_REQ!J51&gt;INDEX(INPUTS!$B$42:$B$50,ROWS(INPUTS!$B$42:$B$50)),"LARGER",INDEX(INPUTS!$A$42:$A$50,MATCH(AG_REQ!J51,INPUTS!$B$42:$B$50,1)+1))),IF(AG_REQ!J51&lt;=INDEX(INPUTS!$E$42:$E$50,1),INDEX(INPUTS!$D$42:$D$50,1),IF(AG_REQ!J51&gt;INDEX(INPUTS!$E$42:$E$50,ROWS(INPUTS!$E$42:$E$50)),"LARGER",INDEX(INPUTS!$D$42:$D$50,MATCH(AG_REQ!J51,INPUTS!$E$42:$E$50,1)+1)))))</f>
        <v>14x24</v>
      </c>
      <c r="K51" s="4" t="str">
        <f aca="false">IF(TRIB!K51="","",IF(OR(ARCH!K51="",LEFT(ARCH!K51,3)="14x"),IF(AG_REQ!K51&lt;=INDEX(INPUTS!$B$42:$B$50,1),INDEX(INPUTS!$A$42:$A$50,1),IF(AG_REQ!K51&gt;INDEX(INPUTS!$B$42:$B$50,ROWS(INPUTS!$B$42:$B$50)),"LARGER",INDEX(INPUTS!$A$42:$A$50,MATCH(AG_REQ!K51,INPUTS!$B$42:$B$50,1)+1))),IF(AG_REQ!K51&lt;=INDEX(INPUTS!$E$42:$E$50,1),INDEX(INPUTS!$D$42:$D$50,1),IF(AG_REQ!K51&gt;INDEX(INPUTS!$E$42:$E$50,ROWS(INPUTS!$E$42:$E$50)),"LARGER",INDEX(INPUTS!$D$42:$D$50,MATCH(AG_REQ!K51,INPUTS!$E$42:$E$50,1)+1)))))</f>
        <v>14x24</v>
      </c>
      <c r="L51" s="4" t="str">
        <f aca="false">IF(TRIB!L51="","",IF(OR(ARCH!L51="",LEFT(ARCH!L51,3)="14x"),IF(AG_REQ!L51&lt;=INDEX(INPUTS!$B$42:$B$50,1),INDEX(INPUTS!$A$42:$A$50,1),IF(AG_REQ!L51&gt;INDEX(INPUTS!$B$42:$B$50,ROWS(INPUTS!$B$42:$B$50)),"LARGER",INDEX(INPUTS!$A$42:$A$50,MATCH(AG_REQ!L51,INPUTS!$B$42:$B$50,1)+1))),IF(AG_REQ!L51&lt;=INDEX(INPUTS!$E$42:$E$50,1),INDEX(INPUTS!$D$42:$D$50,1),IF(AG_REQ!L51&gt;INDEX(INPUTS!$E$42:$E$50,ROWS(INPUTS!$E$42:$E$50)),"LARGER",INDEX(INPUTS!$D$42:$D$50,MATCH(AG_REQ!L51,INPUTS!$E$42:$E$50,1)+1)))))</f>
        <v>14x24</v>
      </c>
      <c r="M51" s="4" t="str">
        <f aca="false">IF(TRIB!M51="","",IF(OR(ARCH!M51="",LEFT(ARCH!M51,3)="14x"),IF(AG_REQ!M51&lt;=INDEX(INPUTS!$B$42:$B$50,1),INDEX(INPUTS!$A$42:$A$50,1),IF(AG_REQ!M51&gt;INDEX(INPUTS!$B$42:$B$50,ROWS(INPUTS!$B$42:$B$50)),"LARGER",INDEX(INPUTS!$A$42:$A$50,MATCH(AG_REQ!M51,INPUTS!$B$42:$B$50,1)+1))),IF(AG_REQ!M51&lt;=INDEX(INPUTS!$E$42:$E$50,1),INDEX(INPUTS!$D$42:$D$50,1),IF(AG_REQ!M51&gt;INDEX(INPUTS!$E$42:$E$50,ROWS(INPUTS!$E$42:$E$50)),"LARGER",INDEX(INPUTS!$D$42:$D$50,MATCH(AG_REQ!M51,INPUTS!$E$42:$E$50,1)+1)))))</f>
        <v>14x24</v>
      </c>
      <c r="N51" s="4" t="str">
        <f aca="false">IF(TRIB!N51="","",IF(OR(ARCH!N51="",LEFT(ARCH!N51,3)="14x"),IF(AG_REQ!N51&lt;=INDEX(INPUTS!$B$42:$B$50,1),INDEX(INPUTS!$A$42:$A$50,1),IF(AG_REQ!N51&gt;INDEX(INPUTS!$B$42:$B$50,ROWS(INPUTS!$B$42:$B$50)),"LARGER",INDEX(INPUTS!$A$42:$A$50,MATCH(AG_REQ!N51,INPUTS!$B$42:$B$50,1)+1))),IF(AG_REQ!N51&lt;=INDEX(INPUTS!$E$42:$E$50,1),INDEX(INPUTS!$D$42:$D$50,1),IF(AG_REQ!N51&gt;INDEX(INPUTS!$E$42:$E$50,ROWS(INPUTS!$E$42:$E$50)),"LARGER",INDEX(INPUTS!$D$42:$D$50,MATCH(AG_REQ!N51,INPUTS!$E$42:$E$50,1)+1)))))</f>
        <v>14x24</v>
      </c>
      <c r="O51" s="4" t="str">
        <f aca="false">IF(TRIB!O51="","",IF(OR(ARCH!O51="",LEFT(ARCH!O51,3)="14x"),IF(AG_REQ!O51&lt;=INDEX(INPUTS!$B$42:$B$50,1),INDEX(INPUTS!$A$42:$A$50,1),IF(AG_REQ!O51&gt;INDEX(INPUTS!$B$42:$B$50,ROWS(INPUTS!$B$42:$B$50)),"LARGER",INDEX(INPUTS!$A$42:$A$50,MATCH(AG_REQ!O51,INPUTS!$B$42:$B$50,1)+1))),IF(AG_REQ!O51&lt;=INDEX(INPUTS!$E$42:$E$50,1),INDEX(INPUTS!$D$42:$D$50,1),IF(AG_REQ!O51&gt;INDEX(INPUTS!$E$42:$E$50,ROWS(INPUTS!$E$42:$E$50)),"LARGER",INDEX(INPUTS!$D$42:$D$50,MATCH(AG_REQ!O51,INPUTS!$E$42:$E$50,1)+1)))))</f>
        <v>14x24</v>
      </c>
      <c r="P51" s="4" t="str">
        <f aca="false">IF(TRIB!P51="","",IF(OR(ARCH!P51="",LEFT(ARCH!P51,3)="14x"),IF(AG_REQ!P51&lt;=INDEX(INPUTS!$B$42:$B$50,1),INDEX(INPUTS!$A$42:$A$50,1),IF(AG_REQ!P51&gt;INDEX(INPUTS!$B$42:$B$50,ROWS(INPUTS!$B$42:$B$50)),"LARGER",INDEX(INPUTS!$A$42:$A$50,MATCH(AG_REQ!P51,INPUTS!$B$42:$B$50,1)+1))),IF(AG_REQ!P51&lt;=INDEX(INPUTS!$E$42:$E$50,1),INDEX(INPUTS!$D$42:$D$50,1),IF(AG_REQ!P51&gt;INDEX(INPUTS!$E$42:$E$50,ROWS(INPUTS!$E$42:$E$50)),"LARGER",INDEX(INPUTS!$D$42:$D$50,MATCH(AG_REQ!P51,INPUTS!$E$42:$E$50,1)+1)))))</f>
        <v>14x24</v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4" t="str">
        <f aca="false">IF(TRIB!E52="","",IF(OR(ARCH!E52="",LEFT(ARCH!E52,3)="14x"),IF(AG_REQ!E52&lt;=INDEX(INPUTS!$B$42:$B$50,1),INDEX(INPUTS!$A$42:$A$50,1),IF(AG_REQ!E52&gt;INDEX(INPUTS!$B$42:$B$50,ROWS(INPUTS!$B$42:$B$50)),"LARGER",INDEX(INPUTS!$A$42:$A$50,MATCH(AG_REQ!E52,INPUTS!$B$42:$B$50,1)+1))),IF(AG_REQ!E52&lt;=INDEX(INPUTS!$E$42:$E$50,1),INDEX(INPUTS!$D$42:$D$50,1),IF(AG_REQ!E52&gt;INDEX(INPUTS!$E$42:$E$50,ROWS(INPUTS!$E$42:$E$50)),"LARGER",INDEX(INPUTS!$D$42:$D$50,MATCH(AG_REQ!E52,INPUTS!$E$42:$E$50,1)+1)))))</f>
        <v/>
      </c>
      <c r="F52" s="4" t="str">
        <f aca="false">IF(TRIB!F52="","",IF(OR(ARCH!F52="",LEFT(ARCH!F52,3)="14x"),IF(AG_REQ!F52&lt;=INDEX(INPUTS!$B$42:$B$50,1),INDEX(INPUTS!$A$42:$A$50,1),IF(AG_REQ!F52&gt;INDEX(INPUTS!$B$42:$B$50,ROWS(INPUTS!$B$42:$B$50)),"LARGER",INDEX(INPUTS!$A$42:$A$50,MATCH(AG_REQ!F52,INPUTS!$B$42:$B$50,1)+1))),IF(AG_REQ!F52&lt;=INDEX(INPUTS!$E$42:$E$50,1),INDEX(INPUTS!$D$42:$D$50,1),IF(AG_REQ!F52&gt;INDEX(INPUTS!$E$42:$E$50,ROWS(INPUTS!$E$42:$E$50)),"LARGER",INDEX(INPUTS!$D$42:$D$50,MATCH(AG_REQ!F52,INPUTS!$E$42:$E$50,1)+1)))))</f>
        <v>14x24</v>
      </c>
      <c r="G52" s="4" t="str">
        <f aca="false">IF(TRIB!G52="","",IF(OR(ARCH!G52="",LEFT(ARCH!G52,3)="14x"),IF(AG_REQ!G52&lt;=INDEX(INPUTS!$B$42:$B$50,1),INDEX(INPUTS!$A$42:$A$50,1),IF(AG_REQ!G52&gt;INDEX(INPUTS!$B$42:$B$50,ROWS(INPUTS!$B$42:$B$50)),"LARGER",INDEX(INPUTS!$A$42:$A$50,MATCH(AG_REQ!G52,INPUTS!$B$42:$B$50,1)+1))),IF(AG_REQ!G52&lt;=INDEX(INPUTS!$E$42:$E$50,1),INDEX(INPUTS!$D$42:$D$50,1),IF(AG_REQ!G52&gt;INDEX(INPUTS!$E$42:$E$50,ROWS(INPUTS!$E$42:$E$50)),"LARGER",INDEX(INPUTS!$D$42:$D$50,MATCH(AG_REQ!G52,INPUTS!$E$42:$E$50,1)+1)))))</f>
        <v>14x24</v>
      </c>
      <c r="H52" s="4" t="str">
        <f aca="false">IF(TRIB!H52="","",IF(OR(ARCH!H52="",LEFT(ARCH!H52,3)="14x"),IF(AG_REQ!H52&lt;=INDEX(INPUTS!$B$42:$B$50,1),INDEX(INPUTS!$A$42:$A$50,1),IF(AG_REQ!H52&gt;INDEX(INPUTS!$B$42:$B$50,ROWS(INPUTS!$B$42:$B$50)),"LARGER",INDEX(INPUTS!$A$42:$A$50,MATCH(AG_REQ!H52,INPUTS!$B$42:$B$50,1)+1))),IF(AG_REQ!H52&lt;=INDEX(INPUTS!$E$42:$E$50,1),INDEX(INPUTS!$D$42:$D$50,1),IF(AG_REQ!H52&gt;INDEX(INPUTS!$E$42:$E$50,ROWS(INPUTS!$E$42:$E$50)),"LARGER",INDEX(INPUTS!$D$42:$D$50,MATCH(AG_REQ!H52,INPUTS!$E$42:$E$50,1)+1)))))</f>
        <v>14x24</v>
      </c>
      <c r="I52" s="4" t="str">
        <f aca="false">IF(TRIB!I52="","",IF(OR(ARCH!I52="",LEFT(ARCH!I52,3)="14x"),IF(AG_REQ!I52&lt;=INDEX(INPUTS!$B$42:$B$50,1),INDEX(INPUTS!$A$42:$A$50,1),IF(AG_REQ!I52&gt;INDEX(INPUTS!$B$42:$B$50,ROWS(INPUTS!$B$42:$B$50)),"LARGER",INDEX(INPUTS!$A$42:$A$50,MATCH(AG_REQ!I52,INPUTS!$B$42:$B$50,1)+1))),IF(AG_REQ!I52&lt;=INDEX(INPUTS!$E$42:$E$50,1),INDEX(INPUTS!$D$42:$D$50,1),IF(AG_REQ!I52&gt;INDEX(INPUTS!$E$42:$E$50,ROWS(INPUTS!$E$42:$E$50)),"LARGER",INDEX(INPUTS!$D$42:$D$50,MATCH(AG_REQ!I52,INPUTS!$E$42:$E$50,1)+1)))))</f>
        <v>14x24</v>
      </c>
      <c r="J52" s="4" t="str">
        <f aca="false">IF(TRIB!J52="","",IF(OR(ARCH!J52="",LEFT(ARCH!J52,3)="14x"),IF(AG_REQ!J52&lt;=INDEX(INPUTS!$B$42:$B$50,1),INDEX(INPUTS!$A$42:$A$50,1),IF(AG_REQ!J52&gt;INDEX(INPUTS!$B$42:$B$50,ROWS(INPUTS!$B$42:$B$50)),"LARGER",INDEX(INPUTS!$A$42:$A$50,MATCH(AG_REQ!J52,INPUTS!$B$42:$B$50,1)+1))),IF(AG_REQ!J52&lt;=INDEX(INPUTS!$E$42:$E$50,1),INDEX(INPUTS!$D$42:$D$50,1),IF(AG_REQ!J52&gt;INDEX(INPUTS!$E$42:$E$50,ROWS(INPUTS!$E$42:$E$50)),"LARGER",INDEX(INPUTS!$D$42:$D$50,MATCH(AG_REQ!J52,INPUTS!$E$42:$E$50,1)+1)))))</f>
        <v>14x24</v>
      </c>
      <c r="K52" s="4" t="str">
        <f aca="false">IF(TRIB!K52="","",IF(OR(ARCH!K52="",LEFT(ARCH!K52,3)="14x"),IF(AG_REQ!K52&lt;=INDEX(INPUTS!$B$42:$B$50,1),INDEX(INPUTS!$A$42:$A$50,1),IF(AG_REQ!K52&gt;INDEX(INPUTS!$B$42:$B$50,ROWS(INPUTS!$B$42:$B$50)),"LARGER",INDEX(INPUTS!$A$42:$A$50,MATCH(AG_REQ!K52,INPUTS!$B$42:$B$50,1)+1))),IF(AG_REQ!K52&lt;=INDEX(INPUTS!$E$42:$E$50,1),INDEX(INPUTS!$D$42:$D$50,1),IF(AG_REQ!K52&gt;INDEX(INPUTS!$E$42:$E$50,ROWS(INPUTS!$E$42:$E$50)),"LARGER",INDEX(INPUTS!$D$42:$D$50,MATCH(AG_REQ!K52,INPUTS!$E$42:$E$50,1)+1)))))</f>
        <v>14x24</v>
      </c>
      <c r="L52" s="4" t="str">
        <f aca="false">IF(TRIB!L52="","",IF(OR(ARCH!L52="",LEFT(ARCH!L52,3)="14x"),IF(AG_REQ!L52&lt;=INDEX(INPUTS!$B$42:$B$50,1),INDEX(INPUTS!$A$42:$A$50,1),IF(AG_REQ!L52&gt;INDEX(INPUTS!$B$42:$B$50,ROWS(INPUTS!$B$42:$B$50)),"LARGER",INDEX(INPUTS!$A$42:$A$50,MATCH(AG_REQ!L52,INPUTS!$B$42:$B$50,1)+1))),IF(AG_REQ!L52&lt;=INDEX(INPUTS!$E$42:$E$50,1),INDEX(INPUTS!$D$42:$D$50,1),IF(AG_REQ!L52&gt;INDEX(INPUTS!$E$42:$E$50,ROWS(INPUTS!$E$42:$E$50)),"LARGER",INDEX(INPUTS!$D$42:$D$50,MATCH(AG_REQ!L52,INPUTS!$E$42:$E$50,1)+1)))))</f>
        <v>14x24</v>
      </c>
      <c r="M52" s="4" t="str">
        <f aca="false">IF(TRIB!M52="","",IF(OR(ARCH!M52="",LEFT(ARCH!M52,3)="14x"),IF(AG_REQ!M52&lt;=INDEX(INPUTS!$B$42:$B$50,1),INDEX(INPUTS!$A$42:$A$50,1),IF(AG_REQ!M52&gt;INDEX(INPUTS!$B$42:$B$50,ROWS(INPUTS!$B$42:$B$50)),"LARGER",INDEX(INPUTS!$A$42:$A$50,MATCH(AG_REQ!M52,INPUTS!$B$42:$B$50,1)+1))),IF(AG_REQ!M52&lt;=INDEX(INPUTS!$E$42:$E$50,1),INDEX(INPUTS!$D$42:$D$50,1),IF(AG_REQ!M52&gt;INDEX(INPUTS!$E$42:$E$50,ROWS(INPUTS!$E$42:$E$50)),"LARGER",INDEX(INPUTS!$D$42:$D$50,MATCH(AG_REQ!M52,INPUTS!$E$42:$E$50,1)+1)))))</f>
        <v>14x24</v>
      </c>
      <c r="N52" s="4" t="str">
        <f aca="false">IF(TRIB!N52="","",IF(OR(ARCH!N52="",LEFT(ARCH!N52,3)="14x"),IF(AG_REQ!N52&lt;=INDEX(INPUTS!$B$42:$B$50,1),INDEX(INPUTS!$A$42:$A$50,1),IF(AG_REQ!N52&gt;INDEX(INPUTS!$B$42:$B$50,ROWS(INPUTS!$B$42:$B$50)),"LARGER",INDEX(INPUTS!$A$42:$A$50,MATCH(AG_REQ!N52,INPUTS!$B$42:$B$50,1)+1))),IF(AG_REQ!N52&lt;=INDEX(INPUTS!$E$42:$E$50,1),INDEX(INPUTS!$D$42:$D$50,1),IF(AG_REQ!N52&gt;INDEX(INPUTS!$E$42:$E$50,ROWS(INPUTS!$E$42:$E$50)),"LARGER",INDEX(INPUTS!$D$42:$D$50,MATCH(AG_REQ!N52,INPUTS!$E$42:$E$50,1)+1)))))</f>
        <v>14x24</v>
      </c>
      <c r="O52" s="4" t="str">
        <f aca="false">IF(TRIB!O52="","",IF(OR(ARCH!O52="",LEFT(ARCH!O52,3)="14x"),IF(AG_REQ!O52&lt;=INDEX(INPUTS!$B$42:$B$50,1),INDEX(INPUTS!$A$42:$A$50,1),IF(AG_REQ!O52&gt;INDEX(INPUTS!$B$42:$B$50,ROWS(INPUTS!$B$42:$B$50)),"LARGER",INDEX(INPUTS!$A$42:$A$50,MATCH(AG_REQ!O52,INPUTS!$B$42:$B$50,1)+1))),IF(AG_REQ!O52&lt;=INDEX(INPUTS!$E$42:$E$50,1),INDEX(INPUTS!$D$42:$D$50,1),IF(AG_REQ!O52&gt;INDEX(INPUTS!$E$42:$E$50,ROWS(INPUTS!$E$42:$E$50)),"LARGER",INDEX(INPUTS!$D$42:$D$50,MATCH(AG_REQ!O52,INPUTS!$E$42:$E$50,1)+1)))))</f>
        <v>14x24</v>
      </c>
      <c r="P52" s="4" t="str">
        <f aca="false">IF(TRIB!P52="","",IF(OR(ARCH!P52="",LEFT(ARCH!P52,3)="14x"),IF(AG_REQ!P52&lt;=INDEX(INPUTS!$B$42:$B$50,1),INDEX(INPUTS!$A$42:$A$50,1),IF(AG_REQ!P52&gt;INDEX(INPUTS!$B$42:$B$50,ROWS(INPUTS!$B$42:$B$50)),"LARGER",INDEX(INPUTS!$A$42:$A$50,MATCH(AG_REQ!P52,INPUTS!$B$42:$B$50,1)+1))),IF(AG_REQ!P52&lt;=INDEX(INPUTS!$E$42:$E$50,1),INDEX(INPUTS!$D$42:$D$50,1),IF(AG_REQ!P52&gt;INDEX(INPUTS!$E$42:$E$50,ROWS(INPUTS!$E$42:$E$50)),"LARGER",INDEX(INPUTS!$D$42:$D$50,MATCH(AG_REQ!P52,INPUTS!$E$42:$E$50,1)+1)))))</f>
        <v>14x24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4" t="str">
        <f aca="false">IF(TRIB!E53="","",IF(OR(ARCH!E53="",LEFT(ARCH!E53,3)="14x"),IF(AG_REQ!E53&lt;=INDEX(INPUTS!$B$42:$B$50,1),INDEX(INPUTS!$A$42:$A$50,1),IF(AG_REQ!E53&gt;INDEX(INPUTS!$B$42:$B$50,ROWS(INPUTS!$B$42:$B$50)),"LARGER",INDEX(INPUTS!$A$42:$A$50,MATCH(AG_REQ!E53,INPUTS!$B$42:$B$50,1)+1))),IF(AG_REQ!E53&lt;=INDEX(INPUTS!$E$42:$E$50,1),INDEX(INPUTS!$D$42:$D$50,1),IF(AG_REQ!E53&gt;INDEX(INPUTS!$E$42:$E$50,ROWS(INPUTS!$E$42:$E$50)),"LARGER",INDEX(INPUTS!$D$42:$D$50,MATCH(AG_REQ!E53,INPUTS!$E$42:$E$50,1)+1)))))</f>
        <v>14x24</v>
      </c>
      <c r="F53" s="4" t="str">
        <f aca="false">IF(TRIB!F53="","",IF(OR(ARCH!F53="",LEFT(ARCH!F53,3)="14x"),IF(AG_REQ!F53&lt;=INDEX(INPUTS!$B$42:$B$50,1),INDEX(INPUTS!$A$42:$A$50,1),IF(AG_REQ!F53&gt;INDEX(INPUTS!$B$42:$B$50,ROWS(INPUTS!$B$42:$B$50)),"LARGER",INDEX(INPUTS!$A$42:$A$50,MATCH(AG_REQ!F53,INPUTS!$B$42:$B$50,1)+1))),IF(AG_REQ!F53&lt;=INDEX(INPUTS!$E$42:$E$50,1),INDEX(INPUTS!$D$42:$D$50,1),IF(AG_REQ!F53&gt;INDEX(INPUTS!$E$42:$E$50,ROWS(INPUTS!$E$42:$E$50)),"LARGER",INDEX(INPUTS!$D$42:$D$50,MATCH(AG_REQ!F53,INPUTS!$E$42:$E$50,1)+1)))))</f>
        <v>14x24</v>
      </c>
      <c r="G53" s="4" t="str">
        <f aca="false">IF(TRIB!G53="","",IF(OR(ARCH!G53="",LEFT(ARCH!G53,3)="14x"),IF(AG_REQ!G53&lt;=INDEX(INPUTS!$B$42:$B$50,1),INDEX(INPUTS!$A$42:$A$50,1),IF(AG_REQ!G53&gt;INDEX(INPUTS!$B$42:$B$50,ROWS(INPUTS!$B$42:$B$50)),"LARGER",INDEX(INPUTS!$A$42:$A$50,MATCH(AG_REQ!G53,INPUTS!$B$42:$B$50,1)+1))),IF(AG_REQ!G53&lt;=INDEX(INPUTS!$E$42:$E$50,1),INDEX(INPUTS!$D$42:$D$50,1),IF(AG_REQ!G53&gt;INDEX(INPUTS!$E$42:$E$50,ROWS(INPUTS!$E$42:$E$50)),"LARGER",INDEX(INPUTS!$D$42:$D$50,MATCH(AG_REQ!G53,INPUTS!$E$42:$E$50,1)+1)))))</f>
        <v>14x24</v>
      </c>
      <c r="H53" s="4" t="str">
        <f aca="false">IF(TRIB!H53="","",IF(OR(ARCH!H53="",LEFT(ARCH!H53,3)="14x"),IF(AG_REQ!H53&lt;=INDEX(INPUTS!$B$42:$B$50,1),INDEX(INPUTS!$A$42:$A$50,1),IF(AG_REQ!H53&gt;INDEX(INPUTS!$B$42:$B$50,ROWS(INPUTS!$B$42:$B$50)),"LARGER",INDEX(INPUTS!$A$42:$A$50,MATCH(AG_REQ!H53,INPUTS!$B$42:$B$50,1)+1))),IF(AG_REQ!H53&lt;=INDEX(INPUTS!$E$42:$E$50,1),INDEX(INPUTS!$D$42:$D$50,1),IF(AG_REQ!H53&gt;INDEX(INPUTS!$E$42:$E$50,ROWS(INPUTS!$E$42:$E$50)),"LARGER",INDEX(INPUTS!$D$42:$D$50,MATCH(AG_REQ!H53,INPUTS!$E$42:$E$50,1)+1)))))</f>
        <v>14x24</v>
      </c>
      <c r="I53" s="4" t="str">
        <f aca="false">IF(TRIB!I53="","",IF(OR(ARCH!I53="",LEFT(ARCH!I53,3)="14x"),IF(AG_REQ!I53&lt;=INDEX(INPUTS!$B$42:$B$50,1),INDEX(INPUTS!$A$42:$A$50,1),IF(AG_REQ!I53&gt;INDEX(INPUTS!$B$42:$B$50,ROWS(INPUTS!$B$42:$B$50)),"LARGER",INDEX(INPUTS!$A$42:$A$50,MATCH(AG_REQ!I53,INPUTS!$B$42:$B$50,1)+1))),IF(AG_REQ!I53&lt;=INDEX(INPUTS!$E$42:$E$50,1),INDEX(INPUTS!$D$42:$D$50,1),IF(AG_REQ!I53&gt;INDEX(INPUTS!$E$42:$E$50,ROWS(INPUTS!$E$42:$E$50)),"LARGER",INDEX(INPUTS!$D$42:$D$50,MATCH(AG_REQ!I53,INPUTS!$E$42:$E$50,1)+1)))))</f>
        <v>14x24</v>
      </c>
      <c r="J53" s="4" t="str">
        <f aca="false">IF(TRIB!J53="","",IF(OR(ARCH!J53="",LEFT(ARCH!J53,3)="14x"),IF(AG_REQ!J53&lt;=INDEX(INPUTS!$B$42:$B$50,1),INDEX(INPUTS!$A$42:$A$50,1),IF(AG_REQ!J53&gt;INDEX(INPUTS!$B$42:$B$50,ROWS(INPUTS!$B$42:$B$50)),"LARGER",INDEX(INPUTS!$A$42:$A$50,MATCH(AG_REQ!J53,INPUTS!$B$42:$B$50,1)+1))),IF(AG_REQ!J53&lt;=INDEX(INPUTS!$E$42:$E$50,1),INDEX(INPUTS!$D$42:$D$50,1),IF(AG_REQ!J53&gt;INDEX(INPUTS!$E$42:$E$50,ROWS(INPUTS!$E$42:$E$50)),"LARGER",INDEX(INPUTS!$D$42:$D$50,MATCH(AG_REQ!J53,INPUTS!$E$42:$E$50,1)+1)))))</f>
        <v>14x24</v>
      </c>
      <c r="K53" s="4" t="str">
        <f aca="false">IF(TRIB!K53="","",IF(OR(ARCH!K53="",LEFT(ARCH!K53,3)="14x"),IF(AG_REQ!K53&lt;=INDEX(INPUTS!$B$42:$B$50,1),INDEX(INPUTS!$A$42:$A$50,1),IF(AG_REQ!K53&gt;INDEX(INPUTS!$B$42:$B$50,ROWS(INPUTS!$B$42:$B$50)),"LARGER",INDEX(INPUTS!$A$42:$A$50,MATCH(AG_REQ!K53,INPUTS!$B$42:$B$50,1)+1))),IF(AG_REQ!K53&lt;=INDEX(INPUTS!$E$42:$E$50,1),INDEX(INPUTS!$D$42:$D$50,1),IF(AG_REQ!K53&gt;INDEX(INPUTS!$E$42:$E$50,ROWS(INPUTS!$E$42:$E$50)),"LARGER",INDEX(INPUTS!$D$42:$D$50,MATCH(AG_REQ!K53,INPUTS!$E$42:$E$50,1)+1)))))</f>
        <v>14x24</v>
      </c>
      <c r="L53" s="4" t="str">
        <f aca="false">IF(TRIB!L53="","",IF(OR(ARCH!L53="",LEFT(ARCH!L53,3)="14x"),IF(AG_REQ!L53&lt;=INDEX(INPUTS!$B$42:$B$50,1),INDEX(INPUTS!$A$42:$A$50,1),IF(AG_REQ!L53&gt;INDEX(INPUTS!$B$42:$B$50,ROWS(INPUTS!$B$42:$B$50)),"LARGER",INDEX(INPUTS!$A$42:$A$50,MATCH(AG_REQ!L53,INPUTS!$B$42:$B$50,1)+1))),IF(AG_REQ!L53&lt;=INDEX(INPUTS!$E$42:$E$50,1),INDEX(INPUTS!$D$42:$D$50,1),IF(AG_REQ!L53&gt;INDEX(INPUTS!$E$42:$E$50,ROWS(INPUTS!$E$42:$E$50)),"LARGER",INDEX(INPUTS!$D$42:$D$50,MATCH(AG_REQ!L53,INPUTS!$E$42:$E$50,1)+1)))))</f>
        <v>14x24</v>
      </c>
      <c r="M53" s="4" t="str">
        <f aca="false">IF(TRIB!M53="","",IF(OR(ARCH!M53="",LEFT(ARCH!M53,3)="14x"),IF(AG_REQ!M53&lt;=INDEX(INPUTS!$B$42:$B$50,1),INDEX(INPUTS!$A$42:$A$50,1),IF(AG_REQ!M53&gt;INDEX(INPUTS!$B$42:$B$50,ROWS(INPUTS!$B$42:$B$50)),"LARGER",INDEX(INPUTS!$A$42:$A$50,MATCH(AG_REQ!M53,INPUTS!$B$42:$B$50,1)+1))),IF(AG_REQ!M53&lt;=INDEX(INPUTS!$E$42:$E$50,1),INDEX(INPUTS!$D$42:$D$50,1),IF(AG_REQ!M53&gt;INDEX(INPUTS!$E$42:$E$50,ROWS(INPUTS!$E$42:$E$50)),"LARGER",INDEX(INPUTS!$D$42:$D$50,MATCH(AG_REQ!M53,INPUTS!$E$42:$E$50,1)+1)))))</f>
        <v>14x24</v>
      </c>
      <c r="N53" s="4" t="str">
        <f aca="false">IF(TRIB!N53="","",IF(OR(ARCH!N53="",LEFT(ARCH!N53,3)="14x"),IF(AG_REQ!N53&lt;=INDEX(INPUTS!$B$42:$B$50,1),INDEX(INPUTS!$A$42:$A$50,1),IF(AG_REQ!N53&gt;INDEX(INPUTS!$B$42:$B$50,ROWS(INPUTS!$B$42:$B$50)),"LARGER",INDEX(INPUTS!$A$42:$A$50,MATCH(AG_REQ!N53,INPUTS!$B$42:$B$50,1)+1))),IF(AG_REQ!N53&lt;=INDEX(INPUTS!$E$42:$E$50,1),INDEX(INPUTS!$D$42:$D$50,1),IF(AG_REQ!N53&gt;INDEX(INPUTS!$E$42:$E$50,ROWS(INPUTS!$E$42:$E$50)),"LARGER",INDEX(INPUTS!$D$42:$D$50,MATCH(AG_REQ!N53,INPUTS!$E$42:$E$50,1)+1)))))</f>
        <v>14x24</v>
      </c>
      <c r="O53" s="4" t="str">
        <f aca="false">IF(TRIB!O53="","",IF(OR(ARCH!O53="",LEFT(ARCH!O53,3)="14x"),IF(AG_REQ!O53&lt;=INDEX(INPUTS!$B$42:$B$50,1),INDEX(INPUTS!$A$42:$A$50,1),IF(AG_REQ!O53&gt;INDEX(INPUTS!$B$42:$B$50,ROWS(INPUTS!$B$42:$B$50)),"LARGER",INDEX(INPUTS!$A$42:$A$50,MATCH(AG_REQ!O53,INPUTS!$B$42:$B$50,1)+1))),IF(AG_REQ!O53&lt;=INDEX(INPUTS!$E$42:$E$50,1),INDEX(INPUTS!$D$42:$D$50,1),IF(AG_REQ!O53&gt;INDEX(INPUTS!$E$42:$E$50,ROWS(INPUTS!$E$42:$E$50)),"LARGER",INDEX(INPUTS!$D$42:$D$50,MATCH(AG_REQ!O53,INPUTS!$E$42:$E$50,1)+1)))))</f>
        <v>14x24</v>
      </c>
      <c r="P53" s="4" t="str">
        <f aca="false">IF(TRIB!P53="","",IF(OR(ARCH!P53="",LEFT(ARCH!P53,3)="14x"),IF(AG_REQ!P53&lt;=INDEX(INPUTS!$B$42:$B$50,1),INDEX(INPUTS!$A$42:$A$50,1),IF(AG_REQ!P53&gt;INDEX(INPUTS!$B$42:$B$50,ROWS(INPUTS!$B$42:$B$50)),"LARGER",INDEX(INPUTS!$A$42:$A$50,MATCH(AG_REQ!P53,INPUTS!$B$42:$B$50,1)+1))),IF(AG_REQ!P53&lt;=INDEX(INPUTS!$E$42:$E$50,1),INDEX(INPUTS!$D$42:$D$50,1),IF(AG_REQ!P53&gt;INDEX(INPUTS!$E$42:$E$50,ROWS(INPUTS!$E$42:$E$50)),"LARGER",INDEX(INPUTS!$D$42:$D$50,MATCH(AG_REQ!P53,INPUTS!$E$42:$E$50,1)+1)))))</f>
        <v>14x24</v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4" t="str">
        <f aca="false">IF(TRIB!E54="","",IF(OR(ARCH!E54="",LEFT(ARCH!E54,3)="14x"),IF(AG_REQ!E54&lt;=INDEX(INPUTS!$B$42:$B$50,1),INDEX(INPUTS!$A$42:$A$50,1),IF(AG_REQ!E54&gt;INDEX(INPUTS!$B$42:$B$50,ROWS(INPUTS!$B$42:$B$50)),"LARGER",INDEX(INPUTS!$A$42:$A$50,MATCH(AG_REQ!E54,INPUTS!$B$42:$B$50,1)+1))),IF(AG_REQ!E54&lt;=INDEX(INPUTS!$E$42:$E$50,1),INDEX(INPUTS!$D$42:$D$50,1),IF(AG_REQ!E54&gt;INDEX(INPUTS!$E$42:$E$50,ROWS(INPUTS!$E$42:$E$50)),"LARGER",INDEX(INPUTS!$D$42:$D$50,MATCH(AG_REQ!E54,INPUTS!$E$42:$E$50,1)+1)))))</f>
        <v>14x24</v>
      </c>
      <c r="F54" s="4" t="str">
        <f aca="false">IF(TRIB!F54="","",IF(OR(ARCH!F54="",LEFT(ARCH!F54,3)="14x"),IF(AG_REQ!F54&lt;=INDEX(INPUTS!$B$42:$B$50,1),INDEX(INPUTS!$A$42:$A$50,1),IF(AG_REQ!F54&gt;INDEX(INPUTS!$B$42:$B$50,ROWS(INPUTS!$B$42:$B$50)),"LARGER",INDEX(INPUTS!$A$42:$A$50,MATCH(AG_REQ!F54,INPUTS!$B$42:$B$50,1)+1))),IF(AG_REQ!F54&lt;=INDEX(INPUTS!$E$42:$E$50,1),INDEX(INPUTS!$D$42:$D$50,1),IF(AG_REQ!F54&gt;INDEX(INPUTS!$E$42:$E$50,ROWS(INPUTS!$E$42:$E$50)),"LARGER",INDEX(INPUTS!$D$42:$D$50,MATCH(AG_REQ!F54,INPUTS!$E$42:$E$50,1)+1)))))</f>
        <v>14x24</v>
      </c>
      <c r="G54" s="4" t="str">
        <f aca="false">IF(TRIB!G54="","",IF(OR(ARCH!G54="",LEFT(ARCH!G54,3)="14x"),IF(AG_REQ!G54&lt;=INDEX(INPUTS!$B$42:$B$50,1),INDEX(INPUTS!$A$42:$A$50,1),IF(AG_REQ!G54&gt;INDEX(INPUTS!$B$42:$B$50,ROWS(INPUTS!$B$42:$B$50)),"LARGER",INDEX(INPUTS!$A$42:$A$50,MATCH(AG_REQ!G54,INPUTS!$B$42:$B$50,1)+1))),IF(AG_REQ!G54&lt;=INDEX(INPUTS!$E$42:$E$50,1),INDEX(INPUTS!$D$42:$D$50,1),IF(AG_REQ!G54&gt;INDEX(INPUTS!$E$42:$E$50,ROWS(INPUTS!$E$42:$E$50)),"LARGER",INDEX(INPUTS!$D$42:$D$50,MATCH(AG_REQ!G54,INPUTS!$E$42:$E$50,1)+1)))))</f>
        <v>14x24</v>
      </c>
      <c r="H54" s="4" t="str">
        <f aca="false">IF(TRIB!H54="","",IF(OR(ARCH!H54="",LEFT(ARCH!H54,3)="14x"),IF(AG_REQ!H54&lt;=INDEX(INPUTS!$B$42:$B$50,1),INDEX(INPUTS!$A$42:$A$50,1),IF(AG_REQ!H54&gt;INDEX(INPUTS!$B$42:$B$50,ROWS(INPUTS!$B$42:$B$50)),"LARGER",INDEX(INPUTS!$A$42:$A$50,MATCH(AG_REQ!H54,INPUTS!$B$42:$B$50,1)+1))),IF(AG_REQ!H54&lt;=INDEX(INPUTS!$E$42:$E$50,1),INDEX(INPUTS!$D$42:$D$50,1),IF(AG_REQ!H54&gt;INDEX(INPUTS!$E$42:$E$50,ROWS(INPUTS!$E$42:$E$50)),"LARGER",INDEX(INPUTS!$D$42:$D$50,MATCH(AG_REQ!H54,INPUTS!$E$42:$E$50,1)+1)))))</f>
        <v>14x24</v>
      </c>
      <c r="I54" s="4" t="str">
        <f aca="false">IF(TRIB!I54="","",IF(OR(ARCH!I54="",LEFT(ARCH!I54,3)="14x"),IF(AG_REQ!I54&lt;=INDEX(INPUTS!$B$42:$B$50,1),INDEX(INPUTS!$A$42:$A$50,1),IF(AG_REQ!I54&gt;INDEX(INPUTS!$B$42:$B$50,ROWS(INPUTS!$B$42:$B$50)),"LARGER",INDEX(INPUTS!$A$42:$A$50,MATCH(AG_REQ!I54,INPUTS!$B$42:$B$50,1)+1))),IF(AG_REQ!I54&lt;=INDEX(INPUTS!$E$42:$E$50,1),INDEX(INPUTS!$D$42:$D$50,1),IF(AG_REQ!I54&gt;INDEX(INPUTS!$E$42:$E$50,ROWS(INPUTS!$E$42:$E$50)),"LARGER",INDEX(INPUTS!$D$42:$D$50,MATCH(AG_REQ!I54,INPUTS!$E$42:$E$50,1)+1)))))</f>
        <v>14x24</v>
      </c>
      <c r="J54" s="4" t="str">
        <f aca="false">IF(TRIB!J54="","",IF(OR(ARCH!J54="",LEFT(ARCH!J54,3)="14x"),IF(AG_REQ!J54&lt;=INDEX(INPUTS!$B$42:$B$50,1),INDEX(INPUTS!$A$42:$A$50,1),IF(AG_REQ!J54&gt;INDEX(INPUTS!$B$42:$B$50,ROWS(INPUTS!$B$42:$B$50)),"LARGER",INDEX(INPUTS!$A$42:$A$50,MATCH(AG_REQ!J54,INPUTS!$B$42:$B$50,1)+1))),IF(AG_REQ!J54&lt;=INDEX(INPUTS!$E$42:$E$50,1),INDEX(INPUTS!$D$42:$D$50,1),IF(AG_REQ!J54&gt;INDEX(INPUTS!$E$42:$E$50,ROWS(INPUTS!$E$42:$E$50)),"LARGER",INDEX(INPUTS!$D$42:$D$50,MATCH(AG_REQ!J54,INPUTS!$E$42:$E$50,1)+1)))))</f>
        <v>14x24</v>
      </c>
      <c r="K54" s="4" t="str">
        <f aca="false">IF(TRIB!K54="","",IF(OR(ARCH!K54="",LEFT(ARCH!K54,3)="14x"),IF(AG_REQ!K54&lt;=INDEX(INPUTS!$B$42:$B$50,1),INDEX(INPUTS!$A$42:$A$50,1),IF(AG_REQ!K54&gt;INDEX(INPUTS!$B$42:$B$50,ROWS(INPUTS!$B$42:$B$50)),"LARGER",INDEX(INPUTS!$A$42:$A$50,MATCH(AG_REQ!K54,INPUTS!$B$42:$B$50,1)+1))),IF(AG_REQ!K54&lt;=INDEX(INPUTS!$E$42:$E$50,1),INDEX(INPUTS!$D$42:$D$50,1),IF(AG_REQ!K54&gt;INDEX(INPUTS!$E$42:$E$50,ROWS(INPUTS!$E$42:$E$50)),"LARGER",INDEX(INPUTS!$D$42:$D$50,MATCH(AG_REQ!K54,INPUTS!$E$42:$E$50,1)+1)))))</f>
        <v>14x24</v>
      </c>
      <c r="L54" s="4" t="str">
        <f aca="false">IF(TRIB!L54="","",IF(OR(ARCH!L54="",LEFT(ARCH!L54,3)="14x"),IF(AG_REQ!L54&lt;=INDEX(INPUTS!$B$42:$B$50,1),INDEX(INPUTS!$A$42:$A$50,1),IF(AG_REQ!L54&gt;INDEX(INPUTS!$B$42:$B$50,ROWS(INPUTS!$B$42:$B$50)),"LARGER",INDEX(INPUTS!$A$42:$A$50,MATCH(AG_REQ!L54,INPUTS!$B$42:$B$50,1)+1))),IF(AG_REQ!L54&lt;=INDEX(INPUTS!$E$42:$E$50,1),INDEX(INPUTS!$D$42:$D$50,1),IF(AG_REQ!L54&gt;INDEX(INPUTS!$E$42:$E$50,ROWS(INPUTS!$E$42:$E$50)),"LARGER",INDEX(INPUTS!$D$42:$D$50,MATCH(AG_REQ!L54,INPUTS!$E$42:$E$50,1)+1)))))</f>
        <v>14x24</v>
      </c>
      <c r="M54" s="4" t="str">
        <f aca="false">IF(TRIB!M54="","",IF(OR(ARCH!M54="",LEFT(ARCH!M54,3)="14x"),IF(AG_REQ!M54&lt;=INDEX(INPUTS!$B$42:$B$50,1),INDEX(INPUTS!$A$42:$A$50,1),IF(AG_REQ!M54&gt;INDEX(INPUTS!$B$42:$B$50,ROWS(INPUTS!$B$42:$B$50)),"LARGER",INDEX(INPUTS!$A$42:$A$50,MATCH(AG_REQ!M54,INPUTS!$B$42:$B$50,1)+1))),IF(AG_REQ!M54&lt;=INDEX(INPUTS!$E$42:$E$50,1),INDEX(INPUTS!$D$42:$D$50,1),IF(AG_REQ!M54&gt;INDEX(INPUTS!$E$42:$E$50,ROWS(INPUTS!$E$42:$E$50)),"LARGER",INDEX(INPUTS!$D$42:$D$50,MATCH(AG_REQ!M54,INPUTS!$E$42:$E$50,1)+1)))))</f>
        <v>14x24</v>
      </c>
      <c r="N54" s="4" t="str">
        <f aca="false">IF(TRIB!N54="","",IF(OR(ARCH!N54="",LEFT(ARCH!N54,3)="14x"),IF(AG_REQ!N54&lt;=INDEX(INPUTS!$B$42:$B$50,1),INDEX(INPUTS!$A$42:$A$50,1),IF(AG_REQ!N54&gt;INDEX(INPUTS!$B$42:$B$50,ROWS(INPUTS!$B$42:$B$50)),"LARGER",INDEX(INPUTS!$A$42:$A$50,MATCH(AG_REQ!N54,INPUTS!$B$42:$B$50,1)+1))),IF(AG_REQ!N54&lt;=INDEX(INPUTS!$E$42:$E$50,1),INDEX(INPUTS!$D$42:$D$50,1),IF(AG_REQ!N54&gt;INDEX(INPUTS!$E$42:$E$50,ROWS(INPUTS!$E$42:$E$50)),"LARGER",INDEX(INPUTS!$D$42:$D$50,MATCH(AG_REQ!N54,INPUTS!$E$42:$E$50,1)+1)))))</f>
        <v>14x24</v>
      </c>
      <c r="O54" s="4" t="str">
        <f aca="false">IF(TRIB!O54="","",IF(OR(ARCH!O54="",LEFT(ARCH!O54,3)="14x"),IF(AG_REQ!O54&lt;=INDEX(INPUTS!$B$42:$B$50,1),INDEX(INPUTS!$A$42:$A$50,1),IF(AG_REQ!O54&gt;INDEX(INPUTS!$B$42:$B$50,ROWS(INPUTS!$B$42:$B$50)),"LARGER",INDEX(INPUTS!$A$42:$A$50,MATCH(AG_REQ!O54,INPUTS!$B$42:$B$50,1)+1))),IF(AG_REQ!O54&lt;=INDEX(INPUTS!$E$42:$E$50,1),INDEX(INPUTS!$D$42:$D$50,1),IF(AG_REQ!O54&gt;INDEX(INPUTS!$E$42:$E$50,ROWS(INPUTS!$E$42:$E$50)),"LARGER",INDEX(INPUTS!$D$42:$D$50,MATCH(AG_REQ!O54,INPUTS!$E$42:$E$50,1)+1)))))</f>
        <v>14x24</v>
      </c>
      <c r="P54" s="4" t="str">
        <f aca="false">IF(TRIB!P54="","",IF(OR(ARCH!P54="",LEFT(ARCH!P54,3)="14x"),IF(AG_REQ!P54&lt;=INDEX(INPUTS!$B$42:$B$50,1),INDEX(INPUTS!$A$42:$A$50,1),IF(AG_REQ!P54&gt;INDEX(INPUTS!$B$42:$B$50,ROWS(INPUTS!$B$42:$B$50)),"LARGER",INDEX(INPUTS!$A$42:$A$50,MATCH(AG_REQ!P54,INPUTS!$B$42:$B$50,1)+1))),IF(AG_REQ!P54&lt;=INDEX(INPUTS!$E$42:$E$50,1),INDEX(INPUTS!$D$42:$D$50,1),IF(AG_REQ!P54&gt;INDEX(INPUTS!$E$42:$E$50,ROWS(INPUTS!$E$42:$E$50)),"LARGER",INDEX(INPUTS!$D$42:$D$50,MATCH(AG_REQ!P54,INPUTS!$E$42:$E$50,1)+1)))))</f>
        <v>14x24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4" t="str">
        <f aca="false">IF(TRIB!E55="","",IF(OR(ARCH!E55="",LEFT(ARCH!E55,3)="14x"),IF(AG_REQ!E55&lt;=INDEX(INPUTS!$B$42:$B$50,1),INDEX(INPUTS!$A$42:$A$50,1),IF(AG_REQ!E55&gt;INDEX(INPUTS!$B$42:$B$50,ROWS(INPUTS!$B$42:$B$50)),"LARGER",INDEX(INPUTS!$A$42:$A$50,MATCH(AG_REQ!E55,INPUTS!$B$42:$B$50,1)+1))),IF(AG_REQ!E55&lt;=INDEX(INPUTS!$E$42:$E$50,1),INDEX(INPUTS!$D$42:$D$50,1),IF(AG_REQ!E55&gt;INDEX(INPUTS!$E$42:$E$50,ROWS(INPUTS!$E$42:$E$50)),"LARGER",INDEX(INPUTS!$D$42:$D$50,MATCH(AG_REQ!E55,INPUTS!$E$42:$E$50,1)+1)))))</f>
        <v>14x24</v>
      </c>
      <c r="F55" s="4" t="str">
        <f aca="false">IF(TRIB!F55="","",IF(OR(ARCH!F55="",LEFT(ARCH!F55,3)="14x"),IF(AG_REQ!F55&lt;=INDEX(INPUTS!$B$42:$B$50,1),INDEX(INPUTS!$A$42:$A$50,1),IF(AG_REQ!F55&gt;INDEX(INPUTS!$B$42:$B$50,ROWS(INPUTS!$B$42:$B$50)),"LARGER",INDEX(INPUTS!$A$42:$A$50,MATCH(AG_REQ!F55,INPUTS!$B$42:$B$50,1)+1))),IF(AG_REQ!F55&lt;=INDEX(INPUTS!$E$42:$E$50,1),INDEX(INPUTS!$D$42:$D$50,1),IF(AG_REQ!F55&gt;INDEX(INPUTS!$E$42:$E$50,ROWS(INPUTS!$E$42:$E$50)),"LARGER",INDEX(INPUTS!$D$42:$D$50,MATCH(AG_REQ!F55,INPUTS!$E$42:$E$50,1)+1)))))</f>
        <v>14x24</v>
      </c>
      <c r="G55" s="4" t="str">
        <f aca="false">IF(TRIB!G55="","",IF(OR(ARCH!G55="",LEFT(ARCH!G55,3)="14x"),IF(AG_REQ!G55&lt;=INDEX(INPUTS!$B$42:$B$50,1),INDEX(INPUTS!$A$42:$A$50,1),IF(AG_REQ!G55&gt;INDEX(INPUTS!$B$42:$B$50,ROWS(INPUTS!$B$42:$B$50)),"LARGER",INDEX(INPUTS!$A$42:$A$50,MATCH(AG_REQ!G55,INPUTS!$B$42:$B$50,1)+1))),IF(AG_REQ!G55&lt;=INDEX(INPUTS!$E$42:$E$50,1),INDEX(INPUTS!$D$42:$D$50,1),IF(AG_REQ!G55&gt;INDEX(INPUTS!$E$42:$E$50,ROWS(INPUTS!$E$42:$E$50)),"LARGER",INDEX(INPUTS!$D$42:$D$50,MATCH(AG_REQ!G55,INPUTS!$E$42:$E$50,1)+1)))))</f>
        <v>14x24</v>
      </c>
      <c r="H55" s="4" t="str">
        <f aca="false">IF(TRIB!H55="","",IF(OR(ARCH!H55="",LEFT(ARCH!H55,3)="14x"),IF(AG_REQ!H55&lt;=INDEX(INPUTS!$B$42:$B$50,1),INDEX(INPUTS!$A$42:$A$50,1),IF(AG_REQ!H55&gt;INDEX(INPUTS!$B$42:$B$50,ROWS(INPUTS!$B$42:$B$50)),"LARGER",INDEX(INPUTS!$A$42:$A$50,MATCH(AG_REQ!H55,INPUTS!$B$42:$B$50,1)+1))),IF(AG_REQ!H55&lt;=INDEX(INPUTS!$E$42:$E$50,1),INDEX(INPUTS!$D$42:$D$50,1),IF(AG_REQ!H55&gt;INDEX(INPUTS!$E$42:$E$50,ROWS(INPUTS!$E$42:$E$50)),"LARGER",INDEX(INPUTS!$D$42:$D$50,MATCH(AG_REQ!H55,INPUTS!$E$42:$E$50,1)+1)))))</f>
        <v>14x24</v>
      </c>
      <c r="I55" s="4" t="str">
        <f aca="false">IF(TRIB!I55="","",IF(OR(ARCH!I55="",LEFT(ARCH!I55,3)="14x"),IF(AG_REQ!I55&lt;=INDEX(INPUTS!$B$42:$B$50,1),INDEX(INPUTS!$A$42:$A$50,1),IF(AG_REQ!I55&gt;INDEX(INPUTS!$B$42:$B$50,ROWS(INPUTS!$B$42:$B$50)),"LARGER",INDEX(INPUTS!$A$42:$A$50,MATCH(AG_REQ!I55,INPUTS!$B$42:$B$50,1)+1))),IF(AG_REQ!I55&lt;=INDEX(INPUTS!$E$42:$E$50,1),INDEX(INPUTS!$D$42:$D$50,1),IF(AG_REQ!I55&gt;INDEX(INPUTS!$E$42:$E$50,ROWS(INPUTS!$E$42:$E$50)),"LARGER",INDEX(INPUTS!$D$42:$D$50,MATCH(AG_REQ!I55,INPUTS!$E$42:$E$50,1)+1)))))</f>
        <v>14x24</v>
      </c>
      <c r="J55" s="4" t="str">
        <f aca="false">IF(TRIB!J55="","",IF(OR(ARCH!J55="",LEFT(ARCH!J55,3)="14x"),IF(AG_REQ!J55&lt;=INDEX(INPUTS!$B$42:$B$50,1),INDEX(INPUTS!$A$42:$A$50,1),IF(AG_REQ!J55&gt;INDEX(INPUTS!$B$42:$B$50,ROWS(INPUTS!$B$42:$B$50)),"LARGER",INDEX(INPUTS!$A$42:$A$50,MATCH(AG_REQ!J55,INPUTS!$B$42:$B$50,1)+1))),IF(AG_REQ!J55&lt;=INDEX(INPUTS!$E$42:$E$50,1),INDEX(INPUTS!$D$42:$D$50,1),IF(AG_REQ!J55&gt;INDEX(INPUTS!$E$42:$E$50,ROWS(INPUTS!$E$42:$E$50)),"LARGER",INDEX(INPUTS!$D$42:$D$50,MATCH(AG_REQ!J55,INPUTS!$E$42:$E$50,1)+1)))))</f>
        <v>14x24</v>
      </c>
      <c r="K55" s="4" t="str">
        <f aca="false">IF(TRIB!K55="","",IF(OR(ARCH!K55="",LEFT(ARCH!K55,3)="14x"),IF(AG_REQ!K55&lt;=INDEX(INPUTS!$B$42:$B$50,1),INDEX(INPUTS!$A$42:$A$50,1),IF(AG_REQ!K55&gt;INDEX(INPUTS!$B$42:$B$50,ROWS(INPUTS!$B$42:$B$50)),"LARGER",INDEX(INPUTS!$A$42:$A$50,MATCH(AG_REQ!K55,INPUTS!$B$42:$B$50,1)+1))),IF(AG_REQ!K55&lt;=INDEX(INPUTS!$E$42:$E$50,1),INDEX(INPUTS!$D$42:$D$50,1),IF(AG_REQ!K55&gt;INDEX(INPUTS!$E$42:$E$50,ROWS(INPUTS!$E$42:$E$50)),"LARGER",INDEX(INPUTS!$D$42:$D$50,MATCH(AG_REQ!K55,INPUTS!$E$42:$E$50,1)+1)))))</f>
        <v>14x24</v>
      </c>
      <c r="L55" s="4" t="str">
        <f aca="false">IF(TRIB!L55="","",IF(OR(ARCH!L55="",LEFT(ARCH!L55,3)="14x"),IF(AG_REQ!L55&lt;=INDEX(INPUTS!$B$42:$B$50,1),INDEX(INPUTS!$A$42:$A$50,1),IF(AG_REQ!L55&gt;INDEX(INPUTS!$B$42:$B$50,ROWS(INPUTS!$B$42:$B$50)),"LARGER",INDEX(INPUTS!$A$42:$A$50,MATCH(AG_REQ!L55,INPUTS!$B$42:$B$50,1)+1))),IF(AG_REQ!L55&lt;=INDEX(INPUTS!$E$42:$E$50,1),INDEX(INPUTS!$D$42:$D$50,1),IF(AG_REQ!L55&gt;INDEX(INPUTS!$E$42:$E$50,ROWS(INPUTS!$E$42:$E$50)),"LARGER",INDEX(INPUTS!$D$42:$D$50,MATCH(AG_REQ!L55,INPUTS!$E$42:$E$50,1)+1)))))</f>
        <v>14x24</v>
      </c>
      <c r="M55" s="4" t="str">
        <f aca="false">IF(TRIB!M55="","",IF(OR(ARCH!M55="",LEFT(ARCH!M55,3)="14x"),IF(AG_REQ!M55&lt;=INDEX(INPUTS!$B$42:$B$50,1),INDEX(INPUTS!$A$42:$A$50,1),IF(AG_REQ!M55&gt;INDEX(INPUTS!$B$42:$B$50,ROWS(INPUTS!$B$42:$B$50)),"LARGER",INDEX(INPUTS!$A$42:$A$50,MATCH(AG_REQ!M55,INPUTS!$B$42:$B$50,1)+1))),IF(AG_REQ!M55&lt;=INDEX(INPUTS!$E$42:$E$50,1),INDEX(INPUTS!$D$42:$D$50,1),IF(AG_REQ!M55&gt;INDEX(INPUTS!$E$42:$E$50,ROWS(INPUTS!$E$42:$E$50)),"LARGER",INDEX(INPUTS!$D$42:$D$50,MATCH(AG_REQ!M55,INPUTS!$E$42:$E$50,1)+1)))))</f>
        <v>14x24</v>
      </c>
      <c r="N55" s="4" t="str">
        <f aca="false">IF(TRIB!N55="","",IF(OR(ARCH!N55="",LEFT(ARCH!N55,3)="14x"),IF(AG_REQ!N55&lt;=INDEX(INPUTS!$B$42:$B$50,1),INDEX(INPUTS!$A$42:$A$50,1),IF(AG_REQ!N55&gt;INDEX(INPUTS!$B$42:$B$50,ROWS(INPUTS!$B$42:$B$50)),"LARGER",INDEX(INPUTS!$A$42:$A$50,MATCH(AG_REQ!N55,INPUTS!$B$42:$B$50,1)+1))),IF(AG_REQ!N55&lt;=INDEX(INPUTS!$E$42:$E$50,1),INDEX(INPUTS!$D$42:$D$50,1),IF(AG_REQ!N55&gt;INDEX(INPUTS!$E$42:$E$50,ROWS(INPUTS!$E$42:$E$50)),"LARGER",INDEX(INPUTS!$D$42:$D$50,MATCH(AG_REQ!N55,INPUTS!$E$42:$E$50,1)+1)))))</f>
        <v>14x24</v>
      </c>
      <c r="O55" s="4" t="str">
        <f aca="false">IF(TRIB!O55="","",IF(OR(ARCH!O55="",LEFT(ARCH!O55,3)="14x"),IF(AG_REQ!O55&lt;=INDEX(INPUTS!$B$42:$B$50,1),INDEX(INPUTS!$A$42:$A$50,1),IF(AG_REQ!O55&gt;INDEX(INPUTS!$B$42:$B$50,ROWS(INPUTS!$B$42:$B$50)),"LARGER",INDEX(INPUTS!$A$42:$A$50,MATCH(AG_REQ!O55,INPUTS!$B$42:$B$50,1)+1))),IF(AG_REQ!O55&lt;=INDEX(INPUTS!$E$42:$E$50,1),INDEX(INPUTS!$D$42:$D$50,1),IF(AG_REQ!O55&gt;INDEX(INPUTS!$E$42:$E$50,ROWS(INPUTS!$E$42:$E$50)),"LARGER",INDEX(INPUTS!$D$42:$D$50,MATCH(AG_REQ!O55,INPUTS!$E$42:$E$50,1)+1)))))</f>
        <v>14x24</v>
      </c>
      <c r="P55" s="4" t="str">
        <f aca="false">IF(TRIB!P55="","",IF(OR(ARCH!P55="",LEFT(ARCH!P55,3)="14x"),IF(AG_REQ!P55&lt;=INDEX(INPUTS!$B$42:$B$50,1),INDEX(INPUTS!$A$42:$A$50,1),IF(AG_REQ!P55&gt;INDEX(INPUTS!$B$42:$B$50,ROWS(INPUTS!$B$42:$B$50)),"LARGER",INDEX(INPUTS!$A$42:$A$50,MATCH(AG_REQ!P55,INPUTS!$B$42:$B$50,1)+1))),IF(AG_REQ!P55&lt;=INDEX(INPUTS!$E$42:$E$50,1),INDEX(INPUTS!$D$42:$D$50,1),IF(AG_REQ!P55&gt;INDEX(INPUTS!$E$42:$E$50,ROWS(INPUTS!$E$42:$E$50)),"LARGER",INDEX(INPUTS!$D$42:$D$50,MATCH(AG_REQ!P55,INPUTS!$E$42:$E$50,1)+1)))))</f>
        <v>14x30</v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4" t="str">
        <f aca="false">IF(TRIB!E56="","",IF(OR(ARCH!E56="",LEFT(ARCH!E56,3)="14x"),IF(AG_REQ!E56&lt;=INDEX(INPUTS!$B$42:$B$50,1),INDEX(INPUTS!$A$42:$A$50,1),IF(AG_REQ!E56&gt;INDEX(INPUTS!$B$42:$B$50,ROWS(INPUTS!$B$42:$B$50)),"LARGER",INDEX(INPUTS!$A$42:$A$50,MATCH(AG_REQ!E56,INPUTS!$B$42:$B$50,1)+1))),IF(AG_REQ!E56&lt;=INDEX(INPUTS!$E$42:$E$50,1),INDEX(INPUTS!$D$42:$D$50,1),IF(AG_REQ!E56&gt;INDEX(INPUTS!$E$42:$E$50,ROWS(INPUTS!$E$42:$E$50)),"LARGER",INDEX(INPUTS!$D$42:$D$50,MATCH(AG_REQ!E56,INPUTS!$E$42:$E$50,1)+1)))))</f>
        <v>14x24</v>
      </c>
      <c r="F56" s="4" t="str">
        <f aca="false">IF(TRIB!F56="","",IF(OR(ARCH!F56="",LEFT(ARCH!F56,3)="14x"),IF(AG_REQ!F56&lt;=INDEX(INPUTS!$B$42:$B$50,1),INDEX(INPUTS!$A$42:$A$50,1),IF(AG_REQ!F56&gt;INDEX(INPUTS!$B$42:$B$50,ROWS(INPUTS!$B$42:$B$50)),"LARGER",INDEX(INPUTS!$A$42:$A$50,MATCH(AG_REQ!F56,INPUTS!$B$42:$B$50,1)+1))),IF(AG_REQ!F56&lt;=INDEX(INPUTS!$E$42:$E$50,1),INDEX(INPUTS!$D$42:$D$50,1),IF(AG_REQ!F56&gt;INDEX(INPUTS!$E$42:$E$50,ROWS(INPUTS!$E$42:$E$50)),"LARGER",INDEX(INPUTS!$D$42:$D$50,MATCH(AG_REQ!F56,INPUTS!$E$42:$E$50,1)+1)))))</f>
        <v>14x24</v>
      </c>
      <c r="G56" s="4" t="str">
        <f aca="false">IF(TRIB!G56="","",IF(OR(ARCH!G56="",LEFT(ARCH!G56,3)="14x"),IF(AG_REQ!G56&lt;=INDEX(INPUTS!$B$42:$B$50,1),INDEX(INPUTS!$A$42:$A$50,1),IF(AG_REQ!G56&gt;INDEX(INPUTS!$B$42:$B$50,ROWS(INPUTS!$B$42:$B$50)),"LARGER",INDEX(INPUTS!$A$42:$A$50,MATCH(AG_REQ!G56,INPUTS!$B$42:$B$50,1)+1))),IF(AG_REQ!G56&lt;=INDEX(INPUTS!$E$42:$E$50,1),INDEX(INPUTS!$D$42:$D$50,1),IF(AG_REQ!G56&gt;INDEX(INPUTS!$E$42:$E$50,ROWS(INPUTS!$E$42:$E$50)),"LARGER",INDEX(INPUTS!$D$42:$D$50,MATCH(AG_REQ!G56,INPUTS!$E$42:$E$50,1)+1)))))</f>
        <v>14x24</v>
      </c>
      <c r="H56" s="4" t="str">
        <f aca="false">IF(TRIB!H56="","",IF(OR(ARCH!H56="",LEFT(ARCH!H56,3)="14x"),IF(AG_REQ!H56&lt;=INDEX(INPUTS!$B$42:$B$50,1),INDEX(INPUTS!$A$42:$A$50,1),IF(AG_REQ!H56&gt;INDEX(INPUTS!$B$42:$B$50,ROWS(INPUTS!$B$42:$B$50)),"LARGER",INDEX(INPUTS!$A$42:$A$50,MATCH(AG_REQ!H56,INPUTS!$B$42:$B$50,1)+1))),IF(AG_REQ!H56&lt;=INDEX(INPUTS!$E$42:$E$50,1),INDEX(INPUTS!$D$42:$D$50,1),IF(AG_REQ!H56&gt;INDEX(INPUTS!$E$42:$E$50,ROWS(INPUTS!$E$42:$E$50)),"LARGER",INDEX(INPUTS!$D$42:$D$50,MATCH(AG_REQ!H56,INPUTS!$E$42:$E$50,1)+1)))))</f>
        <v>14x24</v>
      </c>
      <c r="I56" s="4" t="str">
        <f aca="false">IF(TRIB!I56="","",IF(OR(ARCH!I56="",LEFT(ARCH!I56,3)="14x"),IF(AG_REQ!I56&lt;=INDEX(INPUTS!$B$42:$B$50,1),INDEX(INPUTS!$A$42:$A$50,1),IF(AG_REQ!I56&gt;INDEX(INPUTS!$B$42:$B$50,ROWS(INPUTS!$B$42:$B$50)),"LARGER",INDEX(INPUTS!$A$42:$A$50,MATCH(AG_REQ!I56,INPUTS!$B$42:$B$50,1)+1))),IF(AG_REQ!I56&lt;=INDEX(INPUTS!$E$42:$E$50,1),INDEX(INPUTS!$D$42:$D$50,1),IF(AG_REQ!I56&gt;INDEX(INPUTS!$E$42:$E$50,ROWS(INPUTS!$E$42:$E$50)),"LARGER",INDEX(INPUTS!$D$42:$D$50,MATCH(AG_REQ!I56,INPUTS!$E$42:$E$50,1)+1)))))</f>
        <v>14x24</v>
      </c>
      <c r="J56" s="4" t="str">
        <f aca="false">IF(TRIB!J56="","",IF(OR(ARCH!J56="",LEFT(ARCH!J56,3)="14x"),IF(AG_REQ!J56&lt;=INDEX(INPUTS!$B$42:$B$50,1),INDEX(INPUTS!$A$42:$A$50,1),IF(AG_REQ!J56&gt;INDEX(INPUTS!$B$42:$B$50,ROWS(INPUTS!$B$42:$B$50)),"LARGER",INDEX(INPUTS!$A$42:$A$50,MATCH(AG_REQ!J56,INPUTS!$B$42:$B$50,1)+1))),IF(AG_REQ!J56&lt;=INDEX(INPUTS!$E$42:$E$50,1),INDEX(INPUTS!$D$42:$D$50,1),IF(AG_REQ!J56&gt;INDEX(INPUTS!$E$42:$E$50,ROWS(INPUTS!$E$42:$E$50)),"LARGER",INDEX(INPUTS!$D$42:$D$50,MATCH(AG_REQ!J56,INPUTS!$E$42:$E$50,1)+1)))))</f>
        <v>14x24</v>
      </c>
      <c r="K56" s="4" t="str">
        <f aca="false">IF(TRIB!K56="","",IF(OR(ARCH!K56="",LEFT(ARCH!K56,3)="14x"),IF(AG_REQ!K56&lt;=INDEX(INPUTS!$B$42:$B$50,1),INDEX(INPUTS!$A$42:$A$50,1),IF(AG_REQ!K56&gt;INDEX(INPUTS!$B$42:$B$50,ROWS(INPUTS!$B$42:$B$50)),"LARGER",INDEX(INPUTS!$A$42:$A$50,MATCH(AG_REQ!K56,INPUTS!$B$42:$B$50,1)+1))),IF(AG_REQ!K56&lt;=INDEX(INPUTS!$E$42:$E$50,1),INDEX(INPUTS!$D$42:$D$50,1),IF(AG_REQ!K56&gt;INDEX(INPUTS!$E$42:$E$50,ROWS(INPUTS!$E$42:$E$50)),"LARGER",INDEX(INPUTS!$D$42:$D$50,MATCH(AG_REQ!K56,INPUTS!$E$42:$E$50,1)+1)))))</f>
        <v>14x24</v>
      </c>
      <c r="L56" s="4" t="str">
        <f aca="false">IF(TRIB!L56="","",IF(OR(ARCH!L56="",LEFT(ARCH!L56,3)="14x"),IF(AG_REQ!L56&lt;=INDEX(INPUTS!$B$42:$B$50,1),INDEX(INPUTS!$A$42:$A$50,1),IF(AG_REQ!L56&gt;INDEX(INPUTS!$B$42:$B$50,ROWS(INPUTS!$B$42:$B$50)),"LARGER",INDEX(INPUTS!$A$42:$A$50,MATCH(AG_REQ!L56,INPUTS!$B$42:$B$50,1)+1))),IF(AG_REQ!L56&lt;=INDEX(INPUTS!$E$42:$E$50,1),INDEX(INPUTS!$D$42:$D$50,1),IF(AG_REQ!L56&gt;INDEX(INPUTS!$E$42:$E$50,ROWS(INPUTS!$E$42:$E$50)),"LARGER",INDEX(INPUTS!$D$42:$D$50,MATCH(AG_REQ!L56,INPUTS!$E$42:$E$50,1)+1)))))</f>
        <v>14x24</v>
      </c>
      <c r="M56" s="4" t="str">
        <f aca="false">IF(TRIB!M56="","",IF(OR(ARCH!M56="",LEFT(ARCH!M56,3)="14x"),IF(AG_REQ!M56&lt;=INDEX(INPUTS!$B$42:$B$50,1),INDEX(INPUTS!$A$42:$A$50,1),IF(AG_REQ!M56&gt;INDEX(INPUTS!$B$42:$B$50,ROWS(INPUTS!$B$42:$B$50)),"LARGER",INDEX(INPUTS!$A$42:$A$50,MATCH(AG_REQ!M56,INPUTS!$B$42:$B$50,1)+1))),IF(AG_REQ!M56&lt;=INDEX(INPUTS!$E$42:$E$50,1),INDEX(INPUTS!$D$42:$D$50,1),IF(AG_REQ!M56&gt;INDEX(INPUTS!$E$42:$E$50,ROWS(INPUTS!$E$42:$E$50)),"LARGER",INDEX(INPUTS!$D$42:$D$50,MATCH(AG_REQ!M56,INPUTS!$E$42:$E$50,1)+1)))))</f>
        <v>14x24</v>
      </c>
      <c r="N56" s="4" t="str">
        <f aca="false">IF(TRIB!N56="","",IF(OR(ARCH!N56="",LEFT(ARCH!N56,3)="14x"),IF(AG_REQ!N56&lt;=INDEX(INPUTS!$B$42:$B$50,1),INDEX(INPUTS!$A$42:$A$50,1),IF(AG_REQ!N56&gt;INDEX(INPUTS!$B$42:$B$50,ROWS(INPUTS!$B$42:$B$50)),"LARGER",INDEX(INPUTS!$A$42:$A$50,MATCH(AG_REQ!N56,INPUTS!$B$42:$B$50,1)+1))),IF(AG_REQ!N56&lt;=INDEX(INPUTS!$E$42:$E$50,1),INDEX(INPUTS!$D$42:$D$50,1),IF(AG_REQ!N56&gt;INDEX(INPUTS!$E$42:$E$50,ROWS(INPUTS!$E$42:$E$50)),"LARGER",INDEX(INPUTS!$D$42:$D$50,MATCH(AG_REQ!N56,INPUTS!$E$42:$E$50,1)+1)))))</f>
        <v>14x24</v>
      </c>
      <c r="O56" s="4" t="str">
        <f aca="false">IF(TRIB!O56="","",IF(OR(ARCH!O56="",LEFT(ARCH!O56,3)="14x"),IF(AG_REQ!O56&lt;=INDEX(INPUTS!$B$42:$B$50,1),INDEX(INPUTS!$A$42:$A$50,1),IF(AG_REQ!O56&gt;INDEX(INPUTS!$B$42:$B$50,ROWS(INPUTS!$B$42:$B$50)),"LARGER",INDEX(INPUTS!$A$42:$A$50,MATCH(AG_REQ!O56,INPUTS!$B$42:$B$50,1)+1))),IF(AG_REQ!O56&lt;=INDEX(INPUTS!$E$42:$E$50,1),INDEX(INPUTS!$D$42:$D$50,1),IF(AG_REQ!O56&gt;INDEX(INPUTS!$E$42:$E$50,ROWS(INPUTS!$E$42:$E$50)),"LARGER",INDEX(INPUTS!$D$42:$D$50,MATCH(AG_REQ!O56,INPUTS!$E$42:$E$50,1)+1)))))</f>
        <v>14x24</v>
      </c>
      <c r="P56" s="4" t="str">
        <f aca="false">IF(TRIB!P56="","",IF(OR(ARCH!P56="",LEFT(ARCH!P56,3)="14x"),IF(AG_REQ!P56&lt;=INDEX(INPUTS!$B$42:$B$50,1),INDEX(INPUTS!$A$42:$A$50,1),IF(AG_REQ!P56&gt;INDEX(INPUTS!$B$42:$B$50,ROWS(INPUTS!$B$42:$B$50)),"LARGER",INDEX(INPUTS!$A$42:$A$50,MATCH(AG_REQ!P56,INPUTS!$B$42:$B$50,1)+1))),IF(AG_REQ!P56&lt;=INDEX(INPUTS!$E$42:$E$50,1),INDEX(INPUTS!$D$42:$D$50,1),IF(AG_REQ!P56&gt;INDEX(INPUTS!$E$42:$E$50,ROWS(INPUTS!$E$42:$E$50)),"LARGER",INDEX(INPUTS!$D$42:$D$50,MATCH(AG_REQ!P56,INPUTS!$E$42:$E$50,1)+1)))))</f>
        <v>14x24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4" t="str">
        <f aca="false">IF(TRIB!E57="","",IF(OR(ARCH!E57="",LEFT(ARCH!E57,3)="14x"),IF(AG_REQ!E57&lt;=INDEX(INPUTS!$B$42:$B$50,1),INDEX(INPUTS!$A$42:$A$50,1),IF(AG_REQ!E57&gt;INDEX(INPUTS!$B$42:$B$50,ROWS(INPUTS!$B$42:$B$50)),"LARGER",INDEX(INPUTS!$A$42:$A$50,MATCH(AG_REQ!E57,INPUTS!$B$42:$B$50,1)+1))),IF(AG_REQ!E57&lt;=INDEX(INPUTS!$E$42:$E$50,1),INDEX(INPUTS!$D$42:$D$50,1),IF(AG_REQ!E57&gt;INDEX(INPUTS!$E$42:$E$50,ROWS(INPUTS!$E$42:$E$50)),"LARGER",INDEX(INPUTS!$D$42:$D$50,MATCH(AG_REQ!E57,INPUTS!$E$42:$E$50,1)+1)))))</f>
        <v>14x24</v>
      </c>
      <c r="F57" s="4" t="str">
        <f aca="false">IF(TRIB!F57="","",IF(OR(ARCH!F57="",LEFT(ARCH!F57,3)="14x"),IF(AG_REQ!F57&lt;=INDEX(INPUTS!$B$42:$B$50,1),INDEX(INPUTS!$A$42:$A$50,1),IF(AG_REQ!F57&gt;INDEX(INPUTS!$B$42:$B$50,ROWS(INPUTS!$B$42:$B$50)),"LARGER",INDEX(INPUTS!$A$42:$A$50,MATCH(AG_REQ!F57,INPUTS!$B$42:$B$50,1)+1))),IF(AG_REQ!F57&lt;=INDEX(INPUTS!$E$42:$E$50,1),INDEX(INPUTS!$D$42:$D$50,1),IF(AG_REQ!F57&gt;INDEX(INPUTS!$E$42:$E$50,ROWS(INPUTS!$E$42:$E$50)),"LARGER",INDEX(INPUTS!$D$42:$D$50,MATCH(AG_REQ!F57,INPUTS!$E$42:$E$50,1)+1)))))</f>
        <v>14x24</v>
      </c>
      <c r="G57" s="4" t="str">
        <f aca="false">IF(TRIB!G57="","",IF(OR(ARCH!G57="",LEFT(ARCH!G57,3)="14x"),IF(AG_REQ!G57&lt;=INDEX(INPUTS!$B$42:$B$50,1),INDEX(INPUTS!$A$42:$A$50,1),IF(AG_REQ!G57&gt;INDEX(INPUTS!$B$42:$B$50,ROWS(INPUTS!$B$42:$B$50)),"LARGER",INDEX(INPUTS!$A$42:$A$50,MATCH(AG_REQ!G57,INPUTS!$B$42:$B$50,1)+1))),IF(AG_REQ!G57&lt;=INDEX(INPUTS!$E$42:$E$50,1),INDEX(INPUTS!$D$42:$D$50,1),IF(AG_REQ!G57&gt;INDEX(INPUTS!$E$42:$E$50,ROWS(INPUTS!$E$42:$E$50)),"LARGER",INDEX(INPUTS!$D$42:$D$50,MATCH(AG_REQ!G57,INPUTS!$E$42:$E$50,1)+1)))))</f>
        <v>14x24</v>
      </c>
      <c r="H57" s="4" t="str">
        <f aca="false">IF(TRIB!H57="","",IF(OR(ARCH!H57="",LEFT(ARCH!H57,3)="14x"),IF(AG_REQ!H57&lt;=INDEX(INPUTS!$B$42:$B$50,1),INDEX(INPUTS!$A$42:$A$50,1),IF(AG_REQ!H57&gt;INDEX(INPUTS!$B$42:$B$50,ROWS(INPUTS!$B$42:$B$50)),"LARGER",INDEX(INPUTS!$A$42:$A$50,MATCH(AG_REQ!H57,INPUTS!$B$42:$B$50,1)+1))),IF(AG_REQ!H57&lt;=INDEX(INPUTS!$E$42:$E$50,1),INDEX(INPUTS!$D$42:$D$50,1),IF(AG_REQ!H57&gt;INDEX(INPUTS!$E$42:$E$50,ROWS(INPUTS!$E$42:$E$50)),"LARGER",INDEX(INPUTS!$D$42:$D$50,MATCH(AG_REQ!H57,INPUTS!$E$42:$E$50,1)+1)))))</f>
        <v>14x24</v>
      </c>
      <c r="I57" s="4" t="str">
        <f aca="false">IF(TRIB!I57="","",IF(OR(ARCH!I57="",LEFT(ARCH!I57,3)="14x"),IF(AG_REQ!I57&lt;=INDEX(INPUTS!$B$42:$B$50,1),INDEX(INPUTS!$A$42:$A$50,1),IF(AG_REQ!I57&gt;INDEX(INPUTS!$B$42:$B$50,ROWS(INPUTS!$B$42:$B$50)),"LARGER",INDEX(INPUTS!$A$42:$A$50,MATCH(AG_REQ!I57,INPUTS!$B$42:$B$50,1)+1))),IF(AG_REQ!I57&lt;=INDEX(INPUTS!$E$42:$E$50,1),INDEX(INPUTS!$D$42:$D$50,1),IF(AG_REQ!I57&gt;INDEX(INPUTS!$E$42:$E$50,ROWS(INPUTS!$E$42:$E$50)),"LARGER",INDEX(INPUTS!$D$42:$D$50,MATCH(AG_REQ!I57,INPUTS!$E$42:$E$50,1)+1)))))</f>
        <v>14x24</v>
      </c>
      <c r="J57" s="4" t="str">
        <f aca="false">IF(TRIB!J57="","",IF(OR(ARCH!J57="",LEFT(ARCH!J57,3)="14x"),IF(AG_REQ!J57&lt;=INDEX(INPUTS!$B$42:$B$50,1),INDEX(INPUTS!$A$42:$A$50,1),IF(AG_REQ!J57&gt;INDEX(INPUTS!$B$42:$B$50,ROWS(INPUTS!$B$42:$B$50)),"LARGER",INDEX(INPUTS!$A$42:$A$50,MATCH(AG_REQ!J57,INPUTS!$B$42:$B$50,1)+1))),IF(AG_REQ!J57&lt;=INDEX(INPUTS!$E$42:$E$50,1),INDEX(INPUTS!$D$42:$D$50,1),IF(AG_REQ!J57&gt;INDEX(INPUTS!$E$42:$E$50,ROWS(INPUTS!$E$42:$E$50)),"LARGER",INDEX(INPUTS!$D$42:$D$50,MATCH(AG_REQ!J57,INPUTS!$E$42:$E$50,1)+1)))))</f>
        <v>14x24</v>
      </c>
      <c r="K57" s="4" t="str">
        <f aca="false">IF(TRIB!K57="","",IF(OR(ARCH!K57="",LEFT(ARCH!K57,3)="14x"),IF(AG_REQ!K57&lt;=INDEX(INPUTS!$B$42:$B$50,1),INDEX(INPUTS!$A$42:$A$50,1),IF(AG_REQ!K57&gt;INDEX(INPUTS!$B$42:$B$50,ROWS(INPUTS!$B$42:$B$50)),"LARGER",INDEX(INPUTS!$A$42:$A$50,MATCH(AG_REQ!K57,INPUTS!$B$42:$B$50,1)+1))),IF(AG_REQ!K57&lt;=INDEX(INPUTS!$E$42:$E$50,1),INDEX(INPUTS!$D$42:$D$50,1),IF(AG_REQ!K57&gt;INDEX(INPUTS!$E$42:$E$50,ROWS(INPUTS!$E$42:$E$50)),"LARGER",INDEX(INPUTS!$D$42:$D$50,MATCH(AG_REQ!K57,INPUTS!$E$42:$E$50,1)+1)))))</f>
        <v>14x24</v>
      </c>
      <c r="L57" s="4" t="str">
        <f aca="false">IF(TRIB!L57="","",IF(OR(ARCH!L57="",LEFT(ARCH!L57,3)="14x"),IF(AG_REQ!L57&lt;=INDEX(INPUTS!$B$42:$B$50,1),INDEX(INPUTS!$A$42:$A$50,1),IF(AG_REQ!L57&gt;INDEX(INPUTS!$B$42:$B$50,ROWS(INPUTS!$B$42:$B$50)),"LARGER",INDEX(INPUTS!$A$42:$A$50,MATCH(AG_REQ!L57,INPUTS!$B$42:$B$50,1)+1))),IF(AG_REQ!L57&lt;=INDEX(INPUTS!$E$42:$E$50,1),INDEX(INPUTS!$D$42:$D$50,1),IF(AG_REQ!L57&gt;INDEX(INPUTS!$E$42:$E$50,ROWS(INPUTS!$E$42:$E$50)),"LARGER",INDEX(INPUTS!$D$42:$D$50,MATCH(AG_REQ!L57,INPUTS!$E$42:$E$50,1)+1)))))</f>
        <v>14x24</v>
      </c>
      <c r="M57" s="4" t="str">
        <f aca="false">IF(TRIB!M57="","",IF(OR(ARCH!M57="",LEFT(ARCH!M57,3)="14x"),IF(AG_REQ!M57&lt;=INDEX(INPUTS!$B$42:$B$50,1),INDEX(INPUTS!$A$42:$A$50,1),IF(AG_REQ!M57&gt;INDEX(INPUTS!$B$42:$B$50,ROWS(INPUTS!$B$42:$B$50)),"LARGER",INDEX(INPUTS!$A$42:$A$50,MATCH(AG_REQ!M57,INPUTS!$B$42:$B$50,1)+1))),IF(AG_REQ!M57&lt;=INDEX(INPUTS!$E$42:$E$50,1),INDEX(INPUTS!$D$42:$D$50,1),IF(AG_REQ!M57&gt;INDEX(INPUTS!$E$42:$E$50,ROWS(INPUTS!$E$42:$E$50)),"LARGER",INDEX(INPUTS!$D$42:$D$50,MATCH(AG_REQ!M57,INPUTS!$E$42:$E$50,1)+1)))))</f>
        <v>14x24</v>
      </c>
      <c r="N57" s="4" t="str">
        <f aca="false">IF(TRIB!N57="","",IF(OR(ARCH!N57="",LEFT(ARCH!N57,3)="14x"),IF(AG_REQ!N57&lt;=INDEX(INPUTS!$B$42:$B$50,1),INDEX(INPUTS!$A$42:$A$50,1),IF(AG_REQ!N57&gt;INDEX(INPUTS!$B$42:$B$50,ROWS(INPUTS!$B$42:$B$50)),"LARGER",INDEX(INPUTS!$A$42:$A$50,MATCH(AG_REQ!N57,INPUTS!$B$42:$B$50,1)+1))),IF(AG_REQ!N57&lt;=INDEX(INPUTS!$E$42:$E$50,1),INDEX(INPUTS!$D$42:$D$50,1),IF(AG_REQ!N57&gt;INDEX(INPUTS!$E$42:$E$50,ROWS(INPUTS!$E$42:$E$50)),"LARGER",INDEX(INPUTS!$D$42:$D$50,MATCH(AG_REQ!N57,INPUTS!$E$42:$E$50,1)+1)))))</f>
        <v>14x24</v>
      </c>
      <c r="O57" s="4" t="str">
        <f aca="false">IF(TRIB!O57="","",IF(OR(ARCH!O57="",LEFT(ARCH!O57,3)="14x"),IF(AG_REQ!O57&lt;=INDEX(INPUTS!$B$42:$B$50,1),INDEX(INPUTS!$A$42:$A$50,1),IF(AG_REQ!O57&gt;INDEX(INPUTS!$B$42:$B$50,ROWS(INPUTS!$B$42:$B$50)),"LARGER",INDEX(INPUTS!$A$42:$A$50,MATCH(AG_REQ!O57,INPUTS!$B$42:$B$50,1)+1))),IF(AG_REQ!O57&lt;=INDEX(INPUTS!$E$42:$E$50,1),INDEX(INPUTS!$D$42:$D$50,1),IF(AG_REQ!O57&gt;INDEX(INPUTS!$E$42:$E$50,ROWS(INPUTS!$E$42:$E$50)),"LARGER",INDEX(INPUTS!$D$42:$D$50,MATCH(AG_REQ!O57,INPUTS!$E$42:$E$50,1)+1)))))</f>
        <v>14x24</v>
      </c>
      <c r="P57" s="4" t="str">
        <f aca="false">IF(TRIB!P57="","",IF(OR(ARCH!P57="",LEFT(ARCH!P57,3)="14x"),IF(AG_REQ!P57&lt;=INDEX(INPUTS!$B$42:$B$50,1),INDEX(INPUTS!$A$42:$A$50,1),IF(AG_REQ!P57&gt;INDEX(INPUTS!$B$42:$B$50,ROWS(INPUTS!$B$42:$B$50)),"LARGER",INDEX(INPUTS!$A$42:$A$50,MATCH(AG_REQ!P57,INPUTS!$B$42:$B$50,1)+1))),IF(AG_REQ!P57&lt;=INDEX(INPUTS!$E$42:$E$50,1),INDEX(INPUTS!$D$42:$D$50,1),IF(AG_REQ!P57&gt;INDEX(INPUTS!$E$42:$E$50,ROWS(INPUTS!$E$42:$E$50)),"LARGER",INDEX(INPUTS!$D$42:$D$50,MATCH(AG_REQ!P57,INPUTS!$E$42:$E$50,1)+1)))))</f>
        <v>14x24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4" t="str">
        <f aca="false">IF(TRIB!E58="","",IF(OR(ARCH!E58="",LEFT(ARCH!E58,3)="14x"),IF(AG_REQ!E58&lt;=INDEX(INPUTS!$B$42:$B$50,1),INDEX(INPUTS!$A$42:$A$50,1),IF(AG_REQ!E58&gt;INDEX(INPUTS!$B$42:$B$50,ROWS(INPUTS!$B$42:$B$50)),"LARGER",INDEX(INPUTS!$A$42:$A$50,MATCH(AG_REQ!E58,INPUTS!$B$42:$B$50,1)+1))),IF(AG_REQ!E58&lt;=INDEX(INPUTS!$E$42:$E$50,1),INDEX(INPUTS!$D$42:$D$50,1),IF(AG_REQ!E58&gt;INDEX(INPUTS!$E$42:$E$50,ROWS(INPUTS!$E$42:$E$50)),"LARGER",INDEX(INPUTS!$D$42:$D$50,MATCH(AG_REQ!E58,INPUTS!$E$42:$E$50,1)+1)))))</f>
        <v>14x24</v>
      </c>
      <c r="F58" s="4" t="str">
        <f aca="false">IF(TRIB!F58="","",IF(OR(ARCH!F58="",LEFT(ARCH!F58,3)="14x"),IF(AG_REQ!F58&lt;=INDEX(INPUTS!$B$42:$B$50,1),INDEX(INPUTS!$A$42:$A$50,1),IF(AG_REQ!F58&gt;INDEX(INPUTS!$B$42:$B$50,ROWS(INPUTS!$B$42:$B$50)),"LARGER",INDEX(INPUTS!$A$42:$A$50,MATCH(AG_REQ!F58,INPUTS!$B$42:$B$50,1)+1))),IF(AG_REQ!F58&lt;=INDEX(INPUTS!$E$42:$E$50,1),INDEX(INPUTS!$D$42:$D$50,1),IF(AG_REQ!F58&gt;INDEX(INPUTS!$E$42:$E$50,ROWS(INPUTS!$E$42:$E$50)),"LARGER",INDEX(INPUTS!$D$42:$D$50,MATCH(AG_REQ!F58,INPUTS!$E$42:$E$50,1)+1)))))</f>
        <v>14x24</v>
      </c>
      <c r="G58" s="4" t="str">
        <f aca="false">IF(TRIB!G58="","",IF(OR(ARCH!G58="",LEFT(ARCH!G58,3)="14x"),IF(AG_REQ!G58&lt;=INDEX(INPUTS!$B$42:$B$50,1),INDEX(INPUTS!$A$42:$A$50,1),IF(AG_REQ!G58&gt;INDEX(INPUTS!$B$42:$B$50,ROWS(INPUTS!$B$42:$B$50)),"LARGER",INDEX(INPUTS!$A$42:$A$50,MATCH(AG_REQ!G58,INPUTS!$B$42:$B$50,1)+1))),IF(AG_REQ!G58&lt;=INDEX(INPUTS!$E$42:$E$50,1),INDEX(INPUTS!$D$42:$D$50,1),IF(AG_REQ!G58&gt;INDEX(INPUTS!$E$42:$E$50,ROWS(INPUTS!$E$42:$E$50)),"LARGER",INDEX(INPUTS!$D$42:$D$50,MATCH(AG_REQ!G58,INPUTS!$E$42:$E$50,1)+1)))))</f>
        <v>14x24</v>
      </c>
      <c r="H58" s="4" t="str">
        <f aca="false">IF(TRIB!H58="","",IF(OR(ARCH!H58="",LEFT(ARCH!H58,3)="14x"),IF(AG_REQ!H58&lt;=INDEX(INPUTS!$B$42:$B$50,1),INDEX(INPUTS!$A$42:$A$50,1),IF(AG_REQ!H58&gt;INDEX(INPUTS!$B$42:$B$50,ROWS(INPUTS!$B$42:$B$50)),"LARGER",INDEX(INPUTS!$A$42:$A$50,MATCH(AG_REQ!H58,INPUTS!$B$42:$B$50,1)+1))),IF(AG_REQ!H58&lt;=INDEX(INPUTS!$E$42:$E$50,1),INDEX(INPUTS!$D$42:$D$50,1),IF(AG_REQ!H58&gt;INDEX(INPUTS!$E$42:$E$50,ROWS(INPUTS!$E$42:$E$50)),"LARGER",INDEX(INPUTS!$D$42:$D$50,MATCH(AG_REQ!H58,INPUTS!$E$42:$E$50,1)+1)))))</f>
        <v>14x24</v>
      </c>
      <c r="I58" s="4" t="str">
        <f aca="false">IF(TRIB!I58="","",IF(OR(ARCH!I58="",LEFT(ARCH!I58,3)="14x"),IF(AG_REQ!I58&lt;=INDEX(INPUTS!$B$42:$B$50,1),INDEX(INPUTS!$A$42:$A$50,1),IF(AG_REQ!I58&gt;INDEX(INPUTS!$B$42:$B$50,ROWS(INPUTS!$B$42:$B$50)),"LARGER",INDEX(INPUTS!$A$42:$A$50,MATCH(AG_REQ!I58,INPUTS!$B$42:$B$50,1)+1))),IF(AG_REQ!I58&lt;=INDEX(INPUTS!$E$42:$E$50,1),INDEX(INPUTS!$D$42:$D$50,1),IF(AG_REQ!I58&gt;INDEX(INPUTS!$E$42:$E$50,ROWS(INPUTS!$E$42:$E$50)),"LARGER",INDEX(INPUTS!$D$42:$D$50,MATCH(AG_REQ!I58,INPUTS!$E$42:$E$50,1)+1)))))</f>
        <v>14x24</v>
      </c>
      <c r="J58" s="4" t="str">
        <f aca="false">IF(TRIB!J58="","",IF(OR(ARCH!J58="",LEFT(ARCH!J58,3)="14x"),IF(AG_REQ!J58&lt;=INDEX(INPUTS!$B$42:$B$50,1),INDEX(INPUTS!$A$42:$A$50,1),IF(AG_REQ!J58&gt;INDEX(INPUTS!$B$42:$B$50,ROWS(INPUTS!$B$42:$B$50)),"LARGER",INDEX(INPUTS!$A$42:$A$50,MATCH(AG_REQ!J58,INPUTS!$B$42:$B$50,1)+1))),IF(AG_REQ!J58&lt;=INDEX(INPUTS!$E$42:$E$50,1),INDEX(INPUTS!$D$42:$D$50,1),IF(AG_REQ!J58&gt;INDEX(INPUTS!$E$42:$E$50,ROWS(INPUTS!$E$42:$E$50)),"LARGER",INDEX(INPUTS!$D$42:$D$50,MATCH(AG_REQ!J58,INPUTS!$E$42:$E$50,1)+1)))))</f>
        <v>14x24</v>
      </c>
      <c r="K58" s="4" t="str">
        <f aca="false">IF(TRIB!K58="","",IF(OR(ARCH!K58="",LEFT(ARCH!K58,3)="14x"),IF(AG_REQ!K58&lt;=INDEX(INPUTS!$B$42:$B$50,1),INDEX(INPUTS!$A$42:$A$50,1),IF(AG_REQ!K58&gt;INDEX(INPUTS!$B$42:$B$50,ROWS(INPUTS!$B$42:$B$50)),"LARGER",INDEX(INPUTS!$A$42:$A$50,MATCH(AG_REQ!K58,INPUTS!$B$42:$B$50,1)+1))),IF(AG_REQ!K58&lt;=INDEX(INPUTS!$E$42:$E$50,1),INDEX(INPUTS!$D$42:$D$50,1),IF(AG_REQ!K58&gt;INDEX(INPUTS!$E$42:$E$50,ROWS(INPUTS!$E$42:$E$50)),"LARGER",INDEX(INPUTS!$D$42:$D$50,MATCH(AG_REQ!K58,INPUTS!$E$42:$E$50,1)+1)))))</f>
        <v>14x24</v>
      </c>
      <c r="L58" s="4" t="str">
        <f aca="false">IF(TRIB!L58="","",IF(OR(ARCH!L58="",LEFT(ARCH!L58,3)="14x"),IF(AG_REQ!L58&lt;=INDEX(INPUTS!$B$42:$B$50,1),INDEX(INPUTS!$A$42:$A$50,1),IF(AG_REQ!L58&gt;INDEX(INPUTS!$B$42:$B$50,ROWS(INPUTS!$B$42:$B$50)),"LARGER",INDEX(INPUTS!$A$42:$A$50,MATCH(AG_REQ!L58,INPUTS!$B$42:$B$50,1)+1))),IF(AG_REQ!L58&lt;=INDEX(INPUTS!$E$42:$E$50,1),INDEX(INPUTS!$D$42:$D$50,1),IF(AG_REQ!L58&gt;INDEX(INPUTS!$E$42:$E$50,ROWS(INPUTS!$E$42:$E$50)),"LARGER",INDEX(INPUTS!$D$42:$D$50,MATCH(AG_REQ!L58,INPUTS!$E$42:$E$50,1)+1)))))</f>
        <v>14x24</v>
      </c>
      <c r="M58" s="4" t="str">
        <f aca="false">IF(TRIB!M58="","",IF(OR(ARCH!M58="",LEFT(ARCH!M58,3)="14x"),IF(AG_REQ!M58&lt;=INDEX(INPUTS!$B$42:$B$50,1),INDEX(INPUTS!$A$42:$A$50,1),IF(AG_REQ!M58&gt;INDEX(INPUTS!$B$42:$B$50,ROWS(INPUTS!$B$42:$B$50)),"LARGER",INDEX(INPUTS!$A$42:$A$50,MATCH(AG_REQ!M58,INPUTS!$B$42:$B$50,1)+1))),IF(AG_REQ!M58&lt;=INDEX(INPUTS!$E$42:$E$50,1),INDEX(INPUTS!$D$42:$D$50,1),IF(AG_REQ!M58&gt;INDEX(INPUTS!$E$42:$E$50,ROWS(INPUTS!$E$42:$E$50)),"LARGER",INDEX(INPUTS!$D$42:$D$50,MATCH(AG_REQ!M58,INPUTS!$E$42:$E$50,1)+1)))))</f>
        <v>14x24</v>
      </c>
      <c r="N58" s="4" t="str">
        <f aca="false">IF(TRIB!N58="","",IF(OR(ARCH!N58="",LEFT(ARCH!N58,3)="14x"),IF(AG_REQ!N58&lt;=INDEX(INPUTS!$B$42:$B$50,1),INDEX(INPUTS!$A$42:$A$50,1),IF(AG_REQ!N58&gt;INDEX(INPUTS!$B$42:$B$50,ROWS(INPUTS!$B$42:$B$50)),"LARGER",INDEX(INPUTS!$A$42:$A$50,MATCH(AG_REQ!N58,INPUTS!$B$42:$B$50,1)+1))),IF(AG_REQ!N58&lt;=INDEX(INPUTS!$E$42:$E$50,1),INDEX(INPUTS!$D$42:$D$50,1),IF(AG_REQ!N58&gt;INDEX(INPUTS!$E$42:$E$50,ROWS(INPUTS!$E$42:$E$50)),"LARGER",INDEX(INPUTS!$D$42:$D$50,MATCH(AG_REQ!N58,INPUTS!$E$42:$E$50,1)+1)))))</f>
        <v>14x24</v>
      </c>
      <c r="O58" s="4" t="str">
        <f aca="false">IF(TRIB!O58="","",IF(OR(ARCH!O58="",LEFT(ARCH!O58,3)="14x"),IF(AG_REQ!O58&lt;=INDEX(INPUTS!$B$42:$B$50,1),INDEX(INPUTS!$A$42:$A$50,1),IF(AG_REQ!O58&gt;INDEX(INPUTS!$B$42:$B$50,ROWS(INPUTS!$B$42:$B$50)),"LARGER",INDEX(INPUTS!$A$42:$A$50,MATCH(AG_REQ!O58,INPUTS!$B$42:$B$50,1)+1))),IF(AG_REQ!O58&lt;=INDEX(INPUTS!$E$42:$E$50,1),INDEX(INPUTS!$D$42:$D$50,1),IF(AG_REQ!O58&gt;INDEX(INPUTS!$E$42:$E$50,ROWS(INPUTS!$E$42:$E$50)),"LARGER",INDEX(INPUTS!$D$42:$D$50,MATCH(AG_REQ!O58,INPUTS!$E$42:$E$50,1)+1)))))</f>
        <v>14x24</v>
      </c>
      <c r="P58" s="4" t="str">
        <f aca="false">IF(TRIB!P58="","",IF(OR(ARCH!P58="",LEFT(ARCH!P58,3)="14x"),IF(AG_REQ!P58&lt;=INDEX(INPUTS!$B$42:$B$50,1),INDEX(INPUTS!$A$42:$A$50,1),IF(AG_REQ!P58&gt;INDEX(INPUTS!$B$42:$B$50,ROWS(INPUTS!$B$42:$B$50)),"LARGER",INDEX(INPUTS!$A$42:$A$50,MATCH(AG_REQ!P58,INPUTS!$B$42:$B$50,1)+1))),IF(AG_REQ!P58&lt;=INDEX(INPUTS!$E$42:$E$50,1),INDEX(INPUTS!$D$42:$D$50,1),IF(AG_REQ!P58&gt;INDEX(INPUTS!$E$42:$E$50,ROWS(INPUTS!$E$42:$E$50)),"LARGER",INDEX(INPUTS!$D$42:$D$50,MATCH(AG_REQ!P58,INPUTS!$E$42:$E$50,1)+1)))))</f>
        <v>14x24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4" t="str">
        <f aca="false">IF(TRIB!E59="","",IF(OR(ARCH!E59="",LEFT(ARCH!E59,3)="14x"),IF(AG_REQ!E59&lt;=INDEX(INPUTS!$B$42:$B$50,1),INDEX(INPUTS!$A$42:$A$50,1),IF(AG_REQ!E59&gt;INDEX(INPUTS!$B$42:$B$50,ROWS(INPUTS!$B$42:$B$50)),"LARGER",INDEX(INPUTS!$A$42:$A$50,MATCH(AG_REQ!E59,INPUTS!$B$42:$B$50,1)+1))),IF(AG_REQ!E59&lt;=INDEX(INPUTS!$E$42:$E$50,1),INDEX(INPUTS!$D$42:$D$50,1),IF(AG_REQ!E59&gt;INDEX(INPUTS!$E$42:$E$50,ROWS(INPUTS!$E$42:$E$50)),"LARGER",INDEX(INPUTS!$D$42:$D$50,MATCH(AG_REQ!E59,INPUTS!$E$42:$E$50,1)+1)))))</f>
        <v>14x24</v>
      </c>
      <c r="F59" s="4" t="str">
        <f aca="false">IF(TRIB!F59="","",IF(OR(ARCH!F59="",LEFT(ARCH!F59,3)="14x"),IF(AG_REQ!F59&lt;=INDEX(INPUTS!$B$42:$B$50,1),INDEX(INPUTS!$A$42:$A$50,1),IF(AG_REQ!F59&gt;INDEX(INPUTS!$B$42:$B$50,ROWS(INPUTS!$B$42:$B$50)),"LARGER",INDEX(INPUTS!$A$42:$A$50,MATCH(AG_REQ!F59,INPUTS!$B$42:$B$50,1)+1))),IF(AG_REQ!F59&lt;=INDEX(INPUTS!$E$42:$E$50,1),INDEX(INPUTS!$D$42:$D$50,1),IF(AG_REQ!F59&gt;INDEX(INPUTS!$E$42:$E$50,ROWS(INPUTS!$E$42:$E$50)),"LARGER",INDEX(INPUTS!$D$42:$D$50,MATCH(AG_REQ!F59,INPUTS!$E$42:$E$50,1)+1)))))</f>
        <v>14x24</v>
      </c>
      <c r="G59" s="4" t="str">
        <f aca="false">IF(TRIB!G59="","",IF(OR(ARCH!G59="",LEFT(ARCH!G59,3)="14x"),IF(AG_REQ!G59&lt;=INDEX(INPUTS!$B$42:$B$50,1),INDEX(INPUTS!$A$42:$A$50,1),IF(AG_REQ!G59&gt;INDEX(INPUTS!$B$42:$B$50,ROWS(INPUTS!$B$42:$B$50)),"LARGER",INDEX(INPUTS!$A$42:$A$50,MATCH(AG_REQ!G59,INPUTS!$B$42:$B$50,1)+1))),IF(AG_REQ!G59&lt;=INDEX(INPUTS!$E$42:$E$50,1),INDEX(INPUTS!$D$42:$D$50,1),IF(AG_REQ!G59&gt;INDEX(INPUTS!$E$42:$E$50,ROWS(INPUTS!$E$42:$E$50)),"LARGER",INDEX(INPUTS!$D$42:$D$50,MATCH(AG_REQ!G59,INPUTS!$E$42:$E$50,1)+1)))))</f>
        <v>14x24</v>
      </c>
      <c r="H59" s="4" t="str">
        <f aca="false">IF(TRIB!H59="","",IF(OR(ARCH!H59="",LEFT(ARCH!H59,3)="14x"),IF(AG_REQ!H59&lt;=INDEX(INPUTS!$B$42:$B$50,1),INDEX(INPUTS!$A$42:$A$50,1),IF(AG_REQ!H59&gt;INDEX(INPUTS!$B$42:$B$50,ROWS(INPUTS!$B$42:$B$50)),"LARGER",INDEX(INPUTS!$A$42:$A$50,MATCH(AG_REQ!H59,INPUTS!$B$42:$B$50,1)+1))),IF(AG_REQ!H59&lt;=INDEX(INPUTS!$E$42:$E$50,1),INDEX(INPUTS!$D$42:$D$50,1),IF(AG_REQ!H59&gt;INDEX(INPUTS!$E$42:$E$50,ROWS(INPUTS!$E$42:$E$50)),"LARGER",INDEX(INPUTS!$D$42:$D$50,MATCH(AG_REQ!H59,INPUTS!$E$42:$E$50,1)+1)))))</f>
        <v>14x24</v>
      </c>
      <c r="I59" s="4" t="str">
        <f aca="false">IF(TRIB!I59="","",IF(OR(ARCH!I59="",LEFT(ARCH!I59,3)="14x"),IF(AG_REQ!I59&lt;=INDEX(INPUTS!$B$42:$B$50,1),INDEX(INPUTS!$A$42:$A$50,1),IF(AG_REQ!I59&gt;INDEX(INPUTS!$B$42:$B$50,ROWS(INPUTS!$B$42:$B$50)),"LARGER",INDEX(INPUTS!$A$42:$A$50,MATCH(AG_REQ!I59,INPUTS!$B$42:$B$50,1)+1))),IF(AG_REQ!I59&lt;=INDEX(INPUTS!$E$42:$E$50,1),INDEX(INPUTS!$D$42:$D$50,1),IF(AG_REQ!I59&gt;INDEX(INPUTS!$E$42:$E$50,ROWS(INPUTS!$E$42:$E$50)),"LARGER",INDEX(INPUTS!$D$42:$D$50,MATCH(AG_REQ!I59,INPUTS!$E$42:$E$50,1)+1)))))</f>
        <v>14x24</v>
      </c>
      <c r="J59" s="4" t="str">
        <f aca="false">IF(TRIB!J59="","",IF(OR(ARCH!J59="",LEFT(ARCH!J59,3)="14x"),IF(AG_REQ!J59&lt;=INDEX(INPUTS!$B$42:$B$50,1),INDEX(INPUTS!$A$42:$A$50,1),IF(AG_REQ!J59&gt;INDEX(INPUTS!$B$42:$B$50,ROWS(INPUTS!$B$42:$B$50)),"LARGER",INDEX(INPUTS!$A$42:$A$50,MATCH(AG_REQ!J59,INPUTS!$B$42:$B$50,1)+1))),IF(AG_REQ!J59&lt;=INDEX(INPUTS!$E$42:$E$50,1),INDEX(INPUTS!$D$42:$D$50,1),IF(AG_REQ!J59&gt;INDEX(INPUTS!$E$42:$E$50,ROWS(INPUTS!$E$42:$E$50)),"LARGER",INDEX(INPUTS!$D$42:$D$50,MATCH(AG_REQ!J59,INPUTS!$E$42:$E$50,1)+1)))))</f>
        <v>14x24</v>
      </c>
      <c r="K59" s="4" t="str">
        <f aca="false">IF(TRIB!K59="","",IF(OR(ARCH!K59="",LEFT(ARCH!K59,3)="14x"),IF(AG_REQ!K59&lt;=INDEX(INPUTS!$B$42:$B$50,1),INDEX(INPUTS!$A$42:$A$50,1),IF(AG_REQ!K59&gt;INDEX(INPUTS!$B$42:$B$50,ROWS(INPUTS!$B$42:$B$50)),"LARGER",INDEX(INPUTS!$A$42:$A$50,MATCH(AG_REQ!K59,INPUTS!$B$42:$B$50,1)+1))),IF(AG_REQ!K59&lt;=INDEX(INPUTS!$E$42:$E$50,1),INDEX(INPUTS!$D$42:$D$50,1),IF(AG_REQ!K59&gt;INDEX(INPUTS!$E$42:$E$50,ROWS(INPUTS!$E$42:$E$50)),"LARGER",INDEX(INPUTS!$D$42:$D$50,MATCH(AG_REQ!K59,INPUTS!$E$42:$E$50,1)+1)))))</f>
        <v>14x24</v>
      </c>
      <c r="L59" s="4" t="str">
        <f aca="false">IF(TRIB!L59="","",IF(OR(ARCH!L59="",LEFT(ARCH!L59,3)="14x"),IF(AG_REQ!L59&lt;=INDEX(INPUTS!$B$42:$B$50,1),INDEX(INPUTS!$A$42:$A$50,1),IF(AG_REQ!L59&gt;INDEX(INPUTS!$B$42:$B$50,ROWS(INPUTS!$B$42:$B$50)),"LARGER",INDEX(INPUTS!$A$42:$A$50,MATCH(AG_REQ!L59,INPUTS!$B$42:$B$50,1)+1))),IF(AG_REQ!L59&lt;=INDEX(INPUTS!$E$42:$E$50,1),INDEX(INPUTS!$D$42:$D$50,1),IF(AG_REQ!L59&gt;INDEX(INPUTS!$E$42:$E$50,ROWS(INPUTS!$E$42:$E$50)),"LARGER",INDEX(INPUTS!$D$42:$D$50,MATCH(AG_REQ!L59,INPUTS!$E$42:$E$50,1)+1)))))</f>
        <v>14x24</v>
      </c>
      <c r="M59" s="4" t="str">
        <f aca="false">IF(TRIB!M59="","",IF(OR(ARCH!M59="",LEFT(ARCH!M59,3)="14x"),IF(AG_REQ!M59&lt;=INDEX(INPUTS!$B$42:$B$50,1),INDEX(INPUTS!$A$42:$A$50,1),IF(AG_REQ!M59&gt;INDEX(INPUTS!$B$42:$B$50,ROWS(INPUTS!$B$42:$B$50)),"LARGER",INDEX(INPUTS!$A$42:$A$50,MATCH(AG_REQ!M59,INPUTS!$B$42:$B$50,1)+1))),IF(AG_REQ!M59&lt;=INDEX(INPUTS!$E$42:$E$50,1),INDEX(INPUTS!$D$42:$D$50,1),IF(AG_REQ!M59&gt;INDEX(INPUTS!$E$42:$E$50,ROWS(INPUTS!$E$42:$E$50)),"LARGER",INDEX(INPUTS!$D$42:$D$50,MATCH(AG_REQ!M59,INPUTS!$E$42:$E$50,1)+1)))))</f>
        <v>14x24</v>
      </c>
      <c r="N59" s="4" t="str">
        <f aca="false">IF(TRIB!N59="","",IF(OR(ARCH!N59="",LEFT(ARCH!N59,3)="14x"),IF(AG_REQ!N59&lt;=INDEX(INPUTS!$B$42:$B$50,1),INDEX(INPUTS!$A$42:$A$50,1),IF(AG_REQ!N59&gt;INDEX(INPUTS!$B$42:$B$50,ROWS(INPUTS!$B$42:$B$50)),"LARGER",INDEX(INPUTS!$A$42:$A$50,MATCH(AG_REQ!N59,INPUTS!$B$42:$B$50,1)+1))),IF(AG_REQ!N59&lt;=INDEX(INPUTS!$E$42:$E$50,1),INDEX(INPUTS!$D$42:$D$50,1),IF(AG_REQ!N59&gt;INDEX(INPUTS!$E$42:$E$50,ROWS(INPUTS!$E$42:$E$50)),"LARGER",INDEX(INPUTS!$D$42:$D$50,MATCH(AG_REQ!N59,INPUTS!$E$42:$E$50,1)+1)))))</f>
        <v>14x24</v>
      </c>
      <c r="O59" s="4" t="str">
        <f aca="false">IF(TRIB!O59="","",IF(OR(ARCH!O59="",LEFT(ARCH!O59,3)="14x"),IF(AG_REQ!O59&lt;=INDEX(INPUTS!$B$42:$B$50,1),INDEX(INPUTS!$A$42:$A$50,1),IF(AG_REQ!O59&gt;INDEX(INPUTS!$B$42:$B$50,ROWS(INPUTS!$B$42:$B$50)),"LARGER",INDEX(INPUTS!$A$42:$A$50,MATCH(AG_REQ!O59,INPUTS!$B$42:$B$50,1)+1))),IF(AG_REQ!O59&lt;=INDEX(INPUTS!$E$42:$E$50,1),INDEX(INPUTS!$D$42:$D$50,1),IF(AG_REQ!O59&gt;INDEX(INPUTS!$E$42:$E$50,ROWS(INPUTS!$E$42:$E$50)),"LARGER",INDEX(INPUTS!$D$42:$D$50,MATCH(AG_REQ!O59,INPUTS!$E$42:$E$50,1)+1)))))</f>
        <v>14x24</v>
      </c>
      <c r="P59" s="4" t="str">
        <f aca="false">IF(TRIB!P59="","",IF(OR(ARCH!P59="",LEFT(ARCH!P59,3)="14x"),IF(AG_REQ!P59&lt;=INDEX(INPUTS!$B$42:$B$50,1),INDEX(INPUTS!$A$42:$A$50,1),IF(AG_REQ!P59&gt;INDEX(INPUTS!$B$42:$B$50,ROWS(INPUTS!$B$42:$B$50)),"LARGER",INDEX(INPUTS!$A$42:$A$50,MATCH(AG_REQ!P59,INPUTS!$B$42:$B$50,1)+1))),IF(AG_REQ!P59&lt;=INDEX(INPUTS!$E$42:$E$50,1),INDEX(INPUTS!$D$42:$D$50,1),IF(AG_REQ!P59&gt;INDEX(INPUTS!$E$42:$E$50,ROWS(INPUTS!$E$42:$E$50)),"LARGER",INDEX(INPUTS!$D$42:$D$50,MATCH(AG_REQ!P59,INPUTS!$E$42:$E$50,1)+1)))))</f>
        <v>14x24</v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4" t="str">
        <f aca="false">IF(TRIB!E60="","",IF(OR(ARCH!E60="",LEFT(ARCH!E60,3)="14x"),IF(AG_REQ!E60&lt;=INDEX(INPUTS!$B$42:$B$50,1),INDEX(INPUTS!$A$42:$A$50,1),IF(AG_REQ!E60&gt;INDEX(INPUTS!$B$42:$B$50,ROWS(INPUTS!$B$42:$B$50)),"LARGER",INDEX(INPUTS!$A$42:$A$50,MATCH(AG_REQ!E60,INPUTS!$B$42:$B$50,1)+1))),IF(AG_REQ!E60&lt;=INDEX(INPUTS!$E$42:$E$50,1),INDEX(INPUTS!$D$42:$D$50,1),IF(AG_REQ!E60&gt;INDEX(INPUTS!$E$42:$E$50,ROWS(INPUTS!$E$42:$E$50)),"LARGER",INDEX(INPUTS!$D$42:$D$50,MATCH(AG_REQ!E60,INPUTS!$E$42:$E$50,1)+1)))))</f>
        <v>14x24</v>
      </c>
      <c r="F60" s="4" t="str">
        <f aca="false">IF(TRIB!F60="","",IF(OR(ARCH!F60="",LEFT(ARCH!F60,3)="14x"),IF(AG_REQ!F60&lt;=INDEX(INPUTS!$B$42:$B$50,1),INDEX(INPUTS!$A$42:$A$50,1),IF(AG_REQ!F60&gt;INDEX(INPUTS!$B$42:$B$50,ROWS(INPUTS!$B$42:$B$50)),"LARGER",INDEX(INPUTS!$A$42:$A$50,MATCH(AG_REQ!F60,INPUTS!$B$42:$B$50,1)+1))),IF(AG_REQ!F60&lt;=INDEX(INPUTS!$E$42:$E$50,1),INDEX(INPUTS!$D$42:$D$50,1),IF(AG_REQ!F60&gt;INDEX(INPUTS!$E$42:$E$50,ROWS(INPUTS!$E$42:$E$50)),"LARGER",INDEX(INPUTS!$D$42:$D$50,MATCH(AG_REQ!F60,INPUTS!$E$42:$E$50,1)+1)))))</f>
        <v>14x24</v>
      </c>
      <c r="G60" s="4" t="str">
        <f aca="false">IF(TRIB!G60="","",IF(OR(ARCH!G60="",LEFT(ARCH!G60,3)="14x"),IF(AG_REQ!G60&lt;=INDEX(INPUTS!$B$42:$B$50,1),INDEX(INPUTS!$A$42:$A$50,1),IF(AG_REQ!G60&gt;INDEX(INPUTS!$B$42:$B$50,ROWS(INPUTS!$B$42:$B$50)),"LARGER",INDEX(INPUTS!$A$42:$A$50,MATCH(AG_REQ!G60,INPUTS!$B$42:$B$50,1)+1))),IF(AG_REQ!G60&lt;=INDEX(INPUTS!$E$42:$E$50,1),INDEX(INPUTS!$D$42:$D$50,1),IF(AG_REQ!G60&gt;INDEX(INPUTS!$E$42:$E$50,ROWS(INPUTS!$E$42:$E$50)),"LARGER",INDEX(INPUTS!$D$42:$D$50,MATCH(AG_REQ!G60,INPUTS!$E$42:$E$50,1)+1)))))</f>
        <v>14x24</v>
      </c>
      <c r="H60" s="4" t="str">
        <f aca="false">IF(TRIB!H60="","",IF(OR(ARCH!H60="",LEFT(ARCH!H60,3)="14x"),IF(AG_REQ!H60&lt;=INDEX(INPUTS!$B$42:$B$50,1),INDEX(INPUTS!$A$42:$A$50,1),IF(AG_REQ!H60&gt;INDEX(INPUTS!$B$42:$B$50,ROWS(INPUTS!$B$42:$B$50)),"LARGER",INDEX(INPUTS!$A$42:$A$50,MATCH(AG_REQ!H60,INPUTS!$B$42:$B$50,1)+1))),IF(AG_REQ!H60&lt;=INDEX(INPUTS!$E$42:$E$50,1),INDEX(INPUTS!$D$42:$D$50,1),IF(AG_REQ!H60&gt;INDEX(INPUTS!$E$42:$E$50,ROWS(INPUTS!$E$42:$E$50)),"LARGER",INDEX(INPUTS!$D$42:$D$50,MATCH(AG_REQ!H60,INPUTS!$E$42:$E$50,1)+1)))))</f>
        <v>14x24</v>
      </c>
      <c r="I60" s="4" t="str">
        <f aca="false">IF(TRIB!I60="","",IF(OR(ARCH!I60="",LEFT(ARCH!I60,3)="14x"),IF(AG_REQ!I60&lt;=INDEX(INPUTS!$B$42:$B$50,1),INDEX(INPUTS!$A$42:$A$50,1),IF(AG_REQ!I60&gt;INDEX(INPUTS!$B$42:$B$50,ROWS(INPUTS!$B$42:$B$50)),"LARGER",INDEX(INPUTS!$A$42:$A$50,MATCH(AG_REQ!I60,INPUTS!$B$42:$B$50,1)+1))),IF(AG_REQ!I60&lt;=INDEX(INPUTS!$E$42:$E$50,1),INDEX(INPUTS!$D$42:$D$50,1),IF(AG_REQ!I60&gt;INDEX(INPUTS!$E$42:$E$50,ROWS(INPUTS!$E$42:$E$50)),"LARGER",INDEX(INPUTS!$D$42:$D$50,MATCH(AG_REQ!I60,INPUTS!$E$42:$E$50,1)+1)))))</f>
        <v>14x24</v>
      </c>
      <c r="J60" s="4" t="str">
        <f aca="false">IF(TRIB!J60="","",IF(OR(ARCH!J60="",LEFT(ARCH!J60,3)="14x"),IF(AG_REQ!J60&lt;=INDEX(INPUTS!$B$42:$B$50,1),INDEX(INPUTS!$A$42:$A$50,1),IF(AG_REQ!J60&gt;INDEX(INPUTS!$B$42:$B$50,ROWS(INPUTS!$B$42:$B$50)),"LARGER",INDEX(INPUTS!$A$42:$A$50,MATCH(AG_REQ!J60,INPUTS!$B$42:$B$50,1)+1))),IF(AG_REQ!J60&lt;=INDEX(INPUTS!$E$42:$E$50,1),INDEX(INPUTS!$D$42:$D$50,1),IF(AG_REQ!J60&gt;INDEX(INPUTS!$E$42:$E$50,ROWS(INPUTS!$E$42:$E$50)),"LARGER",INDEX(INPUTS!$D$42:$D$50,MATCH(AG_REQ!J60,INPUTS!$E$42:$E$50,1)+1)))))</f>
        <v>14x24</v>
      </c>
      <c r="K60" s="4" t="str">
        <f aca="false">IF(TRIB!K60="","",IF(OR(ARCH!K60="",LEFT(ARCH!K60,3)="14x"),IF(AG_REQ!K60&lt;=INDEX(INPUTS!$B$42:$B$50,1),INDEX(INPUTS!$A$42:$A$50,1),IF(AG_REQ!K60&gt;INDEX(INPUTS!$B$42:$B$50,ROWS(INPUTS!$B$42:$B$50)),"LARGER",INDEX(INPUTS!$A$42:$A$50,MATCH(AG_REQ!K60,INPUTS!$B$42:$B$50,1)+1))),IF(AG_REQ!K60&lt;=INDEX(INPUTS!$E$42:$E$50,1),INDEX(INPUTS!$D$42:$D$50,1),IF(AG_REQ!K60&gt;INDEX(INPUTS!$E$42:$E$50,ROWS(INPUTS!$E$42:$E$50)),"LARGER",INDEX(INPUTS!$D$42:$D$50,MATCH(AG_REQ!K60,INPUTS!$E$42:$E$50,1)+1)))))</f>
        <v>14x24</v>
      </c>
      <c r="L60" s="4" t="str">
        <f aca="false">IF(TRIB!L60="","",IF(OR(ARCH!L60="",LEFT(ARCH!L60,3)="14x"),IF(AG_REQ!L60&lt;=INDEX(INPUTS!$B$42:$B$50,1),INDEX(INPUTS!$A$42:$A$50,1),IF(AG_REQ!L60&gt;INDEX(INPUTS!$B$42:$B$50,ROWS(INPUTS!$B$42:$B$50)),"LARGER",INDEX(INPUTS!$A$42:$A$50,MATCH(AG_REQ!L60,INPUTS!$B$42:$B$50,1)+1))),IF(AG_REQ!L60&lt;=INDEX(INPUTS!$E$42:$E$50,1),INDEX(INPUTS!$D$42:$D$50,1),IF(AG_REQ!L60&gt;INDEX(INPUTS!$E$42:$E$50,ROWS(INPUTS!$E$42:$E$50)),"LARGER",INDEX(INPUTS!$D$42:$D$50,MATCH(AG_REQ!L60,INPUTS!$E$42:$E$50,1)+1)))))</f>
        <v>14x24</v>
      </c>
      <c r="M60" s="4" t="str">
        <f aca="false">IF(TRIB!M60="","",IF(OR(ARCH!M60="",LEFT(ARCH!M60,3)="14x"),IF(AG_REQ!M60&lt;=INDEX(INPUTS!$B$42:$B$50,1),INDEX(INPUTS!$A$42:$A$50,1),IF(AG_REQ!M60&gt;INDEX(INPUTS!$B$42:$B$50,ROWS(INPUTS!$B$42:$B$50)),"LARGER",INDEX(INPUTS!$A$42:$A$50,MATCH(AG_REQ!M60,INPUTS!$B$42:$B$50,1)+1))),IF(AG_REQ!M60&lt;=INDEX(INPUTS!$E$42:$E$50,1),INDEX(INPUTS!$D$42:$D$50,1),IF(AG_REQ!M60&gt;INDEX(INPUTS!$E$42:$E$50,ROWS(INPUTS!$E$42:$E$50)),"LARGER",INDEX(INPUTS!$D$42:$D$50,MATCH(AG_REQ!M60,INPUTS!$E$42:$E$50,1)+1)))))</f>
        <v>14x24</v>
      </c>
      <c r="N60" s="4" t="str">
        <f aca="false">IF(TRIB!N60="","",IF(OR(ARCH!N60="",LEFT(ARCH!N60,3)="14x"),IF(AG_REQ!N60&lt;=INDEX(INPUTS!$B$42:$B$50,1),INDEX(INPUTS!$A$42:$A$50,1),IF(AG_REQ!N60&gt;INDEX(INPUTS!$B$42:$B$50,ROWS(INPUTS!$B$42:$B$50)),"LARGER",INDEX(INPUTS!$A$42:$A$50,MATCH(AG_REQ!N60,INPUTS!$B$42:$B$50,1)+1))),IF(AG_REQ!N60&lt;=INDEX(INPUTS!$E$42:$E$50,1),INDEX(INPUTS!$D$42:$D$50,1),IF(AG_REQ!N60&gt;INDEX(INPUTS!$E$42:$E$50,ROWS(INPUTS!$E$42:$E$50)),"LARGER",INDEX(INPUTS!$D$42:$D$50,MATCH(AG_REQ!N60,INPUTS!$E$42:$E$50,1)+1)))))</f>
        <v>14x24</v>
      </c>
      <c r="O60" s="4" t="str">
        <f aca="false">IF(TRIB!O60="","",IF(OR(ARCH!O60="",LEFT(ARCH!O60,3)="14x"),IF(AG_REQ!O60&lt;=INDEX(INPUTS!$B$42:$B$50,1),INDEX(INPUTS!$A$42:$A$50,1),IF(AG_REQ!O60&gt;INDEX(INPUTS!$B$42:$B$50,ROWS(INPUTS!$B$42:$B$50)),"LARGER",INDEX(INPUTS!$A$42:$A$50,MATCH(AG_REQ!O60,INPUTS!$B$42:$B$50,1)+1))),IF(AG_REQ!O60&lt;=INDEX(INPUTS!$E$42:$E$50,1),INDEX(INPUTS!$D$42:$D$50,1),IF(AG_REQ!O60&gt;INDEX(INPUTS!$E$42:$E$50,ROWS(INPUTS!$E$42:$E$50)),"LARGER",INDEX(INPUTS!$D$42:$D$50,MATCH(AG_REQ!O60,INPUTS!$E$42:$E$50,1)+1)))))</f>
        <v>14x24</v>
      </c>
      <c r="P60" s="4" t="str">
        <f aca="false">IF(TRIB!P60="","",IF(OR(ARCH!P60="",LEFT(ARCH!P60,3)="14x"),IF(AG_REQ!P60&lt;=INDEX(INPUTS!$B$42:$B$50,1),INDEX(INPUTS!$A$42:$A$50,1),IF(AG_REQ!P60&gt;INDEX(INPUTS!$B$42:$B$50,ROWS(INPUTS!$B$42:$B$50)),"LARGER",INDEX(INPUTS!$A$42:$A$50,MATCH(AG_REQ!P60,INPUTS!$B$42:$B$50,1)+1))),IF(AG_REQ!P60&lt;=INDEX(INPUTS!$E$42:$E$50,1),INDEX(INPUTS!$D$42:$D$50,1),IF(AG_REQ!P60&gt;INDEX(INPUTS!$E$42:$E$50,ROWS(INPUTS!$E$42:$E$50)),"LARGER",INDEX(INPUTS!$D$42:$D$50,MATCH(AG_REQ!P60,INPUTS!$E$42:$E$50,1)+1)))))</f>
        <v>14x24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4" t="str">
        <f aca="false">IF(TRIB!E61="","",IF(OR(ARCH!E61="",LEFT(ARCH!E61,3)="14x"),IF(AG_REQ!E61&lt;=INDEX(INPUTS!$B$42:$B$50,1),INDEX(INPUTS!$A$42:$A$50,1),IF(AG_REQ!E61&gt;INDEX(INPUTS!$B$42:$B$50,ROWS(INPUTS!$B$42:$B$50)),"LARGER",INDEX(INPUTS!$A$42:$A$50,MATCH(AG_REQ!E61,INPUTS!$B$42:$B$50,1)+1))),IF(AG_REQ!E61&lt;=INDEX(INPUTS!$E$42:$E$50,1),INDEX(INPUTS!$D$42:$D$50,1),IF(AG_REQ!E61&gt;INDEX(INPUTS!$E$42:$E$50,ROWS(INPUTS!$E$42:$E$50)),"LARGER",INDEX(INPUTS!$D$42:$D$50,MATCH(AG_REQ!E61,INPUTS!$E$42:$E$50,1)+1)))))</f>
        <v>14x24</v>
      </c>
      <c r="F61" s="4" t="str">
        <f aca="false">IF(TRIB!F61="","",IF(OR(ARCH!F61="",LEFT(ARCH!F61,3)="14x"),IF(AG_REQ!F61&lt;=INDEX(INPUTS!$B$42:$B$50,1),INDEX(INPUTS!$A$42:$A$50,1),IF(AG_REQ!F61&gt;INDEX(INPUTS!$B$42:$B$50,ROWS(INPUTS!$B$42:$B$50)),"LARGER",INDEX(INPUTS!$A$42:$A$50,MATCH(AG_REQ!F61,INPUTS!$B$42:$B$50,1)+1))),IF(AG_REQ!F61&lt;=INDEX(INPUTS!$E$42:$E$50,1),INDEX(INPUTS!$D$42:$D$50,1),IF(AG_REQ!F61&gt;INDEX(INPUTS!$E$42:$E$50,ROWS(INPUTS!$E$42:$E$50)),"LARGER",INDEX(INPUTS!$D$42:$D$50,MATCH(AG_REQ!F61,INPUTS!$E$42:$E$50,1)+1)))))</f>
        <v>14x24</v>
      </c>
      <c r="G61" s="4" t="str">
        <f aca="false">IF(TRIB!G61="","",IF(OR(ARCH!G61="",LEFT(ARCH!G61,3)="14x"),IF(AG_REQ!G61&lt;=INDEX(INPUTS!$B$42:$B$50,1),INDEX(INPUTS!$A$42:$A$50,1),IF(AG_REQ!G61&gt;INDEX(INPUTS!$B$42:$B$50,ROWS(INPUTS!$B$42:$B$50)),"LARGER",INDEX(INPUTS!$A$42:$A$50,MATCH(AG_REQ!G61,INPUTS!$B$42:$B$50,1)+1))),IF(AG_REQ!G61&lt;=INDEX(INPUTS!$E$42:$E$50,1),INDEX(INPUTS!$D$42:$D$50,1),IF(AG_REQ!G61&gt;INDEX(INPUTS!$E$42:$E$50,ROWS(INPUTS!$E$42:$E$50)),"LARGER",INDEX(INPUTS!$D$42:$D$50,MATCH(AG_REQ!G61,INPUTS!$E$42:$E$50,1)+1)))))</f>
        <v>14x24</v>
      </c>
      <c r="H61" s="4" t="str">
        <f aca="false">IF(TRIB!H61="","",IF(OR(ARCH!H61="",LEFT(ARCH!H61,3)="14x"),IF(AG_REQ!H61&lt;=INDEX(INPUTS!$B$42:$B$50,1),INDEX(INPUTS!$A$42:$A$50,1),IF(AG_REQ!H61&gt;INDEX(INPUTS!$B$42:$B$50,ROWS(INPUTS!$B$42:$B$50)),"LARGER",INDEX(INPUTS!$A$42:$A$50,MATCH(AG_REQ!H61,INPUTS!$B$42:$B$50,1)+1))),IF(AG_REQ!H61&lt;=INDEX(INPUTS!$E$42:$E$50,1),INDEX(INPUTS!$D$42:$D$50,1),IF(AG_REQ!H61&gt;INDEX(INPUTS!$E$42:$E$50,ROWS(INPUTS!$E$42:$E$50)),"LARGER",INDEX(INPUTS!$D$42:$D$50,MATCH(AG_REQ!H61,INPUTS!$E$42:$E$50,1)+1)))))</f>
        <v>14x24</v>
      </c>
      <c r="I61" s="4" t="str">
        <f aca="false">IF(TRIB!I61="","",IF(OR(ARCH!I61="",LEFT(ARCH!I61,3)="14x"),IF(AG_REQ!I61&lt;=INDEX(INPUTS!$B$42:$B$50,1),INDEX(INPUTS!$A$42:$A$50,1),IF(AG_REQ!I61&gt;INDEX(INPUTS!$B$42:$B$50,ROWS(INPUTS!$B$42:$B$50)),"LARGER",INDEX(INPUTS!$A$42:$A$50,MATCH(AG_REQ!I61,INPUTS!$B$42:$B$50,1)+1))),IF(AG_REQ!I61&lt;=INDEX(INPUTS!$E$42:$E$50,1),INDEX(INPUTS!$D$42:$D$50,1),IF(AG_REQ!I61&gt;INDEX(INPUTS!$E$42:$E$50,ROWS(INPUTS!$E$42:$E$50)),"LARGER",INDEX(INPUTS!$D$42:$D$50,MATCH(AG_REQ!I61,INPUTS!$E$42:$E$50,1)+1)))))</f>
        <v>14x24</v>
      </c>
      <c r="J61" s="4" t="str">
        <f aca="false">IF(TRIB!J61="","",IF(OR(ARCH!J61="",LEFT(ARCH!J61,3)="14x"),IF(AG_REQ!J61&lt;=INDEX(INPUTS!$B$42:$B$50,1),INDEX(INPUTS!$A$42:$A$50,1),IF(AG_REQ!J61&gt;INDEX(INPUTS!$B$42:$B$50,ROWS(INPUTS!$B$42:$B$50)),"LARGER",INDEX(INPUTS!$A$42:$A$50,MATCH(AG_REQ!J61,INPUTS!$B$42:$B$50,1)+1))),IF(AG_REQ!J61&lt;=INDEX(INPUTS!$E$42:$E$50,1),INDEX(INPUTS!$D$42:$D$50,1),IF(AG_REQ!J61&gt;INDEX(INPUTS!$E$42:$E$50,ROWS(INPUTS!$E$42:$E$50)),"LARGER",INDEX(INPUTS!$D$42:$D$50,MATCH(AG_REQ!J61,INPUTS!$E$42:$E$50,1)+1)))))</f>
        <v>14x24</v>
      </c>
      <c r="K61" s="4" t="str">
        <f aca="false">IF(TRIB!K61="","",IF(OR(ARCH!K61="",LEFT(ARCH!K61,3)="14x"),IF(AG_REQ!K61&lt;=INDEX(INPUTS!$B$42:$B$50,1),INDEX(INPUTS!$A$42:$A$50,1),IF(AG_REQ!K61&gt;INDEX(INPUTS!$B$42:$B$50,ROWS(INPUTS!$B$42:$B$50)),"LARGER",INDEX(INPUTS!$A$42:$A$50,MATCH(AG_REQ!K61,INPUTS!$B$42:$B$50,1)+1))),IF(AG_REQ!K61&lt;=INDEX(INPUTS!$E$42:$E$50,1),INDEX(INPUTS!$D$42:$D$50,1),IF(AG_REQ!K61&gt;INDEX(INPUTS!$E$42:$E$50,ROWS(INPUTS!$E$42:$E$50)),"LARGER",INDEX(INPUTS!$D$42:$D$50,MATCH(AG_REQ!K61,INPUTS!$E$42:$E$50,1)+1)))))</f>
        <v>14x24</v>
      </c>
      <c r="L61" s="4" t="str">
        <f aca="false">IF(TRIB!L61="","",IF(OR(ARCH!L61="",LEFT(ARCH!L61,3)="14x"),IF(AG_REQ!L61&lt;=INDEX(INPUTS!$B$42:$B$50,1),INDEX(INPUTS!$A$42:$A$50,1),IF(AG_REQ!L61&gt;INDEX(INPUTS!$B$42:$B$50,ROWS(INPUTS!$B$42:$B$50)),"LARGER",INDEX(INPUTS!$A$42:$A$50,MATCH(AG_REQ!L61,INPUTS!$B$42:$B$50,1)+1))),IF(AG_REQ!L61&lt;=INDEX(INPUTS!$E$42:$E$50,1),INDEX(INPUTS!$D$42:$D$50,1),IF(AG_REQ!L61&gt;INDEX(INPUTS!$E$42:$E$50,ROWS(INPUTS!$E$42:$E$50)),"LARGER",INDEX(INPUTS!$D$42:$D$50,MATCH(AG_REQ!L61,INPUTS!$E$42:$E$50,1)+1)))))</f>
        <v>14x24</v>
      </c>
      <c r="M61" s="4" t="str">
        <f aca="false">IF(TRIB!M61="","",IF(OR(ARCH!M61="",LEFT(ARCH!M61,3)="14x"),IF(AG_REQ!M61&lt;=INDEX(INPUTS!$B$42:$B$50,1),INDEX(INPUTS!$A$42:$A$50,1),IF(AG_REQ!M61&gt;INDEX(INPUTS!$B$42:$B$50,ROWS(INPUTS!$B$42:$B$50)),"LARGER",INDEX(INPUTS!$A$42:$A$50,MATCH(AG_REQ!M61,INPUTS!$B$42:$B$50,1)+1))),IF(AG_REQ!M61&lt;=INDEX(INPUTS!$E$42:$E$50,1),INDEX(INPUTS!$D$42:$D$50,1),IF(AG_REQ!M61&gt;INDEX(INPUTS!$E$42:$E$50,ROWS(INPUTS!$E$42:$E$50)),"LARGER",INDEX(INPUTS!$D$42:$D$50,MATCH(AG_REQ!M61,INPUTS!$E$42:$E$50,1)+1)))))</f>
        <v>14x24</v>
      </c>
      <c r="N61" s="4" t="str">
        <f aca="false">IF(TRIB!N61="","",IF(OR(ARCH!N61="",LEFT(ARCH!N61,3)="14x"),IF(AG_REQ!N61&lt;=INDEX(INPUTS!$B$42:$B$50,1),INDEX(INPUTS!$A$42:$A$50,1),IF(AG_REQ!N61&gt;INDEX(INPUTS!$B$42:$B$50,ROWS(INPUTS!$B$42:$B$50)),"LARGER",INDEX(INPUTS!$A$42:$A$50,MATCH(AG_REQ!N61,INPUTS!$B$42:$B$50,1)+1))),IF(AG_REQ!N61&lt;=INDEX(INPUTS!$E$42:$E$50,1),INDEX(INPUTS!$D$42:$D$50,1),IF(AG_REQ!N61&gt;INDEX(INPUTS!$E$42:$E$50,ROWS(INPUTS!$E$42:$E$50)),"LARGER",INDEX(INPUTS!$D$42:$D$50,MATCH(AG_REQ!N61,INPUTS!$E$42:$E$50,1)+1)))))</f>
        <v>14x24</v>
      </c>
      <c r="O61" s="4" t="str">
        <f aca="false">IF(TRIB!O61="","",IF(OR(ARCH!O61="",LEFT(ARCH!O61,3)="14x"),IF(AG_REQ!O61&lt;=INDEX(INPUTS!$B$42:$B$50,1),INDEX(INPUTS!$A$42:$A$50,1),IF(AG_REQ!O61&gt;INDEX(INPUTS!$B$42:$B$50,ROWS(INPUTS!$B$42:$B$50)),"LARGER",INDEX(INPUTS!$A$42:$A$50,MATCH(AG_REQ!O61,INPUTS!$B$42:$B$50,1)+1))),IF(AG_REQ!O61&lt;=INDEX(INPUTS!$E$42:$E$50,1),INDEX(INPUTS!$D$42:$D$50,1),IF(AG_REQ!O61&gt;INDEX(INPUTS!$E$42:$E$50,ROWS(INPUTS!$E$42:$E$50)),"LARGER",INDEX(INPUTS!$D$42:$D$50,MATCH(AG_REQ!O61,INPUTS!$E$42:$E$50,1)+1)))))</f>
        <v>14x24</v>
      </c>
      <c r="P61" s="4" t="str">
        <f aca="false">IF(TRIB!P61="","",IF(OR(ARCH!P61="",LEFT(ARCH!P61,3)="14x"),IF(AG_REQ!P61&lt;=INDEX(INPUTS!$B$42:$B$50,1),INDEX(INPUTS!$A$42:$A$50,1),IF(AG_REQ!P61&gt;INDEX(INPUTS!$B$42:$B$50,ROWS(INPUTS!$B$42:$B$50)),"LARGER",INDEX(INPUTS!$A$42:$A$50,MATCH(AG_REQ!P61,INPUTS!$B$42:$B$50,1)+1))),IF(AG_REQ!P61&lt;=INDEX(INPUTS!$E$42:$E$50,1),INDEX(INPUTS!$D$42:$D$50,1),IF(AG_REQ!P61&gt;INDEX(INPUTS!$E$42:$E$50,ROWS(INPUTS!$E$42:$E$50)),"LARGER",INDEX(INPUTS!$D$42:$D$50,MATCH(AG_REQ!P61,INPUTS!$E$42:$E$50,1)+1)))))</f>
        <v>14x30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4" t="str">
        <f aca="false">IF(TRIB!E62="","",IF(OR(ARCH!E62="",LEFT(ARCH!E62,3)="14x"),IF(AG_REQ!E62&lt;=INDEX(INPUTS!$B$42:$B$50,1),INDEX(INPUTS!$A$42:$A$50,1),IF(AG_REQ!E62&gt;INDEX(INPUTS!$B$42:$B$50,ROWS(INPUTS!$B$42:$B$50)),"LARGER",INDEX(INPUTS!$A$42:$A$50,MATCH(AG_REQ!E62,INPUTS!$B$42:$B$50,1)+1))),IF(AG_REQ!E62&lt;=INDEX(INPUTS!$E$42:$E$50,1),INDEX(INPUTS!$D$42:$D$50,1),IF(AG_REQ!E62&gt;INDEX(INPUTS!$E$42:$E$50,ROWS(INPUTS!$E$42:$E$50)),"LARGER",INDEX(INPUTS!$D$42:$D$50,MATCH(AG_REQ!E62,INPUTS!$E$42:$E$50,1)+1)))))</f>
        <v>14x24</v>
      </c>
      <c r="F62" s="4" t="str">
        <f aca="false">IF(TRIB!F62="","",IF(OR(ARCH!F62="",LEFT(ARCH!F62,3)="14x"),IF(AG_REQ!F62&lt;=INDEX(INPUTS!$B$42:$B$50,1),INDEX(INPUTS!$A$42:$A$50,1),IF(AG_REQ!F62&gt;INDEX(INPUTS!$B$42:$B$50,ROWS(INPUTS!$B$42:$B$50)),"LARGER",INDEX(INPUTS!$A$42:$A$50,MATCH(AG_REQ!F62,INPUTS!$B$42:$B$50,1)+1))),IF(AG_REQ!F62&lt;=INDEX(INPUTS!$E$42:$E$50,1),INDEX(INPUTS!$D$42:$D$50,1),IF(AG_REQ!F62&gt;INDEX(INPUTS!$E$42:$E$50,ROWS(INPUTS!$E$42:$E$50)),"LARGER",INDEX(INPUTS!$D$42:$D$50,MATCH(AG_REQ!F62,INPUTS!$E$42:$E$50,1)+1)))))</f>
        <v>14x24</v>
      </c>
      <c r="G62" s="4" t="str">
        <f aca="false">IF(TRIB!G62="","",IF(OR(ARCH!G62="",LEFT(ARCH!G62,3)="14x"),IF(AG_REQ!G62&lt;=INDEX(INPUTS!$B$42:$B$50,1),INDEX(INPUTS!$A$42:$A$50,1),IF(AG_REQ!G62&gt;INDEX(INPUTS!$B$42:$B$50,ROWS(INPUTS!$B$42:$B$50)),"LARGER",INDEX(INPUTS!$A$42:$A$50,MATCH(AG_REQ!G62,INPUTS!$B$42:$B$50,1)+1))),IF(AG_REQ!G62&lt;=INDEX(INPUTS!$E$42:$E$50,1),INDEX(INPUTS!$D$42:$D$50,1),IF(AG_REQ!G62&gt;INDEX(INPUTS!$E$42:$E$50,ROWS(INPUTS!$E$42:$E$50)),"LARGER",INDEX(INPUTS!$D$42:$D$50,MATCH(AG_REQ!G62,INPUTS!$E$42:$E$50,1)+1)))))</f>
        <v>14x24</v>
      </c>
      <c r="H62" s="4" t="str">
        <f aca="false">IF(TRIB!H62="","",IF(OR(ARCH!H62="",LEFT(ARCH!H62,3)="14x"),IF(AG_REQ!H62&lt;=INDEX(INPUTS!$B$42:$B$50,1),INDEX(INPUTS!$A$42:$A$50,1),IF(AG_REQ!H62&gt;INDEX(INPUTS!$B$42:$B$50,ROWS(INPUTS!$B$42:$B$50)),"LARGER",INDEX(INPUTS!$A$42:$A$50,MATCH(AG_REQ!H62,INPUTS!$B$42:$B$50,1)+1))),IF(AG_REQ!H62&lt;=INDEX(INPUTS!$E$42:$E$50,1),INDEX(INPUTS!$D$42:$D$50,1),IF(AG_REQ!H62&gt;INDEX(INPUTS!$E$42:$E$50,ROWS(INPUTS!$E$42:$E$50)),"LARGER",INDEX(INPUTS!$D$42:$D$50,MATCH(AG_REQ!H62,INPUTS!$E$42:$E$50,1)+1)))))</f>
        <v>14x24</v>
      </c>
      <c r="I62" s="4" t="str">
        <f aca="false">IF(TRIB!I62="","",IF(OR(ARCH!I62="",LEFT(ARCH!I62,3)="14x"),IF(AG_REQ!I62&lt;=INDEX(INPUTS!$B$42:$B$50,1),INDEX(INPUTS!$A$42:$A$50,1),IF(AG_REQ!I62&gt;INDEX(INPUTS!$B$42:$B$50,ROWS(INPUTS!$B$42:$B$50)),"LARGER",INDEX(INPUTS!$A$42:$A$50,MATCH(AG_REQ!I62,INPUTS!$B$42:$B$50,1)+1))),IF(AG_REQ!I62&lt;=INDEX(INPUTS!$E$42:$E$50,1),INDEX(INPUTS!$D$42:$D$50,1),IF(AG_REQ!I62&gt;INDEX(INPUTS!$E$42:$E$50,ROWS(INPUTS!$E$42:$E$50)),"LARGER",INDEX(INPUTS!$D$42:$D$50,MATCH(AG_REQ!I62,INPUTS!$E$42:$E$50,1)+1)))))</f>
        <v>14x24</v>
      </c>
      <c r="J62" s="4" t="str">
        <f aca="false">IF(TRIB!J62="","",IF(OR(ARCH!J62="",LEFT(ARCH!J62,3)="14x"),IF(AG_REQ!J62&lt;=INDEX(INPUTS!$B$42:$B$50,1),INDEX(INPUTS!$A$42:$A$50,1),IF(AG_REQ!J62&gt;INDEX(INPUTS!$B$42:$B$50,ROWS(INPUTS!$B$42:$B$50)),"LARGER",INDEX(INPUTS!$A$42:$A$50,MATCH(AG_REQ!J62,INPUTS!$B$42:$B$50,1)+1))),IF(AG_REQ!J62&lt;=INDEX(INPUTS!$E$42:$E$50,1),INDEX(INPUTS!$D$42:$D$50,1),IF(AG_REQ!J62&gt;INDEX(INPUTS!$E$42:$E$50,ROWS(INPUTS!$E$42:$E$50)),"LARGER",INDEX(INPUTS!$D$42:$D$50,MATCH(AG_REQ!J62,INPUTS!$E$42:$E$50,1)+1)))))</f>
        <v>14x24</v>
      </c>
      <c r="K62" s="4" t="str">
        <f aca="false">IF(TRIB!K62="","",IF(OR(ARCH!K62="",LEFT(ARCH!K62,3)="14x"),IF(AG_REQ!K62&lt;=INDEX(INPUTS!$B$42:$B$50,1),INDEX(INPUTS!$A$42:$A$50,1),IF(AG_REQ!K62&gt;INDEX(INPUTS!$B$42:$B$50,ROWS(INPUTS!$B$42:$B$50)),"LARGER",INDEX(INPUTS!$A$42:$A$50,MATCH(AG_REQ!K62,INPUTS!$B$42:$B$50,1)+1))),IF(AG_REQ!K62&lt;=INDEX(INPUTS!$E$42:$E$50,1),INDEX(INPUTS!$D$42:$D$50,1),IF(AG_REQ!K62&gt;INDEX(INPUTS!$E$42:$E$50,ROWS(INPUTS!$E$42:$E$50)),"LARGER",INDEX(INPUTS!$D$42:$D$50,MATCH(AG_REQ!K62,INPUTS!$E$42:$E$50,1)+1)))))</f>
        <v>14x24</v>
      </c>
      <c r="L62" s="4" t="str">
        <f aca="false">IF(TRIB!L62="","",IF(OR(ARCH!L62="",LEFT(ARCH!L62,3)="14x"),IF(AG_REQ!L62&lt;=INDEX(INPUTS!$B$42:$B$50,1),INDEX(INPUTS!$A$42:$A$50,1),IF(AG_REQ!L62&gt;INDEX(INPUTS!$B$42:$B$50,ROWS(INPUTS!$B$42:$B$50)),"LARGER",INDEX(INPUTS!$A$42:$A$50,MATCH(AG_REQ!L62,INPUTS!$B$42:$B$50,1)+1))),IF(AG_REQ!L62&lt;=INDEX(INPUTS!$E$42:$E$50,1),INDEX(INPUTS!$D$42:$D$50,1),IF(AG_REQ!L62&gt;INDEX(INPUTS!$E$42:$E$50,ROWS(INPUTS!$E$42:$E$50)),"LARGER",INDEX(INPUTS!$D$42:$D$50,MATCH(AG_REQ!L62,INPUTS!$E$42:$E$50,1)+1)))))</f>
        <v>14x24</v>
      </c>
      <c r="M62" s="4" t="str">
        <f aca="false">IF(TRIB!M62="","",IF(OR(ARCH!M62="",LEFT(ARCH!M62,3)="14x"),IF(AG_REQ!M62&lt;=INDEX(INPUTS!$B$42:$B$50,1),INDEX(INPUTS!$A$42:$A$50,1),IF(AG_REQ!M62&gt;INDEX(INPUTS!$B$42:$B$50,ROWS(INPUTS!$B$42:$B$50)),"LARGER",INDEX(INPUTS!$A$42:$A$50,MATCH(AG_REQ!M62,INPUTS!$B$42:$B$50,1)+1))),IF(AG_REQ!M62&lt;=INDEX(INPUTS!$E$42:$E$50,1),INDEX(INPUTS!$D$42:$D$50,1),IF(AG_REQ!M62&gt;INDEX(INPUTS!$E$42:$E$50,ROWS(INPUTS!$E$42:$E$50)),"LARGER",INDEX(INPUTS!$D$42:$D$50,MATCH(AG_REQ!M62,INPUTS!$E$42:$E$50,1)+1)))))</f>
        <v>14x24</v>
      </c>
      <c r="N62" s="4" t="str">
        <f aca="false">IF(TRIB!N62="","",IF(OR(ARCH!N62="",LEFT(ARCH!N62,3)="14x"),IF(AG_REQ!N62&lt;=INDEX(INPUTS!$B$42:$B$50,1),INDEX(INPUTS!$A$42:$A$50,1),IF(AG_REQ!N62&gt;INDEX(INPUTS!$B$42:$B$50,ROWS(INPUTS!$B$42:$B$50)),"LARGER",INDEX(INPUTS!$A$42:$A$50,MATCH(AG_REQ!N62,INPUTS!$B$42:$B$50,1)+1))),IF(AG_REQ!N62&lt;=INDEX(INPUTS!$E$42:$E$50,1),INDEX(INPUTS!$D$42:$D$50,1),IF(AG_REQ!N62&gt;INDEX(INPUTS!$E$42:$E$50,ROWS(INPUTS!$E$42:$E$50)),"LARGER",INDEX(INPUTS!$D$42:$D$50,MATCH(AG_REQ!N62,INPUTS!$E$42:$E$50,1)+1)))))</f>
        <v>14x24</v>
      </c>
      <c r="O62" s="4" t="str">
        <f aca="false">IF(TRIB!O62="","",IF(OR(ARCH!O62="",LEFT(ARCH!O62,3)="14x"),IF(AG_REQ!O62&lt;=INDEX(INPUTS!$B$42:$B$50,1),INDEX(INPUTS!$A$42:$A$50,1),IF(AG_REQ!O62&gt;INDEX(INPUTS!$B$42:$B$50,ROWS(INPUTS!$B$42:$B$50)),"LARGER",INDEX(INPUTS!$A$42:$A$50,MATCH(AG_REQ!O62,INPUTS!$B$42:$B$50,1)+1))),IF(AG_REQ!O62&lt;=INDEX(INPUTS!$E$42:$E$50,1),INDEX(INPUTS!$D$42:$D$50,1),IF(AG_REQ!O62&gt;INDEX(INPUTS!$E$42:$E$50,ROWS(INPUTS!$E$42:$E$50)),"LARGER",INDEX(INPUTS!$D$42:$D$50,MATCH(AG_REQ!O62,INPUTS!$E$42:$E$50,1)+1)))))</f>
        <v>14x30</v>
      </c>
      <c r="P62" s="4" t="str">
        <f aca="false">IF(TRIB!P62="","",IF(OR(ARCH!P62="",LEFT(ARCH!P62,3)="14x"),IF(AG_REQ!P62&lt;=INDEX(INPUTS!$B$42:$B$50,1),INDEX(INPUTS!$A$42:$A$50,1),IF(AG_REQ!P62&gt;INDEX(INPUTS!$B$42:$B$50,ROWS(INPUTS!$B$42:$B$50)),"LARGER",INDEX(INPUTS!$A$42:$A$50,MATCH(AG_REQ!P62,INPUTS!$B$42:$B$50,1)+1))),IF(AG_REQ!P62&lt;=INDEX(INPUTS!$E$42:$E$50,1),INDEX(INPUTS!$D$42:$D$50,1),IF(AG_REQ!P62&gt;INDEX(INPUTS!$E$42:$E$50,ROWS(INPUTS!$E$42:$E$50)),"LARGER",INDEX(INPUTS!$D$42:$D$50,MATCH(AG_REQ!P62,INPUTS!$E$42:$E$50,1)+1)))))</f>
        <v>14x30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4" t="str">
        <f aca="false">IF(TRIB!E63="","",IF(OR(ARCH!E63="",LEFT(ARCH!E63,3)="14x"),IF(AG_REQ!E63&lt;=INDEX(INPUTS!$B$42:$B$50,1),INDEX(INPUTS!$A$42:$A$50,1),IF(AG_REQ!E63&gt;INDEX(INPUTS!$B$42:$B$50,ROWS(INPUTS!$B$42:$B$50)),"LARGER",INDEX(INPUTS!$A$42:$A$50,MATCH(AG_REQ!E63,INPUTS!$B$42:$B$50,1)+1))),IF(AG_REQ!E63&lt;=INDEX(INPUTS!$E$42:$E$50,1),INDEX(INPUTS!$D$42:$D$50,1),IF(AG_REQ!E63&gt;INDEX(INPUTS!$E$42:$E$50,ROWS(INPUTS!$E$42:$E$50)),"LARGER",INDEX(INPUTS!$D$42:$D$50,MATCH(AG_REQ!E63,INPUTS!$E$42:$E$50,1)+1)))))</f>
        <v>14x24</v>
      </c>
      <c r="F63" s="4" t="str">
        <f aca="false">IF(TRIB!F63="","",IF(OR(ARCH!F63="",LEFT(ARCH!F63,3)="14x"),IF(AG_REQ!F63&lt;=INDEX(INPUTS!$B$42:$B$50,1),INDEX(INPUTS!$A$42:$A$50,1),IF(AG_REQ!F63&gt;INDEX(INPUTS!$B$42:$B$50,ROWS(INPUTS!$B$42:$B$50)),"LARGER",INDEX(INPUTS!$A$42:$A$50,MATCH(AG_REQ!F63,INPUTS!$B$42:$B$50,1)+1))),IF(AG_REQ!F63&lt;=INDEX(INPUTS!$E$42:$E$50,1),INDEX(INPUTS!$D$42:$D$50,1),IF(AG_REQ!F63&gt;INDEX(INPUTS!$E$42:$E$50,ROWS(INPUTS!$E$42:$E$50)),"LARGER",INDEX(INPUTS!$D$42:$D$50,MATCH(AG_REQ!F63,INPUTS!$E$42:$E$50,1)+1)))))</f>
        <v>14x24</v>
      </c>
      <c r="G63" s="4" t="str">
        <f aca="false">IF(TRIB!G63="","",IF(OR(ARCH!G63="",LEFT(ARCH!G63,3)="14x"),IF(AG_REQ!G63&lt;=INDEX(INPUTS!$B$42:$B$50,1),INDEX(INPUTS!$A$42:$A$50,1),IF(AG_REQ!G63&gt;INDEX(INPUTS!$B$42:$B$50,ROWS(INPUTS!$B$42:$B$50)),"LARGER",INDEX(INPUTS!$A$42:$A$50,MATCH(AG_REQ!G63,INPUTS!$B$42:$B$50,1)+1))),IF(AG_REQ!G63&lt;=INDEX(INPUTS!$E$42:$E$50,1),INDEX(INPUTS!$D$42:$D$50,1),IF(AG_REQ!G63&gt;INDEX(INPUTS!$E$42:$E$50,ROWS(INPUTS!$E$42:$E$50)),"LARGER",INDEX(INPUTS!$D$42:$D$50,MATCH(AG_REQ!G63,INPUTS!$E$42:$E$50,1)+1)))))</f>
        <v>14x24</v>
      </c>
      <c r="H63" s="4" t="str">
        <f aca="false">IF(TRIB!H63="","",IF(OR(ARCH!H63="",LEFT(ARCH!H63,3)="14x"),IF(AG_REQ!H63&lt;=INDEX(INPUTS!$B$42:$B$50,1),INDEX(INPUTS!$A$42:$A$50,1),IF(AG_REQ!H63&gt;INDEX(INPUTS!$B$42:$B$50,ROWS(INPUTS!$B$42:$B$50)),"LARGER",INDEX(INPUTS!$A$42:$A$50,MATCH(AG_REQ!H63,INPUTS!$B$42:$B$50,1)+1))),IF(AG_REQ!H63&lt;=INDEX(INPUTS!$E$42:$E$50,1),INDEX(INPUTS!$D$42:$D$50,1),IF(AG_REQ!H63&gt;INDEX(INPUTS!$E$42:$E$50,ROWS(INPUTS!$E$42:$E$50)),"LARGER",INDEX(INPUTS!$D$42:$D$50,MATCH(AG_REQ!H63,INPUTS!$E$42:$E$50,1)+1)))))</f>
        <v>14x24</v>
      </c>
      <c r="I63" s="4" t="str">
        <f aca="false">IF(TRIB!I63="","",IF(OR(ARCH!I63="",LEFT(ARCH!I63,3)="14x"),IF(AG_REQ!I63&lt;=INDEX(INPUTS!$B$42:$B$50,1),INDEX(INPUTS!$A$42:$A$50,1),IF(AG_REQ!I63&gt;INDEX(INPUTS!$B$42:$B$50,ROWS(INPUTS!$B$42:$B$50)),"LARGER",INDEX(INPUTS!$A$42:$A$50,MATCH(AG_REQ!I63,INPUTS!$B$42:$B$50,1)+1))),IF(AG_REQ!I63&lt;=INDEX(INPUTS!$E$42:$E$50,1),INDEX(INPUTS!$D$42:$D$50,1),IF(AG_REQ!I63&gt;INDEX(INPUTS!$E$42:$E$50,ROWS(INPUTS!$E$42:$E$50)),"LARGER",INDEX(INPUTS!$D$42:$D$50,MATCH(AG_REQ!I63,INPUTS!$E$42:$E$50,1)+1)))))</f>
        <v>14x24</v>
      </c>
      <c r="J63" s="4" t="str">
        <f aca="false">IF(TRIB!J63="","",IF(OR(ARCH!J63="",LEFT(ARCH!J63,3)="14x"),IF(AG_REQ!J63&lt;=INDEX(INPUTS!$B$42:$B$50,1),INDEX(INPUTS!$A$42:$A$50,1),IF(AG_REQ!J63&gt;INDEX(INPUTS!$B$42:$B$50,ROWS(INPUTS!$B$42:$B$50)),"LARGER",INDEX(INPUTS!$A$42:$A$50,MATCH(AG_REQ!J63,INPUTS!$B$42:$B$50,1)+1))),IF(AG_REQ!J63&lt;=INDEX(INPUTS!$E$42:$E$50,1),INDEX(INPUTS!$D$42:$D$50,1),IF(AG_REQ!J63&gt;INDEX(INPUTS!$E$42:$E$50,ROWS(INPUTS!$E$42:$E$50)),"LARGER",INDEX(INPUTS!$D$42:$D$50,MATCH(AG_REQ!J63,INPUTS!$E$42:$E$50,1)+1)))))</f>
        <v>14x24</v>
      </c>
      <c r="K63" s="4" t="str">
        <f aca="false">IF(TRIB!K63="","",IF(OR(ARCH!K63="",LEFT(ARCH!K63,3)="14x"),IF(AG_REQ!K63&lt;=INDEX(INPUTS!$B$42:$B$50,1),INDEX(INPUTS!$A$42:$A$50,1),IF(AG_REQ!K63&gt;INDEX(INPUTS!$B$42:$B$50,ROWS(INPUTS!$B$42:$B$50)),"LARGER",INDEX(INPUTS!$A$42:$A$50,MATCH(AG_REQ!K63,INPUTS!$B$42:$B$50,1)+1))),IF(AG_REQ!K63&lt;=INDEX(INPUTS!$E$42:$E$50,1),INDEX(INPUTS!$D$42:$D$50,1),IF(AG_REQ!K63&gt;INDEX(INPUTS!$E$42:$E$50,ROWS(INPUTS!$E$42:$E$50)),"LARGER",INDEX(INPUTS!$D$42:$D$50,MATCH(AG_REQ!K63,INPUTS!$E$42:$E$50,1)+1)))))</f>
        <v>14x24</v>
      </c>
      <c r="L63" s="4" t="str">
        <f aca="false">IF(TRIB!L63="","",IF(OR(ARCH!L63="",LEFT(ARCH!L63,3)="14x"),IF(AG_REQ!L63&lt;=INDEX(INPUTS!$B$42:$B$50,1),INDEX(INPUTS!$A$42:$A$50,1),IF(AG_REQ!L63&gt;INDEX(INPUTS!$B$42:$B$50,ROWS(INPUTS!$B$42:$B$50)),"LARGER",INDEX(INPUTS!$A$42:$A$50,MATCH(AG_REQ!L63,INPUTS!$B$42:$B$50,1)+1))),IF(AG_REQ!L63&lt;=INDEX(INPUTS!$E$42:$E$50,1),INDEX(INPUTS!$D$42:$D$50,1),IF(AG_REQ!L63&gt;INDEX(INPUTS!$E$42:$E$50,ROWS(INPUTS!$E$42:$E$50)),"LARGER",INDEX(INPUTS!$D$42:$D$50,MATCH(AG_REQ!L63,INPUTS!$E$42:$E$50,1)+1)))))</f>
        <v>14x24</v>
      </c>
      <c r="M63" s="4" t="str">
        <f aca="false">IF(TRIB!M63="","",IF(OR(ARCH!M63="",LEFT(ARCH!M63,3)="14x"),IF(AG_REQ!M63&lt;=INDEX(INPUTS!$B$42:$B$50,1),INDEX(INPUTS!$A$42:$A$50,1),IF(AG_REQ!M63&gt;INDEX(INPUTS!$B$42:$B$50,ROWS(INPUTS!$B$42:$B$50)),"LARGER",INDEX(INPUTS!$A$42:$A$50,MATCH(AG_REQ!M63,INPUTS!$B$42:$B$50,1)+1))),IF(AG_REQ!M63&lt;=INDEX(INPUTS!$E$42:$E$50,1),INDEX(INPUTS!$D$42:$D$50,1),IF(AG_REQ!M63&gt;INDEX(INPUTS!$E$42:$E$50,ROWS(INPUTS!$E$42:$E$50)),"LARGER",INDEX(INPUTS!$D$42:$D$50,MATCH(AG_REQ!M63,INPUTS!$E$42:$E$50,1)+1)))))</f>
        <v>14x24</v>
      </c>
      <c r="N63" s="4" t="str">
        <f aca="false">IF(TRIB!N63="","",IF(OR(ARCH!N63="",LEFT(ARCH!N63,3)="14x"),IF(AG_REQ!N63&lt;=INDEX(INPUTS!$B$42:$B$50,1),INDEX(INPUTS!$A$42:$A$50,1),IF(AG_REQ!N63&gt;INDEX(INPUTS!$B$42:$B$50,ROWS(INPUTS!$B$42:$B$50)),"LARGER",INDEX(INPUTS!$A$42:$A$50,MATCH(AG_REQ!N63,INPUTS!$B$42:$B$50,1)+1))),IF(AG_REQ!N63&lt;=INDEX(INPUTS!$E$42:$E$50,1),INDEX(INPUTS!$D$42:$D$50,1),IF(AG_REQ!N63&gt;INDEX(INPUTS!$E$42:$E$50,ROWS(INPUTS!$E$42:$E$50)),"LARGER",INDEX(INPUTS!$D$42:$D$50,MATCH(AG_REQ!N63,INPUTS!$E$42:$E$50,1)+1)))))</f>
        <v>14x24</v>
      </c>
      <c r="O63" s="4" t="str">
        <f aca="false">IF(TRIB!O63="","",IF(OR(ARCH!O63="",LEFT(ARCH!O63,3)="14x"),IF(AG_REQ!O63&lt;=INDEX(INPUTS!$B$42:$B$50,1),INDEX(INPUTS!$A$42:$A$50,1),IF(AG_REQ!O63&gt;INDEX(INPUTS!$B$42:$B$50,ROWS(INPUTS!$B$42:$B$50)),"LARGER",INDEX(INPUTS!$A$42:$A$50,MATCH(AG_REQ!O63,INPUTS!$B$42:$B$50,1)+1))),IF(AG_REQ!O63&lt;=INDEX(INPUTS!$E$42:$E$50,1),INDEX(INPUTS!$D$42:$D$50,1),IF(AG_REQ!O63&gt;INDEX(INPUTS!$E$42:$E$50,ROWS(INPUTS!$E$42:$E$50)),"LARGER",INDEX(INPUTS!$D$42:$D$50,MATCH(AG_REQ!O63,INPUTS!$E$42:$E$50,1)+1)))))</f>
        <v>14x24</v>
      </c>
      <c r="P63" s="4" t="str">
        <f aca="false">IF(TRIB!P63="","",IF(OR(ARCH!P63="",LEFT(ARCH!P63,3)="14x"),IF(AG_REQ!P63&lt;=INDEX(INPUTS!$B$42:$B$50,1),INDEX(INPUTS!$A$42:$A$50,1),IF(AG_REQ!P63&gt;INDEX(INPUTS!$B$42:$B$50,ROWS(INPUTS!$B$42:$B$50)),"LARGER",INDEX(INPUTS!$A$42:$A$50,MATCH(AG_REQ!P63,INPUTS!$B$42:$B$50,1)+1))),IF(AG_REQ!P63&lt;=INDEX(INPUTS!$E$42:$E$50,1),INDEX(INPUTS!$D$42:$D$50,1),IF(AG_REQ!P63&gt;INDEX(INPUTS!$E$42:$E$50,ROWS(INPUTS!$E$42:$E$50)),"LARGER",INDEX(INPUTS!$D$42:$D$50,MATCH(AG_REQ!P63,INPUTS!$E$42:$E$50,1)+1)))))</f>
        <v>14x24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4" t="str">
        <f aca="false">IF(TRIB!E64="","",IF(OR(ARCH!E64="",LEFT(ARCH!E64,3)="14x"),IF(AG_REQ!E64&lt;=INDEX(INPUTS!$B$42:$B$50,1),INDEX(INPUTS!$A$42:$A$50,1),IF(AG_REQ!E64&gt;INDEX(INPUTS!$B$42:$B$50,ROWS(INPUTS!$B$42:$B$50)),"LARGER",INDEX(INPUTS!$A$42:$A$50,MATCH(AG_REQ!E64,INPUTS!$B$42:$B$50,1)+1))),IF(AG_REQ!E64&lt;=INDEX(INPUTS!$E$42:$E$50,1),INDEX(INPUTS!$D$42:$D$50,1),IF(AG_REQ!E64&gt;INDEX(INPUTS!$E$42:$E$50,ROWS(INPUTS!$E$42:$E$50)),"LARGER",INDEX(INPUTS!$D$42:$D$50,MATCH(AG_REQ!E64,INPUTS!$E$42:$E$50,1)+1)))))</f>
        <v>14x24</v>
      </c>
      <c r="F64" s="4" t="str">
        <f aca="false">IF(TRIB!F64="","",IF(OR(ARCH!F64="",LEFT(ARCH!F64,3)="14x"),IF(AG_REQ!F64&lt;=INDEX(INPUTS!$B$42:$B$50,1),INDEX(INPUTS!$A$42:$A$50,1),IF(AG_REQ!F64&gt;INDEX(INPUTS!$B$42:$B$50,ROWS(INPUTS!$B$42:$B$50)),"LARGER",INDEX(INPUTS!$A$42:$A$50,MATCH(AG_REQ!F64,INPUTS!$B$42:$B$50,1)+1))),IF(AG_REQ!F64&lt;=INDEX(INPUTS!$E$42:$E$50,1),INDEX(INPUTS!$D$42:$D$50,1),IF(AG_REQ!F64&gt;INDEX(INPUTS!$E$42:$E$50,ROWS(INPUTS!$E$42:$E$50)),"LARGER",INDEX(INPUTS!$D$42:$D$50,MATCH(AG_REQ!F64,INPUTS!$E$42:$E$50,1)+1)))))</f>
        <v>14x24</v>
      </c>
      <c r="G64" s="4" t="str">
        <f aca="false">IF(TRIB!G64="","",IF(OR(ARCH!G64="",LEFT(ARCH!G64,3)="14x"),IF(AG_REQ!G64&lt;=INDEX(INPUTS!$B$42:$B$50,1),INDEX(INPUTS!$A$42:$A$50,1),IF(AG_REQ!G64&gt;INDEX(INPUTS!$B$42:$B$50,ROWS(INPUTS!$B$42:$B$50)),"LARGER",INDEX(INPUTS!$A$42:$A$50,MATCH(AG_REQ!G64,INPUTS!$B$42:$B$50,1)+1))),IF(AG_REQ!G64&lt;=INDEX(INPUTS!$E$42:$E$50,1),INDEX(INPUTS!$D$42:$D$50,1),IF(AG_REQ!G64&gt;INDEX(INPUTS!$E$42:$E$50,ROWS(INPUTS!$E$42:$E$50)),"LARGER",INDEX(INPUTS!$D$42:$D$50,MATCH(AG_REQ!G64,INPUTS!$E$42:$E$50,1)+1)))))</f>
        <v>14x24</v>
      </c>
      <c r="H64" s="4" t="str">
        <f aca="false">IF(TRIB!H64="","",IF(OR(ARCH!H64="",LEFT(ARCH!H64,3)="14x"),IF(AG_REQ!H64&lt;=INDEX(INPUTS!$B$42:$B$50,1),INDEX(INPUTS!$A$42:$A$50,1),IF(AG_REQ!H64&gt;INDEX(INPUTS!$B$42:$B$50,ROWS(INPUTS!$B$42:$B$50)),"LARGER",INDEX(INPUTS!$A$42:$A$50,MATCH(AG_REQ!H64,INPUTS!$B$42:$B$50,1)+1))),IF(AG_REQ!H64&lt;=INDEX(INPUTS!$E$42:$E$50,1),INDEX(INPUTS!$D$42:$D$50,1),IF(AG_REQ!H64&gt;INDEX(INPUTS!$E$42:$E$50,ROWS(INPUTS!$E$42:$E$50)),"LARGER",INDEX(INPUTS!$D$42:$D$50,MATCH(AG_REQ!H64,INPUTS!$E$42:$E$50,1)+1)))))</f>
        <v>14x24</v>
      </c>
      <c r="I64" s="4" t="str">
        <f aca="false">IF(TRIB!I64="","",IF(OR(ARCH!I64="",LEFT(ARCH!I64,3)="14x"),IF(AG_REQ!I64&lt;=INDEX(INPUTS!$B$42:$B$50,1),INDEX(INPUTS!$A$42:$A$50,1),IF(AG_REQ!I64&gt;INDEX(INPUTS!$B$42:$B$50,ROWS(INPUTS!$B$42:$B$50)),"LARGER",INDEX(INPUTS!$A$42:$A$50,MATCH(AG_REQ!I64,INPUTS!$B$42:$B$50,1)+1))),IF(AG_REQ!I64&lt;=INDEX(INPUTS!$E$42:$E$50,1),INDEX(INPUTS!$D$42:$D$50,1),IF(AG_REQ!I64&gt;INDEX(INPUTS!$E$42:$E$50,ROWS(INPUTS!$E$42:$E$50)),"LARGER",INDEX(INPUTS!$D$42:$D$50,MATCH(AG_REQ!I64,INPUTS!$E$42:$E$50,1)+1)))))</f>
        <v>14x24</v>
      </c>
      <c r="J64" s="4" t="str">
        <f aca="false">IF(TRIB!J64="","",IF(OR(ARCH!J64="",LEFT(ARCH!J64,3)="14x"),IF(AG_REQ!J64&lt;=INDEX(INPUTS!$B$42:$B$50,1),INDEX(INPUTS!$A$42:$A$50,1),IF(AG_REQ!J64&gt;INDEX(INPUTS!$B$42:$B$50,ROWS(INPUTS!$B$42:$B$50)),"LARGER",INDEX(INPUTS!$A$42:$A$50,MATCH(AG_REQ!J64,INPUTS!$B$42:$B$50,1)+1))),IF(AG_REQ!J64&lt;=INDEX(INPUTS!$E$42:$E$50,1),INDEX(INPUTS!$D$42:$D$50,1),IF(AG_REQ!J64&gt;INDEX(INPUTS!$E$42:$E$50,ROWS(INPUTS!$E$42:$E$50)),"LARGER",INDEX(INPUTS!$D$42:$D$50,MATCH(AG_REQ!J64,INPUTS!$E$42:$E$50,1)+1)))))</f>
        <v>14x24</v>
      </c>
      <c r="K64" s="4" t="str">
        <f aca="false">IF(TRIB!K64="","",IF(OR(ARCH!K64="",LEFT(ARCH!K64,3)="14x"),IF(AG_REQ!K64&lt;=INDEX(INPUTS!$B$42:$B$50,1),INDEX(INPUTS!$A$42:$A$50,1),IF(AG_REQ!K64&gt;INDEX(INPUTS!$B$42:$B$50,ROWS(INPUTS!$B$42:$B$50)),"LARGER",INDEX(INPUTS!$A$42:$A$50,MATCH(AG_REQ!K64,INPUTS!$B$42:$B$50,1)+1))),IF(AG_REQ!K64&lt;=INDEX(INPUTS!$E$42:$E$50,1),INDEX(INPUTS!$D$42:$D$50,1),IF(AG_REQ!K64&gt;INDEX(INPUTS!$E$42:$E$50,ROWS(INPUTS!$E$42:$E$50)),"LARGER",INDEX(INPUTS!$D$42:$D$50,MATCH(AG_REQ!K64,INPUTS!$E$42:$E$50,1)+1)))))</f>
        <v/>
      </c>
      <c r="L64" s="4" t="str">
        <f aca="false">IF(TRIB!L64="","",IF(OR(ARCH!L64="",LEFT(ARCH!L64,3)="14x"),IF(AG_REQ!L64&lt;=INDEX(INPUTS!$B$42:$B$50,1),INDEX(INPUTS!$A$42:$A$50,1),IF(AG_REQ!L64&gt;INDEX(INPUTS!$B$42:$B$50,ROWS(INPUTS!$B$42:$B$50)),"LARGER",INDEX(INPUTS!$A$42:$A$50,MATCH(AG_REQ!L64,INPUTS!$B$42:$B$50,1)+1))),IF(AG_REQ!L64&lt;=INDEX(INPUTS!$E$42:$E$50,1),INDEX(INPUTS!$D$42:$D$50,1),IF(AG_REQ!L64&gt;INDEX(INPUTS!$E$42:$E$50,ROWS(INPUTS!$E$42:$E$50)),"LARGER",INDEX(INPUTS!$D$42:$D$50,MATCH(AG_REQ!L64,INPUTS!$E$42:$E$50,1)+1)))))</f>
        <v/>
      </c>
      <c r="M64" s="4" t="str">
        <f aca="false">IF(TRIB!M64="","",IF(OR(ARCH!M64="",LEFT(ARCH!M64,3)="14x"),IF(AG_REQ!M64&lt;=INDEX(INPUTS!$B$42:$B$50,1),INDEX(INPUTS!$A$42:$A$50,1),IF(AG_REQ!M64&gt;INDEX(INPUTS!$B$42:$B$50,ROWS(INPUTS!$B$42:$B$50)),"LARGER",INDEX(INPUTS!$A$42:$A$50,MATCH(AG_REQ!M64,INPUTS!$B$42:$B$50,1)+1))),IF(AG_REQ!M64&lt;=INDEX(INPUTS!$E$42:$E$50,1),INDEX(INPUTS!$D$42:$D$50,1),IF(AG_REQ!M64&gt;INDEX(INPUTS!$E$42:$E$50,ROWS(INPUTS!$E$42:$E$50)),"LARGER",INDEX(INPUTS!$D$42:$D$50,MATCH(AG_REQ!M64,INPUTS!$E$42:$E$50,1)+1)))))</f>
        <v/>
      </c>
      <c r="N64" s="4" t="str">
        <f aca="false">IF(TRIB!N64="","",IF(OR(ARCH!N64="",LEFT(ARCH!N64,3)="14x"),IF(AG_REQ!N64&lt;=INDEX(INPUTS!$B$42:$B$50,1),INDEX(INPUTS!$A$42:$A$50,1),IF(AG_REQ!N64&gt;INDEX(INPUTS!$B$42:$B$50,ROWS(INPUTS!$B$42:$B$50)),"LARGER",INDEX(INPUTS!$A$42:$A$50,MATCH(AG_REQ!N64,INPUTS!$B$42:$B$50,1)+1))),IF(AG_REQ!N64&lt;=INDEX(INPUTS!$E$42:$E$50,1),INDEX(INPUTS!$D$42:$D$50,1),IF(AG_REQ!N64&gt;INDEX(INPUTS!$E$42:$E$50,ROWS(INPUTS!$E$42:$E$50)),"LARGER",INDEX(INPUTS!$D$42:$D$50,MATCH(AG_REQ!N64,INPUTS!$E$42:$E$50,1)+1)))))</f>
        <v/>
      </c>
      <c r="O64" s="4" t="str">
        <f aca="false">IF(TRIB!O64="","",IF(OR(ARCH!O64="",LEFT(ARCH!O64,3)="14x"),IF(AG_REQ!O64&lt;=INDEX(INPUTS!$B$42:$B$50,1),INDEX(INPUTS!$A$42:$A$50,1),IF(AG_REQ!O64&gt;INDEX(INPUTS!$B$42:$B$50,ROWS(INPUTS!$B$42:$B$50)),"LARGER",INDEX(INPUTS!$A$42:$A$50,MATCH(AG_REQ!O64,INPUTS!$B$42:$B$50,1)+1))),IF(AG_REQ!O64&lt;=INDEX(INPUTS!$E$42:$E$50,1),INDEX(INPUTS!$D$42:$D$50,1),IF(AG_REQ!O64&gt;INDEX(INPUTS!$E$42:$E$50,ROWS(INPUTS!$E$42:$E$50)),"LARGER",INDEX(INPUTS!$D$42:$D$50,MATCH(AG_REQ!O64,INPUTS!$E$42:$E$50,1)+1)))))</f>
        <v/>
      </c>
      <c r="P64" s="4" t="str">
        <f aca="false">IF(TRIB!P64="","",IF(OR(ARCH!P64="",LEFT(ARCH!P64,3)="14x"),IF(AG_REQ!P64&lt;=INDEX(INPUTS!$B$42:$B$50,1),INDEX(INPUTS!$A$42:$A$50,1),IF(AG_REQ!P64&gt;INDEX(INPUTS!$B$42:$B$50,ROWS(INPUTS!$B$42:$B$50)),"LARGER",INDEX(INPUTS!$A$42:$A$50,MATCH(AG_REQ!P64,INPUTS!$B$42:$B$50,1)+1))),IF(AG_REQ!P64&lt;=INDEX(INPUTS!$E$42:$E$50,1),INDEX(INPUTS!$D$42:$D$50,1),IF(AG_REQ!P64&gt;INDEX(INPUTS!$E$42:$E$50,ROWS(INPUTS!$E$42:$E$50)),"LARGER",INDEX(INPUTS!$D$42:$D$50,MATCH(AG_REQ!P64,INPUTS!$E$42:$E$50,1)+1)))))</f>
        <v/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4" t="str">
        <f aca="false">IF(TRIB!E65="","",IF(OR(ARCH!E65="",LEFT(ARCH!E65,3)="14x"),IF(AG_REQ!E65&lt;=INDEX(INPUTS!$B$42:$B$50,1),INDEX(INPUTS!$A$42:$A$50,1),IF(AG_REQ!E65&gt;INDEX(INPUTS!$B$42:$B$50,ROWS(INPUTS!$B$42:$B$50)),"LARGER",INDEX(INPUTS!$A$42:$A$50,MATCH(AG_REQ!E65,INPUTS!$B$42:$B$50,1)+1))),IF(AG_REQ!E65&lt;=INDEX(INPUTS!$E$42:$E$50,1),INDEX(INPUTS!$D$42:$D$50,1),IF(AG_REQ!E65&gt;INDEX(INPUTS!$E$42:$E$50,ROWS(INPUTS!$E$42:$E$50)),"LARGER",INDEX(INPUTS!$D$42:$D$50,MATCH(AG_REQ!E65,INPUTS!$E$42:$E$50,1)+1)))))</f>
        <v>14x24</v>
      </c>
      <c r="F65" s="4" t="str">
        <f aca="false">IF(TRIB!F65="","",IF(OR(ARCH!F65="",LEFT(ARCH!F65,3)="14x"),IF(AG_REQ!F65&lt;=INDEX(INPUTS!$B$42:$B$50,1),INDEX(INPUTS!$A$42:$A$50,1),IF(AG_REQ!F65&gt;INDEX(INPUTS!$B$42:$B$50,ROWS(INPUTS!$B$42:$B$50)),"LARGER",INDEX(INPUTS!$A$42:$A$50,MATCH(AG_REQ!F65,INPUTS!$B$42:$B$50,1)+1))),IF(AG_REQ!F65&lt;=INDEX(INPUTS!$E$42:$E$50,1),INDEX(INPUTS!$D$42:$D$50,1),IF(AG_REQ!F65&gt;INDEX(INPUTS!$E$42:$E$50,ROWS(INPUTS!$E$42:$E$50)),"LARGER",INDEX(INPUTS!$D$42:$D$50,MATCH(AG_REQ!F65,INPUTS!$E$42:$E$50,1)+1)))))</f>
        <v>14x24</v>
      </c>
      <c r="G65" s="4" t="str">
        <f aca="false">IF(TRIB!G65="","",IF(OR(ARCH!G65="",LEFT(ARCH!G65,3)="14x"),IF(AG_REQ!G65&lt;=INDEX(INPUTS!$B$42:$B$50,1),INDEX(INPUTS!$A$42:$A$50,1),IF(AG_REQ!G65&gt;INDEX(INPUTS!$B$42:$B$50,ROWS(INPUTS!$B$42:$B$50)),"LARGER",INDEX(INPUTS!$A$42:$A$50,MATCH(AG_REQ!G65,INPUTS!$B$42:$B$50,1)+1))),IF(AG_REQ!G65&lt;=INDEX(INPUTS!$E$42:$E$50,1),INDEX(INPUTS!$D$42:$D$50,1),IF(AG_REQ!G65&gt;INDEX(INPUTS!$E$42:$E$50,ROWS(INPUTS!$E$42:$E$50)),"LARGER",INDEX(INPUTS!$D$42:$D$50,MATCH(AG_REQ!G65,INPUTS!$E$42:$E$50,1)+1)))))</f>
        <v>14x24</v>
      </c>
      <c r="H65" s="4" t="str">
        <f aca="false">IF(TRIB!H65="","",IF(OR(ARCH!H65="",LEFT(ARCH!H65,3)="14x"),IF(AG_REQ!H65&lt;=INDEX(INPUTS!$B$42:$B$50,1),INDEX(INPUTS!$A$42:$A$50,1),IF(AG_REQ!H65&gt;INDEX(INPUTS!$B$42:$B$50,ROWS(INPUTS!$B$42:$B$50)),"LARGER",INDEX(INPUTS!$A$42:$A$50,MATCH(AG_REQ!H65,INPUTS!$B$42:$B$50,1)+1))),IF(AG_REQ!H65&lt;=INDEX(INPUTS!$E$42:$E$50,1),INDEX(INPUTS!$D$42:$D$50,1),IF(AG_REQ!H65&gt;INDEX(INPUTS!$E$42:$E$50,ROWS(INPUTS!$E$42:$E$50)),"LARGER",INDEX(INPUTS!$D$42:$D$50,MATCH(AG_REQ!H65,INPUTS!$E$42:$E$50,1)+1)))))</f>
        <v>14x24</v>
      </c>
      <c r="I65" s="4" t="str">
        <f aca="false">IF(TRIB!I65="","",IF(OR(ARCH!I65="",LEFT(ARCH!I65,3)="14x"),IF(AG_REQ!I65&lt;=INDEX(INPUTS!$B$42:$B$50,1),INDEX(INPUTS!$A$42:$A$50,1),IF(AG_REQ!I65&gt;INDEX(INPUTS!$B$42:$B$50,ROWS(INPUTS!$B$42:$B$50)),"LARGER",INDEX(INPUTS!$A$42:$A$50,MATCH(AG_REQ!I65,INPUTS!$B$42:$B$50,1)+1))),IF(AG_REQ!I65&lt;=INDEX(INPUTS!$E$42:$E$50,1),INDEX(INPUTS!$D$42:$D$50,1),IF(AG_REQ!I65&gt;INDEX(INPUTS!$E$42:$E$50,ROWS(INPUTS!$E$42:$E$50)),"LARGER",INDEX(INPUTS!$D$42:$D$50,MATCH(AG_REQ!I65,INPUTS!$E$42:$E$50,1)+1)))))</f>
        <v>14x24</v>
      </c>
      <c r="J65" s="4" t="str">
        <f aca="false">IF(TRIB!J65="","",IF(OR(ARCH!J65="",LEFT(ARCH!J65,3)="14x"),IF(AG_REQ!J65&lt;=INDEX(INPUTS!$B$42:$B$50,1),INDEX(INPUTS!$A$42:$A$50,1),IF(AG_REQ!J65&gt;INDEX(INPUTS!$B$42:$B$50,ROWS(INPUTS!$B$42:$B$50)),"LARGER",INDEX(INPUTS!$A$42:$A$50,MATCH(AG_REQ!J65,INPUTS!$B$42:$B$50,1)+1))),IF(AG_REQ!J65&lt;=INDEX(INPUTS!$E$42:$E$50,1),INDEX(INPUTS!$D$42:$D$50,1),IF(AG_REQ!J65&gt;INDEX(INPUTS!$E$42:$E$50,ROWS(INPUTS!$E$42:$E$50)),"LARGER",INDEX(INPUTS!$D$42:$D$50,MATCH(AG_REQ!J65,INPUTS!$E$42:$E$50,1)+1)))))</f>
        <v>14x24</v>
      </c>
      <c r="K65" s="4" t="str">
        <f aca="false">IF(TRIB!K65="","",IF(OR(ARCH!K65="",LEFT(ARCH!K65,3)="14x"),IF(AG_REQ!K65&lt;=INDEX(INPUTS!$B$42:$B$50,1),INDEX(INPUTS!$A$42:$A$50,1),IF(AG_REQ!K65&gt;INDEX(INPUTS!$B$42:$B$50,ROWS(INPUTS!$B$42:$B$50)),"LARGER",INDEX(INPUTS!$A$42:$A$50,MATCH(AG_REQ!K65,INPUTS!$B$42:$B$50,1)+1))),IF(AG_REQ!K65&lt;=INDEX(INPUTS!$E$42:$E$50,1),INDEX(INPUTS!$D$42:$D$50,1),IF(AG_REQ!K65&gt;INDEX(INPUTS!$E$42:$E$50,ROWS(INPUTS!$E$42:$E$50)),"LARGER",INDEX(INPUTS!$D$42:$D$50,MATCH(AG_REQ!K65,INPUTS!$E$42:$E$50,1)+1)))))</f>
        <v/>
      </c>
      <c r="L65" s="4" t="str">
        <f aca="false">IF(TRIB!L65="","",IF(OR(ARCH!L65="",LEFT(ARCH!L65,3)="14x"),IF(AG_REQ!L65&lt;=INDEX(INPUTS!$B$42:$B$50,1),INDEX(INPUTS!$A$42:$A$50,1),IF(AG_REQ!L65&gt;INDEX(INPUTS!$B$42:$B$50,ROWS(INPUTS!$B$42:$B$50)),"LARGER",INDEX(INPUTS!$A$42:$A$50,MATCH(AG_REQ!L65,INPUTS!$B$42:$B$50,1)+1))),IF(AG_REQ!L65&lt;=INDEX(INPUTS!$E$42:$E$50,1),INDEX(INPUTS!$D$42:$D$50,1),IF(AG_REQ!L65&gt;INDEX(INPUTS!$E$42:$E$50,ROWS(INPUTS!$E$42:$E$50)),"LARGER",INDEX(INPUTS!$D$42:$D$50,MATCH(AG_REQ!L65,INPUTS!$E$42:$E$50,1)+1)))))</f>
        <v/>
      </c>
      <c r="M65" s="4" t="str">
        <f aca="false">IF(TRIB!M65="","",IF(OR(ARCH!M65="",LEFT(ARCH!M65,3)="14x"),IF(AG_REQ!M65&lt;=INDEX(INPUTS!$B$42:$B$50,1),INDEX(INPUTS!$A$42:$A$50,1),IF(AG_REQ!M65&gt;INDEX(INPUTS!$B$42:$B$50,ROWS(INPUTS!$B$42:$B$50)),"LARGER",INDEX(INPUTS!$A$42:$A$50,MATCH(AG_REQ!M65,INPUTS!$B$42:$B$50,1)+1))),IF(AG_REQ!M65&lt;=INDEX(INPUTS!$E$42:$E$50,1),INDEX(INPUTS!$D$42:$D$50,1),IF(AG_REQ!M65&gt;INDEX(INPUTS!$E$42:$E$50,ROWS(INPUTS!$E$42:$E$50)),"LARGER",INDEX(INPUTS!$D$42:$D$50,MATCH(AG_REQ!M65,INPUTS!$E$42:$E$50,1)+1)))))</f>
        <v/>
      </c>
      <c r="N65" s="4" t="str">
        <f aca="false">IF(TRIB!N65="","",IF(OR(ARCH!N65="",LEFT(ARCH!N65,3)="14x"),IF(AG_REQ!N65&lt;=INDEX(INPUTS!$B$42:$B$50,1),INDEX(INPUTS!$A$42:$A$50,1),IF(AG_REQ!N65&gt;INDEX(INPUTS!$B$42:$B$50,ROWS(INPUTS!$B$42:$B$50)),"LARGER",INDEX(INPUTS!$A$42:$A$50,MATCH(AG_REQ!N65,INPUTS!$B$42:$B$50,1)+1))),IF(AG_REQ!N65&lt;=INDEX(INPUTS!$E$42:$E$50,1),INDEX(INPUTS!$D$42:$D$50,1),IF(AG_REQ!N65&gt;INDEX(INPUTS!$E$42:$E$50,ROWS(INPUTS!$E$42:$E$50)),"LARGER",INDEX(INPUTS!$D$42:$D$50,MATCH(AG_REQ!N65,INPUTS!$E$42:$E$50,1)+1)))))</f>
        <v/>
      </c>
      <c r="O65" s="4" t="str">
        <f aca="false">IF(TRIB!O65="","",IF(OR(ARCH!O65="",LEFT(ARCH!O65,3)="14x"),IF(AG_REQ!O65&lt;=INDEX(INPUTS!$B$42:$B$50,1),INDEX(INPUTS!$A$42:$A$50,1),IF(AG_REQ!O65&gt;INDEX(INPUTS!$B$42:$B$50,ROWS(INPUTS!$B$42:$B$50)),"LARGER",INDEX(INPUTS!$A$42:$A$50,MATCH(AG_REQ!O65,INPUTS!$B$42:$B$50,1)+1))),IF(AG_REQ!O65&lt;=INDEX(INPUTS!$E$42:$E$50,1),INDEX(INPUTS!$D$42:$D$50,1),IF(AG_REQ!O65&gt;INDEX(INPUTS!$E$42:$E$50,ROWS(INPUTS!$E$42:$E$50)),"LARGER",INDEX(INPUTS!$D$42:$D$50,MATCH(AG_REQ!O65,INPUTS!$E$42:$E$50,1)+1)))))</f>
        <v/>
      </c>
      <c r="P65" s="4" t="str">
        <f aca="false">IF(TRIB!P65="","",IF(OR(ARCH!P65="",LEFT(ARCH!P65,3)="14x"),IF(AG_REQ!P65&lt;=INDEX(INPUTS!$B$42:$B$50,1),INDEX(INPUTS!$A$42:$A$50,1),IF(AG_REQ!P65&gt;INDEX(INPUTS!$B$42:$B$50,ROWS(INPUTS!$B$42:$B$50)),"LARGER",INDEX(INPUTS!$A$42:$A$50,MATCH(AG_REQ!P65,INPUTS!$B$42:$B$50,1)+1))),IF(AG_REQ!P65&lt;=INDEX(INPUTS!$E$42:$E$50,1),INDEX(INPUTS!$D$42:$D$50,1),IF(AG_REQ!P65&gt;INDEX(INPUTS!$E$42:$E$50,ROWS(INPUTS!$E$42:$E$50)),"LARGER",INDEX(INPUTS!$D$42:$D$50,MATCH(AG_REQ!P65,INPUTS!$E$42:$E$50,1)+1)))))</f>
        <v/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4" t="str">
        <f aca="false">IF(TRIB!E66="","",IF(OR(ARCH!E66="",LEFT(ARCH!E66,3)="14x"),IF(AG_REQ!E66&lt;=INDEX(INPUTS!$B$42:$B$50,1),INDEX(INPUTS!$A$42:$A$50,1),IF(AG_REQ!E66&gt;INDEX(INPUTS!$B$42:$B$50,ROWS(INPUTS!$B$42:$B$50)),"LARGER",INDEX(INPUTS!$A$42:$A$50,MATCH(AG_REQ!E66,INPUTS!$B$42:$B$50,1)+1))),IF(AG_REQ!E66&lt;=INDEX(INPUTS!$E$42:$E$50,1),INDEX(INPUTS!$D$42:$D$50,1),IF(AG_REQ!E66&gt;INDEX(INPUTS!$E$42:$E$50,ROWS(INPUTS!$E$42:$E$50)),"LARGER",INDEX(INPUTS!$D$42:$D$50,MATCH(AG_REQ!E66,INPUTS!$E$42:$E$50,1)+1)))))</f>
        <v>14x24</v>
      </c>
      <c r="F66" s="4" t="str">
        <f aca="false">IF(TRIB!F66="","",IF(OR(ARCH!F66="",LEFT(ARCH!F66,3)="14x"),IF(AG_REQ!F66&lt;=INDEX(INPUTS!$B$42:$B$50,1),INDEX(INPUTS!$A$42:$A$50,1),IF(AG_REQ!F66&gt;INDEX(INPUTS!$B$42:$B$50,ROWS(INPUTS!$B$42:$B$50)),"LARGER",INDEX(INPUTS!$A$42:$A$50,MATCH(AG_REQ!F66,INPUTS!$B$42:$B$50,1)+1))),IF(AG_REQ!F66&lt;=INDEX(INPUTS!$E$42:$E$50,1),INDEX(INPUTS!$D$42:$D$50,1),IF(AG_REQ!F66&gt;INDEX(INPUTS!$E$42:$E$50,ROWS(INPUTS!$E$42:$E$50)),"LARGER",INDEX(INPUTS!$D$42:$D$50,MATCH(AG_REQ!F66,INPUTS!$E$42:$E$50,1)+1)))))</f>
        <v>14x24</v>
      </c>
      <c r="G66" s="4" t="str">
        <f aca="false">IF(TRIB!G66="","",IF(OR(ARCH!G66="",LEFT(ARCH!G66,3)="14x"),IF(AG_REQ!G66&lt;=INDEX(INPUTS!$B$42:$B$50,1),INDEX(INPUTS!$A$42:$A$50,1),IF(AG_REQ!G66&gt;INDEX(INPUTS!$B$42:$B$50,ROWS(INPUTS!$B$42:$B$50)),"LARGER",INDEX(INPUTS!$A$42:$A$50,MATCH(AG_REQ!G66,INPUTS!$B$42:$B$50,1)+1))),IF(AG_REQ!G66&lt;=INDEX(INPUTS!$E$42:$E$50,1),INDEX(INPUTS!$D$42:$D$50,1),IF(AG_REQ!G66&gt;INDEX(INPUTS!$E$42:$E$50,ROWS(INPUTS!$E$42:$E$50)),"LARGER",INDEX(INPUTS!$D$42:$D$50,MATCH(AG_REQ!G66,INPUTS!$E$42:$E$50,1)+1)))))</f>
        <v>14x24</v>
      </c>
      <c r="H66" s="4" t="str">
        <f aca="false">IF(TRIB!H66="","",IF(OR(ARCH!H66="",LEFT(ARCH!H66,3)="14x"),IF(AG_REQ!H66&lt;=INDEX(INPUTS!$B$42:$B$50,1),INDEX(INPUTS!$A$42:$A$50,1),IF(AG_REQ!H66&gt;INDEX(INPUTS!$B$42:$B$50,ROWS(INPUTS!$B$42:$B$50)),"LARGER",INDEX(INPUTS!$A$42:$A$50,MATCH(AG_REQ!H66,INPUTS!$B$42:$B$50,1)+1))),IF(AG_REQ!H66&lt;=INDEX(INPUTS!$E$42:$E$50,1),INDEX(INPUTS!$D$42:$D$50,1),IF(AG_REQ!H66&gt;INDEX(INPUTS!$E$42:$E$50,ROWS(INPUTS!$E$42:$E$50)),"LARGER",INDEX(INPUTS!$D$42:$D$50,MATCH(AG_REQ!H66,INPUTS!$E$42:$E$50,1)+1)))))</f>
        <v>14x24</v>
      </c>
      <c r="I66" s="4" t="str">
        <f aca="false">IF(TRIB!I66="","",IF(OR(ARCH!I66="",LEFT(ARCH!I66,3)="14x"),IF(AG_REQ!I66&lt;=INDEX(INPUTS!$B$42:$B$50,1),INDEX(INPUTS!$A$42:$A$50,1),IF(AG_REQ!I66&gt;INDEX(INPUTS!$B$42:$B$50,ROWS(INPUTS!$B$42:$B$50)),"LARGER",INDEX(INPUTS!$A$42:$A$50,MATCH(AG_REQ!I66,INPUTS!$B$42:$B$50,1)+1))),IF(AG_REQ!I66&lt;=INDEX(INPUTS!$E$42:$E$50,1),INDEX(INPUTS!$D$42:$D$50,1),IF(AG_REQ!I66&gt;INDEX(INPUTS!$E$42:$E$50,ROWS(INPUTS!$E$42:$E$50)),"LARGER",INDEX(INPUTS!$D$42:$D$50,MATCH(AG_REQ!I66,INPUTS!$E$42:$E$50,1)+1)))))</f>
        <v>14x24</v>
      </c>
      <c r="J66" s="4" t="str">
        <f aca="false">IF(TRIB!J66="","",IF(OR(ARCH!J66="",LEFT(ARCH!J66,3)="14x"),IF(AG_REQ!J66&lt;=INDEX(INPUTS!$B$42:$B$50,1),INDEX(INPUTS!$A$42:$A$50,1),IF(AG_REQ!J66&gt;INDEX(INPUTS!$B$42:$B$50,ROWS(INPUTS!$B$42:$B$50)),"LARGER",INDEX(INPUTS!$A$42:$A$50,MATCH(AG_REQ!J66,INPUTS!$B$42:$B$50,1)+1))),IF(AG_REQ!J66&lt;=INDEX(INPUTS!$E$42:$E$50,1),INDEX(INPUTS!$D$42:$D$50,1),IF(AG_REQ!J66&gt;INDEX(INPUTS!$E$42:$E$50,ROWS(INPUTS!$E$42:$E$50)),"LARGER",INDEX(INPUTS!$D$42:$D$50,MATCH(AG_REQ!J66,INPUTS!$E$42:$E$50,1)+1)))))</f>
        <v>14x24</v>
      </c>
      <c r="K66" s="4" t="str">
        <f aca="false">IF(TRIB!K66="","",IF(OR(ARCH!K66="",LEFT(ARCH!K66,3)="14x"),IF(AG_REQ!K66&lt;=INDEX(INPUTS!$B$42:$B$50,1),INDEX(INPUTS!$A$42:$A$50,1),IF(AG_REQ!K66&gt;INDEX(INPUTS!$B$42:$B$50,ROWS(INPUTS!$B$42:$B$50)),"LARGER",INDEX(INPUTS!$A$42:$A$50,MATCH(AG_REQ!K66,INPUTS!$B$42:$B$50,1)+1))),IF(AG_REQ!K66&lt;=INDEX(INPUTS!$E$42:$E$50,1),INDEX(INPUTS!$D$42:$D$50,1),IF(AG_REQ!K66&gt;INDEX(INPUTS!$E$42:$E$50,ROWS(INPUTS!$E$42:$E$50)),"LARGER",INDEX(INPUTS!$D$42:$D$50,MATCH(AG_REQ!K66,INPUTS!$E$42:$E$50,1)+1)))))</f>
        <v/>
      </c>
      <c r="L66" s="4" t="str">
        <f aca="false">IF(TRIB!L66="","",IF(OR(ARCH!L66="",LEFT(ARCH!L66,3)="14x"),IF(AG_REQ!L66&lt;=INDEX(INPUTS!$B$42:$B$50,1),INDEX(INPUTS!$A$42:$A$50,1),IF(AG_REQ!L66&gt;INDEX(INPUTS!$B$42:$B$50,ROWS(INPUTS!$B$42:$B$50)),"LARGER",INDEX(INPUTS!$A$42:$A$50,MATCH(AG_REQ!L66,INPUTS!$B$42:$B$50,1)+1))),IF(AG_REQ!L66&lt;=INDEX(INPUTS!$E$42:$E$50,1),INDEX(INPUTS!$D$42:$D$50,1),IF(AG_REQ!L66&gt;INDEX(INPUTS!$E$42:$E$50,ROWS(INPUTS!$E$42:$E$50)),"LARGER",INDEX(INPUTS!$D$42:$D$50,MATCH(AG_REQ!L66,INPUTS!$E$42:$E$50,1)+1)))))</f>
        <v/>
      </c>
      <c r="M66" s="4" t="str">
        <f aca="false">IF(TRIB!M66="","",IF(OR(ARCH!M66="",LEFT(ARCH!M66,3)="14x"),IF(AG_REQ!M66&lt;=INDEX(INPUTS!$B$42:$B$50,1),INDEX(INPUTS!$A$42:$A$50,1),IF(AG_REQ!M66&gt;INDEX(INPUTS!$B$42:$B$50,ROWS(INPUTS!$B$42:$B$50)),"LARGER",INDEX(INPUTS!$A$42:$A$50,MATCH(AG_REQ!M66,INPUTS!$B$42:$B$50,1)+1))),IF(AG_REQ!M66&lt;=INDEX(INPUTS!$E$42:$E$50,1),INDEX(INPUTS!$D$42:$D$50,1),IF(AG_REQ!M66&gt;INDEX(INPUTS!$E$42:$E$50,ROWS(INPUTS!$E$42:$E$50)),"LARGER",INDEX(INPUTS!$D$42:$D$50,MATCH(AG_REQ!M66,INPUTS!$E$42:$E$50,1)+1)))))</f>
        <v/>
      </c>
      <c r="N66" s="4" t="str">
        <f aca="false">IF(TRIB!N66="","",IF(OR(ARCH!N66="",LEFT(ARCH!N66,3)="14x"),IF(AG_REQ!N66&lt;=INDEX(INPUTS!$B$42:$B$50,1),INDEX(INPUTS!$A$42:$A$50,1),IF(AG_REQ!N66&gt;INDEX(INPUTS!$B$42:$B$50,ROWS(INPUTS!$B$42:$B$50)),"LARGER",INDEX(INPUTS!$A$42:$A$50,MATCH(AG_REQ!N66,INPUTS!$B$42:$B$50,1)+1))),IF(AG_REQ!N66&lt;=INDEX(INPUTS!$E$42:$E$50,1),INDEX(INPUTS!$D$42:$D$50,1),IF(AG_REQ!N66&gt;INDEX(INPUTS!$E$42:$E$50,ROWS(INPUTS!$E$42:$E$50)),"LARGER",INDEX(INPUTS!$D$42:$D$50,MATCH(AG_REQ!N66,INPUTS!$E$42:$E$50,1)+1)))))</f>
        <v/>
      </c>
      <c r="O66" s="4" t="str">
        <f aca="false">IF(TRIB!O66="","",IF(OR(ARCH!O66="",LEFT(ARCH!O66,3)="14x"),IF(AG_REQ!O66&lt;=INDEX(INPUTS!$B$42:$B$50,1),INDEX(INPUTS!$A$42:$A$50,1),IF(AG_REQ!O66&gt;INDEX(INPUTS!$B$42:$B$50,ROWS(INPUTS!$B$42:$B$50)),"LARGER",INDEX(INPUTS!$A$42:$A$50,MATCH(AG_REQ!O66,INPUTS!$B$42:$B$50,1)+1))),IF(AG_REQ!O66&lt;=INDEX(INPUTS!$E$42:$E$50,1),INDEX(INPUTS!$D$42:$D$50,1),IF(AG_REQ!O66&gt;INDEX(INPUTS!$E$42:$E$50,ROWS(INPUTS!$E$42:$E$50)),"LARGER",INDEX(INPUTS!$D$42:$D$50,MATCH(AG_REQ!O66,INPUTS!$E$42:$E$50,1)+1)))))</f>
        <v/>
      </c>
      <c r="P66" s="4" t="str">
        <f aca="false">IF(TRIB!P66="","",IF(OR(ARCH!P66="",LEFT(ARCH!P66,3)="14x"),IF(AG_REQ!P66&lt;=INDEX(INPUTS!$B$42:$B$50,1),INDEX(INPUTS!$A$42:$A$50,1),IF(AG_REQ!P66&gt;INDEX(INPUTS!$B$42:$B$50,ROWS(INPUTS!$B$42:$B$50)),"LARGER",INDEX(INPUTS!$A$42:$A$50,MATCH(AG_REQ!P66,INPUTS!$B$42:$B$50,1)+1))),IF(AG_REQ!P66&lt;=INDEX(INPUTS!$E$42:$E$50,1),INDEX(INPUTS!$D$42:$D$50,1),IF(AG_REQ!P66&gt;INDEX(INPUTS!$E$42:$E$50,ROWS(INPUTS!$E$42:$E$50)),"LARGER",INDEX(INPUTS!$D$42:$D$50,MATCH(AG_REQ!P66,INPUTS!$E$42:$E$50,1)+1)))))</f>
        <v/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4" t="str">
        <f aca="false">IF(TRIB!E67="","",IF(OR(ARCH!E67="",LEFT(ARCH!E67,3)="14x"),IF(AG_REQ!E67&lt;=INDEX(INPUTS!$B$42:$B$50,1),INDEX(INPUTS!$A$42:$A$50,1),IF(AG_REQ!E67&gt;INDEX(INPUTS!$B$42:$B$50,ROWS(INPUTS!$B$42:$B$50)),"LARGER",INDEX(INPUTS!$A$42:$A$50,MATCH(AG_REQ!E67,INPUTS!$B$42:$B$50,1)+1))),IF(AG_REQ!E67&lt;=INDEX(INPUTS!$E$42:$E$50,1),INDEX(INPUTS!$D$42:$D$50,1),IF(AG_REQ!E67&gt;INDEX(INPUTS!$E$42:$E$50,ROWS(INPUTS!$E$42:$E$50)),"LARGER",INDEX(INPUTS!$D$42:$D$50,MATCH(AG_REQ!E67,INPUTS!$E$42:$E$50,1)+1)))))</f>
        <v>14x24</v>
      </c>
      <c r="F67" s="4" t="str">
        <f aca="false">IF(TRIB!F67="","",IF(OR(ARCH!F67="",LEFT(ARCH!F67,3)="14x"),IF(AG_REQ!F67&lt;=INDEX(INPUTS!$B$42:$B$50,1),INDEX(INPUTS!$A$42:$A$50,1),IF(AG_REQ!F67&gt;INDEX(INPUTS!$B$42:$B$50,ROWS(INPUTS!$B$42:$B$50)),"LARGER",INDEX(INPUTS!$A$42:$A$50,MATCH(AG_REQ!F67,INPUTS!$B$42:$B$50,1)+1))),IF(AG_REQ!F67&lt;=INDEX(INPUTS!$E$42:$E$50,1),INDEX(INPUTS!$D$42:$D$50,1),IF(AG_REQ!F67&gt;INDEX(INPUTS!$E$42:$E$50,ROWS(INPUTS!$E$42:$E$50)),"LARGER",INDEX(INPUTS!$D$42:$D$50,MATCH(AG_REQ!F67,INPUTS!$E$42:$E$50,1)+1)))))</f>
        <v>14x24</v>
      </c>
      <c r="G67" s="4" t="str">
        <f aca="false">IF(TRIB!G67="","",IF(OR(ARCH!G67="",LEFT(ARCH!G67,3)="14x"),IF(AG_REQ!G67&lt;=INDEX(INPUTS!$B$42:$B$50,1),INDEX(INPUTS!$A$42:$A$50,1),IF(AG_REQ!G67&gt;INDEX(INPUTS!$B$42:$B$50,ROWS(INPUTS!$B$42:$B$50)),"LARGER",INDEX(INPUTS!$A$42:$A$50,MATCH(AG_REQ!G67,INPUTS!$B$42:$B$50,1)+1))),IF(AG_REQ!G67&lt;=INDEX(INPUTS!$E$42:$E$50,1),INDEX(INPUTS!$D$42:$D$50,1),IF(AG_REQ!G67&gt;INDEX(INPUTS!$E$42:$E$50,ROWS(INPUTS!$E$42:$E$50)),"LARGER",INDEX(INPUTS!$D$42:$D$50,MATCH(AG_REQ!G67,INPUTS!$E$42:$E$50,1)+1)))))</f>
        <v>14x24</v>
      </c>
      <c r="H67" s="4" t="str">
        <f aca="false">IF(TRIB!H67="","",IF(OR(ARCH!H67="",LEFT(ARCH!H67,3)="14x"),IF(AG_REQ!H67&lt;=INDEX(INPUTS!$B$42:$B$50,1),INDEX(INPUTS!$A$42:$A$50,1),IF(AG_REQ!H67&gt;INDEX(INPUTS!$B$42:$B$50,ROWS(INPUTS!$B$42:$B$50)),"LARGER",INDEX(INPUTS!$A$42:$A$50,MATCH(AG_REQ!H67,INPUTS!$B$42:$B$50,1)+1))),IF(AG_REQ!H67&lt;=INDEX(INPUTS!$E$42:$E$50,1),INDEX(INPUTS!$D$42:$D$50,1),IF(AG_REQ!H67&gt;INDEX(INPUTS!$E$42:$E$50,ROWS(INPUTS!$E$42:$E$50)),"LARGER",INDEX(INPUTS!$D$42:$D$50,MATCH(AG_REQ!H67,INPUTS!$E$42:$E$50,1)+1)))))</f>
        <v>14x24</v>
      </c>
      <c r="I67" s="4" t="str">
        <f aca="false">IF(TRIB!I67="","",IF(OR(ARCH!I67="",LEFT(ARCH!I67,3)="14x"),IF(AG_REQ!I67&lt;=INDEX(INPUTS!$B$42:$B$50,1),INDEX(INPUTS!$A$42:$A$50,1),IF(AG_REQ!I67&gt;INDEX(INPUTS!$B$42:$B$50,ROWS(INPUTS!$B$42:$B$50)),"LARGER",INDEX(INPUTS!$A$42:$A$50,MATCH(AG_REQ!I67,INPUTS!$B$42:$B$50,1)+1))),IF(AG_REQ!I67&lt;=INDEX(INPUTS!$E$42:$E$50,1),INDEX(INPUTS!$D$42:$D$50,1),IF(AG_REQ!I67&gt;INDEX(INPUTS!$E$42:$E$50,ROWS(INPUTS!$E$42:$E$50)),"LARGER",INDEX(INPUTS!$D$42:$D$50,MATCH(AG_REQ!I67,INPUTS!$E$42:$E$50,1)+1)))))</f>
        <v>14x24</v>
      </c>
      <c r="J67" s="4" t="str">
        <f aca="false">IF(TRIB!J67="","",IF(OR(ARCH!J67="",LEFT(ARCH!J67,3)="14x"),IF(AG_REQ!J67&lt;=INDEX(INPUTS!$B$42:$B$50,1),INDEX(INPUTS!$A$42:$A$50,1),IF(AG_REQ!J67&gt;INDEX(INPUTS!$B$42:$B$50,ROWS(INPUTS!$B$42:$B$50)),"LARGER",INDEX(INPUTS!$A$42:$A$50,MATCH(AG_REQ!J67,INPUTS!$B$42:$B$50,1)+1))),IF(AG_REQ!J67&lt;=INDEX(INPUTS!$E$42:$E$50,1),INDEX(INPUTS!$D$42:$D$50,1),IF(AG_REQ!J67&gt;INDEX(INPUTS!$E$42:$E$50,ROWS(INPUTS!$E$42:$E$50)),"LARGER",INDEX(INPUTS!$D$42:$D$50,MATCH(AG_REQ!J67,INPUTS!$E$42:$E$50,1)+1)))))</f>
        <v>14x24</v>
      </c>
      <c r="K67" s="4" t="str">
        <f aca="false">IF(TRIB!K67="","",IF(OR(ARCH!K67="",LEFT(ARCH!K67,3)="14x"),IF(AG_REQ!K67&lt;=INDEX(INPUTS!$B$42:$B$50,1),INDEX(INPUTS!$A$42:$A$50,1),IF(AG_REQ!K67&gt;INDEX(INPUTS!$B$42:$B$50,ROWS(INPUTS!$B$42:$B$50)),"LARGER",INDEX(INPUTS!$A$42:$A$50,MATCH(AG_REQ!K67,INPUTS!$B$42:$B$50,1)+1))),IF(AG_REQ!K67&lt;=INDEX(INPUTS!$E$42:$E$50,1),INDEX(INPUTS!$D$42:$D$50,1),IF(AG_REQ!K67&gt;INDEX(INPUTS!$E$42:$E$50,ROWS(INPUTS!$E$42:$E$50)),"LARGER",INDEX(INPUTS!$D$42:$D$50,MATCH(AG_REQ!K67,INPUTS!$E$42:$E$50,1)+1)))))</f>
        <v/>
      </c>
      <c r="L67" s="4" t="str">
        <f aca="false">IF(TRIB!L67="","",IF(OR(ARCH!L67="",LEFT(ARCH!L67,3)="14x"),IF(AG_REQ!L67&lt;=INDEX(INPUTS!$B$42:$B$50,1),INDEX(INPUTS!$A$42:$A$50,1),IF(AG_REQ!L67&gt;INDEX(INPUTS!$B$42:$B$50,ROWS(INPUTS!$B$42:$B$50)),"LARGER",INDEX(INPUTS!$A$42:$A$50,MATCH(AG_REQ!L67,INPUTS!$B$42:$B$50,1)+1))),IF(AG_REQ!L67&lt;=INDEX(INPUTS!$E$42:$E$50,1),INDEX(INPUTS!$D$42:$D$50,1),IF(AG_REQ!L67&gt;INDEX(INPUTS!$E$42:$E$50,ROWS(INPUTS!$E$42:$E$50)),"LARGER",INDEX(INPUTS!$D$42:$D$50,MATCH(AG_REQ!L67,INPUTS!$E$42:$E$50,1)+1)))))</f>
        <v/>
      </c>
      <c r="M67" s="4" t="str">
        <f aca="false">IF(TRIB!M67="","",IF(OR(ARCH!M67="",LEFT(ARCH!M67,3)="14x"),IF(AG_REQ!M67&lt;=INDEX(INPUTS!$B$42:$B$50,1),INDEX(INPUTS!$A$42:$A$50,1),IF(AG_REQ!M67&gt;INDEX(INPUTS!$B$42:$B$50,ROWS(INPUTS!$B$42:$B$50)),"LARGER",INDEX(INPUTS!$A$42:$A$50,MATCH(AG_REQ!M67,INPUTS!$B$42:$B$50,1)+1))),IF(AG_REQ!M67&lt;=INDEX(INPUTS!$E$42:$E$50,1),INDEX(INPUTS!$D$42:$D$50,1),IF(AG_REQ!M67&gt;INDEX(INPUTS!$E$42:$E$50,ROWS(INPUTS!$E$42:$E$50)),"LARGER",INDEX(INPUTS!$D$42:$D$50,MATCH(AG_REQ!M67,INPUTS!$E$42:$E$50,1)+1)))))</f>
        <v/>
      </c>
      <c r="N67" s="4" t="str">
        <f aca="false">IF(TRIB!N67="","",IF(OR(ARCH!N67="",LEFT(ARCH!N67,3)="14x"),IF(AG_REQ!N67&lt;=INDEX(INPUTS!$B$42:$B$50,1),INDEX(INPUTS!$A$42:$A$50,1),IF(AG_REQ!N67&gt;INDEX(INPUTS!$B$42:$B$50,ROWS(INPUTS!$B$42:$B$50)),"LARGER",INDEX(INPUTS!$A$42:$A$50,MATCH(AG_REQ!N67,INPUTS!$B$42:$B$50,1)+1))),IF(AG_REQ!N67&lt;=INDEX(INPUTS!$E$42:$E$50,1),INDEX(INPUTS!$D$42:$D$50,1),IF(AG_REQ!N67&gt;INDEX(INPUTS!$E$42:$E$50,ROWS(INPUTS!$E$42:$E$50)),"LARGER",INDEX(INPUTS!$D$42:$D$50,MATCH(AG_REQ!N67,INPUTS!$E$42:$E$50,1)+1)))))</f>
        <v/>
      </c>
      <c r="O67" s="4" t="str">
        <f aca="false">IF(TRIB!O67="","",IF(OR(ARCH!O67="",LEFT(ARCH!O67,3)="14x"),IF(AG_REQ!O67&lt;=INDEX(INPUTS!$B$42:$B$50,1),INDEX(INPUTS!$A$42:$A$50,1),IF(AG_REQ!O67&gt;INDEX(INPUTS!$B$42:$B$50,ROWS(INPUTS!$B$42:$B$50)),"LARGER",INDEX(INPUTS!$A$42:$A$50,MATCH(AG_REQ!O67,INPUTS!$B$42:$B$50,1)+1))),IF(AG_REQ!O67&lt;=INDEX(INPUTS!$E$42:$E$50,1),INDEX(INPUTS!$D$42:$D$50,1),IF(AG_REQ!O67&gt;INDEX(INPUTS!$E$42:$E$50,ROWS(INPUTS!$E$42:$E$50)),"LARGER",INDEX(INPUTS!$D$42:$D$50,MATCH(AG_REQ!O67,INPUTS!$E$42:$E$50,1)+1)))))</f>
        <v/>
      </c>
      <c r="P67" s="4" t="str">
        <f aca="false">IF(TRIB!P67="","",IF(OR(ARCH!P67="",LEFT(ARCH!P67,3)="14x"),IF(AG_REQ!P67&lt;=INDEX(INPUTS!$B$42:$B$50,1),INDEX(INPUTS!$A$42:$A$50,1),IF(AG_REQ!P67&gt;INDEX(INPUTS!$B$42:$B$50,ROWS(INPUTS!$B$42:$B$50)),"LARGER",INDEX(INPUTS!$A$42:$A$50,MATCH(AG_REQ!P67,INPUTS!$B$42:$B$50,1)+1))),IF(AG_REQ!P67&lt;=INDEX(INPUTS!$E$42:$E$50,1),INDEX(INPUTS!$D$42:$D$50,1),IF(AG_REQ!P67&gt;INDEX(INPUTS!$E$42:$E$50,ROWS(INPUTS!$E$42:$E$50)),"LARGER",INDEX(INPUTS!$D$42:$D$50,MATCH(AG_REQ!P67,INPUTS!$E$42:$E$50,1)+1)))))</f>
        <v/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4" t="str">
        <f aca="false">IF(TRIB!E68="","",IF(OR(ARCH!E68="",LEFT(ARCH!E68,3)="14x"),IF(AG_REQ!E68&lt;=INDEX(INPUTS!$B$42:$B$50,1),INDEX(INPUTS!$A$42:$A$50,1),IF(AG_REQ!E68&gt;INDEX(INPUTS!$B$42:$B$50,ROWS(INPUTS!$B$42:$B$50)),"LARGER",INDEX(INPUTS!$A$42:$A$50,MATCH(AG_REQ!E68,INPUTS!$B$42:$B$50,1)+1))),IF(AG_REQ!E68&lt;=INDEX(INPUTS!$E$42:$E$50,1),INDEX(INPUTS!$D$42:$D$50,1),IF(AG_REQ!E68&gt;INDEX(INPUTS!$E$42:$E$50,ROWS(INPUTS!$E$42:$E$50)),"LARGER",INDEX(INPUTS!$D$42:$D$50,MATCH(AG_REQ!E68,INPUTS!$E$42:$E$50,1)+1)))))</f>
        <v>14x24</v>
      </c>
      <c r="F68" s="4" t="str">
        <f aca="false">IF(TRIB!F68="","",IF(OR(ARCH!F68="",LEFT(ARCH!F68,3)="14x"),IF(AG_REQ!F68&lt;=INDEX(INPUTS!$B$42:$B$50,1),INDEX(INPUTS!$A$42:$A$50,1),IF(AG_REQ!F68&gt;INDEX(INPUTS!$B$42:$B$50,ROWS(INPUTS!$B$42:$B$50)),"LARGER",INDEX(INPUTS!$A$42:$A$50,MATCH(AG_REQ!F68,INPUTS!$B$42:$B$50,1)+1))),IF(AG_REQ!F68&lt;=INDEX(INPUTS!$E$42:$E$50,1),INDEX(INPUTS!$D$42:$D$50,1),IF(AG_REQ!F68&gt;INDEX(INPUTS!$E$42:$E$50,ROWS(INPUTS!$E$42:$E$50)),"LARGER",INDEX(INPUTS!$D$42:$D$50,MATCH(AG_REQ!F68,INPUTS!$E$42:$E$50,1)+1)))))</f>
        <v>14x24</v>
      </c>
      <c r="G68" s="4" t="str">
        <f aca="false">IF(TRIB!G68="","",IF(OR(ARCH!G68="",LEFT(ARCH!G68,3)="14x"),IF(AG_REQ!G68&lt;=INDEX(INPUTS!$B$42:$B$50,1),INDEX(INPUTS!$A$42:$A$50,1),IF(AG_REQ!G68&gt;INDEX(INPUTS!$B$42:$B$50,ROWS(INPUTS!$B$42:$B$50)),"LARGER",INDEX(INPUTS!$A$42:$A$50,MATCH(AG_REQ!G68,INPUTS!$B$42:$B$50,1)+1))),IF(AG_REQ!G68&lt;=INDEX(INPUTS!$E$42:$E$50,1),INDEX(INPUTS!$D$42:$D$50,1),IF(AG_REQ!G68&gt;INDEX(INPUTS!$E$42:$E$50,ROWS(INPUTS!$E$42:$E$50)),"LARGER",INDEX(INPUTS!$D$42:$D$50,MATCH(AG_REQ!G68,INPUTS!$E$42:$E$50,1)+1)))))</f>
        <v>14x24</v>
      </c>
      <c r="H68" s="4" t="str">
        <f aca="false">IF(TRIB!H68="","",IF(OR(ARCH!H68="",LEFT(ARCH!H68,3)="14x"),IF(AG_REQ!H68&lt;=INDEX(INPUTS!$B$42:$B$50,1),INDEX(INPUTS!$A$42:$A$50,1),IF(AG_REQ!H68&gt;INDEX(INPUTS!$B$42:$B$50,ROWS(INPUTS!$B$42:$B$50)),"LARGER",INDEX(INPUTS!$A$42:$A$50,MATCH(AG_REQ!H68,INPUTS!$B$42:$B$50,1)+1))),IF(AG_REQ!H68&lt;=INDEX(INPUTS!$E$42:$E$50,1),INDEX(INPUTS!$D$42:$D$50,1),IF(AG_REQ!H68&gt;INDEX(INPUTS!$E$42:$E$50,ROWS(INPUTS!$E$42:$E$50)),"LARGER",INDEX(INPUTS!$D$42:$D$50,MATCH(AG_REQ!H68,INPUTS!$E$42:$E$50,1)+1)))))</f>
        <v>14x24</v>
      </c>
      <c r="I68" s="4" t="str">
        <f aca="false">IF(TRIB!I68="","",IF(OR(ARCH!I68="",LEFT(ARCH!I68,3)="14x"),IF(AG_REQ!I68&lt;=INDEX(INPUTS!$B$42:$B$50,1),INDEX(INPUTS!$A$42:$A$50,1),IF(AG_REQ!I68&gt;INDEX(INPUTS!$B$42:$B$50,ROWS(INPUTS!$B$42:$B$50)),"LARGER",INDEX(INPUTS!$A$42:$A$50,MATCH(AG_REQ!I68,INPUTS!$B$42:$B$50,1)+1))),IF(AG_REQ!I68&lt;=INDEX(INPUTS!$E$42:$E$50,1),INDEX(INPUTS!$D$42:$D$50,1),IF(AG_REQ!I68&gt;INDEX(INPUTS!$E$42:$E$50,ROWS(INPUTS!$E$42:$E$50)),"LARGER",INDEX(INPUTS!$D$42:$D$50,MATCH(AG_REQ!I68,INPUTS!$E$42:$E$50,1)+1)))))</f>
        <v>14x24</v>
      </c>
      <c r="J68" s="4" t="str">
        <f aca="false">IF(TRIB!J68="","",IF(OR(ARCH!J68="",LEFT(ARCH!J68,3)="14x"),IF(AG_REQ!J68&lt;=INDEX(INPUTS!$B$42:$B$50,1),INDEX(INPUTS!$A$42:$A$50,1),IF(AG_REQ!J68&gt;INDEX(INPUTS!$B$42:$B$50,ROWS(INPUTS!$B$42:$B$50)),"LARGER",INDEX(INPUTS!$A$42:$A$50,MATCH(AG_REQ!J68,INPUTS!$B$42:$B$50,1)+1))),IF(AG_REQ!J68&lt;=INDEX(INPUTS!$E$42:$E$50,1),INDEX(INPUTS!$D$42:$D$50,1),IF(AG_REQ!J68&gt;INDEX(INPUTS!$E$42:$E$50,ROWS(INPUTS!$E$42:$E$50)),"LARGER",INDEX(INPUTS!$D$42:$D$50,MATCH(AG_REQ!J68,INPUTS!$E$42:$E$50,1)+1)))))</f>
        <v>14x24</v>
      </c>
      <c r="K68" s="4" t="str">
        <f aca="false">IF(TRIB!K68="","",IF(OR(ARCH!K68="",LEFT(ARCH!K68,3)="14x"),IF(AG_REQ!K68&lt;=INDEX(INPUTS!$B$42:$B$50,1),INDEX(INPUTS!$A$42:$A$50,1),IF(AG_REQ!K68&gt;INDEX(INPUTS!$B$42:$B$50,ROWS(INPUTS!$B$42:$B$50)),"LARGER",INDEX(INPUTS!$A$42:$A$50,MATCH(AG_REQ!K68,INPUTS!$B$42:$B$50,1)+1))),IF(AG_REQ!K68&lt;=INDEX(INPUTS!$E$42:$E$50,1),INDEX(INPUTS!$D$42:$D$50,1),IF(AG_REQ!K68&gt;INDEX(INPUTS!$E$42:$E$50,ROWS(INPUTS!$E$42:$E$50)),"LARGER",INDEX(INPUTS!$D$42:$D$50,MATCH(AG_REQ!K68,INPUTS!$E$42:$E$50,1)+1)))))</f>
        <v/>
      </c>
      <c r="L68" s="4" t="str">
        <f aca="false">IF(TRIB!L68="","",IF(OR(ARCH!L68="",LEFT(ARCH!L68,3)="14x"),IF(AG_REQ!L68&lt;=INDEX(INPUTS!$B$42:$B$50,1),INDEX(INPUTS!$A$42:$A$50,1),IF(AG_REQ!L68&gt;INDEX(INPUTS!$B$42:$B$50,ROWS(INPUTS!$B$42:$B$50)),"LARGER",INDEX(INPUTS!$A$42:$A$50,MATCH(AG_REQ!L68,INPUTS!$B$42:$B$50,1)+1))),IF(AG_REQ!L68&lt;=INDEX(INPUTS!$E$42:$E$50,1),INDEX(INPUTS!$D$42:$D$50,1),IF(AG_REQ!L68&gt;INDEX(INPUTS!$E$42:$E$50,ROWS(INPUTS!$E$42:$E$50)),"LARGER",INDEX(INPUTS!$D$42:$D$50,MATCH(AG_REQ!L68,INPUTS!$E$42:$E$50,1)+1)))))</f>
        <v/>
      </c>
      <c r="M68" s="4" t="str">
        <f aca="false">IF(TRIB!M68="","",IF(OR(ARCH!M68="",LEFT(ARCH!M68,3)="14x"),IF(AG_REQ!M68&lt;=INDEX(INPUTS!$B$42:$B$50,1),INDEX(INPUTS!$A$42:$A$50,1),IF(AG_REQ!M68&gt;INDEX(INPUTS!$B$42:$B$50,ROWS(INPUTS!$B$42:$B$50)),"LARGER",INDEX(INPUTS!$A$42:$A$50,MATCH(AG_REQ!M68,INPUTS!$B$42:$B$50,1)+1))),IF(AG_REQ!M68&lt;=INDEX(INPUTS!$E$42:$E$50,1),INDEX(INPUTS!$D$42:$D$50,1),IF(AG_REQ!M68&gt;INDEX(INPUTS!$E$42:$E$50,ROWS(INPUTS!$E$42:$E$50)),"LARGER",INDEX(INPUTS!$D$42:$D$50,MATCH(AG_REQ!M68,INPUTS!$E$42:$E$50,1)+1)))))</f>
        <v/>
      </c>
      <c r="N68" s="4" t="str">
        <f aca="false">IF(TRIB!N68="","",IF(OR(ARCH!N68="",LEFT(ARCH!N68,3)="14x"),IF(AG_REQ!N68&lt;=INDEX(INPUTS!$B$42:$B$50,1),INDEX(INPUTS!$A$42:$A$50,1),IF(AG_REQ!N68&gt;INDEX(INPUTS!$B$42:$B$50,ROWS(INPUTS!$B$42:$B$50)),"LARGER",INDEX(INPUTS!$A$42:$A$50,MATCH(AG_REQ!N68,INPUTS!$B$42:$B$50,1)+1))),IF(AG_REQ!N68&lt;=INDEX(INPUTS!$E$42:$E$50,1),INDEX(INPUTS!$D$42:$D$50,1),IF(AG_REQ!N68&gt;INDEX(INPUTS!$E$42:$E$50,ROWS(INPUTS!$E$42:$E$50)),"LARGER",INDEX(INPUTS!$D$42:$D$50,MATCH(AG_REQ!N68,INPUTS!$E$42:$E$50,1)+1)))))</f>
        <v/>
      </c>
      <c r="O68" s="4" t="str">
        <f aca="false">IF(TRIB!O68="","",IF(OR(ARCH!O68="",LEFT(ARCH!O68,3)="14x"),IF(AG_REQ!O68&lt;=INDEX(INPUTS!$B$42:$B$50,1),INDEX(INPUTS!$A$42:$A$50,1),IF(AG_REQ!O68&gt;INDEX(INPUTS!$B$42:$B$50,ROWS(INPUTS!$B$42:$B$50)),"LARGER",INDEX(INPUTS!$A$42:$A$50,MATCH(AG_REQ!O68,INPUTS!$B$42:$B$50,1)+1))),IF(AG_REQ!O68&lt;=INDEX(INPUTS!$E$42:$E$50,1),INDEX(INPUTS!$D$42:$D$50,1),IF(AG_REQ!O68&gt;INDEX(INPUTS!$E$42:$E$50,ROWS(INPUTS!$E$42:$E$50)),"LARGER",INDEX(INPUTS!$D$42:$D$50,MATCH(AG_REQ!O68,INPUTS!$E$42:$E$50,1)+1)))))</f>
        <v/>
      </c>
      <c r="P68" s="4" t="str">
        <f aca="false">IF(TRIB!P68="","",IF(OR(ARCH!P68="",LEFT(ARCH!P68,3)="14x"),IF(AG_REQ!P68&lt;=INDEX(INPUTS!$B$42:$B$50,1),INDEX(INPUTS!$A$42:$A$50,1),IF(AG_REQ!P68&gt;INDEX(INPUTS!$B$42:$B$50,ROWS(INPUTS!$B$42:$B$50)),"LARGER",INDEX(INPUTS!$A$42:$A$50,MATCH(AG_REQ!P68,INPUTS!$B$42:$B$50,1)+1))),IF(AG_REQ!P68&lt;=INDEX(INPUTS!$E$42:$E$50,1),INDEX(INPUTS!$D$42:$D$50,1),IF(AG_REQ!P68&gt;INDEX(INPUTS!$E$42:$E$50,ROWS(INPUTS!$E$42:$E$50)),"LARGER",INDEX(INPUTS!$D$42:$D$50,MATCH(AG_REQ!P68,INPUTS!$E$42:$E$50,1)+1)))))</f>
        <v/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4" t="str">
        <f aca="false">IF(TRIB!E69="","",IF(OR(ARCH!E69="",LEFT(ARCH!E69,3)="14x"),IF(AG_REQ!E69&lt;=INDEX(INPUTS!$B$42:$B$50,1),INDEX(INPUTS!$A$42:$A$50,1),IF(AG_REQ!E69&gt;INDEX(INPUTS!$B$42:$B$50,ROWS(INPUTS!$B$42:$B$50)),"LARGER",INDEX(INPUTS!$A$42:$A$50,MATCH(AG_REQ!E69,INPUTS!$B$42:$B$50,1)+1))),IF(AG_REQ!E69&lt;=INDEX(INPUTS!$E$42:$E$50,1),INDEX(INPUTS!$D$42:$D$50,1),IF(AG_REQ!E69&gt;INDEX(INPUTS!$E$42:$E$50,ROWS(INPUTS!$E$42:$E$50)),"LARGER",INDEX(INPUTS!$D$42:$D$50,MATCH(AG_REQ!E69,INPUTS!$E$42:$E$50,1)+1)))))</f>
        <v>14x24</v>
      </c>
      <c r="F69" s="4" t="str">
        <f aca="false">IF(TRIB!F69="","",IF(OR(ARCH!F69="",LEFT(ARCH!F69,3)="14x"),IF(AG_REQ!F69&lt;=INDEX(INPUTS!$B$42:$B$50,1),INDEX(INPUTS!$A$42:$A$50,1),IF(AG_REQ!F69&gt;INDEX(INPUTS!$B$42:$B$50,ROWS(INPUTS!$B$42:$B$50)),"LARGER",INDEX(INPUTS!$A$42:$A$50,MATCH(AG_REQ!F69,INPUTS!$B$42:$B$50,1)+1))),IF(AG_REQ!F69&lt;=INDEX(INPUTS!$E$42:$E$50,1),INDEX(INPUTS!$D$42:$D$50,1),IF(AG_REQ!F69&gt;INDEX(INPUTS!$E$42:$E$50,ROWS(INPUTS!$E$42:$E$50)),"LARGER",INDEX(INPUTS!$D$42:$D$50,MATCH(AG_REQ!F69,INPUTS!$E$42:$E$50,1)+1)))))</f>
        <v>14x24</v>
      </c>
      <c r="G69" s="4" t="str">
        <f aca="false">IF(TRIB!G69="","",IF(OR(ARCH!G69="",LEFT(ARCH!G69,3)="14x"),IF(AG_REQ!G69&lt;=INDEX(INPUTS!$B$42:$B$50,1),INDEX(INPUTS!$A$42:$A$50,1),IF(AG_REQ!G69&gt;INDEX(INPUTS!$B$42:$B$50,ROWS(INPUTS!$B$42:$B$50)),"LARGER",INDEX(INPUTS!$A$42:$A$50,MATCH(AG_REQ!G69,INPUTS!$B$42:$B$50,1)+1))),IF(AG_REQ!G69&lt;=INDEX(INPUTS!$E$42:$E$50,1),INDEX(INPUTS!$D$42:$D$50,1),IF(AG_REQ!G69&gt;INDEX(INPUTS!$E$42:$E$50,ROWS(INPUTS!$E$42:$E$50)),"LARGER",INDEX(INPUTS!$D$42:$D$50,MATCH(AG_REQ!G69,INPUTS!$E$42:$E$50,1)+1)))))</f>
        <v>14x24</v>
      </c>
      <c r="H69" s="4" t="str">
        <f aca="false">IF(TRIB!H69="","",IF(OR(ARCH!H69="",LEFT(ARCH!H69,3)="14x"),IF(AG_REQ!H69&lt;=INDEX(INPUTS!$B$42:$B$50,1),INDEX(INPUTS!$A$42:$A$50,1),IF(AG_REQ!H69&gt;INDEX(INPUTS!$B$42:$B$50,ROWS(INPUTS!$B$42:$B$50)),"LARGER",INDEX(INPUTS!$A$42:$A$50,MATCH(AG_REQ!H69,INPUTS!$B$42:$B$50,1)+1))),IF(AG_REQ!H69&lt;=INDEX(INPUTS!$E$42:$E$50,1),INDEX(INPUTS!$D$42:$D$50,1),IF(AG_REQ!H69&gt;INDEX(INPUTS!$E$42:$E$50,ROWS(INPUTS!$E$42:$E$50)),"LARGER",INDEX(INPUTS!$D$42:$D$50,MATCH(AG_REQ!H69,INPUTS!$E$42:$E$50,1)+1)))))</f>
        <v>14x24</v>
      </c>
      <c r="I69" s="4" t="str">
        <f aca="false">IF(TRIB!I69="","",IF(OR(ARCH!I69="",LEFT(ARCH!I69,3)="14x"),IF(AG_REQ!I69&lt;=INDEX(INPUTS!$B$42:$B$50,1),INDEX(INPUTS!$A$42:$A$50,1),IF(AG_REQ!I69&gt;INDEX(INPUTS!$B$42:$B$50,ROWS(INPUTS!$B$42:$B$50)),"LARGER",INDEX(INPUTS!$A$42:$A$50,MATCH(AG_REQ!I69,INPUTS!$B$42:$B$50,1)+1))),IF(AG_REQ!I69&lt;=INDEX(INPUTS!$E$42:$E$50,1),INDEX(INPUTS!$D$42:$D$50,1),IF(AG_REQ!I69&gt;INDEX(INPUTS!$E$42:$E$50,ROWS(INPUTS!$E$42:$E$50)),"LARGER",INDEX(INPUTS!$D$42:$D$50,MATCH(AG_REQ!I69,INPUTS!$E$42:$E$50,1)+1)))))</f>
        <v>14x24</v>
      </c>
      <c r="J69" s="4" t="str">
        <f aca="false">IF(TRIB!J69="","",IF(OR(ARCH!J69="",LEFT(ARCH!J69,3)="14x"),IF(AG_REQ!J69&lt;=INDEX(INPUTS!$B$42:$B$50,1),INDEX(INPUTS!$A$42:$A$50,1),IF(AG_REQ!J69&gt;INDEX(INPUTS!$B$42:$B$50,ROWS(INPUTS!$B$42:$B$50)),"LARGER",INDEX(INPUTS!$A$42:$A$50,MATCH(AG_REQ!J69,INPUTS!$B$42:$B$50,1)+1))),IF(AG_REQ!J69&lt;=INDEX(INPUTS!$E$42:$E$50,1),INDEX(INPUTS!$D$42:$D$50,1),IF(AG_REQ!J69&gt;INDEX(INPUTS!$E$42:$E$50,ROWS(INPUTS!$E$42:$E$50)),"LARGER",INDEX(INPUTS!$D$42:$D$50,MATCH(AG_REQ!J69,INPUTS!$E$42:$E$50,1)+1)))))</f>
        <v>14x24</v>
      </c>
      <c r="K69" s="4" t="str">
        <f aca="false">IF(TRIB!K69="","",IF(OR(ARCH!K69="",LEFT(ARCH!K69,3)="14x"),IF(AG_REQ!K69&lt;=INDEX(INPUTS!$B$42:$B$50,1),INDEX(INPUTS!$A$42:$A$50,1),IF(AG_REQ!K69&gt;INDEX(INPUTS!$B$42:$B$50,ROWS(INPUTS!$B$42:$B$50)),"LARGER",INDEX(INPUTS!$A$42:$A$50,MATCH(AG_REQ!K69,INPUTS!$B$42:$B$50,1)+1))),IF(AG_REQ!K69&lt;=INDEX(INPUTS!$E$42:$E$50,1),INDEX(INPUTS!$D$42:$D$50,1),IF(AG_REQ!K69&gt;INDEX(INPUTS!$E$42:$E$50,ROWS(INPUTS!$E$42:$E$50)),"LARGER",INDEX(INPUTS!$D$42:$D$50,MATCH(AG_REQ!K69,INPUTS!$E$42:$E$50,1)+1)))))</f>
        <v/>
      </c>
      <c r="L69" s="4" t="str">
        <f aca="false">IF(TRIB!L69="","",IF(OR(ARCH!L69="",LEFT(ARCH!L69,3)="14x"),IF(AG_REQ!L69&lt;=INDEX(INPUTS!$B$42:$B$50,1),INDEX(INPUTS!$A$42:$A$50,1),IF(AG_REQ!L69&gt;INDEX(INPUTS!$B$42:$B$50,ROWS(INPUTS!$B$42:$B$50)),"LARGER",INDEX(INPUTS!$A$42:$A$50,MATCH(AG_REQ!L69,INPUTS!$B$42:$B$50,1)+1))),IF(AG_REQ!L69&lt;=INDEX(INPUTS!$E$42:$E$50,1),INDEX(INPUTS!$D$42:$D$50,1),IF(AG_REQ!L69&gt;INDEX(INPUTS!$E$42:$E$50,ROWS(INPUTS!$E$42:$E$50)),"LARGER",INDEX(INPUTS!$D$42:$D$50,MATCH(AG_REQ!L69,INPUTS!$E$42:$E$50,1)+1)))))</f>
        <v/>
      </c>
      <c r="M69" s="4" t="str">
        <f aca="false">IF(TRIB!M69="","",IF(OR(ARCH!M69="",LEFT(ARCH!M69,3)="14x"),IF(AG_REQ!M69&lt;=INDEX(INPUTS!$B$42:$B$50,1),INDEX(INPUTS!$A$42:$A$50,1),IF(AG_REQ!M69&gt;INDEX(INPUTS!$B$42:$B$50,ROWS(INPUTS!$B$42:$B$50)),"LARGER",INDEX(INPUTS!$A$42:$A$50,MATCH(AG_REQ!M69,INPUTS!$B$42:$B$50,1)+1))),IF(AG_REQ!M69&lt;=INDEX(INPUTS!$E$42:$E$50,1),INDEX(INPUTS!$D$42:$D$50,1),IF(AG_REQ!M69&gt;INDEX(INPUTS!$E$42:$E$50,ROWS(INPUTS!$E$42:$E$50)),"LARGER",INDEX(INPUTS!$D$42:$D$50,MATCH(AG_REQ!M69,INPUTS!$E$42:$E$50,1)+1)))))</f>
        <v/>
      </c>
      <c r="N69" s="4" t="str">
        <f aca="false">IF(TRIB!N69="","",IF(OR(ARCH!N69="",LEFT(ARCH!N69,3)="14x"),IF(AG_REQ!N69&lt;=INDEX(INPUTS!$B$42:$B$50,1),INDEX(INPUTS!$A$42:$A$50,1),IF(AG_REQ!N69&gt;INDEX(INPUTS!$B$42:$B$50,ROWS(INPUTS!$B$42:$B$50)),"LARGER",INDEX(INPUTS!$A$42:$A$50,MATCH(AG_REQ!N69,INPUTS!$B$42:$B$50,1)+1))),IF(AG_REQ!N69&lt;=INDEX(INPUTS!$E$42:$E$50,1),INDEX(INPUTS!$D$42:$D$50,1),IF(AG_REQ!N69&gt;INDEX(INPUTS!$E$42:$E$50,ROWS(INPUTS!$E$42:$E$50)),"LARGER",INDEX(INPUTS!$D$42:$D$50,MATCH(AG_REQ!N69,INPUTS!$E$42:$E$50,1)+1)))))</f>
        <v/>
      </c>
      <c r="O69" s="4" t="str">
        <f aca="false">IF(TRIB!O69="","",IF(OR(ARCH!O69="",LEFT(ARCH!O69,3)="14x"),IF(AG_REQ!O69&lt;=INDEX(INPUTS!$B$42:$B$50,1),INDEX(INPUTS!$A$42:$A$50,1),IF(AG_REQ!O69&gt;INDEX(INPUTS!$B$42:$B$50,ROWS(INPUTS!$B$42:$B$50)),"LARGER",INDEX(INPUTS!$A$42:$A$50,MATCH(AG_REQ!O69,INPUTS!$B$42:$B$50,1)+1))),IF(AG_REQ!O69&lt;=INDEX(INPUTS!$E$42:$E$50,1),INDEX(INPUTS!$D$42:$D$50,1),IF(AG_REQ!O69&gt;INDEX(INPUTS!$E$42:$E$50,ROWS(INPUTS!$E$42:$E$50)),"LARGER",INDEX(INPUTS!$D$42:$D$50,MATCH(AG_REQ!O69,INPUTS!$E$42:$E$50,1)+1)))))</f>
        <v/>
      </c>
      <c r="P69" s="4" t="str">
        <f aca="false">IF(TRIB!P69="","",IF(OR(ARCH!P69="",LEFT(ARCH!P69,3)="14x"),IF(AG_REQ!P69&lt;=INDEX(INPUTS!$B$42:$B$50,1),INDEX(INPUTS!$A$42:$A$50,1),IF(AG_REQ!P69&gt;INDEX(INPUTS!$B$42:$B$50,ROWS(INPUTS!$B$42:$B$50)),"LARGER",INDEX(INPUTS!$A$42:$A$50,MATCH(AG_REQ!P69,INPUTS!$B$42:$B$50,1)+1))),IF(AG_REQ!P69&lt;=INDEX(INPUTS!$E$42:$E$50,1),INDEX(INPUTS!$D$42:$D$50,1),IF(AG_REQ!P69&gt;INDEX(INPUTS!$E$42:$E$50,ROWS(INPUTS!$E$42:$E$50)),"LARGER",INDEX(INPUTS!$D$42:$D$50,MATCH(AG_REQ!P69,INPUTS!$E$42:$E$50,1)+1)))))</f>
        <v/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4" t="str">
        <f aca="false">IF(TRIB!E70="","",IF(OR(ARCH!E70="",LEFT(ARCH!E70,3)="14x"),IF(AG_REQ!E70&lt;=INDEX(INPUTS!$B$42:$B$50,1),INDEX(INPUTS!$A$42:$A$50,1),IF(AG_REQ!E70&gt;INDEX(INPUTS!$B$42:$B$50,ROWS(INPUTS!$B$42:$B$50)),"LARGER",INDEX(INPUTS!$A$42:$A$50,MATCH(AG_REQ!E70,INPUTS!$B$42:$B$50,1)+1))),IF(AG_REQ!E70&lt;=INDEX(INPUTS!$E$42:$E$50,1),INDEX(INPUTS!$D$42:$D$50,1),IF(AG_REQ!E70&gt;INDEX(INPUTS!$E$42:$E$50,ROWS(INPUTS!$E$42:$E$50)),"LARGER",INDEX(INPUTS!$D$42:$D$50,MATCH(AG_REQ!E70,INPUTS!$E$42:$E$50,1)+1)))))</f>
        <v>14x24</v>
      </c>
      <c r="F70" s="4" t="str">
        <f aca="false">IF(TRIB!F70="","",IF(OR(ARCH!F70="",LEFT(ARCH!F70,3)="14x"),IF(AG_REQ!F70&lt;=INDEX(INPUTS!$B$42:$B$50,1),INDEX(INPUTS!$A$42:$A$50,1),IF(AG_REQ!F70&gt;INDEX(INPUTS!$B$42:$B$50,ROWS(INPUTS!$B$42:$B$50)),"LARGER",INDEX(INPUTS!$A$42:$A$50,MATCH(AG_REQ!F70,INPUTS!$B$42:$B$50,1)+1))),IF(AG_REQ!F70&lt;=INDEX(INPUTS!$E$42:$E$50,1),INDEX(INPUTS!$D$42:$D$50,1),IF(AG_REQ!F70&gt;INDEX(INPUTS!$E$42:$E$50,ROWS(INPUTS!$E$42:$E$50)),"LARGER",INDEX(INPUTS!$D$42:$D$50,MATCH(AG_REQ!F70,INPUTS!$E$42:$E$50,1)+1)))))</f>
        <v>14x24</v>
      </c>
      <c r="G70" s="4" t="str">
        <f aca="false">IF(TRIB!G70="","",IF(OR(ARCH!G70="",LEFT(ARCH!G70,3)="14x"),IF(AG_REQ!G70&lt;=INDEX(INPUTS!$B$42:$B$50,1),INDEX(INPUTS!$A$42:$A$50,1),IF(AG_REQ!G70&gt;INDEX(INPUTS!$B$42:$B$50,ROWS(INPUTS!$B$42:$B$50)),"LARGER",INDEX(INPUTS!$A$42:$A$50,MATCH(AG_REQ!G70,INPUTS!$B$42:$B$50,1)+1))),IF(AG_REQ!G70&lt;=INDEX(INPUTS!$E$42:$E$50,1),INDEX(INPUTS!$D$42:$D$50,1),IF(AG_REQ!G70&gt;INDEX(INPUTS!$E$42:$E$50,ROWS(INPUTS!$E$42:$E$50)),"LARGER",INDEX(INPUTS!$D$42:$D$50,MATCH(AG_REQ!G70,INPUTS!$E$42:$E$50,1)+1)))))</f>
        <v>14x24</v>
      </c>
      <c r="H70" s="4" t="str">
        <f aca="false">IF(TRIB!H70="","",IF(OR(ARCH!H70="",LEFT(ARCH!H70,3)="14x"),IF(AG_REQ!H70&lt;=INDEX(INPUTS!$B$42:$B$50,1),INDEX(INPUTS!$A$42:$A$50,1),IF(AG_REQ!H70&gt;INDEX(INPUTS!$B$42:$B$50,ROWS(INPUTS!$B$42:$B$50)),"LARGER",INDEX(INPUTS!$A$42:$A$50,MATCH(AG_REQ!H70,INPUTS!$B$42:$B$50,1)+1))),IF(AG_REQ!H70&lt;=INDEX(INPUTS!$E$42:$E$50,1),INDEX(INPUTS!$D$42:$D$50,1),IF(AG_REQ!H70&gt;INDEX(INPUTS!$E$42:$E$50,ROWS(INPUTS!$E$42:$E$50)),"LARGER",INDEX(INPUTS!$D$42:$D$50,MATCH(AG_REQ!H70,INPUTS!$E$42:$E$50,1)+1)))))</f>
        <v>14x24</v>
      </c>
      <c r="I70" s="4" t="str">
        <f aca="false">IF(TRIB!I70="","",IF(OR(ARCH!I70="",LEFT(ARCH!I70,3)="14x"),IF(AG_REQ!I70&lt;=INDEX(INPUTS!$B$42:$B$50,1),INDEX(INPUTS!$A$42:$A$50,1),IF(AG_REQ!I70&gt;INDEX(INPUTS!$B$42:$B$50,ROWS(INPUTS!$B$42:$B$50)),"LARGER",INDEX(INPUTS!$A$42:$A$50,MATCH(AG_REQ!I70,INPUTS!$B$42:$B$50,1)+1))),IF(AG_REQ!I70&lt;=INDEX(INPUTS!$E$42:$E$50,1),INDEX(INPUTS!$D$42:$D$50,1),IF(AG_REQ!I70&gt;INDEX(INPUTS!$E$42:$E$50,ROWS(INPUTS!$E$42:$E$50)),"LARGER",INDEX(INPUTS!$D$42:$D$50,MATCH(AG_REQ!I70,INPUTS!$E$42:$E$50,1)+1)))))</f>
        <v>14x24</v>
      </c>
      <c r="J70" s="4" t="str">
        <f aca="false">IF(TRIB!J70="","",IF(OR(ARCH!J70="",LEFT(ARCH!J70,3)="14x"),IF(AG_REQ!J70&lt;=INDEX(INPUTS!$B$42:$B$50,1),INDEX(INPUTS!$A$42:$A$50,1),IF(AG_REQ!J70&gt;INDEX(INPUTS!$B$42:$B$50,ROWS(INPUTS!$B$42:$B$50)),"LARGER",INDEX(INPUTS!$A$42:$A$50,MATCH(AG_REQ!J70,INPUTS!$B$42:$B$50,1)+1))),IF(AG_REQ!J70&lt;=INDEX(INPUTS!$E$42:$E$50,1),INDEX(INPUTS!$D$42:$D$50,1),IF(AG_REQ!J70&gt;INDEX(INPUTS!$E$42:$E$50,ROWS(INPUTS!$E$42:$E$50)),"LARGER",INDEX(INPUTS!$D$42:$D$50,MATCH(AG_REQ!J70,INPUTS!$E$42:$E$50,1)+1)))))</f>
        <v>14x24</v>
      </c>
      <c r="K70" s="4" t="str">
        <f aca="false">IF(TRIB!K70="","",IF(OR(ARCH!K70="",LEFT(ARCH!K70,3)="14x"),IF(AG_REQ!K70&lt;=INDEX(INPUTS!$B$42:$B$50,1),INDEX(INPUTS!$A$42:$A$50,1),IF(AG_REQ!K70&gt;INDEX(INPUTS!$B$42:$B$50,ROWS(INPUTS!$B$42:$B$50)),"LARGER",INDEX(INPUTS!$A$42:$A$50,MATCH(AG_REQ!K70,INPUTS!$B$42:$B$50,1)+1))),IF(AG_REQ!K70&lt;=INDEX(INPUTS!$E$42:$E$50,1),INDEX(INPUTS!$D$42:$D$50,1),IF(AG_REQ!K70&gt;INDEX(INPUTS!$E$42:$E$50,ROWS(INPUTS!$E$42:$E$50)),"LARGER",INDEX(INPUTS!$D$42:$D$50,MATCH(AG_REQ!K70,INPUTS!$E$42:$E$50,1)+1)))))</f>
        <v/>
      </c>
      <c r="L70" s="4" t="str">
        <f aca="false">IF(TRIB!L70="","",IF(OR(ARCH!L70="",LEFT(ARCH!L70,3)="14x"),IF(AG_REQ!L70&lt;=INDEX(INPUTS!$B$42:$B$50,1),INDEX(INPUTS!$A$42:$A$50,1),IF(AG_REQ!L70&gt;INDEX(INPUTS!$B$42:$B$50,ROWS(INPUTS!$B$42:$B$50)),"LARGER",INDEX(INPUTS!$A$42:$A$50,MATCH(AG_REQ!L70,INPUTS!$B$42:$B$50,1)+1))),IF(AG_REQ!L70&lt;=INDEX(INPUTS!$E$42:$E$50,1),INDEX(INPUTS!$D$42:$D$50,1),IF(AG_REQ!L70&gt;INDEX(INPUTS!$E$42:$E$50,ROWS(INPUTS!$E$42:$E$50)),"LARGER",INDEX(INPUTS!$D$42:$D$50,MATCH(AG_REQ!L70,INPUTS!$E$42:$E$50,1)+1)))))</f>
        <v/>
      </c>
      <c r="M70" s="4" t="str">
        <f aca="false">IF(TRIB!M70="","",IF(OR(ARCH!M70="",LEFT(ARCH!M70,3)="14x"),IF(AG_REQ!M70&lt;=INDEX(INPUTS!$B$42:$B$50,1),INDEX(INPUTS!$A$42:$A$50,1),IF(AG_REQ!M70&gt;INDEX(INPUTS!$B$42:$B$50,ROWS(INPUTS!$B$42:$B$50)),"LARGER",INDEX(INPUTS!$A$42:$A$50,MATCH(AG_REQ!M70,INPUTS!$B$42:$B$50,1)+1))),IF(AG_REQ!M70&lt;=INDEX(INPUTS!$E$42:$E$50,1),INDEX(INPUTS!$D$42:$D$50,1),IF(AG_REQ!M70&gt;INDEX(INPUTS!$E$42:$E$50,ROWS(INPUTS!$E$42:$E$50)),"LARGER",INDEX(INPUTS!$D$42:$D$50,MATCH(AG_REQ!M70,INPUTS!$E$42:$E$50,1)+1)))))</f>
        <v/>
      </c>
      <c r="N70" s="4" t="str">
        <f aca="false">IF(TRIB!N70="","",IF(OR(ARCH!N70="",LEFT(ARCH!N70,3)="14x"),IF(AG_REQ!N70&lt;=INDEX(INPUTS!$B$42:$B$50,1),INDEX(INPUTS!$A$42:$A$50,1),IF(AG_REQ!N70&gt;INDEX(INPUTS!$B$42:$B$50,ROWS(INPUTS!$B$42:$B$50)),"LARGER",INDEX(INPUTS!$A$42:$A$50,MATCH(AG_REQ!N70,INPUTS!$B$42:$B$50,1)+1))),IF(AG_REQ!N70&lt;=INDEX(INPUTS!$E$42:$E$50,1),INDEX(INPUTS!$D$42:$D$50,1),IF(AG_REQ!N70&gt;INDEX(INPUTS!$E$42:$E$50,ROWS(INPUTS!$E$42:$E$50)),"LARGER",INDEX(INPUTS!$D$42:$D$50,MATCH(AG_REQ!N70,INPUTS!$E$42:$E$50,1)+1)))))</f>
        <v/>
      </c>
      <c r="O70" s="4" t="str">
        <f aca="false">IF(TRIB!O70="","",IF(OR(ARCH!O70="",LEFT(ARCH!O70,3)="14x"),IF(AG_REQ!O70&lt;=INDEX(INPUTS!$B$42:$B$50,1),INDEX(INPUTS!$A$42:$A$50,1),IF(AG_REQ!O70&gt;INDEX(INPUTS!$B$42:$B$50,ROWS(INPUTS!$B$42:$B$50)),"LARGER",INDEX(INPUTS!$A$42:$A$50,MATCH(AG_REQ!O70,INPUTS!$B$42:$B$50,1)+1))),IF(AG_REQ!O70&lt;=INDEX(INPUTS!$E$42:$E$50,1),INDEX(INPUTS!$D$42:$D$50,1),IF(AG_REQ!O70&gt;INDEX(INPUTS!$E$42:$E$50,ROWS(INPUTS!$E$42:$E$50)),"LARGER",INDEX(INPUTS!$D$42:$D$50,MATCH(AG_REQ!O70,INPUTS!$E$42:$E$50,1)+1)))))</f>
        <v/>
      </c>
      <c r="P70" s="4" t="str">
        <f aca="false">IF(TRIB!P70="","",IF(OR(ARCH!P70="",LEFT(ARCH!P70,3)="14x"),IF(AG_REQ!P70&lt;=INDEX(INPUTS!$B$42:$B$50,1),INDEX(INPUTS!$A$42:$A$50,1),IF(AG_REQ!P70&gt;INDEX(INPUTS!$B$42:$B$50,ROWS(INPUTS!$B$42:$B$50)),"LARGER",INDEX(INPUTS!$A$42:$A$50,MATCH(AG_REQ!P70,INPUTS!$B$42:$B$50,1)+1))),IF(AG_REQ!P70&lt;=INDEX(INPUTS!$E$42:$E$50,1),INDEX(INPUTS!$D$42:$D$50,1),IF(AG_REQ!P70&gt;INDEX(INPUTS!$E$42:$E$50,ROWS(INPUTS!$E$42:$E$50)),"LARGER",INDEX(INPUTS!$D$42:$D$50,MATCH(AG_REQ!P70,INPUTS!$E$42:$E$50,1)+1)))))</f>
        <v/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4" t="str">
        <f aca="false">IF(TRIB!E71="","",IF(OR(ARCH!E71="",LEFT(ARCH!E71,3)="14x"),IF(AG_REQ!E71&lt;=INDEX(INPUTS!$B$42:$B$50,1),INDEX(INPUTS!$A$42:$A$50,1),IF(AG_REQ!E71&gt;INDEX(INPUTS!$B$42:$B$50,ROWS(INPUTS!$B$42:$B$50)),"LARGER",INDEX(INPUTS!$A$42:$A$50,MATCH(AG_REQ!E71,INPUTS!$B$42:$B$50,1)+1))),IF(AG_REQ!E71&lt;=INDEX(INPUTS!$E$42:$E$50,1),INDEX(INPUTS!$D$42:$D$50,1),IF(AG_REQ!E71&gt;INDEX(INPUTS!$E$42:$E$50,ROWS(INPUTS!$E$42:$E$50)),"LARGER",INDEX(INPUTS!$D$42:$D$50,MATCH(AG_REQ!E71,INPUTS!$E$42:$E$50,1)+1)))))</f>
        <v>14x24</v>
      </c>
      <c r="F71" s="4" t="str">
        <f aca="false">IF(TRIB!F71="","",IF(OR(ARCH!F71="",LEFT(ARCH!F71,3)="14x"),IF(AG_REQ!F71&lt;=INDEX(INPUTS!$B$42:$B$50,1),INDEX(INPUTS!$A$42:$A$50,1),IF(AG_REQ!F71&gt;INDEX(INPUTS!$B$42:$B$50,ROWS(INPUTS!$B$42:$B$50)),"LARGER",INDEX(INPUTS!$A$42:$A$50,MATCH(AG_REQ!F71,INPUTS!$B$42:$B$50,1)+1))),IF(AG_REQ!F71&lt;=INDEX(INPUTS!$E$42:$E$50,1),INDEX(INPUTS!$D$42:$D$50,1),IF(AG_REQ!F71&gt;INDEX(INPUTS!$E$42:$E$50,ROWS(INPUTS!$E$42:$E$50)),"LARGER",INDEX(INPUTS!$D$42:$D$50,MATCH(AG_REQ!F71,INPUTS!$E$42:$E$50,1)+1)))))</f>
        <v>14x24</v>
      </c>
      <c r="G71" s="4" t="str">
        <f aca="false">IF(TRIB!G71="","",IF(OR(ARCH!G71="",LEFT(ARCH!G71,3)="14x"),IF(AG_REQ!G71&lt;=INDEX(INPUTS!$B$42:$B$50,1),INDEX(INPUTS!$A$42:$A$50,1),IF(AG_REQ!G71&gt;INDEX(INPUTS!$B$42:$B$50,ROWS(INPUTS!$B$42:$B$50)),"LARGER",INDEX(INPUTS!$A$42:$A$50,MATCH(AG_REQ!G71,INPUTS!$B$42:$B$50,1)+1))),IF(AG_REQ!G71&lt;=INDEX(INPUTS!$E$42:$E$50,1),INDEX(INPUTS!$D$42:$D$50,1),IF(AG_REQ!G71&gt;INDEX(INPUTS!$E$42:$E$50,ROWS(INPUTS!$E$42:$E$50)),"LARGER",INDEX(INPUTS!$D$42:$D$50,MATCH(AG_REQ!G71,INPUTS!$E$42:$E$50,1)+1)))))</f>
        <v>14x24</v>
      </c>
      <c r="H71" s="4" t="str">
        <f aca="false">IF(TRIB!H71="","",IF(OR(ARCH!H71="",LEFT(ARCH!H71,3)="14x"),IF(AG_REQ!H71&lt;=INDEX(INPUTS!$B$42:$B$50,1),INDEX(INPUTS!$A$42:$A$50,1),IF(AG_REQ!H71&gt;INDEX(INPUTS!$B$42:$B$50,ROWS(INPUTS!$B$42:$B$50)),"LARGER",INDEX(INPUTS!$A$42:$A$50,MATCH(AG_REQ!H71,INPUTS!$B$42:$B$50,1)+1))),IF(AG_REQ!H71&lt;=INDEX(INPUTS!$E$42:$E$50,1),INDEX(INPUTS!$D$42:$D$50,1),IF(AG_REQ!H71&gt;INDEX(INPUTS!$E$42:$E$50,ROWS(INPUTS!$E$42:$E$50)),"LARGER",INDEX(INPUTS!$D$42:$D$50,MATCH(AG_REQ!H71,INPUTS!$E$42:$E$50,1)+1)))))</f>
        <v>14x24</v>
      </c>
      <c r="I71" s="4" t="str">
        <f aca="false">IF(TRIB!I71="","",IF(OR(ARCH!I71="",LEFT(ARCH!I71,3)="14x"),IF(AG_REQ!I71&lt;=INDEX(INPUTS!$B$42:$B$50,1),INDEX(INPUTS!$A$42:$A$50,1),IF(AG_REQ!I71&gt;INDEX(INPUTS!$B$42:$B$50,ROWS(INPUTS!$B$42:$B$50)),"LARGER",INDEX(INPUTS!$A$42:$A$50,MATCH(AG_REQ!I71,INPUTS!$B$42:$B$50,1)+1))),IF(AG_REQ!I71&lt;=INDEX(INPUTS!$E$42:$E$50,1),INDEX(INPUTS!$D$42:$D$50,1),IF(AG_REQ!I71&gt;INDEX(INPUTS!$E$42:$E$50,ROWS(INPUTS!$E$42:$E$50)),"LARGER",INDEX(INPUTS!$D$42:$D$50,MATCH(AG_REQ!I71,INPUTS!$E$42:$E$50,1)+1)))))</f>
        <v>14x24</v>
      </c>
      <c r="J71" s="4" t="str">
        <f aca="false">IF(TRIB!J71="","",IF(OR(ARCH!J71="",LEFT(ARCH!J71,3)="14x"),IF(AG_REQ!J71&lt;=INDEX(INPUTS!$B$42:$B$50,1),INDEX(INPUTS!$A$42:$A$50,1),IF(AG_REQ!J71&gt;INDEX(INPUTS!$B$42:$B$50,ROWS(INPUTS!$B$42:$B$50)),"LARGER",INDEX(INPUTS!$A$42:$A$50,MATCH(AG_REQ!J71,INPUTS!$B$42:$B$50,1)+1))),IF(AG_REQ!J71&lt;=INDEX(INPUTS!$E$42:$E$50,1),INDEX(INPUTS!$D$42:$D$50,1),IF(AG_REQ!J71&gt;INDEX(INPUTS!$E$42:$E$50,ROWS(INPUTS!$E$42:$E$50)),"LARGER",INDEX(INPUTS!$D$42:$D$50,MATCH(AG_REQ!J71,INPUTS!$E$42:$E$50,1)+1)))))</f>
        <v>14x24</v>
      </c>
      <c r="K71" s="4" t="str">
        <f aca="false">IF(TRIB!K71="","",IF(OR(ARCH!K71="",LEFT(ARCH!K71,3)="14x"),IF(AG_REQ!K71&lt;=INDEX(INPUTS!$B$42:$B$50,1),INDEX(INPUTS!$A$42:$A$50,1),IF(AG_REQ!K71&gt;INDEX(INPUTS!$B$42:$B$50,ROWS(INPUTS!$B$42:$B$50)),"LARGER",INDEX(INPUTS!$A$42:$A$50,MATCH(AG_REQ!K71,INPUTS!$B$42:$B$50,1)+1))),IF(AG_REQ!K71&lt;=INDEX(INPUTS!$E$42:$E$50,1),INDEX(INPUTS!$D$42:$D$50,1),IF(AG_REQ!K71&gt;INDEX(INPUTS!$E$42:$E$50,ROWS(INPUTS!$E$42:$E$50)),"LARGER",INDEX(INPUTS!$D$42:$D$50,MATCH(AG_REQ!K71,INPUTS!$E$42:$E$50,1)+1)))))</f>
        <v/>
      </c>
      <c r="L71" s="4" t="str">
        <f aca="false">IF(TRIB!L71="","",IF(OR(ARCH!L71="",LEFT(ARCH!L71,3)="14x"),IF(AG_REQ!L71&lt;=INDEX(INPUTS!$B$42:$B$50,1),INDEX(INPUTS!$A$42:$A$50,1),IF(AG_REQ!L71&gt;INDEX(INPUTS!$B$42:$B$50,ROWS(INPUTS!$B$42:$B$50)),"LARGER",INDEX(INPUTS!$A$42:$A$50,MATCH(AG_REQ!L71,INPUTS!$B$42:$B$50,1)+1))),IF(AG_REQ!L71&lt;=INDEX(INPUTS!$E$42:$E$50,1),INDEX(INPUTS!$D$42:$D$50,1),IF(AG_REQ!L71&gt;INDEX(INPUTS!$E$42:$E$50,ROWS(INPUTS!$E$42:$E$50)),"LARGER",INDEX(INPUTS!$D$42:$D$50,MATCH(AG_REQ!L71,INPUTS!$E$42:$E$50,1)+1)))))</f>
        <v/>
      </c>
      <c r="M71" s="4" t="str">
        <f aca="false">IF(TRIB!M71="","",IF(OR(ARCH!M71="",LEFT(ARCH!M71,3)="14x"),IF(AG_REQ!M71&lt;=INDEX(INPUTS!$B$42:$B$50,1),INDEX(INPUTS!$A$42:$A$50,1),IF(AG_REQ!M71&gt;INDEX(INPUTS!$B$42:$B$50,ROWS(INPUTS!$B$42:$B$50)),"LARGER",INDEX(INPUTS!$A$42:$A$50,MATCH(AG_REQ!M71,INPUTS!$B$42:$B$50,1)+1))),IF(AG_REQ!M71&lt;=INDEX(INPUTS!$E$42:$E$50,1),INDEX(INPUTS!$D$42:$D$50,1),IF(AG_REQ!M71&gt;INDEX(INPUTS!$E$42:$E$50,ROWS(INPUTS!$E$42:$E$50)),"LARGER",INDEX(INPUTS!$D$42:$D$50,MATCH(AG_REQ!M71,INPUTS!$E$42:$E$50,1)+1)))))</f>
        <v/>
      </c>
      <c r="N71" s="4" t="str">
        <f aca="false">IF(TRIB!N71="","",IF(OR(ARCH!N71="",LEFT(ARCH!N71,3)="14x"),IF(AG_REQ!N71&lt;=INDEX(INPUTS!$B$42:$B$50,1),INDEX(INPUTS!$A$42:$A$50,1),IF(AG_REQ!N71&gt;INDEX(INPUTS!$B$42:$B$50,ROWS(INPUTS!$B$42:$B$50)),"LARGER",INDEX(INPUTS!$A$42:$A$50,MATCH(AG_REQ!N71,INPUTS!$B$42:$B$50,1)+1))),IF(AG_REQ!N71&lt;=INDEX(INPUTS!$E$42:$E$50,1),INDEX(INPUTS!$D$42:$D$50,1),IF(AG_REQ!N71&gt;INDEX(INPUTS!$E$42:$E$50,ROWS(INPUTS!$E$42:$E$50)),"LARGER",INDEX(INPUTS!$D$42:$D$50,MATCH(AG_REQ!N71,INPUTS!$E$42:$E$50,1)+1)))))</f>
        <v/>
      </c>
      <c r="O71" s="4" t="str">
        <f aca="false">IF(TRIB!O71="","",IF(OR(ARCH!O71="",LEFT(ARCH!O71,3)="14x"),IF(AG_REQ!O71&lt;=INDEX(INPUTS!$B$42:$B$50,1),INDEX(INPUTS!$A$42:$A$50,1),IF(AG_REQ!O71&gt;INDEX(INPUTS!$B$42:$B$50,ROWS(INPUTS!$B$42:$B$50)),"LARGER",INDEX(INPUTS!$A$42:$A$50,MATCH(AG_REQ!O71,INPUTS!$B$42:$B$50,1)+1))),IF(AG_REQ!O71&lt;=INDEX(INPUTS!$E$42:$E$50,1),INDEX(INPUTS!$D$42:$D$50,1),IF(AG_REQ!O71&gt;INDEX(INPUTS!$E$42:$E$50,ROWS(INPUTS!$E$42:$E$50)),"LARGER",INDEX(INPUTS!$D$42:$D$50,MATCH(AG_REQ!O71,INPUTS!$E$42:$E$50,1)+1)))))</f>
        <v/>
      </c>
      <c r="P71" s="4" t="str">
        <f aca="false">IF(TRIB!P71="","",IF(OR(ARCH!P71="",LEFT(ARCH!P71,3)="14x"),IF(AG_REQ!P71&lt;=INDEX(INPUTS!$B$42:$B$50,1),INDEX(INPUTS!$A$42:$A$50,1),IF(AG_REQ!P71&gt;INDEX(INPUTS!$B$42:$B$50,ROWS(INPUTS!$B$42:$B$50)),"LARGER",INDEX(INPUTS!$A$42:$A$50,MATCH(AG_REQ!P71,INPUTS!$B$42:$B$50,1)+1))),IF(AG_REQ!P71&lt;=INDEX(INPUTS!$E$42:$E$50,1),INDEX(INPUTS!$D$42:$D$50,1),IF(AG_REQ!P71&gt;INDEX(INPUTS!$E$42:$E$50,ROWS(INPUTS!$E$42:$E$50)),"LARGER",INDEX(INPUTS!$D$42:$D$50,MATCH(AG_REQ!P71,INPUTS!$E$42:$E$50,1)+1)))))</f>
        <v/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4" t="str">
        <f aca="false">IF(TRIB!E72="","",IF(OR(ARCH!E72="",LEFT(ARCH!E72,3)="14x"),IF(AG_REQ!E72&lt;=INDEX(INPUTS!$B$42:$B$50,1),INDEX(INPUTS!$A$42:$A$50,1),IF(AG_REQ!E72&gt;INDEX(INPUTS!$B$42:$B$50,ROWS(INPUTS!$B$42:$B$50)),"LARGER",INDEX(INPUTS!$A$42:$A$50,MATCH(AG_REQ!E72,INPUTS!$B$42:$B$50,1)+1))),IF(AG_REQ!E72&lt;=INDEX(INPUTS!$E$42:$E$50,1),INDEX(INPUTS!$D$42:$D$50,1),IF(AG_REQ!E72&gt;INDEX(INPUTS!$E$42:$E$50,ROWS(INPUTS!$E$42:$E$50)),"LARGER",INDEX(INPUTS!$D$42:$D$50,MATCH(AG_REQ!E72,INPUTS!$E$42:$E$50,1)+1)))))</f>
        <v>14x24</v>
      </c>
      <c r="F72" s="4" t="str">
        <f aca="false">IF(TRIB!F72="","",IF(OR(ARCH!F72="",LEFT(ARCH!F72,3)="14x"),IF(AG_REQ!F72&lt;=INDEX(INPUTS!$B$42:$B$50,1),INDEX(INPUTS!$A$42:$A$50,1),IF(AG_REQ!F72&gt;INDEX(INPUTS!$B$42:$B$50,ROWS(INPUTS!$B$42:$B$50)),"LARGER",INDEX(INPUTS!$A$42:$A$50,MATCH(AG_REQ!F72,INPUTS!$B$42:$B$50,1)+1))),IF(AG_REQ!F72&lt;=INDEX(INPUTS!$E$42:$E$50,1),INDEX(INPUTS!$D$42:$D$50,1),IF(AG_REQ!F72&gt;INDEX(INPUTS!$E$42:$E$50,ROWS(INPUTS!$E$42:$E$50)),"LARGER",INDEX(INPUTS!$D$42:$D$50,MATCH(AG_REQ!F72,INPUTS!$E$42:$E$50,1)+1)))))</f>
        <v>14x24</v>
      </c>
      <c r="G72" s="4" t="str">
        <f aca="false">IF(TRIB!G72="","",IF(OR(ARCH!G72="",LEFT(ARCH!G72,3)="14x"),IF(AG_REQ!G72&lt;=INDEX(INPUTS!$B$42:$B$50,1),INDEX(INPUTS!$A$42:$A$50,1),IF(AG_REQ!G72&gt;INDEX(INPUTS!$B$42:$B$50,ROWS(INPUTS!$B$42:$B$50)),"LARGER",INDEX(INPUTS!$A$42:$A$50,MATCH(AG_REQ!G72,INPUTS!$B$42:$B$50,1)+1))),IF(AG_REQ!G72&lt;=INDEX(INPUTS!$E$42:$E$50,1),INDEX(INPUTS!$D$42:$D$50,1),IF(AG_REQ!G72&gt;INDEX(INPUTS!$E$42:$E$50,ROWS(INPUTS!$E$42:$E$50)),"LARGER",INDEX(INPUTS!$D$42:$D$50,MATCH(AG_REQ!G72,INPUTS!$E$42:$E$50,1)+1)))))</f>
        <v>14x24</v>
      </c>
      <c r="H72" s="4" t="str">
        <f aca="false">IF(TRIB!H72="","",IF(OR(ARCH!H72="",LEFT(ARCH!H72,3)="14x"),IF(AG_REQ!H72&lt;=INDEX(INPUTS!$B$42:$B$50,1),INDEX(INPUTS!$A$42:$A$50,1),IF(AG_REQ!H72&gt;INDEX(INPUTS!$B$42:$B$50,ROWS(INPUTS!$B$42:$B$50)),"LARGER",INDEX(INPUTS!$A$42:$A$50,MATCH(AG_REQ!H72,INPUTS!$B$42:$B$50,1)+1))),IF(AG_REQ!H72&lt;=INDEX(INPUTS!$E$42:$E$50,1),INDEX(INPUTS!$D$42:$D$50,1),IF(AG_REQ!H72&gt;INDEX(INPUTS!$E$42:$E$50,ROWS(INPUTS!$E$42:$E$50)),"LARGER",INDEX(INPUTS!$D$42:$D$50,MATCH(AG_REQ!H72,INPUTS!$E$42:$E$50,1)+1)))))</f>
        <v>14x24</v>
      </c>
      <c r="I72" s="4" t="str">
        <f aca="false">IF(TRIB!I72="","",IF(OR(ARCH!I72="",LEFT(ARCH!I72,3)="14x"),IF(AG_REQ!I72&lt;=INDEX(INPUTS!$B$42:$B$50,1),INDEX(INPUTS!$A$42:$A$50,1),IF(AG_REQ!I72&gt;INDEX(INPUTS!$B$42:$B$50,ROWS(INPUTS!$B$42:$B$50)),"LARGER",INDEX(INPUTS!$A$42:$A$50,MATCH(AG_REQ!I72,INPUTS!$B$42:$B$50,1)+1))),IF(AG_REQ!I72&lt;=INDEX(INPUTS!$E$42:$E$50,1),INDEX(INPUTS!$D$42:$D$50,1),IF(AG_REQ!I72&gt;INDEX(INPUTS!$E$42:$E$50,ROWS(INPUTS!$E$42:$E$50)),"LARGER",INDEX(INPUTS!$D$42:$D$50,MATCH(AG_REQ!I72,INPUTS!$E$42:$E$50,1)+1)))))</f>
        <v>14x24</v>
      </c>
      <c r="J72" s="4" t="str">
        <f aca="false">IF(TRIB!J72="","",IF(OR(ARCH!J72="",LEFT(ARCH!J72,3)="14x"),IF(AG_REQ!J72&lt;=INDEX(INPUTS!$B$42:$B$50,1),INDEX(INPUTS!$A$42:$A$50,1),IF(AG_REQ!J72&gt;INDEX(INPUTS!$B$42:$B$50,ROWS(INPUTS!$B$42:$B$50)),"LARGER",INDEX(INPUTS!$A$42:$A$50,MATCH(AG_REQ!J72,INPUTS!$B$42:$B$50,1)+1))),IF(AG_REQ!J72&lt;=INDEX(INPUTS!$E$42:$E$50,1),INDEX(INPUTS!$D$42:$D$50,1),IF(AG_REQ!J72&gt;INDEX(INPUTS!$E$42:$E$50,ROWS(INPUTS!$E$42:$E$50)),"LARGER",INDEX(INPUTS!$D$42:$D$50,MATCH(AG_REQ!J72,INPUTS!$E$42:$E$50,1)+1)))))</f>
        <v>14x24</v>
      </c>
      <c r="K72" s="4" t="str">
        <f aca="false">IF(TRIB!K72="","",IF(OR(ARCH!K72="",LEFT(ARCH!K72,3)="14x"),IF(AG_REQ!K72&lt;=INDEX(INPUTS!$B$42:$B$50,1),INDEX(INPUTS!$A$42:$A$50,1),IF(AG_REQ!K72&gt;INDEX(INPUTS!$B$42:$B$50,ROWS(INPUTS!$B$42:$B$50)),"LARGER",INDEX(INPUTS!$A$42:$A$50,MATCH(AG_REQ!K72,INPUTS!$B$42:$B$50,1)+1))),IF(AG_REQ!K72&lt;=INDEX(INPUTS!$E$42:$E$50,1),INDEX(INPUTS!$D$42:$D$50,1),IF(AG_REQ!K72&gt;INDEX(INPUTS!$E$42:$E$50,ROWS(INPUTS!$E$42:$E$50)),"LARGER",INDEX(INPUTS!$D$42:$D$50,MATCH(AG_REQ!K72,INPUTS!$E$42:$E$50,1)+1)))))</f>
        <v/>
      </c>
      <c r="L72" s="4" t="str">
        <f aca="false">IF(TRIB!L72="","",IF(OR(ARCH!L72="",LEFT(ARCH!L72,3)="14x"),IF(AG_REQ!L72&lt;=INDEX(INPUTS!$B$42:$B$50,1),INDEX(INPUTS!$A$42:$A$50,1),IF(AG_REQ!L72&gt;INDEX(INPUTS!$B$42:$B$50,ROWS(INPUTS!$B$42:$B$50)),"LARGER",INDEX(INPUTS!$A$42:$A$50,MATCH(AG_REQ!L72,INPUTS!$B$42:$B$50,1)+1))),IF(AG_REQ!L72&lt;=INDEX(INPUTS!$E$42:$E$50,1),INDEX(INPUTS!$D$42:$D$50,1),IF(AG_REQ!L72&gt;INDEX(INPUTS!$E$42:$E$50,ROWS(INPUTS!$E$42:$E$50)),"LARGER",INDEX(INPUTS!$D$42:$D$50,MATCH(AG_REQ!L72,INPUTS!$E$42:$E$50,1)+1)))))</f>
        <v/>
      </c>
      <c r="M72" s="4" t="str">
        <f aca="false">IF(TRIB!M72="","",IF(OR(ARCH!M72="",LEFT(ARCH!M72,3)="14x"),IF(AG_REQ!M72&lt;=INDEX(INPUTS!$B$42:$B$50,1),INDEX(INPUTS!$A$42:$A$50,1),IF(AG_REQ!M72&gt;INDEX(INPUTS!$B$42:$B$50,ROWS(INPUTS!$B$42:$B$50)),"LARGER",INDEX(INPUTS!$A$42:$A$50,MATCH(AG_REQ!M72,INPUTS!$B$42:$B$50,1)+1))),IF(AG_REQ!M72&lt;=INDEX(INPUTS!$E$42:$E$50,1),INDEX(INPUTS!$D$42:$D$50,1),IF(AG_REQ!M72&gt;INDEX(INPUTS!$E$42:$E$50,ROWS(INPUTS!$E$42:$E$50)),"LARGER",INDEX(INPUTS!$D$42:$D$50,MATCH(AG_REQ!M72,INPUTS!$E$42:$E$50,1)+1)))))</f>
        <v/>
      </c>
      <c r="N72" s="4" t="str">
        <f aca="false">IF(TRIB!N72="","",IF(OR(ARCH!N72="",LEFT(ARCH!N72,3)="14x"),IF(AG_REQ!N72&lt;=INDEX(INPUTS!$B$42:$B$50,1),INDEX(INPUTS!$A$42:$A$50,1),IF(AG_REQ!N72&gt;INDEX(INPUTS!$B$42:$B$50,ROWS(INPUTS!$B$42:$B$50)),"LARGER",INDEX(INPUTS!$A$42:$A$50,MATCH(AG_REQ!N72,INPUTS!$B$42:$B$50,1)+1))),IF(AG_REQ!N72&lt;=INDEX(INPUTS!$E$42:$E$50,1),INDEX(INPUTS!$D$42:$D$50,1),IF(AG_REQ!N72&gt;INDEX(INPUTS!$E$42:$E$50,ROWS(INPUTS!$E$42:$E$50)),"LARGER",INDEX(INPUTS!$D$42:$D$50,MATCH(AG_REQ!N72,INPUTS!$E$42:$E$50,1)+1)))))</f>
        <v/>
      </c>
      <c r="O72" s="4" t="str">
        <f aca="false">IF(TRIB!O72="","",IF(OR(ARCH!O72="",LEFT(ARCH!O72,3)="14x"),IF(AG_REQ!O72&lt;=INDEX(INPUTS!$B$42:$B$50,1),INDEX(INPUTS!$A$42:$A$50,1),IF(AG_REQ!O72&gt;INDEX(INPUTS!$B$42:$B$50,ROWS(INPUTS!$B$42:$B$50)),"LARGER",INDEX(INPUTS!$A$42:$A$50,MATCH(AG_REQ!O72,INPUTS!$B$42:$B$50,1)+1))),IF(AG_REQ!O72&lt;=INDEX(INPUTS!$E$42:$E$50,1),INDEX(INPUTS!$D$42:$D$50,1),IF(AG_REQ!O72&gt;INDEX(INPUTS!$E$42:$E$50,ROWS(INPUTS!$E$42:$E$50)),"LARGER",INDEX(INPUTS!$D$42:$D$50,MATCH(AG_REQ!O72,INPUTS!$E$42:$E$50,1)+1)))))</f>
        <v/>
      </c>
      <c r="P72" s="4" t="str">
        <f aca="false">IF(TRIB!P72="","",IF(OR(ARCH!P72="",LEFT(ARCH!P72,3)="14x"),IF(AG_REQ!P72&lt;=INDEX(INPUTS!$B$42:$B$50,1),INDEX(INPUTS!$A$42:$A$50,1),IF(AG_REQ!P72&gt;INDEX(INPUTS!$B$42:$B$50,ROWS(INPUTS!$B$42:$B$50)),"LARGER",INDEX(INPUTS!$A$42:$A$50,MATCH(AG_REQ!P72,INPUTS!$B$42:$B$50,1)+1))),IF(AG_REQ!P72&lt;=INDEX(INPUTS!$E$42:$E$50,1),INDEX(INPUTS!$D$42:$D$50,1),IF(AG_REQ!P72&gt;INDEX(INPUTS!$E$42:$E$50,ROWS(INPUTS!$E$42:$E$50)),"LARGER",INDEX(INPUTS!$D$42:$D$50,MATCH(AG_REQ!P72,INPUTS!$E$42:$E$50,1)+1)))))</f>
        <v/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4" t="str">
        <f aca="false">IF(TRIB!E73="","",IF(OR(ARCH!E73="",LEFT(ARCH!E73,3)="14x"),IF(AG_REQ!E73&lt;=INDEX(INPUTS!$B$42:$B$50,1),INDEX(INPUTS!$A$42:$A$50,1),IF(AG_REQ!E73&gt;INDEX(INPUTS!$B$42:$B$50,ROWS(INPUTS!$B$42:$B$50)),"LARGER",INDEX(INPUTS!$A$42:$A$50,MATCH(AG_REQ!E73,INPUTS!$B$42:$B$50,1)+1))),IF(AG_REQ!E73&lt;=INDEX(INPUTS!$E$42:$E$50,1),INDEX(INPUTS!$D$42:$D$50,1),IF(AG_REQ!E73&gt;INDEX(INPUTS!$E$42:$E$50,ROWS(INPUTS!$E$42:$E$50)),"LARGER",INDEX(INPUTS!$D$42:$D$50,MATCH(AG_REQ!E73,INPUTS!$E$42:$E$50,1)+1)))))</f>
        <v>14x24</v>
      </c>
      <c r="F73" s="4" t="str">
        <f aca="false">IF(TRIB!F73="","",IF(OR(ARCH!F73="",LEFT(ARCH!F73,3)="14x"),IF(AG_REQ!F73&lt;=INDEX(INPUTS!$B$42:$B$50,1),INDEX(INPUTS!$A$42:$A$50,1),IF(AG_REQ!F73&gt;INDEX(INPUTS!$B$42:$B$50,ROWS(INPUTS!$B$42:$B$50)),"LARGER",INDEX(INPUTS!$A$42:$A$50,MATCH(AG_REQ!F73,INPUTS!$B$42:$B$50,1)+1))),IF(AG_REQ!F73&lt;=INDEX(INPUTS!$E$42:$E$50,1),INDEX(INPUTS!$D$42:$D$50,1),IF(AG_REQ!F73&gt;INDEX(INPUTS!$E$42:$E$50,ROWS(INPUTS!$E$42:$E$50)),"LARGER",INDEX(INPUTS!$D$42:$D$50,MATCH(AG_REQ!F73,INPUTS!$E$42:$E$50,1)+1)))))</f>
        <v>14x24</v>
      </c>
      <c r="G73" s="4" t="str">
        <f aca="false">IF(TRIB!G73="","",IF(OR(ARCH!G73="",LEFT(ARCH!G73,3)="14x"),IF(AG_REQ!G73&lt;=INDEX(INPUTS!$B$42:$B$50,1),INDEX(INPUTS!$A$42:$A$50,1),IF(AG_REQ!G73&gt;INDEX(INPUTS!$B$42:$B$50,ROWS(INPUTS!$B$42:$B$50)),"LARGER",INDEX(INPUTS!$A$42:$A$50,MATCH(AG_REQ!G73,INPUTS!$B$42:$B$50,1)+1))),IF(AG_REQ!G73&lt;=INDEX(INPUTS!$E$42:$E$50,1),INDEX(INPUTS!$D$42:$D$50,1),IF(AG_REQ!G73&gt;INDEX(INPUTS!$E$42:$E$50,ROWS(INPUTS!$E$42:$E$50)),"LARGER",INDEX(INPUTS!$D$42:$D$50,MATCH(AG_REQ!G73,INPUTS!$E$42:$E$50,1)+1)))))</f>
        <v>14x24</v>
      </c>
      <c r="H73" s="4" t="str">
        <f aca="false">IF(TRIB!H73="","",IF(OR(ARCH!H73="",LEFT(ARCH!H73,3)="14x"),IF(AG_REQ!H73&lt;=INDEX(INPUTS!$B$42:$B$50,1),INDEX(INPUTS!$A$42:$A$50,1),IF(AG_REQ!H73&gt;INDEX(INPUTS!$B$42:$B$50,ROWS(INPUTS!$B$42:$B$50)),"LARGER",INDEX(INPUTS!$A$42:$A$50,MATCH(AG_REQ!H73,INPUTS!$B$42:$B$50,1)+1))),IF(AG_REQ!H73&lt;=INDEX(INPUTS!$E$42:$E$50,1),INDEX(INPUTS!$D$42:$D$50,1),IF(AG_REQ!H73&gt;INDEX(INPUTS!$E$42:$E$50,ROWS(INPUTS!$E$42:$E$50)),"LARGER",INDEX(INPUTS!$D$42:$D$50,MATCH(AG_REQ!H73,INPUTS!$E$42:$E$50,1)+1)))))</f>
        <v>14x24</v>
      </c>
      <c r="I73" s="4" t="str">
        <f aca="false">IF(TRIB!I73="","",IF(OR(ARCH!I73="",LEFT(ARCH!I73,3)="14x"),IF(AG_REQ!I73&lt;=INDEX(INPUTS!$B$42:$B$50,1),INDEX(INPUTS!$A$42:$A$50,1),IF(AG_REQ!I73&gt;INDEX(INPUTS!$B$42:$B$50,ROWS(INPUTS!$B$42:$B$50)),"LARGER",INDEX(INPUTS!$A$42:$A$50,MATCH(AG_REQ!I73,INPUTS!$B$42:$B$50,1)+1))),IF(AG_REQ!I73&lt;=INDEX(INPUTS!$E$42:$E$50,1),INDEX(INPUTS!$D$42:$D$50,1),IF(AG_REQ!I73&gt;INDEX(INPUTS!$E$42:$E$50,ROWS(INPUTS!$E$42:$E$50)),"LARGER",INDEX(INPUTS!$D$42:$D$50,MATCH(AG_REQ!I73,INPUTS!$E$42:$E$50,1)+1)))))</f>
        <v>14x24</v>
      </c>
      <c r="J73" s="4" t="str">
        <f aca="false">IF(TRIB!J73="","",IF(OR(ARCH!J73="",LEFT(ARCH!J73,3)="14x"),IF(AG_REQ!J73&lt;=INDEX(INPUTS!$B$42:$B$50,1),INDEX(INPUTS!$A$42:$A$50,1),IF(AG_REQ!J73&gt;INDEX(INPUTS!$B$42:$B$50,ROWS(INPUTS!$B$42:$B$50)),"LARGER",INDEX(INPUTS!$A$42:$A$50,MATCH(AG_REQ!J73,INPUTS!$B$42:$B$50,1)+1))),IF(AG_REQ!J73&lt;=INDEX(INPUTS!$E$42:$E$50,1),INDEX(INPUTS!$D$42:$D$50,1),IF(AG_REQ!J73&gt;INDEX(INPUTS!$E$42:$E$50,ROWS(INPUTS!$E$42:$E$50)),"LARGER",INDEX(INPUTS!$D$42:$D$50,MATCH(AG_REQ!J73,INPUTS!$E$42:$E$50,1)+1)))))</f>
        <v>14x24</v>
      </c>
      <c r="K73" s="4" t="str">
        <f aca="false">IF(TRIB!K73="","",IF(OR(ARCH!K73="",LEFT(ARCH!K73,3)="14x"),IF(AG_REQ!K73&lt;=INDEX(INPUTS!$B$42:$B$50,1),INDEX(INPUTS!$A$42:$A$50,1),IF(AG_REQ!K73&gt;INDEX(INPUTS!$B$42:$B$50,ROWS(INPUTS!$B$42:$B$50)),"LARGER",INDEX(INPUTS!$A$42:$A$50,MATCH(AG_REQ!K73,INPUTS!$B$42:$B$50,1)+1))),IF(AG_REQ!K73&lt;=INDEX(INPUTS!$E$42:$E$50,1),INDEX(INPUTS!$D$42:$D$50,1),IF(AG_REQ!K73&gt;INDEX(INPUTS!$E$42:$E$50,ROWS(INPUTS!$E$42:$E$50)),"LARGER",INDEX(INPUTS!$D$42:$D$50,MATCH(AG_REQ!K73,INPUTS!$E$42:$E$50,1)+1)))))</f>
        <v/>
      </c>
      <c r="L73" s="4" t="str">
        <f aca="false">IF(TRIB!L73="","",IF(OR(ARCH!L73="",LEFT(ARCH!L73,3)="14x"),IF(AG_REQ!L73&lt;=INDEX(INPUTS!$B$42:$B$50,1),INDEX(INPUTS!$A$42:$A$50,1),IF(AG_REQ!L73&gt;INDEX(INPUTS!$B$42:$B$50,ROWS(INPUTS!$B$42:$B$50)),"LARGER",INDEX(INPUTS!$A$42:$A$50,MATCH(AG_REQ!L73,INPUTS!$B$42:$B$50,1)+1))),IF(AG_REQ!L73&lt;=INDEX(INPUTS!$E$42:$E$50,1),INDEX(INPUTS!$D$42:$D$50,1),IF(AG_REQ!L73&gt;INDEX(INPUTS!$E$42:$E$50,ROWS(INPUTS!$E$42:$E$50)),"LARGER",INDEX(INPUTS!$D$42:$D$50,MATCH(AG_REQ!L73,INPUTS!$E$42:$E$50,1)+1)))))</f>
        <v/>
      </c>
      <c r="M73" s="4" t="str">
        <f aca="false">IF(TRIB!M73="","",IF(OR(ARCH!M73="",LEFT(ARCH!M73,3)="14x"),IF(AG_REQ!M73&lt;=INDEX(INPUTS!$B$42:$B$50,1),INDEX(INPUTS!$A$42:$A$50,1),IF(AG_REQ!M73&gt;INDEX(INPUTS!$B$42:$B$50,ROWS(INPUTS!$B$42:$B$50)),"LARGER",INDEX(INPUTS!$A$42:$A$50,MATCH(AG_REQ!M73,INPUTS!$B$42:$B$50,1)+1))),IF(AG_REQ!M73&lt;=INDEX(INPUTS!$E$42:$E$50,1),INDEX(INPUTS!$D$42:$D$50,1),IF(AG_REQ!M73&gt;INDEX(INPUTS!$E$42:$E$50,ROWS(INPUTS!$E$42:$E$50)),"LARGER",INDEX(INPUTS!$D$42:$D$50,MATCH(AG_REQ!M73,INPUTS!$E$42:$E$50,1)+1)))))</f>
        <v/>
      </c>
      <c r="N73" s="4" t="str">
        <f aca="false">IF(TRIB!N73="","",IF(OR(ARCH!N73="",LEFT(ARCH!N73,3)="14x"),IF(AG_REQ!N73&lt;=INDEX(INPUTS!$B$42:$B$50,1),INDEX(INPUTS!$A$42:$A$50,1),IF(AG_REQ!N73&gt;INDEX(INPUTS!$B$42:$B$50,ROWS(INPUTS!$B$42:$B$50)),"LARGER",INDEX(INPUTS!$A$42:$A$50,MATCH(AG_REQ!N73,INPUTS!$B$42:$B$50,1)+1))),IF(AG_REQ!N73&lt;=INDEX(INPUTS!$E$42:$E$50,1),INDEX(INPUTS!$D$42:$D$50,1),IF(AG_REQ!N73&gt;INDEX(INPUTS!$E$42:$E$50,ROWS(INPUTS!$E$42:$E$50)),"LARGER",INDEX(INPUTS!$D$42:$D$50,MATCH(AG_REQ!N73,INPUTS!$E$42:$E$50,1)+1)))))</f>
        <v/>
      </c>
      <c r="O73" s="4" t="str">
        <f aca="false">IF(TRIB!O73="","",IF(OR(ARCH!O73="",LEFT(ARCH!O73,3)="14x"),IF(AG_REQ!O73&lt;=INDEX(INPUTS!$B$42:$B$50,1),INDEX(INPUTS!$A$42:$A$50,1),IF(AG_REQ!O73&gt;INDEX(INPUTS!$B$42:$B$50,ROWS(INPUTS!$B$42:$B$50)),"LARGER",INDEX(INPUTS!$A$42:$A$50,MATCH(AG_REQ!O73,INPUTS!$B$42:$B$50,1)+1))),IF(AG_REQ!O73&lt;=INDEX(INPUTS!$E$42:$E$50,1),INDEX(INPUTS!$D$42:$D$50,1),IF(AG_REQ!O73&gt;INDEX(INPUTS!$E$42:$E$50,ROWS(INPUTS!$E$42:$E$50)),"LARGER",INDEX(INPUTS!$D$42:$D$50,MATCH(AG_REQ!O73,INPUTS!$E$42:$E$50,1)+1)))))</f>
        <v/>
      </c>
      <c r="P73" s="4" t="str">
        <f aca="false">IF(TRIB!P73="","",IF(OR(ARCH!P73="",LEFT(ARCH!P73,3)="14x"),IF(AG_REQ!P73&lt;=INDEX(INPUTS!$B$42:$B$50,1),INDEX(INPUTS!$A$42:$A$50,1),IF(AG_REQ!P73&gt;INDEX(INPUTS!$B$42:$B$50,ROWS(INPUTS!$B$42:$B$50)),"LARGER",INDEX(INPUTS!$A$42:$A$50,MATCH(AG_REQ!P73,INPUTS!$B$42:$B$50,1)+1))),IF(AG_REQ!P73&lt;=INDEX(INPUTS!$E$42:$E$50,1),INDEX(INPUTS!$D$42:$D$50,1),IF(AG_REQ!P73&gt;INDEX(INPUTS!$E$42:$E$50,ROWS(INPUTS!$E$42:$E$50)),"LARGER",INDEX(INPUTS!$D$42:$D$50,MATCH(AG_REQ!P73,INPUTS!$E$42:$E$50,1)+1)))))</f>
        <v/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4" t="str">
        <f aca="false">IF(TRIB!E74="","",IF(OR(ARCH!E74="",LEFT(ARCH!E74,3)="14x"),IF(AG_REQ!E74&lt;=INDEX(INPUTS!$B$42:$B$50,1),INDEX(INPUTS!$A$42:$A$50,1),IF(AG_REQ!E74&gt;INDEX(INPUTS!$B$42:$B$50,ROWS(INPUTS!$B$42:$B$50)),"LARGER",INDEX(INPUTS!$A$42:$A$50,MATCH(AG_REQ!E74,INPUTS!$B$42:$B$50,1)+1))),IF(AG_REQ!E74&lt;=INDEX(INPUTS!$E$42:$E$50,1),INDEX(INPUTS!$D$42:$D$50,1),IF(AG_REQ!E74&gt;INDEX(INPUTS!$E$42:$E$50,ROWS(INPUTS!$E$42:$E$50)),"LARGER",INDEX(INPUTS!$D$42:$D$50,MATCH(AG_REQ!E74,INPUTS!$E$42:$E$50,1)+1)))))</f>
        <v>14x24</v>
      </c>
      <c r="F74" s="4" t="str">
        <f aca="false">IF(TRIB!F74="","",IF(OR(ARCH!F74="",LEFT(ARCH!F74,3)="14x"),IF(AG_REQ!F74&lt;=INDEX(INPUTS!$B$42:$B$50,1),INDEX(INPUTS!$A$42:$A$50,1),IF(AG_REQ!F74&gt;INDEX(INPUTS!$B$42:$B$50,ROWS(INPUTS!$B$42:$B$50)),"LARGER",INDEX(INPUTS!$A$42:$A$50,MATCH(AG_REQ!F74,INPUTS!$B$42:$B$50,1)+1))),IF(AG_REQ!F74&lt;=INDEX(INPUTS!$E$42:$E$50,1),INDEX(INPUTS!$D$42:$D$50,1),IF(AG_REQ!F74&gt;INDEX(INPUTS!$E$42:$E$50,ROWS(INPUTS!$E$42:$E$50)),"LARGER",INDEX(INPUTS!$D$42:$D$50,MATCH(AG_REQ!F74,INPUTS!$E$42:$E$50,1)+1)))))</f>
        <v>14x24</v>
      </c>
      <c r="G74" s="4" t="str">
        <f aca="false">IF(TRIB!G74="","",IF(OR(ARCH!G74="",LEFT(ARCH!G74,3)="14x"),IF(AG_REQ!G74&lt;=INDEX(INPUTS!$B$42:$B$50,1),INDEX(INPUTS!$A$42:$A$50,1),IF(AG_REQ!G74&gt;INDEX(INPUTS!$B$42:$B$50,ROWS(INPUTS!$B$42:$B$50)),"LARGER",INDEX(INPUTS!$A$42:$A$50,MATCH(AG_REQ!G74,INPUTS!$B$42:$B$50,1)+1))),IF(AG_REQ!G74&lt;=INDEX(INPUTS!$E$42:$E$50,1),INDEX(INPUTS!$D$42:$D$50,1),IF(AG_REQ!G74&gt;INDEX(INPUTS!$E$42:$E$50,ROWS(INPUTS!$E$42:$E$50)),"LARGER",INDEX(INPUTS!$D$42:$D$50,MATCH(AG_REQ!G74,INPUTS!$E$42:$E$50,1)+1)))))</f>
        <v>14x24</v>
      </c>
      <c r="H74" s="4" t="str">
        <f aca="false">IF(TRIB!H74="","",IF(OR(ARCH!H74="",LEFT(ARCH!H74,3)="14x"),IF(AG_REQ!H74&lt;=INDEX(INPUTS!$B$42:$B$50,1),INDEX(INPUTS!$A$42:$A$50,1),IF(AG_REQ!H74&gt;INDEX(INPUTS!$B$42:$B$50,ROWS(INPUTS!$B$42:$B$50)),"LARGER",INDEX(INPUTS!$A$42:$A$50,MATCH(AG_REQ!H74,INPUTS!$B$42:$B$50,1)+1))),IF(AG_REQ!H74&lt;=INDEX(INPUTS!$E$42:$E$50,1),INDEX(INPUTS!$D$42:$D$50,1),IF(AG_REQ!H74&gt;INDEX(INPUTS!$E$42:$E$50,ROWS(INPUTS!$E$42:$E$50)),"LARGER",INDEX(INPUTS!$D$42:$D$50,MATCH(AG_REQ!H74,INPUTS!$E$42:$E$50,1)+1)))))</f>
        <v>14x24</v>
      </c>
      <c r="I74" s="4" t="str">
        <f aca="false">IF(TRIB!I74="","",IF(OR(ARCH!I74="",LEFT(ARCH!I74,3)="14x"),IF(AG_REQ!I74&lt;=INDEX(INPUTS!$B$42:$B$50,1),INDEX(INPUTS!$A$42:$A$50,1),IF(AG_REQ!I74&gt;INDEX(INPUTS!$B$42:$B$50,ROWS(INPUTS!$B$42:$B$50)),"LARGER",INDEX(INPUTS!$A$42:$A$50,MATCH(AG_REQ!I74,INPUTS!$B$42:$B$50,1)+1))),IF(AG_REQ!I74&lt;=INDEX(INPUTS!$E$42:$E$50,1),INDEX(INPUTS!$D$42:$D$50,1),IF(AG_REQ!I74&gt;INDEX(INPUTS!$E$42:$E$50,ROWS(INPUTS!$E$42:$E$50)),"LARGER",INDEX(INPUTS!$D$42:$D$50,MATCH(AG_REQ!I74,INPUTS!$E$42:$E$50,1)+1)))))</f>
        <v>14x24</v>
      </c>
      <c r="J74" s="4" t="str">
        <f aca="false">IF(TRIB!J74="","",IF(OR(ARCH!J74="",LEFT(ARCH!J74,3)="14x"),IF(AG_REQ!J74&lt;=INDEX(INPUTS!$B$42:$B$50,1),INDEX(INPUTS!$A$42:$A$50,1),IF(AG_REQ!J74&gt;INDEX(INPUTS!$B$42:$B$50,ROWS(INPUTS!$B$42:$B$50)),"LARGER",INDEX(INPUTS!$A$42:$A$50,MATCH(AG_REQ!J74,INPUTS!$B$42:$B$50,1)+1))),IF(AG_REQ!J74&lt;=INDEX(INPUTS!$E$42:$E$50,1),INDEX(INPUTS!$D$42:$D$50,1),IF(AG_REQ!J74&gt;INDEX(INPUTS!$E$42:$E$50,ROWS(INPUTS!$E$42:$E$50)),"LARGER",INDEX(INPUTS!$D$42:$D$50,MATCH(AG_REQ!J74,INPUTS!$E$42:$E$50,1)+1)))))</f>
        <v>14x24</v>
      </c>
      <c r="K74" s="4" t="str">
        <f aca="false">IF(TRIB!K74="","",IF(OR(ARCH!K74="",LEFT(ARCH!K74,3)="14x"),IF(AG_REQ!K74&lt;=INDEX(INPUTS!$B$42:$B$50,1),INDEX(INPUTS!$A$42:$A$50,1),IF(AG_REQ!K74&gt;INDEX(INPUTS!$B$42:$B$50,ROWS(INPUTS!$B$42:$B$50)),"LARGER",INDEX(INPUTS!$A$42:$A$50,MATCH(AG_REQ!K74,INPUTS!$B$42:$B$50,1)+1))),IF(AG_REQ!K74&lt;=INDEX(INPUTS!$E$42:$E$50,1),INDEX(INPUTS!$D$42:$D$50,1),IF(AG_REQ!K74&gt;INDEX(INPUTS!$E$42:$E$50,ROWS(INPUTS!$E$42:$E$50)),"LARGER",INDEX(INPUTS!$D$42:$D$50,MATCH(AG_REQ!K74,INPUTS!$E$42:$E$50,1)+1)))))</f>
        <v/>
      </c>
      <c r="L74" s="4" t="str">
        <f aca="false">IF(TRIB!L74="","",IF(OR(ARCH!L74="",LEFT(ARCH!L74,3)="14x"),IF(AG_REQ!L74&lt;=INDEX(INPUTS!$B$42:$B$50,1),INDEX(INPUTS!$A$42:$A$50,1),IF(AG_REQ!L74&gt;INDEX(INPUTS!$B$42:$B$50,ROWS(INPUTS!$B$42:$B$50)),"LARGER",INDEX(INPUTS!$A$42:$A$50,MATCH(AG_REQ!L74,INPUTS!$B$42:$B$50,1)+1))),IF(AG_REQ!L74&lt;=INDEX(INPUTS!$E$42:$E$50,1),INDEX(INPUTS!$D$42:$D$50,1),IF(AG_REQ!L74&gt;INDEX(INPUTS!$E$42:$E$50,ROWS(INPUTS!$E$42:$E$50)),"LARGER",INDEX(INPUTS!$D$42:$D$50,MATCH(AG_REQ!L74,INPUTS!$E$42:$E$50,1)+1)))))</f>
        <v/>
      </c>
      <c r="M74" s="4" t="str">
        <f aca="false">IF(TRIB!M74="","",IF(OR(ARCH!M74="",LEFT(ARCH!M74,3)="14x"),IF(AG_REQ!M74&lt;=INDEX(INPUTS!$B$42:$B$50,1),INDEX(INPUTS!$A$42:$A$50,1),IF(AG_REQ!M74&gt;INDEX(INPUTS!$B$42:$B$50,ROWS(INPUTS!$B$42:$B$50)),"LARGER",INDEX(INPUTS!$A$42:$A$50,MATCH(AG_REQ!M74,INPUTS!$B$42:$B$50,1)+1))),IF(AG_REQ!M74&lt;=INDEX(INPUTS!$E$42:$E$50,1),INDEX(INPUTS!$D$42:$D$50,1),IF(AG_REQ!M74&gt;INDEX(INPUTS!$E$42:$E$50,ROWS(INPUTS!$E$42:$E$50)),"LARGER",INDEX(INPUTS!$D$42:$D$50,MATCH(AG_REQ!M74,INPUTS!$E$42:$E$50,1)+1)))))</f>
        <v/>
      </c>
      <c r="N74" s="4" t="str">
        <f aca="false">IF(TRIB!N74="","",IF(OR(ARCH!N74="",LEFT(ARCH!N74,3)="14x"),IF(AG_REQ!N74&lt;=INDEX(INPUTS!$B$42:$B$50,1),INDEX(INPUTS!$A$42:$A$50,1),IF(AG_REQ!N74&gt;INDEX(INPUTS!$B$42:$B$50,ROWS(INPUTS!$B$42:$B$50)),"LARGER",INDEX(INPUTS!$A$42:$A$50,MATCH(AG_REQ!N74,INPUTS!$B$42:$B$50,1)+1))),IF(AG_REQ!N74&lt;=INDEX(INPUTS!$E$42:$E$50,1),INDEX(INPUTS!$D$42:$D$50,1),IF(AG_REQ!N74&gt;INDEX(INPUTS!$E$42:$E$50,ROWS(INPUTS!$E$42:$E$50)),"LARGER",INDEX(INPUTS!$D$42:$D$50,MATCH(AG_REQ!N74,INPUTS!$E$42:$E$50,1)+1)))))</f>
        <v/>
      </c>
      <c r="O74" s="4" t="str">
        <f aca="false">IF(TRIB!O74="","",IF(OR(ARCH!O74="",LEFT(ARCH!O74,3)="14x"),IF(AG_REQ!O74&lt;=INDEX(INPUTS!$B$42:$B$50,1),INDEX(INPUTS!$A$42:$A$50,1),IF(AG_REQ!O74&gt;INDEX(INPUTS!$B$42:$B$50,ROWS(INPUTS!$B$42:$B$50)),"LARGER",INDEX(INPUTS!$A$42:$A$50,MATCH(AG_REQ!O74,INPUTS!$B$42:$B$50,1)+1))),IF(AG_REQ!O74&lt;=INDEX(INPUTS!$E$42:$E$50,1),INDEX(INPUTS!$D$42:$D$50,1),IF(AG_REQ!O74&gt;INDEX(INPUTS!$E$42:$E$50,ROWS(INPUTS!$E$42:$E$50)),"LARGER",INDEX(INPUTS!$D$42:$D$50,MATCH(AG_REQ!O74,INPUTS!$E$42:$E$50,1)+1)))))</f>
        <v/>
      </c>
      <c r="P74" s="4" t="str">
        <f aca="false">IF(TRIB!P74="","",IF(OR(ARCH!P74="",LEFT(ARCH!P74,3)="14x"),IF(AG_REQ!P74&lt;=INDEX(INPUTS!$B$42:$B$50,1),INDEX(INPUTS!$A$42:$A$50,1),IF(AG_REQ!P74&gt;INDEX(INPUTS!$B$42:$B$50,ROWS(INPUTS!$B$42:$B$50)),"LARGER",INDEX(INPUTS!$A$42:$A$50,MATCH(AG_REQ!P74,INPUTS!$B$42:$B$50,1)+1))),IF(AG_REQ!P74&lt;=INDEX(INPUTS!$E$42:$E$50,1),INDEX(INPUTS!$D$42:$D$50,1),IF(AG_REQ!P74&gt;INDEX(INPUTS!$E$42:$E$50,ROWS(INPUTS!$E$42:$E$50)),"LARGER",INDEX(INPUTS!$D$42:$D$50,MATCH(AG_REQ!P74,INPUTS!$E$42:$E$50,1)+1)))))</f>
        <v/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4" t="str">
        <f aca="false">IF(TRIB!E75="","",IF(OR(ARCH!E75="",LEFT(ARCH!E75,3)="14x"),IF(AG_REQ!E75&lt;=INDEX(INPUTS!$B$42:$B$50,1),INDEX(INPUTS!$A$42:$A$50,1),IF(AG_REQ!E75&gt;INDEX(INPUTS!$B$42:$B$50,ROWS(INPUTS!$B$42:$B$50)),"LARGER",INDEX(INPUTS!$A$42:$A$50,MATCH(AG_REQ!E75,INPUTS!$B$42:$B$50,1)+1))),IF(AG_REQ!E75&lt;=INDEX(INPUTS!$E$42:$E$50,1),INDEX(INPUTS!$D$42:$D$50,1),IF(AG_REQ!E75&gt;INDEX(INPUTS!$E$42:$E$50,ROWS(INPUTS!$E$42:$E$50)),"LARGER",INDEX(INPUTS!$D$42:$D$50,MATCH(AG_REQ!E75,INPUTS!$E$42:$E$50,1)+1)))))</f>
        <v>14x24</v>
      </c>
      <c r="F75" s="4" t="str">
        <f aca="false">IF(TRIB!F75="","",IF(OR(ARCH!F75="",LEFT(ARCH!F75,3)="14x"),IF(AG_REQ!F75&lt;=INDEX(INPUTS!$B$42:$B$50,1),INDEX(INPUTS!$A$42:$A$50,1),IF(AG_REQ!F75&gt;INDEX(INPUTS!$B$42:$B$50,ROWS(INPUTS!$B$42:$B$50)),"LARGER",INDEX(INPUTS!$A$42:$A$50,MATCH(AG_REQ!F75,INPUTS!$B$42:$B$50,1)+1))),IF(AG_REQ!F75&lt;=INDEX(INPUTS!$E$42:$E$50,1),INDEX(INPUTS!$D$42:$D$50,1),IF(AG_REQ!F75&gt;INDEX(INPUTS!$E$42:$E$50,ROWS(INPUTS!$E$42:$E$50)),"LARGER",INDEX(INPUTS!$D$42:$D$50,MATCH(AG_REQ!F75,INPUTS!$E$42:$E$50,1)+1)))))</f>
        <v>14x24</v>
      </c>
      <c r="G75" s="4" t="str">
        <f aca="false">IF(TRIB!G75="","",IF(OR(ARCH!G75="",LEFT(ARCH!G75,3)="14x"),IF(AG_REQ!G75&lt;=INDEX(INPUTS!$B$42:$B$50,1),INDEX(INPUTS!$A$42:$A$50,1),IF(AG_REQ!G75&gt;INDEX(INPUTS!$B$42:$B$50,ROWS(INPUTS!$B$42:$B$50)),"LARGER",INDEX(INPUTS!$A$42:$A$50,MATCH(AG_REQ!G75,INPUTS!$B$42:$B$50,1)+1))),IF(AG_REQ!G75&lt;=INDEX(INPUTS!$E$42:$E$50,1),INDEX(INPUTS!$D$42:$D$50,1),IF(AG_REQ!G75&gt;INDEX(INPUTS!$E$42:$E$50,ROWS(INPUTS!$E$42:$E$50)),"LARGER",INDEX(INPUTS!$D$42:$D$50,MATCH(AG_REQ!G75,INPUTS!$E$42:$E$50,1)+1)))))</f>
        <v>14x24</v>
      </c>
      <c r="H75" s="4" t="str">
        <f aca="false">IF(TRIB!H75="","",IF(OR(ARCH!H75="",LEFT(ARCH!H75,3)="14x"),IF(AG_REQ!H75&lt;=INDEX(INPUTS!$B$42:$B$50,1),INDEX(INPUTS!$A$42:$A$50,1),IF(AG_REQ!H75&gt;INDEX(INPUTS!$B$42:$B$50,ROWS(INPUTS!$B$42:$B$50)),"LARGER",INDEX(INPUTS!$A$42:$A$50,MATCH(AG_REQ!H75,INPUTS!$B$42:$B$50,1)+1))),IF(AG_REQ!H75&lt;=INDEX(INPUTS!$E$42:$E$50,1),INDEX(INPUTS!$D$42:$D$50,1),IF(AG_REQ!H75&gt;INDEX(INPUTS!$E$42:$E$50,ROWS(INPUTS!$E$42:$E$50)),"LARGER",INDEX(INPUTS!$D$42:$D$50,MATCH(AG_REQ!H75,INPUTS!$E$42:$E$50,1)+1)))))</f>
        <v>14x24</v>
      </c>
      <c r="I75" s="4" t="str">
        <f aca="false">IF(TRIB!I75="","",IF(OR(ARCH!I75="",LEFT(ARCH!I75,3)="14x"),IF(AG_REQ!I75&lt;=INDEX(INPUTS!$B$42:$B$50,1),INDEX(INPUTS!$A$42:$A$50,1),IF(AG_REQ!I75&gt;INDEX(INPUTS!$B$42:$B$50,ROWS(INPUTS!$B$42:$B$50)),"LARGER",INDEX(INPUTS!$A$42:$A$50,MATCH(AG_REQ!I75,INPUTS!$B$42:$B$50,1)+1))),IF(AG_REQ!I75&lt;=INDEX(INPUTS!$E$42:$E$50,1),INDEX(INPUTS!$D$42:$D$50,1),IF(AG_REQ!I75&gt;INDEX(INPUTS!$E$42:$E$50,ROWS(INPUTS!$E$42:$E$50)),"LARGER",INDEX(INPUTS!$D$42:$D$50,MATCH(AG_REQ!I75,INPUTS!$E$42:$E$50,1)+1)))))</f>
        <v>14x24</v>
      </c>
      <c r="J75" s="4" t="str">
        <f aca="false">IF(TRIB!J75="","",IF(OR(ARCH!J75="",LEFT(ARCH!J75,3)="14x"),IF(AG_REQ!J75&lt;=INDEX(INPUTS!$B$42:$B$50,1),INDEX(INPUTS!$A$42:$A$50,1),IF(AG_REQ!J75&gt;INDEX(INPUTS!$B$42:$B$50,ROWS(INPUTS!$B$42:$B$50)),"LARGER",INDEX(INPUTS!$A$42:$A$50,MATCH(AG_REQ!J75,INPUTS!$B$42:$B$50,1)+1))),IF(AG_REQ!J75&lt;=INDEX(INPUTS!$E$42:$E$50,1),INDEX(INPUTS!$D$42:$D$50,1),IF(AG_REQ!J75&gt;INDEX(INPUTS!$E$42:$E$50,ROWS(INPUTS!$E$42:$E$50)),"LARGER",INDEX(INPUTS!$D$42:$D$50,MATCH(AG_REQ!J75,INPUTS!$E$42:$E$50,1)+1)))))</f>
        <v>14x24</v>
      </c>
      <c r="K75" s="4" t="str">
        <f aca="false">IF(TRIB!K75="","",IF(OR(ARCH!K75="",LEFT(ARCH!K75,3)="14x"),IF(AG_REQ!K75&lt;=INDEX(INPUTS!$B$42:$B$50,1),INDEX(INPUTS!$A$42:$A$50,1),IF(AG_REQ!K75&gt;INDEX(INPUTS!$B$42:$B$50,ROWS(INPUTS!$B$42:$B$50)),"LARGER",INDEX(INPUTS!$A$42:$A$50,MATCH(AG_REQ!K75,INPUTS!$B$42:$B$50,1)+1))),IF(AG_REQ!K75&lt;=INDEX(INPUTS!$E$42:$E$50,1),INDEX(INPUTS!$D$42:$D$50,1),IF(AG_REQ!K75&gt;INDEX(INPUTS!$E$42:$E$50,ROWS(INPUTS!$E$42:$E$50)),"LARGER",INDEX(INPUTS!$D$42:$D$50,MATCH(AG_REQ!K75,INPUTS!$E$42:$E$50,1)+1)))))</f>
        <v/>
      </c>
      <c r="L75" s="4" t="str">
        <f aca="false">IF(TRIB!L75="","",IF(OR(ARCH!L75="",LEFT(ARCH!L75,3)="14x"),IF(AG_REQ!L75&lt;=INDEX(INPUTS!$B$42:$B$50,1),INDEX(INPUTS!$A$42:$A$50,1),IF(AG_REQ!L75&gt;INDEX(INPUTS!$B$42:$B$50,ROWS(INPUTS!$B$42:$B$50)),"LARGER",INDEX(INPUTS!$A$42:$A$50,MATCH(AG_REQ!L75,INPUTS!$B$42:$B$50,1)+1))),IF(AG_REQ!L75&lt;=INDEX(INPUTS!$E$42:$E$50,1),INDEX(INPUTS!$D$42:$D$50,1),IF(AG_REQ!L75&gt;INDEX(INPUTS!$E$42:$E$50,ROWS(INPUTS!$E$42:$E$50)),"LARGER",INDEX(INPUTS!$D$42:$D$50,MATCH(AG_REQ!L75,INPUTS!$E$42:$E$50,1)+1)))))</f>
        <v/>
      </c>
      <c r="M75" s="4" t="str">
        <f aca="false">IF(TRIB!M75="","",IF(OR(ARCH!M75="",LEFT(ARCH!M75,3)="14x"),IF(AG_REQ!M75&lt;=INDEX(INPUTS!$B$42:$B$50,1),INDEX(INPUTS!$A$42:$A$50,1),IF(AG_REQ!M75&gt;INDEX(INPUTS!$B$42:$B$50,ROWS(INPUTS!$B$42:$B$50)),"LARGER",INDEX(INPUTS!$A$42:$A$50,MATCH(AG_REQ!M75,INPUTS!$B$42:$B$50,1)+1))),IF(AG_REQ!M75&lt;=INDEX(INPUTS!$E$42:$E$50,1),INDEX(INPUTS!$D$42:$D$50,1),IF(AG_REQ!M75&gt;INDEX(INPUTS!$E$42:$E$50,ROWS(INPUTS!$E$42:$E$50)),"LARGER",INDEX(INPUTS!$D$42:$D$50,MATCH(AG_REQ!M75,INPUTS!$E$42:$E$50,1)+1)))))</f>
        <v/>
      </c>
      <c r="N75" s="4" t="str">
        <f aca="false">IF(TRIB!N75="","",IF(OR(ARCH!N75="",LEFT(ARCH!N75,3)="14x"),IF(AG_REQ!N75&lt;=INDEX(INPUTS!$B$42:$B$50,1),INDEX(INPUTS!$A$42:$A$50,1),IF(AG_REQ!N75&gt;INDEX(INPUTS!$B$42:$B$50,ROWS(INPUTS!$B$42:$B$50)),"LARGER",INDEX(INPUTS!$A$42:$A$50,MATCH(AG_REQ!N75,INPUTS!$B$42:$B$50,1)+1))),IF(AG_REQ!N75&lt;=INDEX(INPUTS!$E$42:$E$50,1),INDEX(INPUTS!$D$42:$D$50,1),IF(AG_REQ!N75&gt;INDEX(INPUTS!$E$42:$E$50,ROWS(INPUTS!$E$42:$E$50)),"LARGER",INDEX(INPUTS!$D$42:$D$50,MATCH(AG_REQ!N75,INPUTS!$E$42:$E$50,1)+1)))))</f>
        <v/>
      </c>
      <c r="O75" s="4" t="str">
        <f aca="false">IF(TRIB!O75="","",IF(OR(ARCH!O75="",LEFT(ARCH!O75,3)="14x"),IF(AG_REQ!O75&lt;=INDEX(INPUTS!$B$42:$B$50,1),INDEX(INPUTS!$A$42:$A$50,1),IF(AG_REQ!O75&gt;INDEX(INPUTS!$B$42:$B$50,ROWS(INPUTS!$B$42:$B$50)),"LARGER",INDEX(INPUTS!$A$42:$A$50,MATCH(AG_REQ!O75,INPUTS!$B$42:$B$50,1)+1))),IF(AG_REQ!O75&lt;=INDEX(INPUTS!$E$42:$E$50,1),INDEX(INPUTS!$D$42:$D$50,1),IF(AG_REQ!O75&gt;INDEX(INPUTS!$E$42:$E$50,ROWS(INPUTS!$E$42:$E$50)),"LARGER",INDEX(INPUTS!$D$42:$D$50,MATCH(AG_REQ!O75,INPUTS!$E$42:$E$50,1)+1)))))</f>
        <v/>
      </c>
      <c r="P75" s="4" t="str">
        <f aca="false">IF(TRIB!P75="","",IF(OR(ARCH!P75="",LEFT(ARCH!P75,3)="14x"),IF(AG_REQ!P75&lt;=INDEX(INPUTS!$B$42:$B$50,1),INDEX(INPUTS!$A$42:$A$50,1),IF(AG_REQ!P75&gt;INDEX(INPUTS!$B$42:$B$50,ROWS(INPUTS!$B$42:$B$50)),"LARGER",INDEX(INPUTS!$A$42:$A$50,MATCH(AG_REQ!P75,INPUTS!$B$42:$B$50,1)+1))),IF(AG_REQ!P75&lt;=INDEX(INPUTS!$E$42:$E$50,1),INDEX(INPUTS!$D$42:$D$50,1),IF(AG_REQ!P75&gt;INDEX(INPUTS!$E$42:$E$50,ROWS(INPUTS!$E$42:$E$50)),"LARGER",INDEX(INPUTS!$D$42:$D$50,MATCH(AG_REQ!P75,INPUTS!$E$42:$E$50,1)+1)))))</f>
        <v/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4" t="str">
        <f aca="false">IF(TRIB!E76="","",IF(OR(ARCH!E76="",LEFT(ARCH!E76,3)="14x"),IF(AG_REQ!E76&lt;=INDEX(INPUTS!$B$42:$B$50,1),INDEX(INPUTS!$A$42:$A$50,1),IF(AG_REQ!E76&gt;INDEX(INPUTS!$B$42:$B$50,ROWS(INPUTS!$B$42:$B$50)),"LARGER",INDEX(INPUTS!$A$42:$A$50,MATCH(AG_REQ!E76,INPUTS!$B$42:$B$50,1)+1))),IF(AG_REQ!E76&lt;=INDEX(INPUTS!$E$42:$E$50,1),INDEX(INPUTS!$D$42:$D$50,1),IF(AG_REQ!E76&gt;INDEX(INPUTS!$E$42:$E$50,ROWS(INPUTS!$E$42:$E$50)),"LARGER",INDEX(INPUTS!$D$42:$D$50,MATCH(AG_REQ!E76,INPUTS!$E$42:$E$50,1)+1)))))</f>
        <v>14x24</v>
      </c>
      <c r="F76" s="4" t="str">
        <f aca="false">IF(TRIB!F76="","",IF(OR(ARCH!F76="",LEFT(ARCH!F76,3)="14x"),IF(AG_REQ!F76&lt;=INDEX(INPUTS!$B$42:$B$50,1),INDEX(INPUTS!$A$42:$A$50,1),IF(AG_REQ!F76&gt;INDEX(INPUTS!$B$42:$B$50,ROWS(INPUTS!$B$42:$B$50)),"LARGER",INDEX(INPUTS!$A$42:$A$50,MATCH(AG_REQ!F76,INPUTS!$B$42:$B$50,1)+1))),IF(AG_REQ!F76&lt;=INDEX(INPUTS!$E$42:$E$50,1),INDEX(INPUTS!$D$42:$D$50,1),IF(AG_REQ!F76&gt;INDEX(INPUTS!$E$42:$E$50,ROWS(INPUTS!$E$42:$E$50)),"LARGER",INDEX(INPUTS!$D$42:$D$50,MATCH(AG_REQ!F76,INPUTS!$E$42:$E$50,1)+1)))))</f>
        <v>14x24</v>
      </c>
      <c r="G76" s="4" t="str">
        <f aca="false">IF(TRIB!G76="","",IF(OR(ARCH!G76="",LEFT(ARCH!G76,3)="14x"),IF(AG_REQ!G76&lt;=INDEX(INPUTS!$B$42:$B$50,1),INDEX(INPUTS!$A$42:$A$50,1),IF(AG_REQ!G76&gt;INDEX(INPUTS!$B$42:$B$50,ROWS(INPUTS!$B$42:$B$50)),"LARGER",INDEX(INPUTS!$A$42:$A$50,MATCH(AG_REQ!G76,INPUTS!$B$42:$B$50,1)+1))),IF(AG_REQ!G76&lt;=INDEX(INPUTS!$E$42:$E$50,1),INDEX(INPUTS!$D$42:$D$50,1),IF(AG_REQ!G76&gt;INDEX(INPUTS!$E$42:$E$50,ROWS(INPUTS!$E$42:$E$50)),"LARGER",INDEX(INPUTS!$D$42:$D$50,MATCH(AG_REQ!G76,INPUTS!$E$42:$E$50,1)+1)))))</f>
        <v>14x24</v>
      </c>
      <c r="H76" s="4" t="str">
        <f aca="false">IF(TRIB!H76="","",IF(OR(ARCH!H76="",LEFT(ARCH!H76,3)="14x"),IF(AG_REQ!H76&lt;=INDEX(INPUTS!$B$42:$B$50,1),INDEX(INPUTS!$A$42:$A$50,1),IF(AG_REQ!H76&gt;INDEX(INPUTS!$B$42:$B$50,ROWS(INPUTS!$B$42:$B$50)),"LARGER",INDEX(INPUTS!$A$42:$A$50,MATCH(AG_REQ!H76,INPUTS!$B$42:$B$50,1)+1))),IF(AG_REQ!H76&lt;=INDEX(INPUTS!$E$42:$E$50,1),INDEX(INPUTS!$D$42:$D$50,1),IF(AG_REQ!H76&gt;INDEX(INPUTS!$E$42:$E$50,ROWS(INPUTS!$E$42:$E$50)),"LARGER",INDEX(INPUTS!$D$42:$D$50,MATCH(AG_REQ!H76,INPUTS!$E$42:$E$50,1)+1)))))</f>
        <v>14x24</v>
      </c>
      <c r="I76" s="4" t="str">
        <f aca="false">IF(TRIB!I76="","",IF(OR(ARCH!I76="",LEFT(ARCH!I76,3)="14x"),IF(AG_REQ!I76&lt;=INDEX(INPUTS!$B$42:$B$50,1),INDEX(INPUTS!$A$42:$A$50,1),IF(AG_REQ!I76&gt;INDEX(INPUTS!$B$42:$B$50,ROWS(INPUTS!$B$42:$B$50)),"LARGER",INDEX(INPUTS!$A$42:$A$50,MATCH(AG_REQ!I76,INPUTS!$B$42:$B$50,1)+1))),IF(AG_REQ!I76&lt;=INDEX(INPUTS!$E$42:$E$50,1),INDEX(INPUTS!$D$42:$D$50,1),IF(AG_REQ!I76&gt;INDEX(INPUTS!$E$42:$E$50,ROWS(INPUTS!$E$42:$E$50)),"LARGER",INDEX(INPUTS!$D$42:$D$50,MATCH(AG_REQ!I76,INPUTS!$E$42:$E$50,1)+1)))))</f>
        <v>14x24</v>
      </c>
      <c r="J76" s="4" t="str">
        <f aca="false">IF(TRIB!J76="","",IF(OR(ARCH!J76="",LEFT(ARCH!J76,3)="14x"),IF(AG_REQ!J76&lt;=INDEX(INPUTS!$B$42:$B$50,1),INDEX(INPUTS!$A$42:$A$50,1),IF(AG_REQ!J76&gt;INDEX(INPUTS!$B$42:$B$50,ROWS(INPUTS!$B$42:$B$50)),"LARGER",INDEX(INPUTS!$A$42:$A$50,MATCH(AG_REQ!J76,INPUTS!$B$42:$B$50,1)+1))),IF(AG_REQ!J76&lt;=INDEX(INPUTS!$E$42:$E$50,1),INDEX(INPUTS!$D$42:$D$50,1),IF(AG_REQ!J76&gt;INDEX(INPUTS!$E$42:$E$50,ROWS(INPUTS!$E$42:$E$50)),"LARGER",INDEX(INPUTS!$D$42:$D$50,MATCH(AG_REQ!J76,INPUTS!$E$42:$E$50,1)+1)))))</f>
        <v>14x24</v>
      </c>
      <c r="K76" s="4" t="str">
        <f aca="false">IF(TRIB!K76="","",IF(OR(ARCH!K76="",LEFT(ARCH!K76,3)="14x"),IF(AG_REQ!K76&lt;=INDEX(INPUTS!$B$42:$B$50,1),INDEX(INPUTS!$A$42:$A$50,1),IF(AG_REQ!K76&gt;INDEX(INPUTS!$B$42:$B$50,ROWS(INPUTS!$B$42:$B$50)),"LARGER",INDEX(INPUTS!$A$42:$A$50,MATCH(AG_REQ!K76,INPUTS!$B$42:$B$50,1)+1))),IF(AG_REQ!K76&lt;=INDEX(INPUTS!$E$42:$E$50,1),INDEX(INPUTS!$D$42:$D$50,1),IF(AG_REQ!K76&gt;INDEX(INPUTS!$E$42:$E$50,ROWS(INPUTS!$E$42:$E$50)),"LARGER",INDEX(INPUTS!$D$42:$D$50,MATCH(AG_REQ!K76,INPUTS!$E$42:$E$50,1)+1)))))</f>
        <v/>
      </c>
      <c r="L76" s="4" t="str">
        <f aca="false">IF(TRIB!L76="","",IF(OR(ARCH!L76="",LEFT(ARCH!L76,3)="14x"),IF(AG_REQ!L76&lt;=INDEX(INPUTS!$B$42:$B$50,1),INDEX(INPUTS!$A$42:$A$50,1),IF(AG_REQ!L76&gt;INDEX(INPUTS!$B$42:$B$50,ROWS(INPUTS!$B$42:$B$50)),"LARGER",INDEX(INPUTS!$A$42:$A$50,MATCH(AG_REQ!L76,INPUTS!$B$42:$B$50,1)+1))),IF(AG_REQ!L76&lt;=INDEX(INPUTS!$E$42:$E$50,1),INDEX(INPUTS!$D$42:$D$50,1),IF(AG_REQ!L76&gt;INDEX(INPUTS!$E$42:$E$50,ROWS(INPUTS!$E$42:$E$50)),"LARGER",INDEX(INPUTS!$D$42:$D$50,MATCH(AG_REQ!L76,INPUTS!$E$42:$E$50,1)+1)))))</f>
        <v/>
      </c>
      <c r="M76" s="4" t="str">
        <f aca="false">IF(TRIB!M76="","",IF(OR(ARCH!M76="",LEFT(ARCH!M76,3)="14x"),IF(AG_REQ!M76&lt;=INDEX(INPUTS!$B$42:$B$50,1),INDEX(INPUTS!$A$42:$A$50,1),IF(AG_REQ!M76&gt;INDEX(INPUTS!$B$42:$B$50,ROWS(INPUTS!$B$42:$B$50)),"LARGER",INDEX(INPUTS!$A$42:$A$50,MATCH(AG_REQ!M76,INPUTS!$B$42:$B$50,1)+1))),IF(AG_REQ!M76&lt;=INDEX(INPUTS!$E$42:$E$50,1),INDEX(INPUTS!$D$42:$D$50,1),IF(AG_REQ!M76&gt;INDEX(INPUTS!$E$42:$E$50,ROWS(INPUTS!$E$42:$E$50)),"LARGER",INDEX(INPUTS!$D$42:$D$50,MATCH(AG_REQ!M76,INPUTS!$E$42:$E$50,1)+1)))))</f>
        <v/>
      </c>
      <c r="N76" s="4" t="str">
        <f aca="false">IF(TRIB!N76="","",IF(OR(ARCH!N76="",LEFT(ARCH!N76,3)="14x"),IF(AG_REQ!N76&lt;=INDEX(INPUTS!$B$42:$B$50,1),INDEX(INPUTS!$A$42:$A$50,1),IF(AG_REQ!N76&gt;INDEX(INPUTS!$B$42:$B$50,ROWS(INPUTS!$B$42:$B$50)),"LARGER",INDEX(INPUTS!$A$42:$A$50,MATCH(AG_REQ!N76,INPUTS!$B$42:$B$50,1)+1))),IF(AG_REQ!N76&lt;=INDEX(INPUTS!$E$42:$E$50,1),INDEX(INPUTS!$D$42:$D$50,1),IF(AG_REQ!N76&gt;INDEX(INPUTS!$E$42:$E$50,ROWS(INPUTS!$E$42:$E$50)),"LARGER",INDEX(INPUTS!$D$42:$D$50,MATCH(AG_REQ!N76,INPUTS!$E$42:$E$50,1)+1)))))</f>
        <v/>
      </c>
      <c r="O76" s="4" t="str">
        <f aca="false">IF(TRIB!O76="","",IF(OR(ARCH!O76="",LEFT(ARCH!O76,3)="14x"),IF(AG_REQ!O76&lt;=INDEX(INPUTS!$B$42:$B$50,1),INDEX(INPUTS!$A$42:$A$50,1),IF(AG_REQ!O76&gt;INDEX(INPUTS!$B$42:$B$50,ROWS(INPUTS!$B$42:$B$50)),"LARGER",INDEX(INPUTS!$A$42:$A$50,MATCH(AG_REQ!O76,INPUTS!$B$42:$B$50,1)+1))),IF(AG_REQ!O76&lt;=INDEX(INPUTS!$E$42:$E$50,1),INDEX(INPUTS!$D$42:$D$50,1),IF(AG_REQ!O76&gt;INDEX(INPUTS!$E$42:$E$50,ROWS(INPUTS!$E$42:$E$50)),"LARGER",INDEX(INPUTS!$D$42:$D$50,MATCH(AG_REQ!O76,INPUTS!$E$42:$E$50,1)+1)))))</f>
        <v/>
      </c>
      <c r="P76" s="4" t="str">
        <f aca="false">IF(TRIB!P76="","",IF(OR(ARCH!P76="",LEFT(ARCH!P76,3)="14x"),IF(AG_REQ!P76&lt;=INDEX(INPUTS!$B$42:$B$50,1),INDEX(INPUTS!$A$42:$A$50,1),IF(AG_REQ!P76&gt;INDEX(INPUTS!$B$42:$B$50,ROWS(INPUTS!$B$42:$B$50)),"LARGER",INDEX(INPUTS!$A$42:$A$50,MATCH(AG_REQ!P76,INPUTS!$B$42:$B$50,1)+1))),IF(AG_REQ!P76&lt;=INDEX(INPUTS!$E$42:$E$50,1),INDEX(INPUTS!$D$42:$D$50,1),IF(AG_REQ!P76&gt;INDEX(INPUTS!$E$42:$E$50,ROWS(INPUTS!$E$42:$E$50)),"LARGER",INDEX(INPUTS!$D$42:$D$50,MATCH(AG_REQ!P76,INPUTS!$E$42:$E$50,1)+1)))))</f>
        <v/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4" t="str">
        <f aca="false">IF(TRIB!E77="","",IF(OR(ARCH!E77="",LEFT(ARCH!E77,3)="14x"),IF(AG_REQ!E77&lt;=INDEX(INPUTS!$B$42:$B$50,1),INDEX(INPUTS!$A$42:$A$50,1),IF(AG_REQ!E77&gt;INDEX(INPUTS!$B$42:$B$50,ROWS(INPUTS!$B$42:$B$50)),"LARGER",INDEX(INPUTS!$A$42:$A$50,MATCH(AG_REQ!E77,INPUTS!$B$42:$B$50,1)+1))),IF(AG_REQ!E77&lt;=INDEX(INPUTS!$E$42:$E$50,1),INDEX(INPUTS!$D$42:$D$50,1),IF(AG_REQ!E77&gt;INDEX(INPUTS!$E$42:$E$50,ROWS(INPUTS!$E$42:$E$50)),"LARGER",INDEX(INPUTS!$D$42:$D$50,MATCH(AG_REQ!E77,INPUTS!$E$42:$E$50,1)+1)))))</f>
        <v>14x24</v>
      </c>
      <c r="F77" s="4" t="str">
        <f aca="false">IF(TRIB!F77="","",IF(OR(ARCH!F77="",LEFT(ARCH!F77,3)="14x"),IF(AG_REQ!F77&lt;=INDEX(INPUTS!$B$42:$B$50,1),INDEX(INPUTS!$A$42:$A$50,1),IF(AG_REQ!F77&gt;INDEX(INPUTS!$B$42:$B$50,ROWS(INPUTS!$B$42:$B$50)),"LARGER",INDEX(INPUTS!$A$42:$A$50,MATCH(AG_REQ!F77,INPUTS!$B$42:$B$50,1)+1))),IF(AG_REQ!F77&lt;=INDEX(INPUTS!$E$42:$E$50,1),INDEX(INPUTS!$D$42:$D$50,1),IF(AG_REQ!F77&gt;INDEX(INPUTS!$E$42:$E$50,ROWS(INPUTS!$E$42:$E$50)),"LARGER",INDEX(INPUTS!$D$42:$D$50,MATCH(AG_REQ!F77,INPUTS!$E$42:$E$50,1)+1)))))</f>
        <v>14x24</v>
      </c>
      <c r="G77" s="4" t="str">
        <f aca="false">IF(TRIB!G77="","",IF(OR(ARCH!G77="",LEFT(ARCH!G77,3)="14x"),IF(AG_REQ!G77&lt;=INDEX(INPUTS!$B$42:$B$50,1),INDEX(INPUTS!$A$42:$A$50,1),IF(AG_REQ!G77&gt;INDEX(INPUTS!$B$42:$B$50,ROWS(INPUTS!$B$42:$B$50)),"LARGER",INDEX(INPUTS!$A$42:$A$50,MATCH(AG_REQ!G77,INPUTS!$B$42:$B$50,1)+1))),IF(AG_REQ!G77&lt;=INDEX(INPUTS!$E$42:$E$50,1),INDEX(INPUTS!$D$42:$D$50,1),IF(AG_REQ!G77&gt;INDEX(INPUTS!$E$42:$E$50,ROWS(INPUTS!$E$42:$E$50)),"LARGER",INDEX(INPUTS!$D$42:$D$50,MATCH(AG_REQ!G77,INPUTS!$E$42:$E$50,1)+1)))))</f>
        <v>14x24</v>
      </c>
      <c r="H77" s="4" t="str">
        <f aca="false">IF(TRIB!H77="","",IF(OR(ARCH!H77="",LEFT(ARCH!H77,3)="14x"),IF(AG_REQ!H77&lt;=INDEX(INPUTS!$B$42:$B$50,1),INDEX(INPUTS!$A$42:$A$50,1),IF(AG_REQ!H77&gt;INDEX(INPUTS!$B$42:$B$50,ROWS(INPUTS!$B$42:$B$50)),"LARGER",INDEX(INPUTS!$A$42:$A$50,MATCH(AG_REQ!H77,INPUTS!$B$42:$B$50,1)+1))),IF(AG_REQ!H77&lt;=INDEX(INPUTS!$E$42:$E$50,1),INDEX(INPUTS!$D$42:$D$50,1),IF(AG_REQ!H77&gt;INDEX(INPUTS!$E$42:$E$50,ROWS(INPUTS!$E$42:$E$50)),"LARGER",INDEX(INPUTS!$D$42:$D$50,MATCH(AG_REQ!H77,INPUTS!$E$42:$E$50,1)+1)))))</f>
        <v>14x24</v>
      </c>
      <c r="I77" s="4" t="str">
        <f aca="false">IF(TRIB!I77="","",IF(OR(ARCH!I77="",LEFT(ARCH!I77,3)="14x"),IF(AG_REQ!I77&lt;=INDEX(INPUTS!$B$42:$B$50,1),INDEX(INPUTS!$A$42:$A$50,1),IF(AG_REQ!I77&gt;INDEX(INPUTS!$B$42:$B$50,ROWS(INPUTS!$B$42:$B$50)),"LARGER",INDEX(INPUTS!$A$42:$A$50,MATCH(AG_REQ!I77,INPUTS!$B$42:$B$50,1)+1))),IF(AG_REQ!I77&lt;=INDEX(INPUTS!$E$42:$E$50,1),INDEX(INPUTS!$D$42:$D$50,1),IF(AG_REQ!I77&gt;INDEX(INPUTS!$E$42:$E$50,ROWS(INPUTS!$E$42:$E$50)),"LARGER",INDEX(INPUTS!$D$42:$D$50,MATCH(AG_REQ!I77,INPUTS!$E$42:$E$50,1)+1)))))</f>
        <v>14x24</v>
      </c>
      <c r="J77" s="4" t="str">
        <f aca="false">IF(TRIB!J77="","",IF(OR(ARCH!J77="",LEFT(ARCH!J77,3)="14x"),IF(AG_REQ!J77&lt;=INDEX(INPUTS!$B$42:$B$50,1),INDEX(INPUTS!$A$42:$A$50,1),IF(AG_REQ!J77&gt;INDEX(INPUTS!$B$42:$B$50,ROWS(INPUTS!$B$42:$B$50)),"LARGER",INDEX(INPUTS!$A$42:$A$50,MATCH(AG_REQ!J77,INPUTS!$B$42:$B$50,1)+1))),IF(AG_REQ!J77&lt;=INDEX(INPUTS!$E$42:$E$50,1),INDEX(INPUTS!$D$42:$D$50,1),IF(AG_REQ!J77&gt;INDEX(INPUTS!$E$42:$E$50,ROWS(INPUTS!$E$42:$E$50)),"LARGER",INDEX(INPUTS!$D$42:$D$50,MATCH(AG_REQ!J77,INPUTS!$E$42:$E$50,1)+1)))))</f>
        <v>14x24</v>
      </c>
      <c r="K77" s="4" t="str">
        <f aca="false">IF(TRIB!K77="","",IF(OR(ARCH!K77="",LEFT(ARCH!K77,3)="14x"),IF(AG_REQ!K77&lt;=INDEX(INPUTS!$B$42:$B$50,1),INDEX(INPUTS!$A$42:$A$50,1),IF(AG_REQ!K77&gt;INDEX(INPUTS!$B$42:$B$50,ROWS(INPUTS!$B$42:$B$50)),"LARGER",INDEX(INPUTS!$A$42:$A$50,MATCH(AG_REQ!K77,INPUTS!$B$42:$B$50,1)+1))),IF(AG_REQ!K77&lt;=INDEX(INPUTS!$E$42:$E$50,1),INDEX(INPUTS!$D$42:$D$50,1),IF(AG_REQ!K77&gt;INDEX(INPUTS!$E$42:$E$50,ROWS(INPUTS!$E$42:$E$50)),"LARGER",INDEX(INPUTS!$D$42:$D$50,MATCH(AG_REQ!K77,INPUTS!$E$42:$E$50,1)+1)))))</f>
        <v/>
      </c>
      <c r="L77" s="4" t="str">
        <f aca="false">IF(TRIB!L77="","",IF(OR(ARCH!L77="",LEFT(ARCH!L77,3)="14x"),IF(AG_REQ!L77&lt;=INDEX(INPUTS!$B$42:$B$50,1),INDEX(INPUTS!$A$42:$A$50,1),IF(AG_REQ!L77&gt;INDEX(INPUTS!$B$42:$B$50,ROWS(INPUTS!$B$42:$B$50)),"LARGER",INDEX(INPUTS!$A$42:$A$50,MATCH(AG_REQ!L77,INPUTS!$B$42:$B$50,1)+1))),IF(AG_REQ!L77&lt;=INDEX(INPUTS!$E$42:$E$50,1),INDEX(INPUTS!$D$42:$D$50,1),IF(AG_REQ!L77&gt;INDEX(INPUTS!$E$42:$E$50,ROWS(INPUTS!$E$42:$E$50)),"LARGER",INDEX(INPUTS!$D$42:$D$50,MATCH(AG_REQ!L77,INPUTS!$E$42:$E$50,1)+1)))))</f>
        <v/>
      </c>
      <c r="M77" s="4" t="str">
        <f aca="false">IF(TRIB!M77="","",IF(OR(ARCH!M77="",LEFT(ARCH!M77,3)="14x"),IF(AG_REQ!M77&lt;=INDEX(INPUTS!$B$42:$B$50,1),INDEX(INPUTS!$A$42:$A$50,1),IF(AG_REQ!M77&gt;INDEX(INPUTS!$B$42:$B$50,ROWS(INPUTS!$B$42:$B$50)),"LARGER",INDEX(INPUTS!$A$42:$A$50,MATCH(AG_REQ!M77,INPUTS!$B$42:$B$50,1)+1))),IF(AG_REQ!M77&lt;=INDEX(INPUTS!$E$42:$E$50,1),INDEX(INPUTS!$D$42:$D$50,1),IF(AG_REQ!M77&gt;INDEX(INPUTS!$E$42:$E$50,ROWS(INPUTS!$E$42:$E$50)),"LARGER",INDEX(INPUTS!$D$42:$D$50,MATCH(AG_REQ!M77,INPUTS!$E$42:$E$50,1)+1)))))</f>
        <v/>
      </c>
      <c r="N77" s="4" t="str">
        <f aca="false">IF(TRIB!N77="","",IF(OR(ARCH!N77="",LEFT(ARCH!N77,3)="14x"),IF(AG_REQ!N77&lt;=INDEX(INPUTS!$B$42:$B$50,1),INDEX(INPUTS!$A$42:$A$50,1),IF(AG_REQ!N77&gt;INDEX(INPUTS!$B$42:$B$50,ROWS(INPUTS!$B$42:$B$50)),"LARGER",INDEX(INPUTS!$A$42:$A$50,MATCH(AG_REQ!N77,INPUTS!$B$42:$B$50,1)+1))),IF(AG_REQ!N77&lt;=INDEX(INPUTS!$E$42:$E$50,1),INDEX(INPUTS!$D$42:$D$50,1),IF(AG_REQ!N77&gt;INDEX(INPUTS!$E$42:$E$50,ROWS(INPUTS!$E$42:$E$50)),"LARGER",INDEX(INPUTS!$D$42:$D$50,MATCH(AG_REQ!N77,INPUTS!$E$42:$E$50,1)+1)))))</f>
        <v/>
      </c>
      <c r="O77" s="4" t="str">
        <f aca="false">IF(TRIB!O77="","",IF(OR(ARCH!O77="",LEFT(ARCH!O77,3)="14x"),IF(AG_REQ!O77&lt;=INDEX(INPUTS!$B$42:$B$50,1),INDEX(INPUTS!$A$42:$A$50,1),IF(AG_REQ!O77&gt;INDEX(INPUTS!$B$42:$B$50,ROWS(INPUTS!$B$42:$B$50)),"LARGER",INDEX(INPUTS!$A$42:$A$50,MATCH(AG_REQ!O77,INPUTS!$B$42:$B$50,1)+1))),IF(AG_REQ!O77&lt;=INDEX(INPUTS!$E$42:$E$50,1),INDEX(INPUTS!$D$42:$D$50,1),IF(AG_REQ!O77&gt;INDEX(INPUTS!$E$42:$E$50,ROWS(INPUTS!$E$42:$E$50)),"LARGER",INDEX(INPUTS!$D$42:$D$50,MATCH(AG_REQ!O77,INPUTS!$E$42:$E$50,1)+1)))))</f>
        <v/>
      </c>
      <c r="P77" s="4" t="str">
        <f aca="false">IF(TRIB!P77="","",IF(OR(ARCH!P77="",LEFT(ARCH!P77,3)="14x"),IF(AG_REQ!P77&lt;=INDEX(INPUTS!$B$42:$B$50,1),INDEX(INPUTS!$A$42:$A$50,1),IF(AG_REQ!P77&gt;INDEX(INPUTS!$B$42:$B$50,ROWS(INPUTS!$B$42:$B$50)),"LARGER",INDEX(INPUTS!$A$42:$A$50,MATCH(AG_REQ!P77,INPUTS!$B$42:$B$50,1)+1))),IF(AG_REQ!P77&lt;=INDEX(INPUTS!$E$42:$E$50,1),INDEX(INPUTS!$D$42:$D$50,1),IF(AG_REQ!P77&gt;INDEX(INPUTS!$E$42:$E$50,ROWS(INPUTS!$E$42:$E$50)),"LARGER",INDEX(INPUTS!$D$42:$D$50,MATCH(AG_REQ!P77,INPUTS!$E$42:$E$50,1)+1)))))</f>
        <v/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4" t="str">
        <f aca="false">IF(TRIB!E78="","",IF(OR(ARCH!E78="",LEFT(ARCH!E78,3)="14x"),IF(AG_REQ!E78&lt;=INDEX(INPUTS!$B$42:$B$50,1),INDEX(INPUTS!$A$42:$A$50,1),IF(AG_REQ!E78&gt;INDEX(INPUTS!$B$42:$B$50,ROWS(INPUTS!$B$42:$B$50)),"LARGER",INDEX(INPUTS!$A$42:$A$50,MATCH(AG_REQ!E78,INPUTS!$B$42:$B$50,1)+1))),IF(AG_REQ!E78&lt;=INDEX(INPUTS!$E$42:$E$50,1),INDEX(INPUTS!$D$42:$D$50,1),IF(AG_REQ!E78&gt;INDEX(INPUTS!$E$42:$E$50,ROWS(INPUTS!$E$42:$E$50)),"LARGER",INDEX(INPUTS!$D$42:$D$50,MATCH(AG_REQ!E78,INPUTS!$E$42:$E$50,1)+1)))))</f>
        <v>14x24</v>
      </c>
      <c r="F78" s="4" t="str">
        <f aca="false">IF(TRIB!F78="","",IF(OR(ARCH!F78="",LEFT(ARCH!F78,3)="14x"),IF(AG_REQ!F78&lt;=INDEX(INPUTS!$B$42:$B$50,1),INDEX(INPUTS!$A$42:$A$50,1),IF(AG_REQ!F78&gt;INDEX(INPUTS!$B$42:$B$50,ROWS(INPUTS!$B$42:$B$50)),"LARGER",INDEX(INPUTS!$A$42:$A$50,MATCH(AG_REQ!F78,INPUTS!$B$42:$B$50,1)+1))),IF(AG_REQ!F78&lt;=INDEX(INPUTS!$E$42:$E$50,1),INDEX(INPUTS!$D$42:$D$50,1),IF(AG_REQ!F78&gt;INDEX(INPUTS!$E$42:$E$50,ROWS(INPUTS!$E$42:$E$50)),"LARGER",INDEX(INPUTS!$D$42:$D$50,MATCH(AG_REQ!F78,INPUTS!$E$42:$E$50,1)+1)))))</f>
        <v>14x24</v>
      </c>
      <c r="G78" s="4" t="str">
        <f aca="false">IF(TRIB!G78="","",IF(OR(ARCH!G78="",LEFT(ARCH!G78,3)="14x"),IF(AG_REQ!G78&lt;=INDEX(INPUTS!$B$42:$B$50,1),INDEX(INPUTS!$A$42:$A$50,1),IF(AG_REQ!G78&gt;INDEX(INPUTS!$B$42:$B$50,ROWS(INPUTS!$B$42:$B$50)),"LARGER",INDEX(INPUTS!$A$42:$A$50,MATCH(AG_REQ!G78,INPUTS!$B$42:$B$50,1)+1))),IF(AG_REQ!G78&lt;=INDEX(INPUTS!$E$42:$E$50,1),INDEX(INPUTS!$D$42:$D$50,1),IF(AG_REQ!G78&gt;INDEX(INPUTS!$E$42:$E$50,ROWS(INPUTS!$E$42:$E$50)),"LARGER",INDEX(INPUTS!$D$42:$D$50,MATCH(AG_REQ!G78,INPUTS!$E$42:$E$50,1)+1)))))</f>
        <v>14x24</v>
      </c>
      <c r="H78" s="4" t="str">
        <f aca="false">IF(TRIB!H78="","",IF(OR(ARCH!H78="",LEFT(ARCH!H78,3)="14x"),IF(AG_REQ!H78&lt;=INDEX(INPUTS!$B$42:$B$50,1),INDEX(INPUTS!$A$42:$A$50,1),IF(AG_REQ!H78&gt;INDEX(INPUTS!$B$42:$B$50,ROWS(INPUTS!$B$42:$B$50)),"LARGER",INDEX(INPUTS!$A$42:$A$50,MATCH(AG_REQ!H78,INPUTS!$B$42:$B$50,1)+1))),IF(AG_REQ!H78&lt;=INDEX(INPUTS!$E$42:$E$50,1),INDEX(INPUTS!$D$42:$D$50,1),IF(AG_REQ!H78&gt;INDEX(INPUTS!$E$42:$E$50,ROWS(INPUTS!$E$42:$E$50)),"LARGER",INDEX(INPUTS!$D$42:$D$50,MATCH(AG_REQ!H78,INPUTS!$E$42:$E$50,1)+1)))))</f>
        <v>14x24</v>
      </c>
      <c r="I78" s="4" t="str">
        <f aca="false">IF(TRIB!I78="","",IF(OR(ARCH!I78="",LEFT(ARCH!I78,3)="14x"),IF(AG_REQ!I78&lt;=INDEX(INPUTS!$B$42:$B$50,1),INDEX(INPUTS!$A$42:$A$50,1),IF(AG_REQ!I78&gt;INDEX(INPUTS!$B$42:$B$50,ROWS(INPUTS!$B$42:$B$50)),"LARGER",INDEX(INPUTS!$A$42:$A$50,MATCH(AG_REQ!I78,INPUTS!$B$42:$B$50,1)+1))),IF(AG_REQ!I78&lt;=INDEX(INPUTS!$E$42:$E$50,1),INDEX(INPUTS!$D$42:$D$50,1),IF(AG_REQ!I78&gt;INDEX(INPUTS!$E$42:$E$50,ROWS(INPUTS!$E$42:$E$50)),"LARGER",INDEX(INPUTS!$D$42:$D$50,MATCH(AG_REQ!I78,INPUTS!$E$42:$E$50,1)+1)))))</f>
        <v>14x24</v>
      </c>
      <c r="J78" s="4" t="str">
        <f aca="false">IF(TRIB!J78="","",IF(OR(ARCH!J78="",LEFT(ARCH!J78,3)="14x"),IF(AG_REQ!J78&lt;=INDEX(INPUTS!$B$42:$B$50,1),INDEX(INPUTS!$A$42:$A$50,1),IF(AG_REQ!J78&gt;INDEX(INPUTS!$B$42:$B$50,ROWS(INPUTS!$B$42:$B$50)),"LARGER",INDEX(INPUTS!$A$42:$A$50,MATCH(AG_REQ!J78,INPUTS!$B$42:$B$50,1)+1))),IF(AG_REQ!J78&lt;=INDEX(INPUTS!$E$42:$E$50,1),INDEX(INPUTS!$D$42:$D$50,1),IF(AG_REQ!J78&gt;INDEX(INPUTS!$E$42:$E$50,ROWS(INPUTS!$E$42:$E$50)),"LARGER",INDEX(INPUTS!$D$42:$D$50,MATCH(AG_REQ!J78,INPUTS!$E$42:$E$50,1)+1)))))</f>
        <v>14x24</v>
      </c>
      <c r="K78" s="4" t="str">
        <f aca="false">IF(TRIB!K78="","",IF(OR(ARCH!K78="",LEFT(ARCH!K78,3)="14x"),IF(AG_REQ!K78&lt;=INDEX(INPUTS!$B$42:$B$50,1),INDEX(INPUTS!$A$42:$A$50,1),IF(AG_REQ!K78&gt;INDEX(INPUTS!$B$42:$B$50,ROWS(INPUTS!$B$42:$B$50)),"LARGER",INDEX(INPUTS!$A$42:$A$50,MATCH(AG_REQ!K78,INPUTS!$B$42:$B$50,1)+1))),IF(AG_REQ!K78&lt;=INDEX(INPUTS!$E$42:$E$50,1),INDEX(INPUTS!$D$42:$D$50,1),IF(AG_REQ!K78&gt;INDEX(INPUTS!$E$42:$E$50,ROWS(INPUTS!$E$42:$E$50)),"LARGER",INDEX(INPUTS!$D$42:$D$50,MATCH(AG_REQ!K78,INPUTS!$E$42:$E$50,1)+1)))))</f>
        <v/>
      </c>
      <c r="L78" s="4" t="str">
        <f aca="false">IF(TRIB!L78="","",IF(OR(ARCH!L78="",LEFT(ARCH!L78,3)="14x"),IF(AG_REQ!L78&lt;=INDEX(INPUTS!$B$42:$B$50,1),INDEX(INPUTS!$A$42:$A$50,1),IF(AG_REQ!L78&gt;INDEX(INPUTS!$B$42:$B$50,ROWS(INPUTS!$B$42:$B$50)),"LARGER",INDEX(INPUTS!$A$42:$A$50,MATCH(AG_REQ!L78,INPUTS!$B$42:$B$50,1)+1))),IF(AG_REQ!L78&lt;=INDEX(INPUTS!$E$42:$E$50,1),INDEX(INPUTS!$D$42:$D$50,1),IF(AG_REQ!L78&gt;INDEX(INPUTS!$E$42:$E$50,ROWS(INPUTS!$E$42:$E$50)),"LARGER",INDEX(INPUTS!$D$42:$D$50,MATCH(AG_REQ!L78,INPUTS!$E$42:$E$50,1)+1)))))</f>
        <v/>
      </c>
      <c r="M78" s="4" t="str">
        <f aca="false">IF(TRIB!M78="","",IF(OR(ARCH!M78="",LEFT(ARCH!M78,3)="14x"),IF(AG_REQ!M78&lt;=INDEX(INPUTS!$B$42:$B$50,1),INDEX(INPUTS!$A$42:$A$50,1),IF(AG_REQ!M78&gt;INDEX(INPUTS!$B$42:$B$50,ROWS(INPUTS!$B$42:$B$50)),"LARGER",INDEX(INPUTS!$A$42:$A$50,MATCH(AG_REQ!M78,INPUTS!$B$42:$B$50,1)+1))),IF(AG_REQ!M78&lt;=INDEX(INPUTS!$E$42:$E$50,1),INDEX(INPUTS!$D$42:$D$50,1),IF(AG_REQ!M78&gt;INDEX(INPUTS!$E$42:$E$50,ROWS(INPUTS!$E$42:$E$50)),"LARGER",INDEX(INPUTS!$D$42:$D$50,MATCH(AG_REQ!M78,INPUTS!$E$42:$E$50,1)+1)))))</f>
        <v/>
      </c>
      <c r="N78" s="4" t="str">
        <f aca="false">IF(TRIB!N78="","",IF(OR(ARCH!N78="",LEFT(ARCH!N78,3)="14x"),IF(AG_REQ!N78&lt;=INDEX(INPUTS!$B$42:$B$50,1),INDEX(INPUTS!$A$42:$A$50,1),IF(AG_REQ!N78&gt;INDEX(INPUTS!$B$42:$B$50,ROWS(INPUTS!$B$42:$B$50)),"LARGER",INDEX(INPUTS!$A$42:$A$50,MATCH(AG_REQ!N78,INPUTS!$B$42:$B$50,1)+1))),IF(AG_REQ!N78&lt;=INDEX(INPUTS!$E$42:$E$50,1),INDEX(INPUTS!$D$42:$D$50,1),IF(AG_REQ!N78&gt;INDEX(INPUTS!$E$42:$E$50,ROWS(INPUTS!$E$42:$E$50)),"LARGER",INDEX(INPUTS!$D$42:$D$50,MATCH(AG_REQ!N78,INPUTS!$E$42:$E$50,1)+1)))))</f>
        <v/>
      </c>
      <c r="O78" s="4" t="str">
        <f aca="false">IF(TRIB!O78="","",IF(OR(ARCH!O78="",LEFT(ARCH!O78,3)="14x"),IF(AG_REQ!O78&lt;=INDEX(INPUTS!$B$42:$B$50,1),INDEX(INPUTS!$A$42:$A$50,1),IF(AG_REQ!O78&gt;INDEX(INPUTS!$B$42:$B$50,ROWS(INPUTS!$B$42:$B$50)),"LARGER",INDEX(INPUTS!$A$42:$A$50,MATCH(AG_REQ!O78,INPUTS!$B$42:$B$50,1)+1))),IF(AG_REQ!O78&lt;=INDEX(INPUTS!$E$42:$E$50,1),INDEX(INPUTS!$D$42:$D$50,1),IF(AG_REQ!O78&gt;INDEX(INPUTS!$E$42:$E$50,ROWS(INPUTS!$E$42:$E$50)),"LARGER",INDEX(INPUTS!$D$42:$D$50,MATCH(AG_REQ!O78,INPUTS!$E$42:$E$50,1)+1)))))</f>
        <v/>
      </c>
      <c r="P78" s="4" t="str">
        <f aca="false">IF(TRIB!P78="","",IF(OR(ARCH!P78="",LEFT(ARCH!P78,3)="14x"),IF(AG_REQ!P78&lt;=INDEX(INPUTS!$B$42:$B$50,1),INDEX(INPUTS!$A$42:$A$50,1),IF(AG_REQ!P78&gt;INDEX(INPUTS!$B$42:$B$50,ROWS(INPUTS!$B$42:$B$50)),"LARGER",INDEX(INPUTS!$A$42:$A$50,MATCH(AG_REQ!P78,INPUTS!$B$42:$B$50,1)+1))),IF(AG_REQ!P78&lt;=INDEX(INPUTS!$E$42:$E$50,1),INDEX(INPUTS!$D$42:$D$50,1),IF(AG_REQ!P78&gt;INDEX(INPUTS!$E$42:$E$50,ROWS(INPUTS!$E$42:$E$50)),"LARGER",INDEX(INPUTS!$D$42:$D$50,MATCH(AG_REQ!P78,INPUTS!$E$42:$E$50,1)+1)))))</f>
        <v/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4" t="str">
        <f aca="false">IF(TRIB!E79="","",IF(OR(ARCH!E79="",LEFT(ARCH!E79,3)="14x"),IF(AG_REQ!E79&lt;=INDEX(INPUTS!$B$42:$B$50,1),INDEX(INPUTS!$A$42:$A$50,1),IF(AG_REQ!E79&gt;INDEX(INPUTS!$B$42:$B$50,ROWS(INPUTS!$B$42:$B$50)),"LARGER",INDEX(INPUTS!$A$42:$A$50,MATCH(AG_REQ!E79,INPUTS!$B$42:$B$50,1)+1))),IF(AG_REQ!E79&lt;=INDEX(INPUTS!$E$42:$E$50,1),INDEX(INPUTS!$D$42:$D$50,1),IF(AG_REQ!E79&gt;INDEX(INPUTS!$E$42:$E$50,ROWS(INPUTS!$E$42:$E$50)),"LARGER",INDEX(INPUTS!$D$42:$D$50,MATCH(AG_REQ!E79,INPUTS!$E$42:$E$50,1)+1)))))</f>
        <v>14x24</v>
      </c>
      <c r="F79" s="4" t="str">
        <f aca="false">IF(TRIB!F79="","",IF(OR(ARCH!F79="",LEFT(ARCH!F79,3)="14x"),IF(AG_REQ!F79&lt;=INDEX(INPUTS!$B$42:$B$50,1),INDEX(INPUTS!$A$42:$A$50,1),IF(AG_REQ!F79&gt;INDEX(INPUTS!$B$42:$B$50,ROWS(INPUTS!$B$42:$B$50)),"LARGER",INDEX(INPUTS!$A$42:$A$50,MATCH(AG_REQ!F79,INPUTS!$B$42:$B$50,1)+1))),IF(AG_REQ!F79&lt;=INDEX(INPUTS!$E$42:$E$50,1),INDEX(INPUTS!$D$42:$D$50,1),IF(AG_REQ!F79&gt;INDEX(INPUTS!$E$42:$E$50,ROWS(INPUTS!$E$42:$E$50)),"LARGER",INDEX(INPUTS!$D$42:$D$50,MATCH(AG_REQ!F79,INPUTS!$E$42:$E$50,1)+1)))))</f>
        <v>14x24</v>
      </c>
      <c r="G79" s="4" t="str">
        <f aca="false">IF(TRIB!G79="","",IF(OR(ARCH!G79="",LEFT(ARCH!G79,3)="14x"),IF(AG_REQ!G79&lt;=INDEX(INPUTS!$B$42:$B$50,1),INDEX(INPUTS!$A$42:$A$50,1),IF(AG_REQ!G79&gt;INDEX(INPUTS!$B$42:$B$50,ROWS(INPUTS!$B$42:$B$50)),"LARGER",INDEX(INPUTS!$A$42:$A$50,MATCH(AG_REQ!G79,INPUTS!$B$42:$B$50,1)+1))),IF(AG_REQ!G79&lt;=INDEX(INPUTS!$E$42:$E$50,1),INDEX(INPUTS!$D$42:$D$50,1),IF(AG_REQ!G79&gt;INDEX(INPUTS!$E$42:$E$50,ROWS(INPUTS!$E$42:$E$50)),"LARGER",INDEX(INPUTS!$D$42:$D$50,MATCH(AG_REQ!G79,INPUTS!$E$42:$E$50,1)+1)))))</f>
        <v>14x24</v>
      </c>
      <c r="H79" s="4" t="str">
        <f aca="false">IF(TRIB!H79="","",IF(OR(ARCH!H79="",LEFT(ARCH!H79,3)="14x"),IF(AG_REQ!H79&lt;=INDEX(INPUTS!$B$42:$B$50,1),INDEX(INPUTS!$A$42:$A$50,1),IF(AG_REQ!H79&gt;INDEX(INPUTS!$B$42:$B$50,ROWS(INPUTS!$B$42:$B$50)),"LARGER",INDEX(INPUTS!$A$42:$A$50,MATCH(AG_REQ!H79,INPUTS!$B$42:$B$50,1)+1))),IF(AG_REQ!H79&lt;=INDEX(INPUTS!$E$42:$E$50,1),INDEX(INPUTS!$D$42:$D$50,1),IF(AG_REQ!H79&gt;INDEX(INPUTS!$E$42:$E$50,ROWS(INPUTS!$E$42:$E$50)),"LARGER",INDEX(INPUTS!$D$42:$D$50,MATCH(AG_REQ!H79,INPUTS!$E$42:$E$50,1)+1)))))</f>
        <v>14x24</v>
      </c>
      <c r="I79" s="4" t="str">
        <f aca="false">IF(TRIB!I79="","",IF(OR(ARCH!I79="",LEFT(ARCH!I79,3)="14x"),IF(AG_REQ!I79&lt;=INDEX(INPUTS!$B$42:$B$50,1),INDEX(INPUTS!$A$42:$A$50,1),IF(AG_REQ!I79&gt;INDEX(INPUTS!$B$42:$B$50,ROWS(INPUTS!$B$42:$B$50)),"LARGER",INDEX(INPUTS!$A$42:$A$50,MATCH(AG_REQ!I79,INPUTS!$B$42:$B$50,1)+1))),IF(AG_REQ!I79&lt;=INDEX(INPUTS!$E$42:$E$50,1),INDEX(INPUTS!$D$42:$D$50,1),IF(AG_REQ!I79&gt;INDEX(INPUTS!$E$42:$E$50,ROWS(INPUTS!$E$42:$E$50)),"LARGER",INDEX(INPUTS!$D$42:$D$50,MATCH(AG_REQ!I79,INPUTS!$E$42:$E$50,1)+1)))))</f>
        <v>14x24</v>
      </c>
      <c r="J79" s="4" t="str">
        <f aca="false">IF(TRIB!J79="","",IF(OR(ARCH!J79="",LEFT(ARCH!J79,3)="14x"),IF(AG_REQ!J79&lt;=INDEX(INPUTS!$B$42:$B$50,1),INDEX(INPUTS!$A$42:$A$50,1),IF(AG_REQ!J79&gt;INDEX(INPUTS!$B$42:$B$50,ROWS(INPUTS!$B$42:$B$50)),"LARGER",INDEX(INPUTS!$A$42:$A$50,MATCH(AG_REQ!J79,INPUTS!$B$42:$B$50,1)+1))),IF(AG_REQ!J79&lt;=INDEX(INPUTS!$E$42:$E$50,1),INDEX(INPUTS!$D$42:$D$50,1),IF(AG_REQ!J79&gt;INDEX(INPUTS!$E$42:$E$50,ROWS(INPUTS!$E$42:$E$50)),"LARGER",INDEX(INPUTS!$D$42:$D$50,MATCH(AG_REQ!J79,INPUTS!$E$42:$E$50,1)+1)))))</f>
        <v>14x24</v>
      </c>
      <c r="K79" s="4" t="str">
        <f aca="false">IF(TRIB!K79="","",IF(OR(ARCH!K79="",LEFT(ARCH!K79,3)="14x"),IF(AG_REQ!K79&lt;=INDEX(INPUTS!$B$42:$B$50,1),INDEX(INPUTS!$A$42:$A$50,1),IF(AG_REQ!K79&gt;INDEX(INPUTS!$B$42:$B$50,ROWS(INPUTS!$B$42:$B$50)),"LARGER",INDEX(INPUTS!$A$42:$A$50,MATCH(AG_REQ!K79,INPUTS!$B$42:$B$50,1)+1))),IF(AG_REQ!K79&lt;=INDEX(INPUTS!$E$42:$E$50,1),INDEX(INPUTS!$D$42:$D$50,1),IF(AG_REQ!K79&gt;INDEX(INPUTS!$E$42:$E$50,ROWS(INPUTS!$E$42:$E$50)),"LARGER",INDEX(INPUTS!$D$42:$D$50,MATCH(AG_REQ!K79,INPUTS!$E$42:$E$50,1)+1)))))</f>
        <v/>
      </c>
      <c r="L79" s="4" t="str">
        <f aca="false">IF(TRIB!L79="","",IF(OR(ARCH!L79="",LEFT(ARCH!L79,3)="14x"),IF(AG_REQ!L79&lt;=INDEX(INPUTS!$B$42:$B$50,1),INDEX(INPUTS!$A$42:$A$50,1),IF(AG_REQ!L79&gt;INDEX(INPUTS!$B$42:$B$50,ROWS(INPUTS!$B$42:$B$50)),"LARGER",INDEX(INPUTS!$A$42:$A$50,MATCH(AG_REQ!L79,INPUTS!$B$42:$B$50,1)+1))),IF(AG_REQ!L79&lt;=INDEX(INPUTS!$E$42:$E$50,1),INDEX(INPUTS!$D$42:$D$50,1),IF(AG_REQ!L79&gt;INDEX(INPUTS!$E$42:$E$50,ROWS(INPUTS!$E$42:$E$50)),"LARGER",INDEX(INPUTS!$D$42:$D$50,MATCH(AG_REQ!L79,INPUTS!$E$42:$E$50,1)+1)))))</f>
        <v/>
      </c>
      <c r="M79" s="4" t="str">
        <f aca="false">IF(TRIB!M79="","",IF(OR(ARCH!M79="",LEFT(ARCH!M79,3)="14x"),IF(AG_REQ!M79&lt;=INDEX(INPUTS!$B$42:$B$50,1),INDEX(INPUTS!$A$42:$A$50,1),IF(AG_REQ!M79&gt;INDEX(INPUTS!$B$42:$B$50,ROWS(INPUTS!$B$42:$B$50)),"LARGER",INDEX(INPUTS!$A$42:$A$50,MATCH(AG_REQ!M79,INPUTS!$B$42:$B$50,1)+1))),IF(AG_REQ!M79&lt;=INDEX(INPUTS!$E$42:$E$50,1),INDEX(INPUTS!$D$42:$D$50,1),IF(AG_REQ!M79&gt;INDEX(INPUTS!$E$42:$E$50,ROWS(INPUTS!$E$42:$E$50)),"LARGER",INDEX(INPUTS!$D$42:$D$50,MATCH(AG_REQ!M79,INPUTS!$E$42:$E$50,1)+1)))))</f>
        <v/>
      </c>
      <c r="N79" s="4" t="str">
        <f aca="false">IF(TRIB!N79="","",IF(OR(ARCH!N79="",LEFT(ARCH!N79,3)="14x"),IF(AG_REQ!N79&lt;=INDEX(INPUTS!$B$42:$B$50,1),INDEX(INPUTS!$A$42:$A$50,1),IF(AG_REQ!N79&gt;INDEX(INPUTS!$B$42:$B$50,ROWS(INPUTS!$B$42:$B$50)),"LARGER",INDEX(INPUTS!$A$42:$A$50,MATCH(AG_REQ!N79,INPUTS!$B$42:$B$50,1)+1))),IF(AG_REQ!N79&lt;=INDEX(INPUTS!$E$42:$E$50,1),INDEX(INPUTS!$D$42:$D$50,1),IF(AG_REQ!N79&gt;INDEX(INPUTS!$E$42:$E$50,ROWS(INPUTS!$E$42:$E$50)),"LARGER",INDEX(INPUTS!$D$42:$D$50,MATCH(AG_REQ!N79,INPUTS!$E$42:$E$50,1)+1)))))</f>
        <v/>
      </c>
      <c r="O79" s="4" t="str">
        <f aca="false">IF(TRIB!O79="","",IF(OR(ARCH!O79="",LEFT(ARCH!O79,3)="14x"),IF(AG_REQ!O79&lt;=INDEX(INPUTS!$B$42:$B$50,1),INDEX(INPUTS!$A$42:$A$50,1),IF(AG_REQ!O79&gt;INDEX(INPUTS!$B$42:$B$50,ROWS(INPUTS!$B$42:$B$50)),"LARGER",INDEX(INPUTS!$A$42:$A$50,MATCH(AG_REQ!O79,INPUTS!$B$42:$B$50,1)+1))),IF(AG_REQ!O79&lt;=INDEX(INPUTS!$E$42:$E$50,1),INDEX(INPUTS!$D$42:$D$50,1),IF(AG_REQ!O79&gt;INDEX(INPUTS!$E$42:$E$50,ROWS(INPUTS!$E$42:$E$50)),"LARGER",INDEX(INPUTS!$D$42:$D$50,MATCH(AG_REQ!O79,INPUTS!$E$42:$E$50,1)+1)))))</f>
        <v/>
      </c>
      <c r="P79" s="4" t="str">
        <f aca="false">IF(TRIB!P79="","",IF(OR(ARCH!P79="",LEFT(ARCH!P79,3)="14x"),IF(AG_REQ!P79&lt;=INDEX(INPUTS!$B$42:$B$50,1),INDEX(INPUTS!$A$42:$A$50,1),IF(AG_REQ!P79&gt;INDEX(INPUTS!$B$42:$B$50,ROWS(INPUTS!$B$42:$B$50)),"LARGER",INDEX(INPUTS!$A$42:$A$50,MATCH(AG_REQ!P79,INPUTS!$B$42:$B$50,1)+1))),IF(AG_REQ!P79&lt;=INDEX(INPUTS!$E$42:$E$50,1),INDEX(INPUTS!$D$42:$D$50,1),IF(AG_REQ!P79&gt;INDEX(INPUTS!$E$42:$E$50,ROWS(INPUTS!$E$42:$E$50)),"LARGER",INDEX(INPUTS!$D$42:$D$50,MATCH(AG_REQ!P79,INPUTS!$E$42:$E$50,1)+1)))))</f>
        <v/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4" t="str">
        <f aca="false">IF(TRIB!E80="","",IF(OR(ARCH!E80="",LEFT(ARCH!E80,3)="14x"),IF(AG_REQ!E80&lt;=INDEX(INPUTS!$B$42:$B$50,1),INDEX(INPUTS!$A$42:$A$50,1),IF(AG_REQ!E80&gt;INDEX(INPUTS!$B$42:$B$50,ROWS(INPUTS!$B$42:$B$50)),"LARGER",INDEX(INPUTS!$A$42:$A$50,MATCH(AG_REQ!E80,INPUTS!$B$42:$B$50,1)+1))),IF(AG_REQ!E80&lt;=INDEX(INPUTS!$E$42:$E$50,1),INDEX(INPUTS!$D$42:$D$50,1),IF(AG_REQ!E80&gt;INDEX(INPUTS!$E$42:$E$50,ROWS(INPUTS!$E$42:$E$50)),"LARGER",INDEX(INPUTS!$D$42:$D$50,MATCH(AG_REQ!E80,INPUTS!$E$42:$E$50,1)+1)))))</f>
        <v>14x24</v>
      </c>
      <c r="F80" s="4" t="str">
        <f aca="false">IF(TRIB!F80="","",IF(OR(ARCH!F80="",LEFT(ARCH!F80,3)="14x"),IF(AG_REQ!F80&lt;=INDEX(INPUTS!$B$42:$B$50,1),INDEX(INPUTS!$A$42:$A$50,1),IF(AG_REQ!F80&gt;INDEX(INPUTS!$B$42:$B$50,ROWS(INPUTS!$B$42:$B$50)),"LARGER",INDEX(INPUTS!$A$42:$A$50,MATCH(AG_REQ!F80,INPUTS!$B$42:$B$50,1)+1))),IF(AG_REQ!F80&lt;=INDEX(INPUTS!$E$42:$E$50,1),INDEX(INPUTS!$D$42:$D$50,1),IF(AG_REQ!F80&gt;INDEX(INPUTS!$E$42:$E$50,ROWS(INPUTS!$E$42:$E$50)),"LARGER",INDEX(INPUTS!$D$42:$D$50,MATCH(AG_REQ!F80,INPUTS!$E$42:$E$50,1)+1)))))</f>
        <v>14x24</v>
      </c>
      <c r="G80" s="4" t="str">
        <f aca="false">IF(TRIB!G80="","",IF(OR(ARCH!G80="",LEFT(ARCH!G80,3)="14x"),IF(AG_REQ!G80&lt;=INDEX(INPUTS!$B$42:$B$50,1),INDEX(INPUTS!$A$42:$A$50,1),IF(AG_REQ!G80&gt;INDEX(INPUTS!$B$42:$B$50,ROWS(INPUTS!$B$42:$B$50)),"LARGER",INDEX(INPUTS!$A$42:$A$50,MATCH(AG_REQ!G80,INPUTS!$B$42:$B$50,1)+1))),IF(AG_REQ!G80&lt;=INDEX(INPUTS!$E$42:$E$50,1),INDEX(INPUTS!$D$42:$D$50,1),IF(AG_REQ!G80&gt;INDEX(INPUTS!$E$42:$E$50,ROWS(INPUTS!$E$42:$E$50)),"LARGER",INDEX(INPUTS!$D$42:$D$50,MATCH(AG_REQ!G80,INPUTS!$E$42:$E$50,1)+1)))))</f>
        <v>14x24</v>
      </c>
      <c r="H80" s="4" t="str">
        <f aca="false">IF(TRIB!H80="","",IF(OR(ARCH!H80="",LEFT(ARCH!H80,3)="14x"),IF(AG_REQ!H80&lt;=INDEX(INPUTS!$B$42:$B$50,1),INDEX(INPUTS!$A$42:$A$50,1),IF(AG_REQ!H80&gt;INDEX(INPUTS!$B$42:$B$50,ROWS(INPUTS!$B$42:$B$50)),"LARGER",INDEX(INPUTS!$A$42:$A$50,MATCH(AG_REQ!H80,INPUTS!$B$42:$B$50,1)+1))),IF(AG_REQ!H80&lt;=INDEX(INPUTS!$E$42:$E$50,1),INDEX(INPUTS!$D$42:$D$50,1),IF(AG_REQ!H80&gt;INDEX(INPUTS!$E$42:$E$50,ROWS(INPUTS!$E$42:$E$50)),"LARGER",INDEX(INPUTS!$D$42:$D$50,MATCH(AG_REQ!H80,INPUTS!$E$42:$E$50,1)+1)))))</f>
        <v>14x24</v>
      </c>
      <c r="I80" s="4" t="str">
        <f aca="false">IF(TRIB!I80="","",IF(OR(ARCH!I80="",LEFT(ARCH!I80,3)="14x"),IF(AG_REQ!I80&lt;=INDEX(INPUTS!$B$42:$B$50,1),INDEX(INPUTS!$A$42:$A$50,1),IF(AG_REQ!I80&gt;INDEX(INPUTS!$B$42:$B$50,ROWS(INPUTS!$B$42:$B$50)),"LARGER",INDEX(INPUTS!$A$42:$A$50,MATCH(AG_REQ!I80,INPUTS!$B$42:$B$50,1)+1))),IF(AG_REQ!I80&lt;=INDEX(INPUTS!$E$42:$E$50,1),INDEX(INPUTS!$D$42:$D$50,1),IF(AG_REQ!I80&gt;INDEX(INPUTS!$E$42:$E$50,ROWS(INPUTS!$E$42:$E$50)),"LARGER",INDEX(INPUTS!$D$42:$D$50,MATCH(AG_REQ!I80,INPUTS!$E$42:$E$50,1)+1)))))</f>
        <v>14x24</v>
      </c>
      <c r="J80" s="4" t="str">
        <f aca="false">IF(TRIB!J80="","",IF(OR(ARCH!J80="",LEFT(ARCH!J80,3)="14x"),IF(AG_REQ!J80&lt;=INDEX(INPUTS!$B$42:$B$50,1),INDEX(INPUTS!$A$42:$A$50,1),IF(AG_REQ!J80&gt;INDEX(INPUTS!$B$42:$B$50,ROWS(INPUTS!$B$42:$B$50)),"LARGER",INDEX(INPUTS!$A$42:$A$50,MATCH(AG_REQ!J80,INPUTS!$B$42:$B$50,1)+1))),IF(AG_REQ!J80&lt;=INDEX(INPUTS!$E$42:$E$50,1),INDEX(INPUTS!$D$42:$D$50,1),IF(AG_REQ!J80&gt;INDEX(INPUTS!$E$42:$E$50,ROWS(INPUTS!$E$42:$E$50)),"LARGER",INDEX(INPUTS!$D$42:$D$50,MATCH(AG_REQ!J80,INPUTS!$E$42:$E$50,1)+1)))))</f>
        <v>14x24</v>
      </c>
      <c r="K80" s="4" t="str">
        <f aca="false">IF(TRIB!K80="","",IF(OR(ARCH!K80="",LEFT(ARCH!K80,3)="14x"),IF(AG_REQ!K80&lt;=INDEX(INPUTS!$B$42:$B$50,1),INDEX(INPUTS!$A$42:$A$50,1),IF(AG_REQ!K80&gt;INDEX(INPUTS!$B$42:$B$50,ROWS(INPUTS!$B$42:$B$50)),"LARGER",INDEX(INPUTS!$A$42:$A$50,MATCH(AG_REQ!K80,INPUTS!$B$42:$B$50,1)+1))),IF(AG_REQ!K80&lt;=INDEX(INPUTS!$E$42:$E$50,1),INDEX(INPUTS!$D$42:$D$50,1),IF(AG_REQ!K80&gt;INDEX(INPUTS!$E$42:$E$50,ROWS(INPUTS!$E$42:$E$50)),"LARGER",INDEX(INPUTS!$D$42:$D$50,MATCH(AG_REQ!K80,INPUTS!$E$42:$E$50,1)+1)))))</f>
        <v/>
      </c>
      <c r="L80" s="4" t="str">
        <f aca="false">IF(TRIB!L80="","",IF(OR(ARCH!L80="",LEFT(ARCH!L80,3)="14x"),IF(AG_REQ!L80&lt;=INDEX(INPUTS!$B$42:$B$50,1),INDEX(INPUTS!$A$42:$A$50,1),IF(AG_REQ!L80&gt;INDEX(INPUTS!$B$42:$B$50,ROWS(INPUTS!$B$42:$B$50)),"LARGER",INDEX(INPUTS!$A$42:$A$50,MATCH(AG_REQ!L80,INPUTS!$B$42:$B$50,1)+1))),IF(AG_REQ!L80&lt;=INDEX(INPUTS!$E$42:$E$50,1),INDEX(INPUTS!$D$42:$D$50,1),IF(AG_REQ!L80&gt;INDEX(INPUTS!$E$42:$E$50,ROWS(INPUTS!$E$42:$E$50)),"LARGER",INDEX(INPUTS!$D$42:$D$50,MATCH(AG_REQ!L80,INPUTS!$E$42:$E$50,1)+1)))))</f>
        <v/>
      </c>
      <c r="M80" s="4" t="str">
        <f aca="false">IF(TRIB!M80="","",IF(OR(ARCH!M80="",LEFT(ARCH!M80,3)="14x"),IF(AG_REQ!M80&lt;=INDEX(INPUTS!$B$42:$B$50,1),INDEX(INPUTS!$A$42:$A$50,1),IF(AG_REQ!M80&gt;INDEX(INPUTS!$B$42:$B$50,ROWS(INPUTS!$B$42:$B$50)),"LARGER",INDEX(INPUTS!$A$42:$A$50,MATCH(AG_REQ!M80,INPUTS!$B$42:$B$50,1)+1))),IF(AG_REQ!M80&lt;=INDEX(INPUTS!$E$42:$E$50,1),INDEX(INPUTS!$D$42:$D$50,1),IF(AG_REQ!M80&gt;INDEX(INPUTS!$E$42:$E$50,ROWS(INPUTS!$E$42:$E$50)),"LARGER",INDEX(INPUTS!$D$42:$D$50,MATCH(AG_REQ!M80,INPUTS!$E$42:$E$50,1)+1)))))</f>
        <v/>
      </c>
      <c r="N80" s="4" t="str">
        <f aca="false">IF(TRIB!N80="","",IF(OR(ARCH!N80="",LEFT(ARCH!N80,3)="14x"),IF(AG_REQ!N80&lt;=INDEX(INPUTS!$B$42:$B$50,1),INDEX(INPUTS!$A$42:$A$50,1),IF(AG_REQ!N80&gt;INDEX(INPUTS!$B$42:$B$50,ROWS(INPUTS!$B$42:$B$50)),"LARGER",INDEX(INPUTS!$A$42:$A$50,MATCH(AG_REQ!N80,INPUTS!$B$42:$B$50,1)+1))),IF(AG_REQ!N80&lt;=INDEX(INPUTS!$E$42:$E$50,1),INDEX(INPUTS!$D$42:$D$50,1),IF(AG_REQ!N80&gt;INDEX(INPUTS!$E$42:$E$50,ROWS(INPUTS!$E$42:$E$50)),"LARGER",INDEX(INPUTS!$D$42:$D$50,MATCH(AG_REQ!N80,INPUTS!$E$42:$E$50,1)+1)))))</f>
        <v/>
      </c>
      <c r="O80" s="4" t="str">
        <f aca="false">IF(TRIB!O80="","",IF(OR(ARCH!O80="",LEFT(ARCH!O80,3)="14x"),IF(AG_REQ!O80&lt;=INDEX(INPUTS!$B$42:$B$50,1),INDEX(INPUTS!$A$42:$A$50,1),IF(AG_REQ!O80&gt;INDEX(INPUTS!$B$42:$B$50,ROWS(INPUTS!$B$42:$B$50)),"LARGER",INDEX(INPUTS!$A$42:$A$50,MATCH(AG_REQ!O80,INPUTS!$B$42:$B$50,1)+1))),IF(AG_REQ!O80&lt;=INDEX(INPUTS!$E$42:$E$50,1),INDEX(INPUTS!$D$42:$D$50,1),IF(AG_REQ!O80&gt;INDEX(INPUTS!$E$42:$E$50,ROWS(INPUTS!$E$42:$E$50)),"LARGER",INDEX(INPUTS!$D$42:$D$50,MATCH(AG_REQ!O80,INPUTS!$E$42:$E$50,1)+1)))))</f>
        <v/>
      </c>
      <c r="P80" s="4" t="str">
        <f aca="false">IF(TRIB!P80="","",IF(OR(ARCH!P80="",LEFT(ARCH!P80,3)="14x"),IF(AG_REQ!P80&lt;=INDEX(INPUTS!$B$42:$B$50,1),INDEX(INPUTS!$A$42:$A$50,1),IF(AG_REQ!P80&gt;INDEX(INPUTS!$B$42:$B$50,ROWS(INPUTS!$B$42:$B$50)),"LARGER",INDEX(INPUTS!$A$42:$A$50,MATCH(AG_REQ!P80,INPUTS!$B$42:$B$50,1)+1))),IF(AG_REQ!P80&lt;=INDEX(INPUTS!$E$42:$E$50,1),INDEX(INPUTS!$D$42:$D$50,1),IF(AG_REQ!P80&gt;INDEX(INPUTS!$E$42:$E$50,ROWS(INPUTS!$E$42:$E$50)),"LARGER",INDEX(INPUTS!$D$42:$D$50,MATCH(AG_REQ!P80,INPUTS!$E$42:$E$50,1)+1)))))</f>
        <v/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4" t="str">
        <f aca="false">IF(TRIB!E81="","",IF(OR(ARCH!E81="",LEFT(ARCH!E81,3)="14x"),IF(AG_REQ!E81&lt;=INDEX(INPUTS!$B$42:$B$50,1),INDEX(INPUTS!$A$42:$A$50,1),IF(AG_REQ!E81&gt;INDEX(INPUTS!$B$42:$B$50,ROWS(INPUTS!$B$42:$B$50)),"LARGER",INDEX(INPUTS!$A$42:$A$50,MATCH(AG_REQ!E81,INPUTS!$B$42:$B$50,1)+1))),IF(AG_REQ!E81&lt;=INDEX(INPUTS!$E$42:$E$50,1),INDEX(INPUTS!$D$42:$D$50,1),IF(AG_REQ!E81&gt;INDEX(INPUTS!$E$42:$E$50,ROWS(INPUTS!$E$42:$E$50)),"LARGER",INDEX(INPUTS!$D$42:$D$50,MATCH(AG_REQ!E81,INPUTS!$E$42:$E$50,1)+1)))))</f>
        <v>14x24</v>
      </c>
      <c r="F81" s="4" t="str">
        <f aca="false">IF(TRIB!F81="","",IF(OR(ARCH!F81="",LEFT(ARCH!F81,3)="14x"),IF(AG_REQ!F81&lt;=INDEX(INPUTS!$B$42:$B$50,1),INDEX(INPUTS!$A$42:$A$50,1),IF(AG_REQ!F81&gt;INDEX(INPUTS!$B$42:$B$50,ROWS(INPUTS!$B$42:$B$50)),"LARGER",INDEX(INPUTS!$A$42:$A$50,MATCH(AG_REQ!F81,INPUTS!$B$42:$B$50,1)+1))),IF(AG_REQ!F81&lt;=INDEX(INPUTS!$E$42:$E$50,1),INDEX(INPUTS!$D$42:$D$50,1),IF(AG_REQ!F81&gt;INDEX(INPUTS!$E$42:$E$50,ROWS(INPUTS!$E$42:$E$50)),"LARGER",INDEX(INPUTS!$D$42:$D$50,MATCH(AG_REQ!F81,INPUTS!$E$42:$E$50,1)+1)))))</f>
        <v>14x24</v>
      </c>
      <c r="G81" s="4" t="str">
        <f aca="false">IF(TRIB!G81="","",IF(OR(ARCH!G81="",LEFT(ARCH!G81,3)="14x"),IF(AG_REQ!G81&lt;=INDEX(INPUTS!$B$42:$B$50,1),INDEX(INPUTS!$A$42:$A$50,1),IF(AG_REQ!G81&gt;INDEX(INPUTS!$B$42:$B$50,ROWS(INPUTS!$B$42:$B$50)),"LARGER",INDEX(INPUTS!$A$42:$A$50,MATCH(AG_REQ!G81,INPUTS!$B$42:$B$50,1)+1))),IF(AG_REQ!G81&lt;=INDEX(INPUTS!$E$42:$E$50,1),INDEX(INPUTS!$D$42:$D$50,1),IF(AG_REQ!G81&gt;INDEX(INPUTS!$E$42:$E$50,ROWS(INPUTS!$E$42:$E$50)),"LARGER",INDEX(INPUTS!$D$42:$D$50,MATCH(AG_REQ!G81,INPUTS!$E$42:$E$50,1)+1)))))</f>
        <v>14x24</v>
      </c>
      <c r="H81" s="4" t="str">
        <f aca="false">IF(TRIB!H81="","",IF(OR(ARCH!H81="",LEFT(ARCH!H81,3)="14x"),IF(AG_REQ!H81&lt;=INDEX(INPUTS!$B$42:$B$50,1),INDEX(INPUTS!$A$42:$A$50,1),IF(AG_REQ!H81&gt;INDEX(INPUTS!$B$42:$B$50,ROWS(INPUTS!$B$42:$B$50)),"LARGER",INDEX(INPUTS!$A$42:$A$50,MATCH(AG_REQ!H81,INPUTS!$B$42:$B$50,1)+1))),IF(AG_REQ!H81&lt;=INDEX(INPUTS!$E$42:$E$50,1),INDEX(INPUTS!$D$42:$D$50,1),IF(AG_REQ!H81&gt;INDEX(INPUTS!$E$42:$E$50,ROWS(INPUTS!$E$42:$E$50)),"LARGER",INDEX(INPUTS!$D$42:$D$50,MATCH(AG_REQ!H81,INPUTS!$E$42:$E$50,1)+1)))))</f>
        <v>14x24</v>
      </c>
      <c r="I81" s="4" t="str">
        <f aca="false">IF(TRIB!I81="","",IF(OR(ARCH!I81="",LEFT(ARCH!I81,3)="14x"),IF(AG_REQ!I81&lt;=INDEX(INPUTS!$B$42:$B$50,1),INDEX(INPUTS!$A$42:$A$50,1),IF(AG_REQ!I81&gt;INDEX(INPUTS!$B$42:$B$50,ROWS(INPUTS!$B$42:$B$50)),"LARGER",INDEX(INPUTS!$A$42:$A$50,MATCH(AG_REQ!I81,INPUTS!$B$42:$B$50,1)+1))),IF(AG_REQ!I81&lt;=INDEX(INPUTS!$E$42:$E$50,1),INDEX(INPUTS!$D$42:$D$50,1),IF(AG_REQ!I81&gt;INDEX(INPUTS!$E$42:$E$50,ROWS(INPUTS!$E$42:$E$50)),"LARGER",INDEX(INPUTS!$D$42:$D$50,MATCH(AG_REQ!I81,INPUTS!$E$42:$E$50,1)+1)))))</f>
        <v>14x24</v>
      </c>
      <c r="J81" s="4" t="str">
        <f aca="false">IF(TRIB!J81="","",IF(OR(ARCH!J81="",LEFT(ARCH!J81,3)="14x"),IF(AG_REQ!J81&lt;=INDEX(INPUTS!$B$42:$B$50,1),INDEX(INPUTS!$A$42:$A$50,1),IF(AG_REQ!J81&gt;INDEX(INPUTS!$B$42:$B$50,ROWS(INPUTS!$B$42:$B$50)),"LARGER",INDEX(INPUTS!$A$42:$A$50,MATCH(AG_REQ!J81,INPUTS!$B$42:$B$50,1)+1))),IF(AG_REQ!J81&lt;=INDEX(INPUTS!$E$42:$E$50,1),INDEX(INPUTS!$D$42:$D$50,1),IF(AG_REQ!J81&gt;INDEX(INPUTS!$E$42:$E$50,ROWS(INPUTS!$E$42:$E$50)),"LARGER",INDEX(INPUTS!$D$42:$D$50,MATCH(AG_REQ!J81,INPUTS!$E$42:$E$50,1)+1)))))</f>
        <v>14x24</v>
      </c>
      <c r="K81" s="4" t="str">
        <f aca="false">IF(TRIB!K81="","",IF(OR(ARCH!K81="",LEFT(ARCH!K81,3)="14x"),IF(AG_REQ!K81&lt;=INDEX(INPUTS!$B$42:$B$50,1),INDEX(INPUTS!$A$42:$A$50,1),IF(AG_REQ!K81&gt;INDEX(INPUTS!$B$42:$B$50,ROWS(INPUTS!$B$42:$B$50)),"LARGER",INDEX(INPUTS!$A$42:$A$50,MATCH(AG_REQ!K81,INPUTS!$B$42:$B$50,1)+1))),IF(AG_REQ!K81&lt;=INDEX(INPUTS!$E$42:$E$50,1),INDEX(INPUTS!$D$42:$D$50,1),IF(AG_REQ!K81&gt;INDEX(INPUTS!$E$42:$E$50,ROWS(INPUTS!$E$42:$E$50)),"LARGER",INDEX(INPUTS!$D$42:$D$50,MATCH(AG_REQ!K81,INPUTS!$E$42:$E$50,1)+1)))))</f>
        <v/>
      </c>
      <c r="L81" s="4" t="str">
        <f aca="false">IF(TRIB!L81="","",IF(OR(ARCH!L81="",LEFT(ARCH!L81,3)="14x"),IF(AG_REQ!L81&lt;=INDEX(INPUTS!$B$42:$B$50,1),INDEX(INPUTS!$A$42:$A$50,1),IF(AG_REQ!L81&gt;INDEX(INPUTS!$B$42:$B$50,ROWS(INPUTS!$B$42:$B$50)),"LARGER",INDEX(INPUTS!$A$42:$A$50,MATCH(AG_REQ!L81,INPUTS!$B$42:$B$50,1)+1))),IF(AG_REQ!L81&lt;=INDEX(INPUTS!$E$42:$E$50,1),INDEX(INPUTS!$D$42:$D$50,1),IF(AG_REQ!L81&gt;INDEX(INPUTS!$E$42:$E$50,ROWS(INPUTS!$E$42:$E$50)),"LARGER",INDEX(INPUTS!$D$42:$D$50,MATCH(AG_REQ!L81,INPUTS!$E$42:$E$50,1)+1)))))</f>
        <v/>
      </c>
      <c r="M81" s="4" t="str">
        <f aca="false">IF(TRIB!M81="","",IF(OR(ARCH!M81="",LEFT(ARCH!M81,3)="14x"),IF(AG_REQ!M81&lt;=INDEX(INPUTS!$B$42:$B$50,1),INDEX(INPUTS!$A$42:$A$50,1),IF(AG_REQ!M81&gt;INDEX(INPUTS!$B$42:$B$50,ROWS(INPUTS!$B$42:$B$50)),"LARGER",INDEX(INPUTS!$A$42:$A$50,MATCH(AG_REQ!M81,INPUTS!$B$42:$B$50,1)+1))),IF(AG_REQ!M81&lt;=INDEX(INPUTS!$E$42:$E$50,1),INDEX(INPUTS!$D$42:$D$50,1),IF(AG_REQ!M81&gt;INDEX(INPUTS!$E$42:$E$50,ROWS(INPUTS!$E$42:$E$50)),"LARGER",INDEX(INPUTS!$D$42:$D$50,MATCH(AG_REQ!M81,INPUTS!$E$42:$E$50,1)+1)))))</f>
        <v/>
      </c>
      <c r="N81" s="4" t="str">
        <f aca="false">IF(TRIB!N81="","",IF(OR(ARCH!N81="",LEFT(ARCH!N81,3)="14x"),IF(AG_REQ!N81&lt;=INDEX(INPUTS!$B$42:$B$50,1),INDEX(INPUTS!$A$42:$A$50,1),IF(AG_REQ!N81&gt;INDEX(INPUTS!$B$42:$B$50,ROWS(INPUTS!$B$42:$B$50)),"LARGER",INDEX(INPUTS!$A$42:$A$50,MATCH(AG_REQ!N81,INPUTS!$B$42:$B$50,1)+1))),IF(AG_REQ!N81&lt;=INDEX(INPUTS!$E$42:$E$50,1),INDEX(INPUTS!$D$42:$D$50,1),IF(AG_REQ!N81&gt;INDEX(INPUTS!$E$42:$E$50,ROWS(INPUTS!$E$42:$E$50)),"LARGER",INDEX(INPUTS!$D$42:$D$50,MATCH(AG_REQ!N81,INPUTS!$E$42:$E$50,1)+1)))))</f>
        <v/>
      </c>
      <c r="O81" s="4" t="str">
        <f aca="false">IF(TRIB!O81="","",IF(OR(ARCH!O81="",LEFT(ARCH!O81,3)="14x"),IF(AG_REQ!O81&lt;=INDEX(INPUTS!$B$42:$B$50,1),INDEX(INPUTS!$A$42:$A$50,1),IF(AG_REQ!O81&gt;INDEX(INPUTS!$B$42:$B$50,ROWS(INPUTS!$B$42:$B$50)),"LARGER",INDEX(INPUTS!$A$42:$A$50,MATCH(AG_REQ!O81,INPUTS!$B$42:$B$50,1)+1))),IF(AG_REQ!O81&lt;=INDEX(INPUTS!$E$42:$E$50,1),INDEX(INPUTS!$D$42:$D$50,1),IF(AG_REQ!O81&gt;INDEX(INPUTS!$E$42:$E$50,ROWS(INPUTS!$E$42:$E$50)),"LARGER",INDEX(INPUTS!$D$42:$D$50,MATCH(AG_REQ!O81,INPUTS!$E$42:$E$50,1)+1)))))</f>
        <v/>
      </c>
      <c r="P81" s="4" t="str">
        <f aca="false">IF(TRIB!P81="","",IF(OR(ARCH!P81="",LEFT(ARCH!P81,3)="14x"),IF(AG_REQ!P81&lt;=INDEX(INPUTS!$B$42:$B$50,1),INDEX(INPUTS!$A$42:$A$50,1),IF(AG_REQ!P81&gt;INDEX(INPUTS!$B$42:$B$50,ROWS(INPUTS!$B$42:$B$50)),"LARGER",INDEX(INPUTS!$A$42:$A$50,MATCH(AG_REQ!P81,INPUTS!$B$42:$B$50,1)+1))),IF(AG_REQ!P81&lt;=INDEX(INPUTS!$E$42:$E$50,1),INDEX(INPUTS!$D$42:$D$50,1),IF(AG_REQ!P81&gt;INDEX(INPUTS!$E$42:$E$50,ROWS(INPUTS!$E$42:$E$50)),"LARGER",INDEX(INPUTS!$D$42:$D$50,MATCH(AG_REQ!P81,INPUTS!$E$42:$E$50,1)+1)))))</f>
        <v/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4" t="str">
        <f aca="false">IF(TRIB!E82="","",IF(OR(ARCH!E82="",LEFT(ARCH!E82,3)="14x"),IF(AG_REQ!E82&lt;=INDEX(INPUTS!$B$42:$B$50,1),INDEX(INPUTS!$A$42:$A$50,1),IF(AG_REQ!E82&gt;INDEX(INPUTS!$B$42:$B$50,ROWS(INPUTS!$B$42:$B$50)),"LARGER",INDEX(INPUTS!$A$42:$A$50,MATCH(AG_REQ!E82,INPUTS!$B$42:$B$50,1)+1))),IF(AG_REQ!E82&lt;=INDEX(INPUTS!$E$42:$E$50,1),INDEX(INPUTS!$D$42:$D$50,1),IF(AG_REQ!E82&gt;INDEX(INPUTS!$E$42:$E$50,ROWS(INPUTS!$E$42:$E$50)),"LARGER",INDEX(INPUTS!$D$42:$D$50,MATCH(AG_REQ!E82,INPUTS!$E$42:$E$50,1)+1)))))</f>
        <v>14x24</v>
      </c>
      <c r="F82" s="4" t="str">
        <f aca="false">IF(TRIB!F82="","",IF(OR(ARCH!F82="",LEFT(ARCH!F82,3)="14x"),IF(AG_REQ!F82&lt;=INDEX(INPUTS!$B$42:$B$50,1),INDEX(INPUTS!$A$42:$A$50,1),IF(AG_REQ!F82&gt;INDEX(INPUTS!$B$42:$B$50,ROWS(INPUTS!$B$42:$B$50)),"LARGER",INDEX(INPUTS!$A$42:$A$50,MATCH(AG_REQ!F82,INPUTS!$B$42:$B$50,1)+1))),IF(AG_REQ!F82&lt;=INDEX(INPUTS!$E$42:$E$50,1),INDEX(INPUTS!$D$42:$D$50,1),IF(AG_REQ!F82&gt;INDEX(INPUTS!$E$42:$E$50,ROWS(INPUTS!$E$42:$E$50)),"LARGER",INDEX(INPUTS!$D$42:$D$50,MATCH(AG_REQ!F82,INPUTS!$E$42:$E$50,1)+1)))))</f>
        <v>14x24</v>
      </c>
      <c r="G82" s="4" t="str">
        <f aca="false">IF(TRIB!G82="","",IF(OR(ARCH!G82="",LEFT(ARCH!G82,3)="14x"),IF(AG_REQ!G82&lt;=INDEX(INPUTS!$B$42:$B$50,1),INDEX(INPUTS!$A$42:$A$50,1),IF(AG_REQ!G82&gt;INDEX(INPUTS!$B$42:$B$50,ROWS(INPUTS!$B$42:$B$50)),"LARGER",INDEX(INPUTS!$A$42:$A$50,MATCH(AG_REQ!G82,INPUTS!$B$42:$B$50,1)+1))),IF(AG_REQ!G82&lt;=INDEX(INPUTS!$E$42:$E$50,1),INDEX(INPUTS!$D$42:$D$50,1),IF(AG_REQ!G82&gt;INDEX(INPUTS!$E$42:$E$50,ROWS(INPUTS!$E$42:$E$50)),"LARGER",INDEX(INPUTS!$D$42:$D$50,MATCH(AG_REQ!G82,INPUTS!$E$42:$E$50,1)+1)))))</f>
        <v>14x24</v>
      </c>
      <c r="H82" s="4" t="str">
        <f aca="false">IF(TRIB!H82="","",IF(OR(ARCH!H82="",LEFT(ARCH!H82,3)="14x"),IF(AG_REQ!H82&lt;=INDEX(INPUTS!$B$42:$B$50,1),INDEX(INPUTS!$A$42:$A$50,1),IF(AG_REQ!H82&gt;INDEX(INPUTS!$B$42:$B$50,ROWS(INPUTS!$B$42:$B$50)),"LARGER",INDEX(INPUTS!$A$42:$A$50,MATCH(AG_REQ!H82,INPUTS!$B$42:$B$50,1)+1))),IF(AG_REQ!H82&lt;=INDEX(INPUTS!$E$42:$E$50,1),INDEX(INPUTS!$D$42:$D$50,1),IF(AG_REQ!H82&gt;INDEX(INPUTS!$E$42:$E$50,ROWS(INPUTS!$E$42:$E$50)),"LARGER",INDEX(INPUTS!$D$42:$D$50,MATCH(AG_REQ!H82,INPUTS!$E$42:$E$50,1)+1)))))</f>
        <v>14x24</v>
      </c>
      <c r="I82" s="4" t="str">
        <f aca="false">IF(TRIB!I82="","",IF(OR(ARCH!I82="",LEFT(ARCH!I82,3)="14x"),IF(AG_REQ!I82&lt;=INDEX(INPUTS!$B$42:$B$50,1),INDEX(INPUTS!$A$42:$A$50,1),IF(AG_REQ!I82&gt;INDEX(INPUTS!$B$42:$B$50,ROWS(INPUTS!$B$42:$B$50)),"LARGER",INDEX(INPUTS!$A$42:$A$50,MATCH(AG_REQ!I82,INPUTS!$B$42:$B$50,1)+1))),IF(AG_REQ!I82&lt;=INDEX(INPUTS!$E$42:$E$50,1),INDEX(INPUTS!$D$42:$D$50,1),IF(AG_REQ!I82&gt;INDEX(INPUTS!$E$42:$E$50,ROWS(INPUTS!$E$42:$E$50)),"LARGER",INDEX(INPUTS!$D$42:$D$50,MATCH(AG_REQ!I82,INPUTS!$E$42:$E$50,1)+1)))))</f>
        <v>14x24</v>
      </c>
      <c r="J82" s="4" t="str">
        <f aca="false">IF(TRIB!J82="","",IF(OR(ARCH!J82="",LEFT(ARCH!J82,3)="14x"),IF(AG_REQ!J82&lt;=INDEX(INPUTS!$B$42:$B$50,1),INDEX(INPUTS!$A$42:$A$50,1),IF(AG_REQ!J82&gt;INDEX(INPUTS!$B$42:$B$50,ROWS(INPUTS!$B$42:$B$50)),"LARGER",INDEX(INPUTS!$A$42:$A$50,MATCH(AG_REQ!J82,INPUTS!$B$42:$B$50,1)+1))),IF(AG_REQ!J82&lt;=INDEX(INPUTS!$E$42:$E$50,1),INDEX(INPUTS!$D$42:$D$50,1),IF(AG_REQ!J82&gt;INDEX(INPUTS!$E$42:$E$50,ROWS(INPUTS!$E$42:$E$50)),"LARGER",INDEX(INPUTS!$D$42:$D$50,MATCH(AG_REQ!J82,INPUTS!$E$42:$E$50,1)+1)))))</f>
        <v>14x24</v>
      </c>
      <c r="K82" s="4" t="str">
        <f aca="false">IF(TRIB!K82="","",IF(OR(ARCH!K82="",LEFT(ARCH!K82,3)="14x"),IF(AG_REQ!K82&lt;=INDEX(INPUTS!$B$42:$B$50,1),INDEX(INPUTS!$A$42:$A$50,1),IF(AG_REQ!K82&gt;INDEX(INPUTS!$B$42:$B$50,ROWS(INPUTS!$B$42:$B$50)),"LARGER",INDEX(INPUTS!$A$42:$A$50,MATCH(AG_REQ!K82,INPUTS!$B$42:$B$50,1)+1))),IF(AG_REQ!K82&lt;=INDEX(INPUTS!$E$42:$E$50,1),INDEX(INPUTS!$D$42:$D$50,1),IF(AG_REQ!K82&gt;INDEX(INPUTS!$E$42:$E$50,ROWS(INPUTS!$E$42:$E$50)),"LARGER",INDEX(INPUTS!$D$42:$D$50,MATCH(AG_REQ!K82,INPUTS!$E$42:$E$50,1)+1)))))</f>
        <v/>
      </c>
      <c r="L82" s="4" t="str">
        <f aca="false">IF(TRIB!L82="","",IF(OR(ARCH!L82="",LEFT(ARCH!L82,3)="14x"),IF(AG_REQ!L82&lt;=INDEX(INPUTS!$B$42:$B$50,1),INDEX(INPUTS!$A$42:$A$50,1),IF(AG_REQ!L82&gt;INDEX(INPUTS!$B$42:$B$50,ROWS(INPUTS!$B$42:$B$50)),"LARGER",INDEX(INPUTS!$A$42:$A$50,MATCH(AG_REQ!L82,INPUTS!$B$42:$B$50,1)+1))),IF(AG_REQ!L82&lt;=INDEX(INPUTS!$E$42:$E$50,1),INDEX(INPUTS!$D$42:$D$50,1),IF(AG_REQ!L82&gt;INDEX(INPUTS!$E$42:$E$50,ROWS(INPUTS!$E$42:$E$50)),"LARGER",INDEX(INPUTS!$D$42:$D$50,MATCH(AG_REQ!L82,INPUTS!$E$42:$E$50,1)+1)))))</f>
        <v/>
      </c>
      <c r="M82" s="4" t="str">
        <f aca="false">IF(TRIB!M82="","",IF(OR(ARCH!M82="",LEFT(ARCH!M82,3)="14x"),IF(AG_REQ!M82&lt;=INDEX(INPUTS!$B$42:$B$50,1),INDEX(INPUTS!$A$42:$A$50,1),IF(AG_REQ!M82&gt;INDEX(INPUTS!$B$42:$B$50,ROWS(INPUTS!$B$42:$B$50)),"LARGER",INDEX(INPUTS!$A$42:$A$50,MATCH(AG_REQ!M82,INPUTS!$B$42:$B$50,1)+1))),IF(AG_REQ!M82&lt;=INDEX(INPUTS!$E$42:$E$50,1),INDEX(INPUTS!$D$42:$D$50,1),IF(AG_REQ!M82&gt;INDEX(INPUTS!$E$42:$E$50,ROWS(INPUTS!$E$42:$E$50)),"LARGER",INDEX(INPUTS!$D$42:$D$50,MATCH(AG_REQ!M82,INPUTS!$E$42:$E$50,1)+1)))))</f>
        <v/>
      </c>
      <c r="N82" s="4" t="str">
        <f aca="false">IF(TRIB!N82="","",IF(OR(ARCH!N82="",LEFT(ARCH!N82,3)="14x"),IF(AG_REQ!N82&lt;=INDEX(INPUTS!$B$42:$B$50,1),INDEX(INPUTS!$A$42:$A$50,1),IF(AG_REQ!N82&gt;INDEX(INPUTS!$B$42:$B$50,ROWS(INPUTS!$B$42:$B$50)),"LARGER",INDEX(INPUTS!$A$42:$A$50,MATCH(AG_REQ!N82,INPUTS!$B$42:$B$50,1)+1))),IF(AG_REQ!N82&lt;=INDEX(INPUTS!$E$42:$E$50,1),INDEX(INPUTS!$D$42:$D$50,1),IF(AG_REQ!N82&gt;INDEX(INPUTS!$E$42:$E$50,ROWS(INPUTS!$E$42:$E$50)),"LARGER",INDEX(INPUTS!$D$42:$D$50,MATCH(AG_REQ!N82,INPUTS!$E$42:$E$50,1)+1)))))</f>
        <v/>
      </c>
      <c r="O82" s="4" t="str">
        <f aca="false">IF(TRIB!O82="","",IF(OR(ARCH!O82="",LEFT(ARCH!O82,3)="14x"),IF(AG_REQ!O82&lt;=INDEX(INPUTS!$B$42:$B$50,1),INDEX(INPUTS!$A$42:$A$50,1),IF(AG_REQ!O82&gt;INDEX(INPUTS!$B$42:$B$50,ROWS(INPUTS!$B$42:$B$50)),"LARGER",INDEX(INPUTS!$A$42:$A$50,MATCH(AG_REQ!O82,INPUTS!$B$42:$B$50,1)+1))),IF(AG_REQ!O82&lt;=INDEX(INPUTS!$E$42:$E$50,1),INDEX(INPUTS!$D$42:$D$50,1),IF(AG_REQ!O82&gt;INDEX(INPUTS!$E$42:$E$50,ROWS(INPUTS!$E$42:$E$50)),"LARGER",INDEX(INPUTS!$D$42:$D$50,MATCH(AG_REQ!O82,INPUTS!$E$42:$E$50,1)+1)))))</f>
        <v/>
      </c>
      <c r="P82" s="4" t="str">
        <f aca="false">IF(TRIB!P82="","",IF(OR(ARCH!P82="",LEFT(ARCH!P82,3)="14x"),IF(AG_REQ!P82&lt;=INDEX(INPUTS!$B$42:$B$50,1),INDEX(INPUTS!$A$42:$A$50,1),IF(AG_REQ!P82&gt;INDEX(INPUTS!$B$42:$B$50,ROWS(INPUTS!$B$42:$B$50)),"LARGER",INDEX(INPUTS!$A$42:$A$50,MATCH(AG_REQ!P82,INPUTS!$B$42:$B$50,1)+1))),IF(AG_REQ!P82&lt;=INDEX(INPUTS!$E$42:$E$50,1),INDEX(INPUTS!$D$42:$D$50,1),IF(AG_REQ!P82&gt;INDEX(INPUTS!$E$42:$E$50,ROWS(INPUTS!$E$42:$E$50)),"LARGER",INDEX(INPUTS!$D$42:$D$50,MATCH(AG_REQ!P82,INPUTS!$E$42:$E$50,1)+1)))))</f>
        <v/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4" t="str">
        <f aca="false">IF(TRIB!E83="","",IF(OR(ARCH!E83="",LEFT(ARCH!E83,3)="14x"),IF(AG_REQ!E83&lt;=INDEX(INPUTS!$B$42:$B$50,1),INDEX(INPUTS!$A$42:$A$50,1),IF(AG_REQ!E83&gt;INDEX(INPUTS!$B$42:$B$50,ROWS(INPUTS!$B$42:$B$50)),"LARGER",INDEX(INPUTS!$A$42:$A$50,MATCH(AG_REQ!E83,INPUTS!$B$42:$B$50,1)+1))),IF(AG_REQ!E83&lt;=INDEX(INPUTS!$E$42:$E$50,1),INDEX(INPUTS!$D$42:$D$50,1),IF(AG_REQ!E83&gt;INDEX(INPUTS!$E$42:$E$50,ROWS(INPUTS!$E$42:$E$50)),"LARGER",INDEX(INPUTS!$D$42:$D$50,MATCH(AG_REQ!E83,INPUTS!$E$42:$E$50,1)+1)))))</f>
        <v>14x24</v>
      </c>
      <c r="F83" s="4" t="str">
        <f aca="false">IF(TRIB!F83="","",IF(OR(ARCH!F83="",LEFT(ARCH!F83,3)="14x"),IF(AG_REQ!F83&lt;=INDEX(INPUTS!$B$42:$B$50,1),INDEX(INPUTS!$A$42:$A$50,1),IF(AG_REQ!F83&gt;INDEX(INPUTS!$B$42:$B$50,ROWS(INPUTS!$B$42:$B$50)),"LARGER",INDEX(INPUTS!$A$42:$A$50,MATCH(AG_REQ!F83,INPUTS!$B$42:$B$50,1)+1))),IF(AG_REQ!F83&lt;=INDEX(INPUTS!$E$42:$E$50,1),INDEX(INPUTS!$D$42:$D$50,1),IF(AG_REQ!F83&gt;INDEX(INPUTS!$E$42:$E$50,ROWS(INPUTS!$E$42:$E$50)),"LARGER",INDEX(INPUTS!$D$42:$D$50,MATCH(AG_REQ!F83,INPUTS!$E$42:$E$50,1)+1)))))</f>
        <v>14x24</v>
      </c>
      <c r="G83" s="4" t="str">
        <f aca="false">IF(TRIB!G83="","",IF(OR(ARCH!G83="",LEFT(ARCH!G83,3)="14x"),IF(AG_REQ!G83&lt;=INDEX(INPUTS!$B$42:$B$50,1),INDEX(INPUTS!$A$42:$A$50,1),IF(AG_REQ!G83&gt;INDEX(INPUTS!$B$42:$B$50,ROWS(INPUTS!$B$42:$B$50)),"LARGER",INDEX(INPUTS!$A$42:$A$50,MATCH(AG_REQ!G83,INPUTS!$B$42:$B$50,1)+1))),IF(AG_REQ!G83&lt;=INDEX(INPUTS!$E$42:$E$50,1),INDEX(INPUTS!$D$42:$D$50,1),IF(AG_REQ!G83&gt;INDEX(INPUTS!$E$42:$E$50,ROWS(INPUTS!$E$42:$E$50)),"LARGER",INDEX(INPUTS!$D$42:$D$50,MATCH(AG_REQ!G83,INPUTS!$E$42:$E$50,1)+1)))))</f>
        <v>14x24</v>
      </c>
      <c r="H83" s="4" t="str">
        <f aca="false">IF(TRIB!H83="","",IF(OR(ARCH!H83="",LEFT(ARCH!H83,3)="14x"),IF(AG_REQ!H83&lt;=INDEX(INPUTS!$B$42:$B$50,1),INDEX(INPUTS!$A$42:$A$50,1),IF(AG_REQ!H83&gt;INDEX(INPUTS!$B$42:$B$50,ROWS(INPUTS!$B$42:$B$50)),"LARGER",INDEX(INPUTS!$A$42:$A$50,MATCH(AG_REQ!H83,INPUTS!$B$42:$B$50,1)+1))),IF(AG_REQ!H83&lt;=INDEX(INPUTS!$E$42:$E$50,1),INDEX(INPUTS!$D$42:$D$50,1),IF(AG_REQ!H83&gt;INDEX(INPUTS!$E$42:$E$50,ROWS(INPUTS!$E$42:$E$50)),"LARGER",INDEX(INPUTS!$D$42:$D$50,MATCH(AG_REQ!H83,INPUTS!$E$42:$E$50,1)+1)))))</f>
        <v>14x24</v>
      </c>
      <c r="I83" s="4" t="str">
        <f aca="false">IF(TRIB!I83="","",IF(OR(ARCH!I83="",LEFT(ARCH!I83,3)="14x"),IF(AG_REQ!I83&lt;=INDEX(INPUTS!$B$42:$B$50,1),INDEX(INPUTS!$A$42:$A$50,1),IF(AG_REQ!I83&gt;INDEX(INPUTS!$B$42:$B$50,ROWS(INPUTS!$B$42:$B$50)),"LARGER",INDEX(INPUTS!$A$42:$A$50,MATCH(AG_REQ!I83,INPUTS!$B$42:$B$50,1)+1))),IF(AG_REQ!I83&lt;=INDEX(INPUTS!$E$42:$E$50,1),INDEX(INPUTS!$D$42:$D$50,1),IF(AG_REQ!I83&gt;INDEX(INPUTS!$E$42:$E$50,ROWS(INPUTS!$E$42:$E$50)),"LARGER",INDEX(INPUTS!$D$42:$D$50,MATCH(AG_REQ!I83,INPUTS!$E$42:$E$50,1)+1)))))</f>
        <v>14x24</v>
      </c>
      <c r="J83" s="4" t="str">
        <f aca="false">IF(TRIB!J83="","",IF(OR(ARCH!J83="",LEFT(ARCH!J83,3)="14x"),IF(AG_REQ!J83&lt;=INDEX(INPUTS!$B$42:$B$50,1),INDEX(INPUTS!$A$42:$A$50,1),IF(AG_REQ!J83&gt;INDEX(INPUTS!$B$42:$B$50,ROWS(INPUTS!$B$42:$B$50)),"LARGER",INDEX(INPUTS!$A$42:$A$50,MATCH(AG_REQ!J83,INPUTS!$B$42:$B$50,1)+1))),IF(AG_REQ!J83&lt;=INDEX(INPUTS!$E$42:$E$50,1),INDEX(INPUTS!$D$42:$D$50,1),IF(AG_REQ!J83&gt;INDEX(INPUTS!$E$42:$E$50,ROWS(INPUTS!$E$42:$E$50)),"LARGER",INDEX(INPUTS!$D$42:$D$50,MATCH(AG_REQ!J83,INPUTS!$E$42:$E$50,1)+1)))))</f>
        <v>14x24</v>
      </c>
      <c r="K83" s="4" t="str">
        <f aca="false">IF(TRIB!K83="","",IF(OR(ARCH!K83="",LEFT(ARCH!K83,3)="14x"),IF(AG_REQ!K83&lt;=INDEX(INPUTS!$B$42:$B$50,1),INDEX(INPUTS!$A$42:$A$50,1),IF(AG_REQ!K83&gt;INDEX(INPUTS!$B$42:$B$50,ROWS(INPUTS!$B$42:$B$50)),"LARGER",INDEX(INPUTS!$A$42:$A$50,MATCH(AG_REQ!K83,INPUTS!$B$42:$B$50,1)+1))),IF(AG_REQ!K83&lt;=INDEX(INPUTS!$E$42:$E$50,1),INDEX(INPUTS!$D$42:$D$50,1),IF(AG_REQ!K83&gt;INDEX(INPUTS!$E$42:$E$50,ROWS(INPUTS!$E$42:$E$50)),"LARGER",INDEX(INPUTS!$D$42:$D$50,MATCH(AG_REQ!K83,INPUTS!$E$42:$E$50,1)+1)))))</f>
        <v/>
      </c>
      <c r="L83" s="4" t="str">
        <f aca="false">IF(TRIB!L83="","",IF(OR(ARCH!L83="",LEFT(ARCH!L83,3)="14x"),IF(AG_REQ!L83&lt;=INDEX(INPUTS!$B$42:$B$50,1),INDEX(INPUTS!$A$42:$A$50,1),IF(AG_REQ!L83&gt;INDEX(INPUTS!$B$42:$B$50,ROWS(INPUTS!$B$42:$B$50)),"LARGER",INDEX(INPUTS!$A$42:$A$50,MATCH(AG_REQ!L83,INPUTS!$B$42:$B$50,1)+1))),IF(AG_REQ!L83&lt;=INDEX(INPUTS!$E$42:$E$50,1),INDEX(INPUTS!$D$42:$D$50,1),IF(AG_REQ!L83&gt;INDEX(INPUTS!$E$42:$E$50,ROWS(INPUTS!$E$42:$E$50)),"LARGER",INDEX(INPUTS!$D$42:$D$50,MATCH(AG_REQ!L83,INPUTS!$E$42:$E$50,1)+1)))))</f>
        <v/>
      </c>
      <c r="M83" s="4" t="str">
        <f aca="false">IF(TRIB!M83="","",IF(OR(ARCH!M83="",LEFT(ARCH!M83,3)="14x"),IF(AG_REQ!M83&lt;=INDEX(INPUTS!$B$42:$B$50,1),INDEX(INPUTS!$A$42:$A$50,1),IF(AG_REQ!M83&gt;INDEX(INPUTS!$B$42:$B$50,ROWS(INPUTS!$B$42:$B$50)),"LARGER",INDEX(INPUTS!$A$42:$A$50,MATCH(AG_REQ!M83,INPUTS!$B$42:$B$50,1)+1))),IF(AG_REQ!M83&lt;=INDEX(INPUTS!$E$42:$E$50,1),INDEX(INPUTS!$D$42:$D$50,1),IF(AG_REQ!M83&gt;INDEX(INPUTS!$E$42:$E$50,ROWS(INPUTS!$E$42:$E$50)),"LARGER",INDEX(INPUTS!$D$42:$D$50,MATCH(AG_REQ!M83,INPUTS!$E$42:$E$50,1)+1)))))</f>
        <v/>
      </c>
      <c r="N83" s="4" t="str">
        <f aca="false">IF(TRIB!N83="","",IF(OR(ARCH!N83="",LEFT(ARCH!N83,3)="14x"),IF(AG_REQ!N83&lt;=INDEX(INPUTS!$B$42:$B$50,1),INDEX(INPUTS!$A$42:$A$50,1),IF(AG_REQ!N83&gt;INDEX(INPUTS!$B$42:$B$50,ROWS(INPUTS!$B$42:$B$50)),"LARGER",INDEX(INPUTS!$A$42:$A$50,MATCH(AG_REQ!N83,INPUTS!$B$42:$B$50,1)+1))),IF(AG_REQ!N83&lt;=INDEX(INPUTS!$E$42:$E$50,1),INDEX(INPUTS!$D$42:$D$50,1),IF(AG_REQ!N83&gt;INDEX(INPUTS!$E$42:$E$50,ROWS(INPUTS!$E$42:$E$50)),"LARGER",INDEX(INPUTS!$D$42:$D$50,MATCH(AG_REQ!N83,INPUTS!$E$42:$E$50,1)+1)))))</f>
        <v/>
      </c>
      <c r="O83" s="4" t="str">
        <f aca="false">IF(TRIB!O83="","",IF(OR(ARCH!O83="",LEFT(ARCH!O83,3)="14x"),IF(AG_REQ!O83&lt;=INDEX(INPUTS!$B$42:$B$50,1),INDEX(INPUTS!$A$42:$A$50,1),IF(AG_REQ!O83&gt;INDEX(INPUTS!$B$42:$B$50,ROWS(INPUTS!$B$42:$B$50)),"LARGER",INDEX(INPUTS!$A$42:$A$50,MATCH(AG_REQ!O83,INPUTS!$B$42:$B$50,1)+1))),IF(AG_REQ!O83&lt;=INDEX(INPUTS!$E$42:$E$50,1),INDEX(INPUTS!$D$42:$D$50,1),IF(AG_REQ!O83&gt;INDEX(INPUTS!$E$42:$E$50,ROWS(INPUTS!$E$42:$E$50)),"LARGER",INDEX(INPUTS!$D$42:$D$50,MATCH(AG_REQ!O83,INPUTS!$E$42:$E$50,1)+1)))))</f>
        <v/>
      </c>
      <c r="P83" s="4" t="str">
        <f aca="false">IF(TRIB!P83="","",IF(OR(ARCH!P83="",LEFT(ARCH!P83,3)="14x"),IF(AG_REQ!P83&lt;=INDEX(INPUTS!$B$42:$B$50,1),INDEX(INPUTS!$A$42:$A$50,1),IF(AG_REQ!P83&gt;INDEX(INPUTS!$B$42:$B$50,ROWS(INPUTS!$B$42:$B$50)),"LARGER",INDEX(INPUTS!$A$42:$A$50,MATCH(AG_REQ!P83,INPUTS!$B$42:$B$50,1)+1))),IF(AG_REQ!P83&lt;=INDEX(INPUTS!$E$42:$E$50,1),INDEX(INPUTS!$D$42:$D$50,1),IF(AG_REQ!P83&gt;INDEX(INPUTS!$E$42:$E$50,ROWS(INPUTS!$E$42:$E$50)),"LARGER",INDEX(INPUTS!$D$42:$D$50,MATCH(AG_REQ!P83,INPUTS!$E$42:$E$50,1)+1)))))</f>
        <v/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4" t="str">
        <f aca="false">IF(TRIB!E84="","",IF(OR(ARCH!E84="",LEFT(ARCH!E84,3)="14x"),IF(AG_REQ!E84&lt;=INDEX(INPUTS!$B$42:$B$50,1),INDEX(INPUTS!$A$42:$A$50,1),IF(AG_REQ!E84&gt;INDEX(INPUTS!$B$42:$B$50,ROWS(INPUTS!$B$42:$B$50)),"LARGER",INDEX(INPUTS!$A$42:$A$50,MATCH(AG_REQ!E84,INPUTS!$B$42:$B$50,1)+1))),IF(AG_REQ!E84&lt;=INDEX(INPUTS!$E$42:$E$50,1),INDEX(INPUTS!$D$42:$D$50,1),IF(AG_REQ!E84&gt;INDEX(INPUTS!$E$42:$E$50,ROWS(INPUTS!$E$42:$E$50)),"LARGER",INDEX(INPUTS!$D$42:$D$50,MATCH(AG_REQ!E84,INPUTS!$E$42:$E$50,1)+1)))))</f>
        <v>14x24</v>
      </c>
      <c r="F84" s="4" t="str">
        <f aca="false">IF(TRIB!F84="","",IF(OR(ARCH!F84="",LEFT(ARCH!F84,3)="14x"),IF(AG_REQ!F84&lt;=INDEX(INPUTS!$B$42:$B$50,1),INDEX(INPUTS!$A$42:$A$50,1),IF(AG_REQ!F84&gt;INDEX(INPUTS!$B$42:$B$50,ROWS(INPUTS!$B$42:$B$50)),"LARGER",INDEX(INPUTS!$A$42:$A$50,MATCH(AG_REQ!F84,INPUTS!$B$42:$B$50,1)+1))),IF(AG_REQ!F84&lt;=INDEX(INPUTS!$E$42:$E$50,1),INDEX(INPUTS!$D$42:$D$50,1),IF(AG_REQ!F84&gt;INDEX(INPUTS!$E$42:$E$50,ROWS(INPUTS!$E$42:$E$50)),"LARGER",INDEX(INPUTS!$D$42:$D$50,MATCH(AG_REQ!F84,INPUTS!$E$42:$E$50,1)+1)))))</f>
        <v>14x24</v>
      </c>
      <c r="G84" s="4" t="str">
        <f aca="false">IF(TRIB!G84="","",IF(OR(ARCH!G84="",LEFT(ARCH!G84,3)="14x"),IF(AG_REQ!G84&lt;=INDEX(INPUTS!$B$42:$B$50,1),INDEX(INPUTS!$A$42:$A$50,1),IF(AG_REQ!G84&gt;INDEX(INPUTS!$B$42:$B$50,ROWS(INPUTS!$B$42:$B$50)),"LARGER",INDEX(INPUTS!$A$42:$A$50,MATCH(AG_REQ!G84,INPUTS!$B$42:$B$50,1)+1))),IF(AG_REQ!G84&lt;=INDEX(INPUTS!$E$42:$E$50,1),INDEX(INPUTS!$D$42:$D$50,1),IF(AG_REQ!G84&gt;INDEX(INPUTS!$E$42:$E$50,ROWS(INPUTS!$E$42:$E$50)),"LARGER",INDEX(INPUTS!$D$42:$D$50,MATCH(AG_REQ!G84,INPUTS!$E$42:$E$50,1)+1)))))</f>
        <v>14x24</v>
      </c>
      <c r="H84" s="4" t="str">
        <f aca="false">IF(TRIB!H84="","",IF(OR(ARCH!H84="",LEFT(ARCH!H84,3)="14x"),IF(AG_REQ!H84&lt;=INDEX(INPUTS!$B$42:$B$50,1),INDEX(INPUTS!$A$42:$A$50,1),IF(AG_REQ!H84&gt;INDEX(INPUTS!$B$42:$B$50,ROWS(INPUTS!$B$42:$B$50)),"LARGER",INDEX(INPUTS!$A$42:$A$50,MATCH(AG_REQ!H84,INPUTS!$B$42:$B$50,1)+1))),IF(AG_REQ!H84&lt;=INDEX(INPUTS!$E$42:$E$50,1),INDEX(INPUTS!$D$42:$D$50,1),IF(AG_REQ!H84&gt;INDEX(INPUTS!$E$42:$E$50,ROWS(INPUTS!$E$42:$E$50)),"LARGER",INDEX(INPUTS!$D$42:$D$50,MATCH(AG_REQ!H84,INPUTS!$E$42:$E$50,1)+1)))))</f>
        <v>14x24</v>
      </c>
      <c r="I84" s="4" t="str">
        <f aca="false">IF(TRIB!I84="","",IF(OR(ARCH!I84="",LEFT(ARCH!I84,3)="14x"),IF(AG_REQ!I84&lt;=INDEX(INPUTS!$B$42:$B$50,1),INDEX(INPUTS!$A$42:$A$50,1),IF(AG_REQ!I84&gt;INDEX(INPUTS!$B$42:$B$50,ROWS(INPUTS!$B$42:$B$50)),"LARGER",INDEX(INPUTS!$A$42:$A$50,MATCH(AG_REQ!I84,INPUTS!$B$42:$B$50,1)+1))),IF(AG_REQ!I84&lt;=INDEX(INPUTS!$E$42:$E$50,1),INDEX(INPUTS!$D$42:$D$50,1),IF(AG_REQ!I84&gt;INDEX(INPUTS!$E$42:$E$50,ROWS(INPUTS!$E$42:$E$50)),"LARGER",INDEX(INPUTS!$D$42:$D$50,MATCH(AG_REQ!I84,INPUTS!$E$42:$E$50,1)+1)))))</f>
        <v>14x24</v>
      </c>
      <c r="J84" s="4" t="str">
        <f aca="false">IF(TRIB!J84="","",IF(OR(ARCH!J84="",LEFT(ARCH!J84,3)="14x"),IF(AG_REQ!J84&lt;=INDEX(INPUTS!$B$42:$B$50,1),INDEX(INPUTS!$A$42:$A$50,1),IF(AG_REQ!J84&gt;INDEX(INPUTS!$B$42:$B$50,ROWS(INPUTS!$B$42:$B$50)),"LARGER",INDEX(INPUTS!$A$42:$A$50,MATCH(AG_REQ!J84,INPUTS!$B$42:$B$50,1)+1))),IF(AG_REQ!J84&lt;=INDEX(INPUTS!$E$42:$E$50,1),INDEX(INPUTS!$D$42:$D$50,1),IF(AG_REQ!J84&gt;INDEX(INPUTS!$E$42:$E$50,ROWS(INPUTS!$E$42:$E$50)),"LARGER",INDEX(INPUTS!$D$42:$D$50,MATCH(AG_REQ!J84,INPUTS!$E$42:$E$50,1)+1)))))</f>
        <v>14x24</v>
      </c>
      <c r="K84" s="4" t="str">
        <f aca="false">IF(TRIB!K84="","",IF(OR(ARCH!K84="",LEFT(ARCH!K84,3)="14x"),IF(AG_REQ!K84&lt;=INDEX(INPUTS!$B$42:$B$50,1),INDEX(INPUTS!$A$42:$A$50,1),IF(AG_REQ!K84&gt;INDEX(INPUTS!$B$42:$B$50,ROWS(INPUTS!$B$42:$B$50)),"LARGER",INDEX(INPUTS!$A$42:$A$50,MATCH(AG_REQ!K84,INPUTS!$B$42:$B$50,1)+1))),IF(AG_REQ!K84&lt;=INDEX(INPUTS!$E$42:$E$50,1),INDEX(INPUTS!$D$42:$D$50,1),IF(AG_REQ!K84&gt;INDEX(INPUTS!$E$42:$E$50,ROWS(INPUTS!$E$42:$E$50)),"LARGER",INDEX(INPUTS!$D$42:$D$50,MATCH(AG_REQ!K84,INPUTS!$E$42:$E$50,1)+1)))))</f>
        <v/>
      </c>
      <c r="L84" s="4" t="str">
        <f aca="false">IF(TRIB!L84="","",IF(OR(ARCH!L84="",LEFT(ARCH!L84,3)="14x"),IF(AG_REQ!L84&lt;=INDEX(INPUTS!$B$42:$B$50,1),INDEX(INPUTS!$A$42:$A$50,1),IF(AG_REQ!L84&gt;INDEX(INPUTS!$B$42:$B$50,ROWS(INPUTS!$B$42:$B$50)),"LARGER",INDEX(INPUTS!$A$42:$A$50,MATCH(AG_REQ!L84,INPUTS!$B$42:$B$50,1)+1))),IF(AG_REQ!L84&lt;=INDEX(INPUTS!$E$42:$E$50,1),INDEX(INPUTS!$D$42:$D$50,1),IF(AG_REQ!L84&gt;INDEX(INPUTS!$E$42:$E$50,ROWS(INPUTS!$E$42:$E$50)),"LARGER",INDEX(INPUTS!$D$42:$D$50,MATCH(AG_REQ!L84,INPUTS!$E$42:$E$50,1)+1)))))</f>
        <v/>
      </c>
      <c r="M84" s="4" t="str">
        <f aca="false">IF(TRIB!M84="","",IF(OR(ARCH!M84="",LEFT(ARCH!M84,3)="14x"),IF(AG_REQ!M84&lt;=INDEX(INPUTS!$B$42:$B$50,1),INDEX(INPUTS!$A$42:$A$50,1),IF(AG_REQ!M84&gt;INDEX(INPUTS!$B$42:$B$50,ROWS(INPUTS!$B$42:$B$50)),"LARGER",INDEX(INPUTS!$A$42:$A$50,MATCH(AG_REQ!M84,INPUTS!$B$42:$B$50,1)+1))),IF(AG_REQ!M84&lt;=INDEX(INPUTS!$E$42:$E$50,1),INDEX(INPUTS!$D$42:$D$50,1),IF(AG_REQ!M84&gt;INDEX(INPUTS!$E$42:$E$50,ROWS(INPUTS!$E$42:$E$50)),"LARGER",INDEX(INPUTS!$D$42:$D$50,MATCH(AG_REQ!M84,INPUTS!$E$42:$E$50,1)+1)))))</f>
        <v/>
      </c>
      <c r="N84" s="4" t="str">
        <f aca="false">IF(TRIB!N84="","",IF(OR(ARCH!N84="",LEFT(ARCH!N84,3)="14x"),IF(AG_REQ!N84&lt;=INDEX(INPUTS!$B$42:$B$50,1),INDEX(INPUTS!$A$42:$A$50,1),IF(AG_REQ!N84&gt;INDEX(INPUTS!$B$42:$B$50,ROWS(INPUTS!$B$42:$B$50)),"LARGER",INDEX(INPUTS!$A$42:$A$50,MATCH(AG_REQ!N84,INPUTS!$B$42:$B$50,1)+1))),IF(AG_REQ!N84&lt;=INDEX(INPUTS!$E$42:$E$50,1),INDEX(INPUTS!$D$42:$D$50,1),IF(AG_REQ!N84&gt;INDEX(INPUTS!$E$42:$E$50,ROWS(INPUTS!$E$42:$E$50)),"LARGER",INDEX(INPUTS!$D$42:$D$50,MATCH(AG_REQ!N84,INPUTS!$E$42:$E$50,1)+1)))))</f>
        <v/>
      </c>
      <c r="O84" s="4" t="str">
        <f aca="false">IF(TRIB!O84="","",IF(OR(ARCH!O84="",LEFT(ARCH!O84,3)="14x"),IF(AG_REQ!O84&lt;=INDEX(INPUTS!$B$42:$B$50,1),INDEX(INPUTS!$A$42:$A$50,1),IF(AG_REQ!O84&gt;INDEX(INPUTS!$B$42:$B$50,ROWS(INPUTS!$B$42:$B$50)),"LARGER",INDEX(INPUTS!$A$42:$A$50,MATCH(AG_REQ!O84,INPUTS!$B$42:$B$50,1)+1))),IF(AG_REQ!O84&lt;=INDEX(INPUTS!$E$42:$E$50,1),INDEX(INPUTS!$D$42:$D$50,1),IF(AG_REQ!O84&gt;INDEX(INPUTS!$E$42:$E$50,ROWS(INPUTS!$E$42:$E$50)),"LARGER",INDEX(INPUTS!$D$42:$D$50,MATCH(AG_REQ!O84,INPUTS!$E$42:$E$50,1)+1)))))</f>
        <v/>
      </c>
      <c r="P84" s="4" t="str">
        <f aca="false">IF(TRIB!P84="","",IF(OR(ARCH!P84="",LEFT(ARCH!P84,3)="14x"),IF(AG_REQ!P84&lt;=INDEX(INPUTS!$B$42:$B$50,1),INDEX(INPUTS!$A$42:$A$50,1),IF(AG_REQ!P84&gt;INDEX(INPUTS!$B$42:$B$50,ROWS(INPUTS!$B$42:$B$50)),"LARGER",INDEX(INPUTS!$A$42:$A$50,MATCH(AG_REQ!P84,INPUTS!$B$42:$B$50,1)+1))),IF(AG_REQ!P84&lt;=INDEX(INPUTS!$E$42:$E$50,1),INDEX(INPUTS!$D$42:$D$50,1),IF(AG_REQ!P84&gt;INDEX(INPUTS!$E$42:$E$50,ROWS(INPUTS!$E$42:$E$50)),"LARGER",INDEX(INPUTS!$D$42:$D$50,MATCH(AG_REQ!P84,INPUTS!$E$42:$E$50,1)+1)))))</f>
        <v/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4" t="str">
        <f aca="false">IF(TRIB!E85="","",IF(OR(ARCH!E85="",LEFT(ARCH!E85,3)="14x"),IF(AG_REQ!E85&lt;=INDEX(INPUTS!$B$42:$B$50,1),INDEX(INPUTS!$A$42:$A$50,1),IF(AG_REQ!E85&gt;INDEX(INPUTS!$B$42:$B$50,ROWS(INPUTS!$B$42:$B$50)),"LARGER",INDEX(INPUTS!$A$42:$A$50,MATCH(AG_REQ!E85,INPUTS!$B$42:$B$50,1)+1))),IF(AG_REQ!E85&lt;=INDEX(INPUTS!$E$42:$E$50,1),INDEX(INPUTS!$D$42:$D$50,1),IF(AG_REQ!E85&gt;INDEX(INPUTS!$E$42:$E$50,ROWS(INPUTS!$E$42:$E$50)),"LARGER",INDEX(INPUTS!$D$42:$D$50,MATCH(AG_REQ!E85,INPUTS!$E$42:$E$50,1)+1)))))</f>
        <v>14x24</v>
      </c>
      <c r="F85" s="4" t="str">
        <f aca="false">IF(TRIB!F85="","",IF(OR(ARCH!F85="",LEFT(ARCH!F85,3)="14x"),IF(AG_REQ!F85&lt;=INDEX(INPUTS!$B$42:$B$50,1),INDEX(INPUTS!$A$42:$A$50,1),IF(AG_REQ!F85&gt;INDEX(INPUTS!$B$42:$B$50,ROWS(INPUTS!$B$42:$B$50)),"LARGER",INDEX(INPUTS!$A$42:$A$50,MATCH(AG_REQ!F85,INPUTS!$B$42:$B$50,1)+1))),IF(AG_REQ!F85&lt;=INDEX(INPUTS!$E$42:$E$50,1),INDEX(INPUTS!$D$42:$D$50,1),IF(AG_REQ!F85&gt;INDEX(INPUTS!$E$42:$E$50,ROWS(INPUTS!$E$42:$E$50)),"LARGER",INDEX(INPUTS!$D$42:$D$50,MATCH(AG_REQ!F85,INPUTS!$E$42:$E$50,1)+1)))))</f>
        <v>14x24</v>
      </c>
      <c r="G85" s="4" t="str">
        <f aca="false">IF(TRIB!G85="","",IF(OR(ARCH!G85="",LEFT(ARCH!G85,3)="14x"),IF(AG_REQ!G85&lt;=INDEX(INPUTS!$B$42:$B$50,1),INDEX(INPUTS!$A$42:$A$50,1),IF(AG_REQ!G85&gt;INDEX(INPUTS!$B$42:$B$50,ROWS(INPUTS!$B$42:$B$50)),"LARGER",INDEX(INPUTS!$A$42:$A$50,MATCH(AG_REQ!G85,INPUTS!$B$42:$B$50,1)+1))),IF(AG_REQ!G85&lt;=INDEX(INPUTS!$E$42:$E$50,1),INDEX(INPUTS!$D$42:$D$50,1),IF(AG_REQ!G85&gt;INDEX(INPUTS!$E$42:$E$50,ROWS(INPUTS!$E$42:$E$50)),"LARGER",INDEX(INPUTS!$D$42:$D$50,MATCH(AG_REQ!G85,INPUTS!$E$42:$E$50,1)+1)))))</f>
        <v>14x24</v>
      </c>
      <c r="H85" s="4" t="str">
        <f aca="false">IF(TRIB!H85="","",IF(OR(ARCH!H85="",LEFT(ARCH!H85,3)="14x"),IF(AG_REQ!H85&lt;=INDEX(INPUTS!$B$42:$B$50,1),INDEX(INPUTS!$A$42:$A$50,1),IF(AG_REQ!H85&gt;INDEX(INPUTS!$B$42:$B$50,ROWS(INPUTS!$B$42:$B$50)),"LARGER",INDEX(INPUTS!$A$42:$A$50,MATCH(AG_REQ!H85,INPUTS!$B$42:$B$50,1)+1))),IF(AG_REQ!H85&lt;=INDEX(INPUTS!$E$42:$E$50,1),INDEX(INPUTS!$D$42:$D$50,1),IF(AG_REQ!H85&gt;INDEX(INPUTS!$E$42:$E$50,ROWS(INPUTS!$E$42:$E$50)),"LARGER",INDEX(INPUTS!$D$42:$D$50,MATCH(AG_REQ!H85,INPUTS!$E$42:$E$50,1)+1)))))</f>
        <v>14x24</v>
      </c>
      <c r="I85" s="4" t="str">
        <f aca="false">IF(TRIB!I85="","",IF(OR(ARCH!I85="",LEFT(ARCH!I85,3)="14x"),IF(AG_REQ!I85&lt;=INDEX(INPUTS!$B$42:$B$50,1),INDEX(INPUTS!$A$42:$A$50,1),IF(AG_REQ!I85&gt;INDEX(INPUTS!$B$42:$B$50,ROWS(INPUTS!$B$42:$B$50)),"LARGER",INDEX(INPUTS!$A$42:$A$50,MATCH(AG_REQ!I85,INPUTS!$B$42:$B$50,1)+1))),IF(AG_REQ!I85&lt;=INDEX(INPUTS!$E$42:$E$50,1),INDEX(INPUTS!$D$42:$D$50,1),IF(AG_REQ!I85&gt;INDEX(INPUTS!$E$42:$E$50,ROWS(INPUTS!$E$42:$E$50)),"LARGER",INDEX(INPUTS!$D$42:$D$50,MATCH(AG_REQ!I85,INPUTS!$E$42:$E$50,1)+1)))))</f>
        <v>14x24</v>
      </c>
      <c r="J85" s="4" t="str">
        <f aca="false">IF(TRIB!J85="","",IF(OR(ARCH!J85="",LEFT(ARCH!J85,3)="14x"),IF(AG_REQ!J85&lt;=INDEX(INPUTS!$B$42:$B$50,1),INDEX(INPUTS!$A$42:$A$50,1),IF(AG_REQ!J85&gt;INDEX(INPUTS!$B$42:$B$50,ROWS(INPUTS!$B$42:$B$50)),"LARGER",INDEX(INPUTS!$A$42:$A$50,MATCH(AG_REQ!J85,INPUTS!$B$42:$B$50,1)+1))),IF(AG_REQ!J85&lt;=INDEX(INPUTS!$E$42:$E$50,1),INDEX(INPUTS!$D$42:$D$50,1),IF(AG_REQ!J85&gt;INDEX(INPUTS!$E$42:$E$50,ROWS(INPUTS!$E$42:$E$50)),"LARGER",INDEX(INPUTS!$D$42:$D$50,MATCH(AG_REQ!J85,INPUTS!$E$42:$E$50,1)+1)))))</f>
        <v>14x24</v>
      </c>
      <c r="K85" s="4" t="str">
        <f aca="false">IF(TRIB!K85="","",IF(OR(ARCH!K85="",LEFT(ARCH!K85,3)="14x"),IF(AG_REQ!K85&lt;=INDEX(INPUTS!$B$42:$B$50,1),INDEX(INPUTS!$A$42:$A$50,1),IF(AG_REQ!K85&gt;INDEX(INPUTS!$B$42:$B$50,ROWS(INPUTS!$B$42:$B$50)),"LARGER",INDEX(INPUTS!$A$42:$A$50,MATCH(AG_REQ!K85,INPUTS!$B$42:$B$50,1)+1))),IF(AG_REQ!K85&lt;=INDEX(INPUTS!$E$42:$E$50,1),INDEX(INPUTS!$D$42:$D$50,1),IF(AG_REQ!K85&gt;INDEX(INPUTS!$E$42:$E$50,ROWS(INPUTS!$E$42:$E$50)),"LARGER",INDEX(INPUTS!$D$42:$D$50,MATCH(AG_REQ!K85,INPUTS!$E$42:$E$50,1)+1)))))</f>
        <v/>
      </c>
      <c r="L85" s="4" t="str">
        <f aca="false">IF(TRIB!L85="","",IF(OR(ARCH!L85="",LEFT(ARCH!L85,3)="14x"),IF(AG_REQ!L85&lt;=INDEX(INPUTS!$B$42:$B$50,1),INDEX(INPUTS!$A$42:$A$50,1),IF(AG_REQ!L85&gt;INDEX(INPUTS!$B$42:$B$50,ROWS(INPUTS!$B$42:$B$50)),"LARGER",INDEX(INPUTS!$A$42:$A$50,MATCH(AG_REQ!L85,INPUTS!$B$42:$B$50,1)+1))),IF(AG_REQ!L85&lt;=INDEX(INPUTS!$E$42:$E$50,1),INDEX(INPUTS!$D$42:$D$50,1),IF(AG_REQ!L85&gt;INDEX(INPUTS!$E$42:$E$50,ROWS(INPUTS!$E$42:$E$50)),"LARGER",INDEX(INPUTS!$D$42:$D$50,MATCH(AG_REQ!L85,INPUTS!$E$42:$E$50,1)+1)))))</f>
        <v/>
      </c>
      <c r="M85" s="4" t="str">
        <f aca="false">IF(TRIB!M85="","",IF(OR(ARCH!M85="",LEFT(ARCH!M85,3)="14x"),IF(AG_REQ!M85&lt;=INDEX(INPUTS!$B$42:$B$50,1),INDEX(INPUTS!$A$42:$A$50,1),IF(AG_REQ!M85&gt;INDEX(INPUTS!$B$42:$B$50,ROWS(INPUTS!$B$42:$B$50)),"LARGER",INDEX(INPUTS!$A$42:$A$50,MATCH(AG_REQ!M85,INPUTS!$B$42:$B$50,1)+1))),IF(AG_REQ!M85&lt;=INDEX(INPUTS!$E$42:$E$50,1),INDEX(INPUTS!$D$42:$D$50,1),IF(AG_REQ!M85&gt;INDEX(INPUTS!$E$42:$E$50,ROWS(INPUTS!$E$42:$E$50)),"LARGER",INDEX(INPUTS!$D$42:$D$50,MATCH(AG_REQ!M85,INPUTS!$E$42:$E$50,1)+1)))))</f>
        <v/>
      </c>
      <c r="N85" s="4" t="str">
        <f aca="false">IF(TRIB!N85="","",IF(OR(ARCH!N85="",LEFT(ARCH!N85,3)="14x"),IF(AG_REQ!N85&lt;=INDEX(INPUTS!$B$42:$B$50,1),INDEX(INPUTS!$A$42:$A$50,1),IF(AG_REQ!N85&gt;INDEX(INPUTS!$B$42:$B$50,ROWS(INPUTS!$B$42:$B$50)),"LARGER",INDEX(INPUTS!$A$42:$A$50,MATCH(AG_REQ!N85,INPUTS!$B$42:$B$50,1)+1))),IF(AG_REQ!N85&lt;=INDEX(INPUTS!$E$42:$E$50,1),INDEX(INPUTS!$D$42:$D$50,1),IF(AG_REQ!N85&gt;INDEX(INPUTS!$E$42:$E$50,ROWS(INPUTS!$E$42:$E$50)),"LARGER",INDEX(INPUTS!$D$42:$D$50,MATCH(AG_REQ!N85,INPUTS!$E$42:$E$50,1)+1)))))</f>
        <v/>
      </c>
      <c r="O85" s="4" t="str">
        <f aca="false">IF(TRIB!O85="","",IF(OR(ARCH!O85="",LEFT(ARCH!O85,3)="14x"),IF(AG_REQ!O85&lt;=INDEX(INPUTS!$B$42:$B$50,1),INDEX(INPUTS!$A$42:$A$50,1),IF(AG_REQ!O85&gt;INDEX(INPUTS!$B$42:$B$50,ROWS(INPUTS!$B$42:$B$50)),"LARGER",INDEX(INPUTS!$A$42:$A$50,MATCH(AG_REQ!O85,INPUTS!$B$42:$B$50,1)+1))),IF(AG_REQ!O85&lt;=INDEX(INPUTS!$E$42:$E$50,1),INDEX(INPUTS!$D$42:$D$50,1),IF(AG_REQ!O85&gt;INDEX(INPUTS!$E$42:$E$50,ROWS(INPUTS!$E$42:$E$50)),"LARGER",INDEX(INPUTS!$D$42:$D$50,MATCH(AG_REQ!O85,INPUTS!$E$42:$E$50,1)+1)))))</f>
        <v/>
      </c>
      <c r="P85" s="4" t="str">
        <f aca="false">IF(TRIB!P85="","",IF(OR(ARCH!P85="",LEFT(ARCH!P85,3)="14x"),IF(AG_REQ!P85&lt;=INDEX(INPUTS!$B$42:$B$50,1),INDEX(INPUTS!$A$42:$A$50,1),IF(AG_REQ!P85&gt;INDEX(INPUTS!$B$42:$B$50,ROWS(INPUTS!$B$42:$B$50)),"LARGER",INDEX(INPUTS!$A$42:$A$50,MATCH(AG_REQ!P85,INPUTS!$B$42:$B$50,1)+1))),IF(AG_REQ!P85&lt;=INDEX(INPUTS!$E$42:$E$50,1),INDEX(INPUTS!$D$42:$D$50,1),IF(AG_REQ!P85&gt;INDEX(INPUTS!$E$42:$E$50,ROWS(INPUTS!$E$42:$E$50)),"LARGER",INDEX(INPUTS!$D$42:$D$50,MATCH(AG_REQ!P85,INPUTS!$E$42:$E$50,1)+1)))))</f>
        <v/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4" t="str">
        <f aca="false">IF(TRIB!E86="","",IF(OR(ARCH!E86="",LEFT(ARCH!E86,3)="14x"),IF(AG_REQ!E86&lt;=INDEX(INPUTS!$B$42:$B$50,1),INDEX(INPUTS!$A$42:$A$50,1),IF(AG_REQ!E86&gt;INDEX(INPUTS!$B$42:$B$50,ROWS(INPUTS!$B$42:$B$50)),"LARGER",INDEX(INPUTS!$A$42:$A$50,MATCH(AG_REQ!E86,INPUTS!$B$42:$B$50,1)+1))),IF(AG_REQ!E86&lt;=INDEX(INPUTS!$E$42:$E$50,1),INDEX(INPUTS!$D$42:$D$50,1),IF(AG_REQ!E86&gt;INDEX(INPUTS!$E$42:$E$50,ROWS(INPUTS!$E$42:$E$50)),"LARGER",INDEX(INPUTS!$D$42:$D$50,MATCH(AG_REQ!E86,INPUTS!$E$42:$E$50,1)+1)))))</f>
        <v>14x24</v>
      </c>
      <c r="F86" s="4" t="str">
        <f aca="false">IF(TRIB!F86="","",IF(OR(ARCH!F86="",LEFT(ARCH!F86,3)="14x"),IF(AG_REQ!F86&lt;=INDEX(INPUTS!$B$42:$B$50,1),INDEX(INPUTS!$A$42:$A$50,1),IF(AG_REQ!F86&gt;INDEX(INPUTS!$B$42:$B$50,ROWS(INPUTS!$B$42:$B$50)),"LARGER",INDEX(INPUTS!$A$42:$A$50,MATCH(AG_REQ!F86,INPUTS!$B$42:$B$50,1)+1))),IF(AG_REQ!F86&lt;=INDEX(INPUTS!$E$42:$E$50,1),INDEX(INPUTS!$D$42:$D$50,1),IF(AG_REQ!F86&gt;INDEX(INPUTS!$E$42:$E$50,ROWS(INPUTS!$E$42:$E$50)),"LARGER",INDEX(INPUTS!$D$42:$D$50,MATCH(AG_REQ!F86,INPUTS!$E$42:$E$50,1)+1)))))</f>
        <v>14x24</v>
      </c>
      <c r="G86" s="4" t="str">
        <f aca="false">IF(TRIB!G86="","",IF(OR(ARCH!G86="",LEFT(ARCH!G86,3)="14x"),IF(AG_REQ!G86&lt;=INDEX(INPUTS!$B$42:$B$50,1),INDEX(INPUTS!$A$42:$A$50,1),IF(AG_REQ!G86&gt;INDEX(INPUTS!$B$42:$B$50,ROWS(INPUTS!$B$42:$B$50)),"LARGER",INDEX(INPUTS!$A$42:$A$50,MATCH(AG_REQ!G86,INPUTS!$B$42:$B$50,1)+1))),IF(AG_REQ!G86&lt;=INDEX(INPUTS!$E$42:$E$50,1),INDEX(INPUTS!$D$42:$D$50,1),IF(AG_REQ!G86&gt;INDEX(INPUTS!$E$42:$E$50,ROWS(INPUTS!$E$42:$E$50)),"LARGER",INDEX(INPUTS!$D$42:$D$50,MATCH(AG_REQ!G86,INPUTS!$E$42:$E$50,1)+1)))))</f>
        <v>14x24</v>
      </c>
      <c r="H86" s="4" t="str">
        <f aca="false">IF(TRIB!H86="","",IF(OR(ARCH!H86="",LEFT(ARCH!H86,3)="14x"),IF(AG_REQ!H86&lt;=INDEX(INPUTS!$B$42:$B$50,1),INDEX(INPUTS!$A$42:$A$50,1),IF(AG_REQ!H86&gt;INDEX(INPUTS!$B$42:$B$50,ROWS(INPUTS!$B$42:$B$50)),"LARGER",INDEX(INPUTS!$A$42:$A$50,MATCH(AG_REQ!H86,INPUTS!$B$42:$B$50,1)+1))),IF(AG_REQ!H86&lt;=INDEX(INPUTS!$E$42:$E$50,1),INDEX(INPUTS!$D$42:$D$50,1),IF(AG_REQ!H86&gt;INDEX(INPUTS!$E$42:$E$50,ROWS(INPUTS!$E$42:$E$50)),"LARGER",INDEX(INPUTS!$D$42:$D$50,MATCH(AG_REQ!H86,INPUTS!$E$42:$E$50,1)+1)))))</f>
        <v>14x24</v>
      </c>
      <c r="I86" s="4" t="str">
        <f aca="false">IF(TRIB!I86="","",IF(OR(ARCH!I86="",LEFT(ARCH!I86,3)="14x"),IF(AG_REQ!I86&lt;=INDEX(INPUTS!$B$42:$B$50,1),INDEX(INPUTS!$A$42:$A$50,1),IF(AG_REQ!I86&gt;INDEX(INPUTS!$B$42:$B$50,ROWS(INPUTS!$B$42:$B$50)),"LARGER",INDEX(INPUTS!$A$42:$A$50,MATCH(AG_REQ!I86,INPUTS!$B$42:$B$50,1)+1))),IF(AG_REQ!I86&lt;=INDEX(INPUTS!$E$42:$E$50,1),INDEX(INPUTS!$D$42:$D$50,1),IF(AG_REQ!I86&gt;INDEX(INPUTS!$E$42:$E$50,ROWS(INPUTS!$E$42:$E$50)),"LARGER",INDEX(INPUTS!$D$42:$D$50,MATCH(AG_REQ!I86,INPUTS!$E$42:$E$50,1)+1)))))</f>
        <v>14x24</v>
      </c>
      <c r="J86" s="4" t="str">
        <f aca="false">IF(TRIB!J86="","",IF(OR(ARCH!J86="",LEFT(ARCH!J86,3)="14x"),IF(AG_REQ!J86&lt;=INDEX(INPUTS!$B$42:$B$50,1),INDEX(INPUTS!$A$42:$A$50,1),IF(AG_REQ!J86&gt;INDEX(INPUTS!$B$42:$B$50,ROWS(INPUTS!$B$42:$B$50)),"LARGER",INDEX(INPUTS!$A$42:$A$50,MATCH(AG_REQ!J86,INPUTS!$B$42:$B$50,1)+1))),IF(AG_REQ!J86&lt;=INDEX(INPUTS!$E$42:$E$50,1),INDEX(INPUTS!$D$42:$D$50,1),IF(AG_REQ!J86&gt;INDEX(INPUTS!$E$42:$E$50,ROWS(INPUTS!$E$42:$E$50)),"LARGER",INDEX(INPUTS!$D$42:$D$50,MATCH(AG_REQ!J86,INPUTS!$E$42:$E$50,1)+1)))))</f>
        <v>14x24</v>
      </c>
      <c r="K86" s="4" t="str">
        <f aca="false">IF(TRIB!K86="","",IF(OR(ARCH!K86="",LEFT(ARCH!K86,3)="14x"),IF(AG_REQ!K86&lt;=INDEX(INPUTS!$B$42:$B$50,1),INDEX(INPUTS!$A$42:$A$50,1),IF(AG_REQ!K86&gt;INDEX(INPUTS!$B$42:$B$50,ROWS(INPUTS!$B$42:$B$50)),"LARGER",INDEX(INPUTS!$A$42:$A$50,MATCH(AG_REQ!K86,INPUTS!$B$42:$B$50,1)+1))),IF(AG_REQ!K86&lt;=INDEX(INPUTS!$E$42:$E$50,1),INDEX(INPUTS!$D$42:$D$50,1),IF(AG_REQ!K86&gt;INDEX(INPUTS!$E$42:$E$50,ROWS(INPUTS!$E$42:$E$50)),"LARGER",INDEX(INPUTS!$D$42:$D$50,MATCH(AG_REQ!K86,INPUTS!$E$42:$E$50,1)+1)))))</f>
        <v/>
      </c>
      <c r="L86" s="4" t="str">
        <f aca="false">IF(TRIB!L86="","",IF(OR(ARCH!L86="",LEFT(ARCH!L86,3)="14x"),IF(AG_REQ!L86&lt;=INDEX(INPUTS!$B$42:$B$50,1),INDEX(INPUTS!$A$42:$A$50,1),IF(AG_REQ!L86&gt;INDEX(INPUTS!$B$42:$B$50,ROWS(INPUTS!$B$42:$B$50)),"LARGER",INDEX(INPUTS!$A$42:$A$50,MATCH(AG_REQ!L86,INPUTS!$B$42:$B$50,1)+1))),IF(AG_REQ!L86&lt;=INDEX(INPUTS!$E$42:$E$50,1),INDEX(INPUTS!$D$42:$D$50,1),IF(AG_REQ!L86&gt;INDEX(INPUTS!$E$42:$E$50,ROWS(INPUTS!$E$42:$E$50)),"LARGER",INDEX(INPUTS!$D$42:$D$50,MATCH(AG_REQ!L86,INPUTS!$E$42:$E$50,1)+1)))))</f>
        <v/>
      </c>
      <c r="M86" s="4" t="str">
        <f aca="false">IF(TRIB!M86="","",IF(OR(ARCH!M86="",LEFT(ARCH!M86,3)="14x"),IF(AG_REQ!M86&lt;=INDEX(INPUTS!$B$42:$B$50,1),INDEX(INPUTS!$A$42:$A$50,1),IF(AG_REQ!M86&gt;INDEX(INPUTS!$B$42:$B$50,ROWS(INPUTS!$B$42:$B$50)),"LARGER",INDEX(INPUTS!$A$42:$A$50,MATCH(AG_REQ!M86,INPUTS!$B$42:$B$50,1)+1))),IF(AG_REQ!M86&lt;=INDEX(INPUTS!$E$42:$E$50,1),INDEX(INPUTS!$D$42:$D$50,1),IF(AG_REQ!M86&gt;INDEX(INPUTS!$E$42:$E$50,ROWS(INPUTS!$E$42:$E$50)),"LARGER",INDEX(INPUTS!$D$42:$D$50,MATCH(AG_REQ!M86,INPUTS!$E$42:$E$50,1)+1)))))</f>
        <v/>
      </c>
      <c r="N86" s="4" t="str">
        <f aca="false">IF(TRIB!N86="","",IF(OR(ARCH!N86="",LEFT(ARCH!N86,3)="14x"),IF(AG_REQ!N86&lt;=INDEX(INPUTS!$B$42:$B$50,1),INDEX(INPUTS!$A$42:$A$50,1),IF(AG_REQ!N86&gt;INDEX(INPUTS!$B$42:$B$50,ROWS(INPUTS!$B$42:$B$50)),"LARGER",INDEX(INPUTS!$A$42:$A$50,MATCH(AG_REQ!N86,INPUTS!$B$42:$B$50,1)+1))),IF(AG_REQ!N86&lt;=INDEX(INPUTS!$E$42:$E$50,1),INDEX(INPUTS!$D$42:$D$50,1),IF(AG_REQ!N86&gt;INDEX(INPUTS!$E$42:$E$50,ROWS(INPUTS!$E$42:$E$50)),"LARGER",INDEX(INPUTS!$D$42:$D$50,MATCH(AG_REQ!N86,INPUTS!$E$42:$E$50,1)+1)))))</f>
        <v/>
      </c>
      <c r="O86" s="4" t="str">
        <f aca="false">IF(TRIB!O86="","",IF(OR(ARCH!O86="",LEFT(ARCH!O86,3)="14x"),IF(AG_REQ!O86&lt;=INDEX(INPUTS!$B$42:$B$50,1),INDEX(INPUTS!$A$42:$A$50,1),IF(AG_REQ!O86&gt;INDEX(INPUTS!$B$42:$B$50,ROWS(INPUTS!$B$42:$B$50)),"LARGER",INDEX(INPUTS!$A$42:$A$50,MATCH(AG_REQ!O86,INPUTS!$B$42:$B$50,1)+1))),IF(AG_REQ!O86&lt;=INDEX(INPUTS!$E$42:$E$50,1),INDEX(INPUTS!$D$42:$D$50,1),IF(AG_REQ!O86&gt;INDEX(INPUTS!$E$42:$E$50,ROWS(INPUTS!$E$42:$E$50)),"LARGER",INDEX(INPUTS!$D$42:$D$50,MATCH(AG_REQ!O86,INPUTS!$E$42:$E$50,1)+1)))))</f>
        <v/>
      </c>
      <c r="P86" s="4" t="str">
        <f aca="false">IF(TRIB!P86="","",IF(OR(ARCH!P86="",LEFT(ARCH!P86,3)="14x"),IF(AG_REQ!P86&lt;=INDEX(INPUTS!$B$42:$B$50,1),INDEX(INPUTS!$A$42:$A$50,1),IF(AG_REQ!P86&gt;INDEX(INPUTS!$B$42:$B$50,ROWS(INPUTS!$B$42:$B$50)),"LARGER",INDEX(INPUTS!$A$42:$A$50,MATCH(AG_REQ!P86,INPUTS!$B$42:$B$50,1)+1))),IF(AG_REQ!P86&lt;=INDEX(INPUTS!$E$42:$E$50,1),INDEX(INPUTS!$D$42:$D$50,1),IF(AG_REQ!P86&gt;INDEX(INPUTS!$E$42:$E$50,ROWS(INPUTS!$E$42:$E$50)),"LARGER",INDEX(INPUTS!$D$42:$D$50,MATCH(AG_REQ!P86,INPUTS!$E$42:$E$50,1)+1)))))</f>
        <v/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4" t="str">
        <f aca="false">IF(TRIB!E87="","",IF(OR(ARCH!E87="",LEFT(ARCH!E87,3)="14x"),IF(AG_REQ!E87&lt;=INDEX(INPUTS!$B$42:$B$50,1),INDEX(INPUTS!$A$42:$A$50,1),IF(AG_REQ!E87&gt;INDEX(INPUTS!$B$42:$B$50,ROWS(INPUTS!$B$42:$B$50)),"LARGER",INDEX(INPUTS!$A$42:$A$50,MATCH(AG_REQ!E87,INPUTS!$B$42:$B$50,1)+1))),IF(AG_REQ!E87&lt;=INDEX(INPUTS!$E$42:$E$50,1),INDEX(INPUTS!$D$42:$D$50,1),IF(AG_REQ!E87&gt;INDEX(INPUTS!$E$42:$E$50,ROWS(INPUTS!$E$42:$E$50)),"LARGER",INDEX(INPUTS!$D$42:$D$50,MATCH(AG_REQ!E87,INPUTS!$E$42:$E$50,1)+1)))))</f>
        <v>14x24</v>
      </c>
      <c r="F87" s="4" t="str">
        <f aca="false">IF(TRIB!F87="","",IF(OR(ARCH!F87="",LEFT(ARCH!F87,3)="14x"),IF(AG_REQ!F87&lt;=INDEX(INPUTS!$B$42:$B$50,1),INDEX(INPUTS!$A$42:$A$50,1),IF(AG_REQ!F87&gt;INDEX(INPUTS!$B$42:$B$50,ROWS(INPUTS!$B$42:$B$50)),"LARGER",INDEX(INPUTS!$A$42:$A$50,MATCH(AG_REQ!F87,INPUTS!$B$42:$B$50,1)+1))),IF(AG_REQ!F87&lt;=INDEX(INPUTS!$E$42:$E$50,1),INDEX(INPUTS!$D$42:$D$50,1),IF(AG_REQ!F87&gt;INDEX(INPUTS!$E$42:$E$50,ROWS(INPUTS!$E$42:$E$50)),"LARGER",INDEX(INPUTS!$D$42:$D$50,MATCH(AG_REQ!F87,INPUTS!$E$42:$E$50,1)+1)))))</f>
        <v>14x24</v>
      </c>
      <c r="G87" s="4" t="str">
        <f aca="false">IF(TRIB!G87="","",IF(OR(ARCH!G87="",LEFT(ARCH!G87,3)="14x"),IF(AG_REQ!G87&lt;=INDEX(INPUTS!$B$42:$B$50,1),INDEX(INPUTS!$A$42:$A$50,1),IF(AG_REQ!G87&gt;INDEX(INPUTS!$B$42:$B$50,ROWS(INPUTS!$B$42:$B$50)),"LARGER",INDEX(INPUTS!$A$42:$A$50,MATCH(AG_REQ!G87,INPUTS!$B$42:$B$50,1)+1))),IF(AG_REQ!G87&lt;=INDEX(INPUTS!$E$42:$E$50,1),INDEX(INPUTS!$D$42:$D$50,1),IF(AG_REQ!G87&gt;INDEX(INPUTS!$E$42:$E$50,ROWS(INPUTS!$E$42:$E$50)),"LARGER",INDEX(INPUTS!$D$42:$D$50,MATCH(AG_REQ!G87,INPUTS!$E$42:$E$50,1)+1)))))</f>
        <v>14x24</v>
      </c>
      <c r="H87" s="4" t="str">
        <f aca="false">IF(TRIB!H87="","",IF(OR(ARCH!H87="",LEFT(ARCH!H87,3)="14x"),IF(AG_REQ!H87&lt;=INDEX(INPUTS!$B$42:$B$50,1),INDEX(INPUTS!$A$42:$A$50,1),IF(AG_REQ!H87&gt;INDEX(INPUTS!$B$42:$B$50,ROWS(INPUTS!$B$42:$B$50)),"LARGER",INDEX(INPUTS!$A$42:$A$50,MATCH(AG_REQ!H87,INPUTS!$B$42:$B$50,1)+1))),IF(AG_REQ!H87&lt;=INDEX(INPUTS!$E$42:$E$50,1),INDEX(INPUTS!$D$42:$D$50,1),IF(AG_REQ!H87&gt;INDEX(INPUTS!$E$42:$E$50,ROWS(INPUTS!$E$42:$E$50)),"LARGER",INDEX(INPUTS!$D$42:$D$50,MATCH(AG_REQ!H87,INPUTS!$E$42:$E$50,1)+1)))))</f>
        <v>14x24</v>
      </c>
      <c r="I87" s="4" t="str">
        <f aca="false">IF(TRIB!I87="","",IF(OR(ARCH!I87="",LEFT(ARCH!I87,3)="14x"),IF(AG_REQ!I87&lt;=INDEX(INPUTS!$B$42:$B$50,1),INDEX(INPUTS!$A$42:$A$50,1),IF(AG_REQ!I87&gt;INDEX(INPUTS!$B$42:$B$50,ROWS(INPUTS!$B$42:$B$50)),"LARGER",INDEX(INPUTS!$A$42:$A$50,MATCH(AG_REQ!I87,INPUTS!$B$42:$B$50,1)+1))),IF(AG_REQ!I87&lt;=INDEX(INPUTS!$E$42:$E$50,1),INDEX(INPUTS!$D$42:$D$50,1),IF(AG_REQ!I87&gt;INDEX(INPUTS!$E$42:$E$50,ROWS(INPUTS!$E$42:$E$50)),"LARGER",INDEX(INPUTS!$D$42:$D$50,MATCH(AG_REQ!I87,INPUTS!$E$42:$E$50,1)+1)))))</f>
        <v/>
      </c>
      <c r="J87" s="4" t="str">
        <f aca="false">IF(TRIB!J87="","",IF(OR(ARCH!J87="",LEFT(ARCH!J87,3)="14x"),IF(AG_REQ!J87&lt;=INDEX(INPUTS!$B$42:$B$50,1),INDEX(INPUTS!$A$42:$A$50,1),IF(AG_REQ!J87&gt;INDEX(INPUTS!$B$42:$B$50,ROWS(INPUTS!$B$42:$B$50)),"LARGER",INDEX(INPUTS!$A$42:$A$50,MATCH(AG_REQ!J87,INPUTS!$B$42:$B$50,1)+1))),IF(AG_REQ!J87&lt;=INDEX(INPUTS!$E$42:$E$50,1),INDEX(INPUTS!$D$42:$D$50,1),IF(AG_REQ!J87&gt;INDEX(INPUTS!$E$42:$E$50,ROWS(INPUTS!$E$42:$E$50)),"LARGER",INDEX(INPUTS!$D$42:$D$50,MATCH(AG_REQ!J87,INPUTS!$E$42:$E$50,1)+1)))))</f>
        <v/>
      </c>
      <c r="K87" s="4" t="str">
        <f aca="false">IF(TRIB!K87="","",IF(OR(ARCH!K87="",LEFT(ARCH!K87,3)="14x"),IF(AG_REQ!K87&lt;=INDEX(INPUTS!$B$42:$B$50,1),INDEX(INPUTS!$A$42:$A$50,1),IF(AG_REQ!K87&gt;INDEX(INPUTS!$B$42:$B$50,ROWS(INPUTS!$B$42:$B$50)),"LARGER",INDEX(INPUTS!$A$42:$A$50,MATCH(AG_REQ!K87,INPUTS!$B$42:$B$50,1)+1))),IF(AG_REQ!K87&lt;=INDEX(INPUTS!$E$42:$E$50,1),INDEX(INPUTS!$D$42:$D$50,1),IF(AG_REQ!K87&gt;INDEX(INPUTS!$E$42:$E$50,ROWS(INPUTS!$E$42:$E$50)),"LARGER",INDEX(INPUTS!$D$42:$D$50,MATCH(AG_REQ!K87,INPUTS!$E$42:$E$50,1)+1)))))</f>
        <v/>
      </c>
      <c r="L87" s="4" t="str">
        <f aca="false">IF(TRIB!L87="","",IF(OR(ARCH!L87="",LEFT(ARCH!L87,3)="14x"),IF(AG_REQ!L87&lt;=INDEX(INPUTS!$B$42:$B$50,1),INDEX(INPUTS!$A$42:$A$50,1),IF(AG_REQ!L87&gt;INDEX(INPUTS!$B$42:$B$50,ROWS(INPUTS!$B$42:$B$50)),"LARGER",INDEX(INPUTS!$A$42:$A$50,MATCH(AG_REQ!L87,INPUTS!$B$42:$B$50,1)+1))),IF(AG_REQ!L87&lt;=INDEX(INPUTS!$E$42:$E$50,1),INDEX(INPUTS!$D$42:$D$50,1),IF(AG_REQ!L87&gt;INDEX(INPUTS!$E$42:$E$50,ROWS(INPUTS!$E$42:$E$50)),"LARGER",INDEX(INPUTS!$D$42:$D$50,MATCH(AG_REQ!L87,INPUTS!$E$42:$E$50,1)+1)))))</f>
        <v/>
      </c>
      <c r="M87" s="4" t="str">
        <f aca="false">IF(TRIB!M87="","",IF(OR(ARCH!M87="",LEFT(ARCH!M87,3)="14x"),IF(AG_REQ!M87&lt;=INDEX(INPUTS!$B$42:$B$50,1),INDEX(INPUTS!$A$42:$A$50,1),IF(AG_REQ!M87&gt;INDEX(INPUTS!$B$42:$B$50,ROWS(INPUTS!$B$42:$B$50)),"LARGER",INDEX(INPUTS!$A$42:$A$50,MATCH(AG_REQ!M87,INPUTS!$B$42:$B$50,1)+1))),IF(AG_REQ!M87&lt;=INDEX(INPUTS!$E$42:$E$50,1),INDEX(INPUTS!$D$42:$D$50,1),IF(AG_REQ!M87&gt;INDEX(INPUTS!$E$42:$E$50,ROWS(INPUTS!$E$42:$E$50)),"LARGER",INDEX(INPUTS!$D$42:$D$50,MATCH(AG_REQ!M87,INPUTS!$E$42:$E$50,1)+1)))))</f>
        <v/>
      </c>
      <c r="N87" s="4" t="str">
        <f aca="false">IF(TRIB!N87="","",IF(OR(ARCH!N87="",LEFT(ARCH!N87,3)="14x"),IF(AG_REQ!N87&lt;=INDEX(INPUTS!$B$42:$B$50,1),INDEX(INPUTS!$A$42:$A$50,1),IF(AG_REQ!N87&gt;INDEX(INPUTS!$B$42:$B$50,ROWS(INPUTS!$B$42:$B$50)),"LARGER",INDEX(INPUTS!$A$42:$A$50,MATCH(AG_REQ!N87,INPUTS!$B$42:$B$50,1)+1))),IF(AG_REQ!N87&lt;=INDEX(INPUTS!$E$42:$E$50,1),INDEX(INPUTS!$D$42:$D$50,1),IF(AG_REQ!N87&gt;INDEX(INPUTS!$E$42:$E$50,ROWS(INPUTS!$E$42:$E$50)),"LARGER",INDEX(INPUTS!$D$42:$D$50,MATCH(AG_REQ!N87,INPUTS!$E$42:$E$50,1)+1)))))</f>
        <v/>
      </c>
      <c r="O87" s="4" t="str">
        <f aca="false">IF(TRIB!O87="","",IF(OR(ARCH!O87="",LEFT(ARCH!O87,3)="14x"),IF(AG_REQ!O87&lt;=INDEX(INPUTS!$B$42:$B$50,1),INDEX(INPUTS!$A$42:$A$50,1),IF(AG_REQ!O87&gt;INDEX(INPUTS!$B$42:$B$50,ROWS(INPUTS!$B$42:$B$50)),"LARGER",INDEX(INPUTS!$A$42:$A$50,MATCH(AG_REQ!O87,INPUTS!$B$42:$B$50,1)+1))),IF(AG_REQ!O87&lt;=INDEX(INPUTS!$E$42:$E$50,1),INDEX(INPUTS!$D$42:$D$50,1),IF(AG_REQ!O87&gt;INDEX(INPUTS!$E$42:$E$50,ROWS(INPUTS!$E$42:$E$50)),"LARGER",INDEX(INPUTS!$D$42:$D$50,MATCH(AG_REQ!O87,INPUTS!$E$42:$E$50,1)+1)))))</f>
        <v/>
      </c>
      <c r="P87" s="4" t="str">
        <f aca="false">IF(TRIB!P87="","",IF(OR(ARCH!P87="",LEFT(ARCH!P87,3)="14x"),IF(AG_REQ!P87&lt;=INDEX(INPUTS!$B$42:$B$50,1),INDEX(INPUTS!$A$42:$A$50,1),IF(AG_REQ!P87&gt;INDEX(INPUTS!$B$42:$B$50,ROWS(INPUTS!$B$42:$B$50)),"LARGER",INDEX(INPUTS!$A$42:$A$50,MATCH(AG_REQ!P87,INPUTS!$B$42:$B$50,1)+1))),IF(AG_REQ!P87&lt;=INDEX(INPUTS!$E$42:$E$50,1),INDEX(INPUTS!$D$42:$D$50,1),IF(AG_REQ!P87&gt;INDEX(INPUTS!$E$42:$E$50,ROWS(INPUTS!$E$42:$E$50)),"LARGER",INDEX(INPUTS!$D$42:$D$50,MATCH(AG_REQ!P87,INPUTS!$E$42:$E$50,1)+1)))))</f>
        <v/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4" t="str">
        <f aca="false">IF(TRIB!E88="","",IF(OR(ARCH!E88="",LEFT(ARCH!E88,3)="14x"),IF(AG_REQ!E88&lt;=INDEX(INPUTS!$B$42:$B$50,1),INDEX(INPUTS!$A$42:$A$50,1),IF(AG_REQ!E88&gt;INDEX(INPUTS!$B$42:$B$50,ROWS(INPUTS!$B$42:$B$50)),"LARGER",INDEX(INPUTS!$A$42:$A$50,MATCH(AG_REQ!E88,INPUTS!$B$42:$B$50,1)+1))),IF(AG_REQ!E88&lt;=INDEX(INPUTS!$E$42:$E$50,1),INDEX(INPUTS!$D$42:$D$50,1),IF(AG_REQ!E88&gt;INDEX(INPUTS!$E$42:$E$50,ROWS(INPUTS!$E$42:$E$50)),"LARGER",INDEX(INPUTS!$D$42:$D$50,MATCH(AG_REQ!E88,INPUTS!$E$42:$E$50,1)+1)))))</f>
        <v>14x24</v>
      </c>
      <c r="F88" s="4" t="str">
        <f aca="false">IF(TRIB!F88="","",IF(OR(ARCH!F88="",LEFT(ARCH!F88,3)="14x"),IF(AG_REQ!F88&lt;=INDEX(INPUTS!$B$42:$B$50,1),INDEX(INPUTS!$A$42:$A$50,1),IF(AG_REQ!F88&gt;INDEX(INPUTS!$B$42:$B$50,ROWS(INPUTS!$B$42:$B$50)),"LARGER",INDEX(INPUTS!$A$42:$A$50,MATCH(AG_REQ!F88,INPUTS!$B$42:$B$50,1)+1))),IF(AG_REQ!F88&lt;=INDEX(INPUTS!$E$42:$E$50,1),INDEX(INPUTS!$D$42:$D$50,1),IF(AG_REQ!F88&gt;INDEX(INPUTS!$E$42:$E$50,ROWS(INPUTS!$E$42:$E$50)),"LARGER",INDEX(INPUTS!$D$42:$D$50,MATCH(AG_REQ!F88,INPUTS!$E$42:$E$50,1)+1)))))</f>
        <v>14x24</v>
      </c>
      <c r="G88" s="4" t="str">
        <f aca="false">IF(TRIB!G88="","",IF(OR(ARCH!G88="",LEFT(ARCH!G88,3)="14x"),IF(AG_REQ!G88&lt;=INDEX(INPUTS!$B$42:$B$50,1),INDEX(INPUTS!$A$42:$A$50,1),IF(AG_REQ!G88&gt;INDEX(INPUTS!$B$42:$B$50,ROWS(INPUTS!$B$42:$B$50)),"LARGER",INDEX(INPUTS!$A$42:$A$50,MATCH(AG_REQ!G88,INPUTS!$B$42:$B$50,1)+1))),IF(AG_REQ!G88&lt;=INDEX(INPUTS!$E$42:$E$50,1),INDEX(INPUTS!$D$42:$D$50,1),IF(AG_REQ!G88&gt;INDEX(INPUTS!$E$42:$E$50,ROWS(INPUTS!$E$42:$E$50)),"LARGER",INDEX(INPUTS!$D$42:$D$50,MATCH(AG_REQ!G88,INPUTS!$E$42:$E$50,1)+1)))))</f>
        <v>14x24</v>
      </c>
      <c r="H88" s="4" t="str">
        <f aca="false">IF(TRIB!H88="","",IF(OR(ARCH!H88="",LEFT(ARCH!H88,3)="14x"),IF(AG_REQ!H88&lt;=INDEX(INPUTS!$B$42:$B$50,1),INDEX(INPUTS!$A$42:$A$50,1),IF(AG_REQ!H88&gt;INDEX(INPUTS!$B$42:$B$50,ROWS(INPUTS!$B$42:$B$50)),"LARGER",INDEX(INPUTS!$A$42:$A$50,MATCH(AG_REQ!H88,INPUTS!$B$42:$B$50,1)+1))),IF(AG_REQ!H88&lt;=INDEX(INPUTS!$E$42:$E$50,1),INDEX(INPUTS!$D$42:$D$50,1),IF(AG_REQ!H88&gt;INDEX(INPUTS!$E$42:$E$50,ROWS(INPUTS!$E$42:$E$50)),"LARGER",INDEX(INPUTS!$D$42:$D$50,MATCH(AG_REQ!H88,INPUTS!$E$42:$E$50,1)+1)))))</f>
        <v>14x24</v>
      </c>
      <c r="I88" s="4" t="str">
        <f aca="false">IF(TRIB!I88="","",IF(OR(ARCH!I88="",LEFT(ARCH!I88,3)="14x"),IF(AG_REQ!I88&lt;=INDEX(INPUTS!$B$42:$B$50,1),INDEX(INPUTS!$A$42:$A$50,1),IF(AG_REQ!I88&gt;INDEX(INPUTS!$B$42:$B$50,ROWS(INPUTS!$B$42:$B$50)),"LARGER",INDEX(INPUTS!$A$42:$A$50,MATCH(AG_REQ!I88,INPUTS!$B$42:$B$50,1)+1))),IF(AG_REQ!I88&lt;=INDEX(INPUTS!$E$42:$E$50,1),INDEX(INPUTS!$D$42:$D$50,1),IF(AG_REQ!I88&gt;INDEX(INPUTS!$E$42:$E$50,ROWS(INPUTS!$E$42:$E$50)),"LARGER",INDEX(INPUTS!$D$42:$D$50,MATCH(AG_REQ!I88,INPUTS!$E$42:$E$50,1)+1)))))</f>
        <v/>
      </c>
      <c r="J88" s="4" t="str">
        <f aca="false">IF(TRIB!J88="","",IF(OR(ARCH!J88="",LEFT(ARCH!J88,3)="14x"),IF(AG_REQ!J88&lt;=INDEX(INPUTS!$B$42:$B$50,1),INDEX(INPUTS!$A$42:$A$50,1),IF(AG_REQ!J88&gt;INDEX(INPUTS!$B$42:$B$50,ROWS(INPUTS!$B$42:$B$50)),"LARGER",INDEX(INPUTS!$A$42:$A$50,MATCH(AG_REQ!J88,INPUTS!$B$42:$B$50,1)+1))),IF(AG_REQ!J88&lt;=INDEX(INPUTS!$E$42:$E$50,1),INDEX(INPUTS!$D$42:$D$50,1),IF(AG_REQ!J88&gt;INDEX(INPUTS!$E$42:$E$50,ROWS(INPUTS!$E$42:$E$50)),"LARGER",INDEX(INPUTS!$D$42:$D$50,MATCH(AG_REQ!J88,INPUTS!$E$42:$E$50,1)+1)))))</f>
        <v/>
      </c>
      <c r="K88" s="4" t="str">
        <f aca="false">IF(TRIB!K88="","",IF(OR(ARCH!K88="",LEFT(ARCH!K88,3)="14x"),IF(AG_REQ!K88&lt;=INDEX(INPUTS!$B$42:$B$50,1),INDEX(INPUTS!$A$42:$A$50,1),IF(AG_REQ!K88&gt;INDEX(INPUTS!$B$42:$B$50,ROWS(INPUTS!$B$42:$B$50)),"LARGER",INDEX(INPUTS!$A$42:$A$50,MATCH(AG_REQ!K88,INPUTS!$B$42:$B$50,1)+1))),IF(AG_REQ!K88&lt;=INDEX(INPUTS!$E$42:$E$50,1),INDEX(INPUTS!$D$42:$D$50,1),IF(AG_REQ!K88&gt;INDEX(INPUTS!$E$42:$E$50,ROWS(INPUTS!$E$42:$E$50)),"LARGER",INDEX(INPUTS!$D$42:$D$50,MATCH(AG_REQ!K88,INPUTS!$E$42:$E$50,1)+1)))))</f>
        <v/>
      </c>
      <c r="L88" s="4" t="str">
        <f aca="false">IF(TRIB!L88="","",IF(OR(ARCH!L88="",LEFT(ARCH!L88,3)="14x"),IF(AG_REQ!L88&lt;=INDEX(INPUTS!$B$42:$B$50,1),INDEX(INPUTS!$A$42:$A$50,1),IF(AG_REQ!L88&gt;INDEX(INPUTS!$B$42:$B$50,ROWS(INPUTS!$B$42:$B$50)),"LARGER",INDEX(INPUTS!$A$42:$A$50,MATCH(AG_REQ!L88,INPUTS!$B$42:$B$50,1)+1))),IF(AG_REQ!L88&lt;=INDEX(INPUTS!$E$42:$E$50,1),INDEX(INPUTS!$D$42:$D$50,1),IF(AG_REQ!L88&gt;INDEX(INPUTS!$E$42:$E$50,ROWS(INPUTS!$E$42:$E$50)),"LARGER",INDEX(INPUTS!$D$42:$D$50,MATCH(AG_REQ!L88,INPUTS!$E$42:$E$50,1)+1)))))</f>
        <v/>
      </c>
      <c r="M88" s="4" t="str">
        <f aca="false">IF(TRIB!M88="","",IF(OR(ARCH!M88="",LEFT(ARCH!M88,3)="14x"),IF(AG_REQ!M88&lt;=INDEX(INPUTS!$B$42:$B$50,1),INDEX(INPUTS!$A$42:$A$50,1),IF(AG_REQ!M88&gt;INDEX(INPUTS!$B$42:$B$50,ROWS(INPUTS!$B$42:$B$50)),"LARGER",INDEX(INPUTS!$A$42:$A$50,MATCH(AG_REQ!M88,INPUTS!$B$42:$B$50,1)+1))),IF(AG_REQ!M88&lt;=INDEX(INPUTS!$E$42:$E$50,1),INDEX(INPUTS!$D$42:$D$50,1),IF(AG_REQ!M88&gt;INDEX(INPUTS!$E$42:$E$50,ROWS(INPUTS!$E$42:$E$50)),"LARGER",INDEX(INPUTS!$D$42:$D$50,MATCH(AG_REQ!M88,INPUTS!$E$42:$E$50,1)+1)))))</f>
        <v/>
      </c>
      <c r="N88" s="4" t="str">
        <f aca="false">IF(TRIB!N88="","",IF(OR(ARCH!N88="",LEFT(ARCH!N88,3)="14x"),IF(AG_REQ!N88&lt;=INDEX(INPUTS!$B$42:$B$50,1),INDEX(INPUTS!$A$42:$A$50,1),IF(AG_REQ!N88&gt;INDEX(INPUTS!$B$42:$B$50,ROWS(INPUTS!$B$42:$B$50)),"LARGER",INDEX(INPUTS!$A$42:$A$50,MATCH(AG_REQ!N88,INPUTS!$B$42:$B$50,1)+1))),IF(AG_REQ!N88&lt;=INDEX(INPUTS!$E$42:$E$50,1),INDEX(INPUTS!$D$42:$D$50,1),IF(AG_REQ!N88&gt;INDEX(INPUTS!$E$42:$E$50,ROWS(INPUTS!$E$42:$E$50)),"LARGER",INDEX(INPUTS!$D$42:$D$50,MATCH(AG_REQ!N88,INPUTS!$E$42:$E$50,1)+1)))))</f>
        <v/>
      </c>
      <c r="O88" s="4" t="str">
        <f aca="false">IF(TRIB!O88="","",IF(OR(ARCH!O88="",LEFT(ARCH!O88,3)="14x"),IF(AG_REQ!O88&lt;=INDEX(INPUTS!$B$42:$B$50,1),INDEX(INPUTS!$A$42:$A$50,1),IF(AG_REQ!O88&gt;INDEX(INPUTS!$B$42:$B$50,ROWS(INPUTS!$B$42:$B$50)),"LARGER",INDEX(INPUTS!$A$42:$A$50,MATCH(AG_REQ!O88,INPUTS!$B$42:$B$50,1)+1))),IF(AG_REQ!O88&lt;=INDEX(INPUTS!$E$42:$E$50,1),INDEX(INPUTS!$D$42:$D$50,1),IF(AG_REQ!O88&gt;INDEX(INPUTS!$E$42:$E$50,ROWS(INPUTS!$E$42:$E$50)),"LARGER",INDEX(INPUTS!$D$42:$D$50,MATCH(AG_REQ!O88,INPUTS!$E$42:$E$50,1)+1)))))</f>
        <v/>
      </c>
      <c r="P88" s="4" t="str">
        <f aca="false">IF(TRIB!P88="","",IF(OR(ARCH!P88="",LEFT(ARCH!P88,3)="14x"),IF(AG_REQ!P88&lt;=INDEX(INPUTS!$B$42:$B$50,1),INDEX(INPUTS!$A$42:$A$50,1),IF(AG_REQ!P88&gt;INDEX(INPUTS!$B$42:$B$50,ROWS(INPUTS!$B$42:$B$50)),"LARGER",INDEX(INPUTS!$A$42:$A$50,MATCH(AG_REQ!P88,INPUTS!$B$42:$B$50,1)+1))),IF(AG_REQ!P88&lt;=INDEX(INPUTS!$E$42:$E$50,1),INDEX(INPUTS!$D$42:$D$50,1),IF(AG_REQ!P88&gt;INDEX(INPUTS!$E$42:$E$50,ROWS(INPUTS!$E$42:$E$50)),"LARGER",INDEX(INPUTS!$D$42:$D$50,MATCH(AG_REQ!P88,INPUTS!$E$42:$E$50,1)+1)))))</f>
        <v/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4" t="str">
        <f aca="false">IF(TRIB!E89="","",IF(OR(ARCH!E89="",LEFT(ARCH!E89,3)="14x"),IF(AG_REQ!E89&lt;=INDEX(INPUTS!$B$42:$B$50,1),INDEX(INPUTS!$A$42:$A$50,1),IF(AG_REQ!E89&gt;INDEX(INPUTS!$B$42:$B$50,ROWS(INPUTS!$B$42:$B$50)),"LARGER",INDEX(INPUTS!$A$42:$A$50,MATCH(AG_REQ!E89,INPUTS!$B$42:$B$50,1)+1))),IF(AG_REQ!E89&lt;=INDEX(INPUTS!$E$42:$E$50,1),INDEX(INPUTS!$D$42:$D$50,1),IF(AG_REQ!E89&gt;INDEX(INPUTS!$E$42:$E$50,ROWS(INPUTS!$E$42:$E$50)),"LARGER",INDEX(INPUTS!$D$42:$D$50,MATCH(AG_REQ!E89,INPUTS!$E$42:$E$50,1)+1)))))</f>
        <v>14x24</v>
      </c>
      <c r="F89" s="4" t="str">
        <f aca="false">IF(TRIB!F89="","",IF(OR(ARCH!F89="",LEFT(ARCH!F89,3)="14x"),IF(AG_REQ!F89&lt;=INDEX(INPUTS!$B$42:$B$50,1),INDEX(INPUTS!$A$42:$A$50,1),IF(AG_REQ!F89&gt;INDEX(INPUTS!$B$42:$B$50,ROWS(INPUTS!$B$42:$B$50)),"LARGER",INDEX(INPUTS!$A$42:$A$50,MATCH(AG_REQ!F89,INPUTS!$B$42:$B$50,1)+1))),IF(AG_REQ!F89&lt;=INDEX(INPUTS!$E$42:$E$50,1),INDEX(INPUTS!$D$42:$D$50,1),IF(AG_REQ!F89&gt;INDEX(INPUTS!$E$42:$E$50,ROWS(INPUTS!$E$42:$E$50)),"LARGER",INDEX(INPUTS!$D$42:$D$50,MATCH(AG_REQ!F89,INPUTS!$E$42:$E$50,1)+1)))))</f>
        <v>14x24</v>
      </c>
      <c r="G89" s="4" t="str">
        <f aca="false">IF(TRIB!G89="","",IF(OR(ARCH!G89="",LEFT(ARCH!G89,3)="14x"),IF(AG_REQ!G89&lt;=INDEX(INPUTS!$B$42:$B$50,1),INDEX(INPUTS!$A$42:$A$50,1),IF(AG_REQ!G89&gt;INDEX(INPUTS!$B$42:$B$50,ROWS(INPUTS!$B$42:$B$50)),"LARGER",INDEX(INPUTS!$A$42:$A$50,MATCH(AG_REQ!G89,INPUTS!$B$42:$B$50,1)+1))),IF(AG_REQ!G89&lt;=INDEX(INPUTS!$E$42:$E$50,1),INDEX(INPUTS!$D$42:$D$50,1),IF(AG_REQ!G89&gt;INDEX(INPUTS!$E$42:$E$50,ROWS(INPUTS!$E$42:$E$50)),"LARGER",INDEX(INPUTS!$D$42:$D$50,MATCH(AG_REQ!G89,INPUTS!$E$42:$E$50,1)+1)))))</f>
        <v>14x24</v>
      </c>
      <c r="H89" s="4" t="str">
        <f aca="false">IF(TRIB!H89="","",IF(OR(ARCH!H89="",LEFT(ARCH!H89,3)="14x"),IF(AG_REQ!H89&lt;=INDEX(INPUTS!$B$42:$B$50,1),INDEX(INPUTS!$A$42:$A$50,1),IF(AG_REQ!H89&gt;INDEX(INPUTS!$B$42:$B$50,ROWS(INPUTS!$B$42:$B$50)),"LARGER",INDEX(INPUTS!$A$42:$A$50,MATCH(AG_REQ!H89,INPUTS!$B$42:$B$50,1)+1))),IF(AG_REQ!H89&lt;=INDEX(INPUTS!$E$42:$E$50,1),INDEX(INPUTS!$D$42:$D$50,1),IF(AG_REQ!H89&gt;INDEX(INPUTS!$E$42:$E$50,ROWS(INPUTS!$E$42:$E$50)),"LARGER",INDEX(INPUTS!$D$42:$D$50,MATCH(AG_REQ!H89,INPUTS!$E$42:$E$50,1)+1)))))</f>
        <v>14x24</v>
      </c>
      <c r="I89" s="4" t="str">
        <f aca="false">IF(TRIB!I89="","",IF(OR(ARCH!I89="",LEFT(ARCH!I89,3)="14x"),IF(AG_REQ!I89&lt;=INDEX(INPUTS!$B$42:$B$50,1),INDEX(INPUTS!$A$42:$A$50,1),IF(AG_REQ!I89&gt;INDEX(INPUTS!$B$42:$B$50,ROWS(INPUTS!$B$42:$B$50)),"LARGER",INDEX(INPUTS!$A$42:$A$50,MATCH(AG_REQ!I89,INPUTS!$B$42:$B$50,1)+1))),IF(AG_REQ!I89&lt;=INDEX(INPUTS!$E$42:$E$50,1),INDEX(INPUTS!$D$42:$D$50,1),IF(AG_REQ!I89&gt;INDEX(INPUTS!$E$42:$E$50,ROWS(INPUTS!$E$42:$E$50)),"LARGER",INDEX(INPUTS!$D$42:$D$50,MATCH(AG_REQ!I89,INPUTS!$E$42:$E$50,1)+1)))))</f>
        <v>14x24</v>
      </c>
      <c r="J89" s="4" t="str">
        <f aca="false">IF(TRIB!J89="","",IF(OR(ARCH!J89="",LEFT(ARCH!J89,3)="14x"),IF(AG_REQ!J89&lt;=INDEX(INPUTS!$B$42:$B$50,1),INDEX(INPUTS!$A$42:$A$50,1),IF(AG_REQ!J89&gt;INDEX(INPUTS!$B$42:$B$50,ROWS(INPUTS!$B$42:$B$50)),"LARGER",INDEX(INPUTS!$A$42:$A$50,MATCH(AG_REQ!J89,INPUTS!$B$42:$B$50,1)+1))),IF(AG_REQ!J89&lt;=INDEX(INPUTS!$E$42:$E$50,1),INDEX(INPUTS!$D$42:$D$50,1),IF(AG_REQ!J89&gt;INDEX(INPUTS!$E$42:$E$50,ROWS(INPUTS!$E$42:$E$50)),"LARGER",INDEX(INPUTS!$D$42:$D$50,MATCH(AG_REQ!J89,INPUTS!$E$42:$E$50,1)+1)))))</f>
        <v>14x24</v>
      </c>
      <c r="K89" s="4" t="str">
        <f aca="false">IF(TRIB!K89="","",IF(OR(ARCH!K89="",LEFT(ARCH!K89,3)="14x"),IF(AG_REQ!K89&lt;=INDEX(INPUTS!$B$42:$B$50,1),INDEX(INPUTS!$A$42:$A$50,1),IF(AG_REQ!K89&gt;INDEX(INPUTS!$B$42:$B$50,ROWS(INPUTS!$B$42:$B$50)),"LARGER",INDEX(INPUTS!$A$42:$A$50,MATCH(AG_REQ!K89,INPUTS!$B$42:$B$50,1)+1))),IF(AG_REQ!K89&lt;=INDEX(INPUTS!$E$42:$E$50,1),INDEX(INPUTS!$D$42:$D$50,1),IF(AG_REQ!K89&gt;INDEX(INPUTS!$E$42:$E$50,ROWS(INPUTS!$E$42:$E$50)),"LARGER",INDEX(INPUTS!$D$42:$D$50,MATCH(AG_REQ!K89,INPUTS!$E$42:$E$50,1)+1)))))</f>
        <v/>
      </c>
      <c r="L89" s="4" t="str">
        <f aca="false">IF(TRIB!L89="","",IF(OR(ARCH!L89="",LEFT(ARCH!L89,3)="14x"),IF(AG_REQ!L89&lt;=INDEX(INPUTS!$B$42:$B$50,1),INDEX(INPUTS!$A$42:$A$50,1),IF(AG_REQ!L89&gt;INDEX(INPUTS!$B$42:$B$50,ROWS(INPUTS!$B$42:$B$50)),"LARGER",INDEX(INPUTS!$A$42:$A$50,MATCH(AG_REQ!L89,INPUTS!$B$42:$B$50,1)+1))),IF(AG_REQ!L89&lt;=INDEX(INPUTS!$E$42:$E$50,1),INDEX(INPUTS!$D$42:$D$50,1),IF(AG_REQ!L89&gt;INDEX(INPUTS!$E$42:$E$50,ROWS(INPUTS!$E$42:$E$50)),"LARGER",INDEX(INPUTS!$D$42:$D$50,MATCH(AG_REQ!L89,INPUTS!$E$42:$E$50,1)+1)))))</f>
        <v/>
      </c>
      <c r="M89" s="4" t="str">
        <f aca="false">IF(TRIB!M89="","",IF(OR(ARCH!M89="",LEFT(ARCH!M89,3)="14x"),IF(AG_REQ!M89&lt;=INDEX(INPUTS!$B$42:$B$50,1),INDEX(INPUTS!$A$42:$A$50,1),IF(AG_REQ!M89&gt;INDEX(INPUTS!$B$42:$B$50,ROWS(INPUTS!$B$42:$B$50)),"LARGER",INDEX(INPUTS!$A$42:$A$50,MATCH(AG_REQ!M89,INPUTS!$B$42:$B$50,1)+1))),IF(AG_REQ!M89&lt;=INDEX(INPUTS!$E$42:$E$50,1),INDEX(INPUTS!$D$42:$D$50,1),IF(AG_REQ!M89&gt;INDEX(INPUTS!$E$42:$E$50,ROWS(INPUTS!$E$42:$E$50)),"LARGER",INDEX(INPUTS!$D$42:$D$50,MATCH(AG_REQ!M89,INPUTS!$E$42:$E$50,1)+1)))))</f>
        <v/>
      </c>
      <c r="N89" s="4" t="str">
        <f aca="false">IF(TRIB!N89="","",IF(OR(ARCH!N89="",LEFT(ARCH!N89,3)="14x"),IF(AG_REQ!N89&lt;=INDEX(INPUTS!$B$42:$B$50,1),INDEX(INPUTS!$A$42:$A$50,1),IF(AG_REQ!N89&gt;INDEX(INPUTS!$B$42:$B$50,ROWS(INPUTS!$B$42:$B$50)),"LARGER",INDEX(INPUTS!$A$42:$A$50,MATCH(AG_REQ!N89,INPUTS!$B$42:$B$50,1)+1))),IF(AG_REQ!N89&lt;=INDEX(INPUTS!$E$42:$E$50,1),INDEX(INPUTS!$D$42:$D$50,1),IF(AG_REQ!N89&gt;INDEX(INPUTS!$E$42:$E$50,ROWS(INPUTS!$E$42:$E$50)),"LARGER",INDEX(INPUTS!$D$42:$D$50,MATCH(AG_REQ!N89,INPUTS!$E$42:$E$50,1)+1)))))</f>
        <v/>
      </c>
      <c r="O89" s="4" t="str">
        <f aca="false">IF(TRIB!O89="","",IF(OR(ARCH!O89="",LEFT(ARCH!O89,3)="14x"),IF(AG_REQ!O89&lt;=INDEX(INPUTS!$B$42:$B$50,1),INDEX(INPUTS!$A$42:$A$50,1),IF(AG_REQ!O89&gt;INDEX(INPUTS!$B$42:$B$50,ROWS(INPUTS!$B$42:$B$50)),"LARGER",INDEX(INPUTS!$A$42:$A$50,MATCH(AG_REQ!O89,INPUTS!$B$42:$B$50,1)+1))),IF(AG_REQ!O89&lt;=INDEX(INPUTS!$E$42:$E$50,1),INDEX(INPUTS!$D$42:$D$50,1),IF(AG_REQ!O89&gt;INDEX(INPUTS!$E$42:$E$50,ROWS(INPUTS!$E$42:$E$50)),"LARGER",INDEX(INPUTS!$D$42:$D$50,MATCH(AG_REQ!O89,INPUTS!$E$42:$E$50,1)+1)))))</f>
        <v/>
      </c>
      <c r="P89" s="4" t="str">
        <f aca="false">IF(TRIB!P89="","",IF(OR(ARCH!P89="",LEFT(ARCH!P89,3)="14x"),IF(AG_REQ!P89&lt;=INDEX(INPUTS!$B$42:$B$50,1),INDEX(INPUTS!$A$42:$A$50,1),IF(AG_REQ!P89&gt;INDEX(INPUTS!$B$42:$B$50,ROWS(INPUTS!$B$42:$B$50)),"LARGER",INDEX(INPUTS!$A$42:$A$50,MATCH(AG_REQ!P89,INPUTS!$B$42:$B$50,1)+1))),IF(AG_REQ!P89&lt;=INDEX(INPUTS!$E$42:$E$50,1),INDEX(INPUTS!$D$42:$D$50,1),IF(AG_REQ!P89&gt;INDEX(INPUTS!$E$42:$E$50,ROWS(INPUTS!$E$42:$E$50)),"LARGER",INDEX(INPUTS!$D$42:$D$50,MATCH(AG_REQ!P89,INPUTS!$E$42:$E$50,1)+1)))))</f>
        <v/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4" t="str">
        <f aca="false">IF(TRIB!E90="","",IF(OR(ARCH!E90="",LEFT(ARCH!E90,3)="14x"),IF(AG_REQ!E90&lt;=INDEX(INPUTS!$B$42:$B$50,1),INDEX(INPUTS!$A$42:$A$50,1),IF(AG_REQ!E90&gt;INDEX(INPUTS!$B$42:$B$50,ROWS(INPUTS!$B$42:$B$50)),"LARGER",INDEX(INPUTS!$A$42:$A$50,MATCH(AG_REQ!E90,INPUTS!$B$42:$B$50,1)+1))),IF(AG_REQ!E90&lt;=INDEX(INPUTS!$E$42:$E$50,1),INDEX(INPUTS!$D$42:$D$50,1),IF(AG_REQ!E90&gt;INDEX(INPUTS!$E$42:$E$50,ROWS(INPUTS!$E$42:$E$50)),"LARGER",INDEX(INPUTS!$D$42:$D$50,MATCH(AG_REQ!E90,INPUTS!$E$42:$E$50,1)+1)))))</f>
        <v>14x24</v>
      </c>
      <c r="F90" s="4" t="str">
        <f aca="false">IF(TRIB!F90="","",IF(OR(ARCH!F90="",LEFT(ARCH!F90,3)="14x"),IF(AG_REQ!F90&lt;=INDEX(INPUTS!$B$42:$B$50,1),INDEX(INPUTS!$A$42:$A$50,1),IF(AG_REQ!F90&gt;INDEX(INPUTS!$B$42:$B$50,ROWS(INPUTS!$B$42:$B$50)),"LARGER",INDEX(INPUTS!$A$42:$A$50,MATCH(AG_REQ!F90,INPUTS!$B$42:$B$50,1)+1))),IF(AG_REQ!F90&lt;=INDEX(INPUTS!$E$42:$E$50,1),INDEX(INPUTS!$D$42:$D$50,1),IF(AG_REQ!F90&gt;INDEX(INPUTS!$E$42:$E$50,ROWS(INPUTS!$E$42:$E$50)),"LARGER",INDEX(INPUTS!$D$42:$D$50,MATCH(AG_REQ!F90,INPUTS!$E$42:$E$50,1)+1)))))</f>
        <v>14x24</v>
      </c>
      <c r="G90" s="4" t="str">
        <f aca="false">IF(TRIB!G90="","",IF(OR(ARCH!G90="",LEFT(ARCH!G90,3)="14x"),IF(AG_REQ!G90&lt;=INDEX(INPUTS!$B$42:$B$50,1),INDEX(INPUTS!$A$42:$A$50,1),IF(AG_REQ!G90&gt;INDEX(INPUTS!$B$42:$B$50,ROWS(INPUTS!$B$42:$B$50)),"LARGER",INDEX(INPUTS!$A$42:$A$50,MATCH(AG_REQ!G90,INPUTS!$B$42:$B$50,1)+1))),IF(AG_REQ!G90&lt;=INDEX(INPUTS!$E$42:$E$50,1),INDEX(INPUTS!$D$42:$D$50,1),IF(AG_REQ!G90&gt;INDEX(INPUTS!$E$42:$E$50,ROWS(INPUTS!$E$42:$E$50)),"LARGER",INDEX(INPUTS!$D$42:$D$50,MATCH(AG_REQ!G90,INPUTS!$E$42:$E$50,1)+1)))))</f>
        <v>14x24</v>
      </c>
      <c r="H90" s="4" t="str">
        <f aca="false">IF(TRIB!H90="","",IF(OR(ARCH!H90="",LEFT(ARCH!H90,3)="14x"),IF(AG_REQ!H90&lt;=INDEX(INPUTS!$B$42:$B$50,1),INDEX(INPUTS!$A$42:$A$50,1),IF(AG_REQ!H90&gt;INDEX(INPUTS!$B$42:$B$50,ROWS(INPUTS!$B$42:$B$50)),"LARGER",INDEX(INPUTS!$A$42:$A$50,MATCH(AG_REQ!H90,INPUTS!$B$42:$B$50,1)+1))),IF(AG_REQ!H90&lt;=INDEX(INPUTS!$E$42:$E$50,1),INDEX(INPUTS!$D$42:$D$50,1),IF(AG_REQ!H90&gt;INDEX(INPUTS!$E$42:$E$50,ROWS(INPUTS!$E$42:$E$50)),"LARGER",INDEX(INPUTS!$D$42:$D$50,MATCH(AG_REQ!H90,INPUTS!$E$42:$E$50,1)+1)))))</f>
        <v>14x24</v>
      </c>
      <c r="I90" s="4" t="str">
        <f aca="false">IF(TRIB!I90="","",IF(OR(ARCH!I90="",LEFT(ARCH!I90,3)="14x"),IF(AG_REQ!I90&lt;=INDEX(INPUTS!$B$42:$B$50,1),INDEX(INPUTS!$A$42:$A$50,1),IF(AG_REQ!I90&gt;INDEX(INPUTS!$B$42:$B$50,ROWS(INPUTS!$B$42:$B$50)),"LARGER",INDEX(INPUTS!$A$42:$A$50,MATCH(AG_REQ!I90,INPUTS!$B$42:$B$50,1)+1))),IF(AG_REQ!I90&lt;=INDEX(INPUTS!$E$42:$E$50,1),INDEX(INPUTS!$D$42:$D$50,1),IF(AG_REQ!I90&gt;INDEX(INPUTS!$E$42:$E$50,ROWS(INPUTS!$E$42:$E$50)),"LARGER",INDEX(INPUTS!$D$42:$D$50,MATCH(AG_REQ!I90,INPUTS!$E$42:$E$50,1)+1)))))</f>
        <v>14x24</v>
      </c>
      <c r="J90" s="4" t="str">
        <f aca="false">IF(TRIB!J90="","",IF(OR(ARCH!J90="",LEFT(ARCH!J90,3)="14x"),IF(AG_REQ!J90&lt;=INDEX(INPUTS!$B$42:$B$50,1),INDEX(INPUTS!$A$42:$A$50,1),IF(AG_REQ!J90&gt;INDEX(INPUTS!$B$42:$B$50,ROWS(INPUTS!$B$42:$B$50)),"LARGER",INDEX(INPUTS!$A$42:$A$50,MATCH(AG_REQ!J90,INPUTS!$B$42:$B$50,1)+1))),IF(AG_REQ!J90&lt;=INDEX(INPUTS!$E$42:$E$50,1),INDEX(INPUTS!$D$42:$D$50,1),IF(AG_REQ!J90&gt;INDEX(INPUTS!$E$42:$E$50,ROWS(INPUTS!$E$42:$E$50)),"LARGER",INDEX(INPUTS!$D$42:$D$50,MATCH(AG_REQ!J90,INPUTS!$E$42:$E$50,1)+1)))))</f>
        <v>14x24</v>
      </c>
      <c r="K90" s="4" t="str">
        <f aca="false">IF(TRIB!K90="","",IF(OR(ARCH!K90="",LEFT(ARCH!K90,3)="14x"),IF(AG_REQ!K90&lt;=INDEX(INPUTS!$B$42:$B$50,1),INDEX(INPUTS!$A$42:$A$50,1),IF(AG_REQ!K90&gt;INDEX(INPUTS!$B$42:$B$50,ROWS(INPUTS!$B$42:$B$50)),"LARGER",INDEX(INPUTS!$A$42:$A$50,MATCH(AG_REQ!K90,INPUTS!$B$42:$B$50,1)+1))),IF(AG_REQ!K90&lt;=INDEX(INPUTS!$E$42:$E$50,1),INDEX(INPUTS!$D$42:$D$50,1),IF(AG_REQ!K90&gt;INDEX(INPUTS!$E$42:$E$50,ROWS(INPUTS!$E$42:$E$50)),"LARGER",INDEX(INPUTS!$D$42:$D$50,MATCH(AG_REQ!K90,INPUTS!$E$42:$E$50,1)+1)))))</f>
        <v/>
      </c>
      <c r="L90" s="4" t="str">
        <f aca="false">IF(TRIB!L90="","",IF(OR(ARCH!L90="",LEFT(ARCH!L90,3)="14x"),IF(AG_REQ!L90&lt;=INDEX(INPUTS!$B$42:$B$50,1),INDEX(INPUTS!$A$42:$A$50,1),IF(AG_REQ!L90&gt;INDEX(INPUTS!$B$42:$B$50,ROWS(INPUTS!$B$42:$B$50)),"LARGER",INDEX(INPUTS!$A$42:$A$50,MATCH(AG_REQ!L90,INPUTS!$B$42:$B$50,1)+1))),IF(AG_REQ!L90&lt;=INDEX(INPUTS!$E$42:$E$50,1),INDEX(INPUTS!$D$42:$D$50,1),IF(AG_REQ!L90&gt;INDEX(INPUTS!$E$42:$E$50,ROWS(INPUTS!$E$42:$E$50)),"LARGER",INDEX(INPUTS!$D$42:$D$50,MATCH(AG_REQ!L90,INPUTS!$E$42:$E$50,1)+1)))))</f>
        <v/>
      </c>
      <c r="M90" s="4" t="str">
        <f aca="false">IF(TRIB!M90="","",IF(OR(ARCH!M90="",LEFT(ARCH!M90,3)="14x"),IF(AG_REQ!M90&lt;=INDEX(INPUTS!$B$42:$B$50,1),INDEX(INPUTS!$A$42:$A$50,1),IF(AG_REQ!M90&gt;INDEX(INPUTS!$B$42:$B$50,ROWS(INPUTS!$B$42:$B$50)),"LARGER",INDEX(INPUTS!$A$42:$A$50,MATCH(AG_REQ!M90,INPUTS!$B$42:$B$50,1)+1))),IF(AG_REQ!M90&lt;=INDEX(INPUTS!$E$42:$E$50,1),INDEX(INPUTS!$D$42:$D$50,1),IF(AG_REQ!M90&gt;INDEX(INPUTS!$E$42:$E$50,ROWS(INPUTS!$E$42:$E$50)),"LARGER",INDEX(INPUTS!$D$42:$D$50,MATCH(AG_REQ!M90,INPUTS!$E$42:$E$50,1)+1)))))</f>
        <v/>
      </c>
      <c r="N90" s="4" t="str">
        <f aca="false">IF(TRIB!N90="","",IF(OR(ARCH!N90="",LEFT(ARCH!N90,3)="14x"),IF(AG_REQ!N90&lt;=INDEX(INPUTS!$B$42:$B$50,1),INDEX(INPUTS!$A$42:$A$50,1),IF(AG_REQ!N90&gt;INDEX(INPUTS!$B$42:$B$50,ROWS(INPUTS!$B$42:$B$50)),"LARGER",INDEX(INPUTS!$A$42:$A$50,MATCH(AG_REQ!N90,INPUTS!$B$42:$B$50,1)+1))),IF(AG_REQ!N90&lt;=INDEX(INPUTS!$E$42:$E$50,1),INDEX(INPUTS!$D$42:$D$50,1),IF(AG_REQ!N90&gt;INDEX(INPUTS!$E$42:$E$50,ROWS(INPUTS!$E$42:$E$50)),"LARGER",INDEX(INPUTS!$D$42:$D$50,MATCH(AG_REQ!N90,INPUTS!$E$42:$E$50,1)+1)))))</f>
        <v/>
      </c>
      <c r="O90" s="4" t="str">
        <f aca="false">IF(TRIB!O90="","",IF(OR(ARCH!O90="",LEFT(ARCH!O90,3)="14x"),IF(AG_REQ!O90&lt;=INDEX(INPUTS!$B$42:$B$50,1),INDEX(INPUTS!$A$42:$A$50,1),IF(AG_REQ!O90&gt;INDEX(INPUTS!$B$42:$B$50,ROWS(INPUTS!$B$42:$B$50)),"LARGER",INDEX(INPUTS!$A$42:$A$50,MATCH(AG_REQ!O90,INPUTS!$B$42:$B$50,1)+1))),IF(AG_REQ!O90&lt;=INDEX(INPUTS!$E$42:$E$50,1),INDEX(INPUTS!$D$42:$D$50,1),IF(AG_REQ!O90&gt;INDEX(INPUTS!$E$42:$E$50,ROWS(INPUTS!$E$42:$E$50)),"LARGER",INDEX(INPUTS!$D$42:$D$50,MATCH(AG_REQ!O90,INPUTS!$E$42:$E$50,1)+1)))))</f>
        <v/>
      </c>
      <c r="P90" s="4" t="str">
        <f aca="false">IF(TRIB!P90="","",IF(OR(ARCH!P90="",LEFT(ARCH!P90,3)="14x"),IF(AG_REQ!P90&lt;=INDEX(INPUTS!$B$42:$B$50,1),INDEX(INPUTS!$A$42:$A$50,1),IF(AG_REQ!P90&gt;INDEX(INPUTS!$B$42:$B$50,ROWS(INPUTS!$B$42:$B$50)),"LARGER",INDEX(INPUTS!$A$42:$A$50,MATCH(AG_REQ!P90,INPUTS!$B$42:$B$50,1)+1))),IF(AG_REQ!P90&lt;=INDEX(INPUTS!$E$42:$E$50,1),INDEX(INPUTS!$D$42:$D$50,1),IF(AG_REQ!P90&gt;INDEX(INPUTS!$E$42:$E$50,ROWS(INPUTS!$E$42:$E$50)),"LARGER",INDEX(INPUTS!$D$42:$D$50,MATCH(AG_REQ!P90,INPUTS!$E$42:$E$50,1)+1)))))</f>
        <v/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4" t="str">
        <f aca="false">IF(TRIB!E91="","",IF(OR(ARCH!E91="",LEFT(ARCH!E91,3)="14x"),IF(AG_REQ!E91&lt;=INDEX(INPUTS!$B$42:$B$50,1),INDEX(INPUTS!$A$42:$A$50,1),IF(AG_REQ!E91&gt;INDEX(INPUTS!$B$42:$B$50,ROWS(INPUTS!$B$42:$B$50)),"LARGER",INDEX(INPUTS!$A$42:$A$50,MATCH(AG_REQ!E91,INPUTS!$B$42:$B$50,1)+1))),IF(AG_REQ!E91&lt;=INDEX(INPUTS!$E$42:$E$50,1),INDEX(INPUTS!$D$42:$D$50,1),IF(AG_REQ!E91&gt;INDEX(INPUTS!$E$42:$E$50,ROWS(INPUTS!$E$42:$E$50)),"LARGER",INDEX(INPUTS!$D$42:$D$50,MATCH(AG_REQ!E91,INPUTS!$E$42:$E$50,1)+1)))))</f>
        <v>14x24</v>
      </c>
      <c r="F91" s="4" t="str">
        <f aca="false">IF(TRIB!F91="","",IF(OR(ARCH!F91="",LEFT(ARCH!F91,3)="14x"),IF(AG_REQ!F91&lt;=INDEX(INPUTS!$B$42:$B$50,1),INDEX(INPUTS!$A$42:$A$50,1),IF(AG_REQ!F91&gt;INDEX(INPUTS!$B$42:$B$50,ROWS(INPUTS!$B$42:$B$50)),"LARGER",INDEX(INPUTS!$A$42:$A$50,MATCH(AG_REQ!F91,INPUTS!$B$42:$B$50,1)+1))),IF(AG_REQ!F91&lt;=INDEX(INPUTS!$E$42:$E$50,1),INDEX(INPUTS!$D$42:$D$50,1),IF(AG_REQ!F91&gt;INDEX(INPUTS!$E$42:$E$50,ROWS(INPUTS!$E$42:$E$50)),"LARGER",INDEX(INPUTS!$D$42:$D$50,MATCH(AG_REQ!F91,INPUTS!$E$42:$E$50,1)+1)))))</f>
        <v>14x24</v>
      </c>
      <c r="G91" s="4" t="str">
        <f aca="false">IF(TRIB!G91="","",IF(OR(ARCH!G91="",LEFT(ARCH!G91,3)="14x"),IF(AG_REQ!G91&lt;=INDEX(INPUTS!$B$42:$B$50,1),INDEX(INPUTS!$A$42:$A$50,1),IF(AG_REQ!G91&gt;INDEX(INPUTS!$B$42:$B$50,ROWS(INPUTS!$B$42:$B$50)),"LARGER",INDEX(INPUTS!$A$42:$A$50,MATCH(AG_REQ!G91,INPUTS!$B$42:$B$50,1)+1))),IF(AG_REQ!G91&lt;=INDEX(INPUTS!$E$42:$E$50,1),INDEX(INPUTS!$D$42:$D$50,1),IF(AG_REQ!G91&gt;INDEX(INPUTS!$E$42:$E$50,ROWS(INPUTS!$E$42:$E$50)),"LARGER",INDEX(INPUTS!$D$42:$D$50,MATCH(AG_REQ!G91,INPUTS!$E$42:$E$50,1)+1)))))</f>
        <v>14x24</v>
      </c>
      <c r="H91" s="4" t="str">
        <f aca="false">IF(TRIB!H91="","",IF(OR(ARCH!H91="",LEFT(ARCH!H91,3)="14x"),IF(AG_REQ!H91&lt;=INDEX(INPUTS!$B$42:$B$50,1),INDEX(INPUTS!$A$42:$A$50,1),IF(AG_REQ!H91&gt;INDEX(INPUTS!$B$42:$B$50,ROWS(INPUTS!$B$42:$B$50)),"LARGER",INDEX(INPUTS!$A$42:$A$50,MATCH(AG_REQ!H91,INPUTS!$B$42:$B$50,1)+1))),IF(AG_REQ!H91&lt;=INDEX(INPUTS!$E$42:$E$50,1),INDEX(INPUTS!$D$42:$D$50,1),IF(AG_REQ!H91&gt;INDEX(INPUTS!$E$42:$E$50,ROWS(INPUTS!$E$42:$E$50)),"LARGER",INDEX(INPUTS!$D$42:$D$50,MATCH(AG_REQ!H91,INPUTS!$E$42:$E$50,1)+1)))))</f>
        <v>14x24</v>
      </c>
      <c r="I91" s="4" t="str">
        <f aca="false">IF(TRIB!I91="","",IF(OR(ARCH!I91="",LEFT(ARCH!I91,3)="14x"),IF(AG_REQ!I91&lt;=INDEX(INPUTS!$B$42:$B$50,1),INDEX(INPUTS!$A$42:$A$50,1),IF(AG_REQ!I91&gt;INDEX(INPUTS!$B$42:$B$50,ROWS(INPUTS!$B$42:$B$50)),"LARGER",INDEX(INPUTS!$A$42:$A$50,MATCH(AG_REQ!I91,INPUTS!$B$42:$B$50,1)+1))),IF(AG_REQ!I91&lt;=INDEX(INPUTS!$E$42:$E$50,1),INDEX(INPUTS!$D$42:$D$50,1),IF(AG_REQ!I91&gt;INDEX(INPUTS!$E$42:$E$50,ROWS(INPUTS!$E$42:$E$50)),"LARGER",INDEX(INPUTS!$D$42:$D$50,MATCH(AG_REQ!I91,INPUTS!$E$42:$E$50,1)+1)))))</f>
        <v>14x24</v>
      </c>
      <c r="J91" s="4" t="str">
        <f aca="false">IF(TRIB!J91="","",IF(OR(ARCH!J91="",LEFT(ARCH!J91,3)="14x"),IF(AG_REQ!J91&lt;=INDEX(INPUTS!$B$42:$B$50,1),INDEX(INPUTS!$A$42:$A$50,1),IF(AG_REQ!J91&gt;INDEX(INPUTS!$B$42:$B$50,ROWS(INPUTS!$B$42:$B$50)),"LARGER",INDEX(INPUTS!$A$42:$A$50,MATCH(AG_REQ!J91,INPUTS!$B$42:$B$50,1)+1))),IF(AG_REQ!J91&lt;=INDEX(INPUTS!$E$42:$E$50,1),INDEX(INPUTS!$D$42:$D$50,1),IF(AG_REQ!J91&gt;INDEX(INPUTS!$E$42:$E$50,ROWS(INPUTS!$E$42:$E$50)),"LARGER",INDEX(INPUTS!$D$42:$D$50,MATCH(AG_REQ!J91,INPUTS!$E$42:$E$50,1)+1)))))</f>
        <v>14x24</v>
      </c>
      <c r="K91" s="4" t="str">
        <f aca="false">IF(TRIB!K91="","",IF(OR(ARCH!K91="",LEFT(ARCH!K91,3)="14x"),IF(AG_REQ!K91&lt;=INDEX(INPUTS!$B$42:$B$50,1),INDEX(INPUTS!$A$42:$A$50,1),IF(AG_REQ!K91&gt;INDEX(INPUTS!$B$42:$B$50,ROWS(INPUTS!$B$42:$B$50)),"LARGER",INDEX(INPUTS!$A$42:$A$50,MATCH(AG_REQ!K91,INPUTS!$B$42:$B$50,1)+1))),IF(AG_REQ!K91&lt;=INDEX(INPUTS!$E$42:$E$50,1),INDEX(INPUTS!$D$42:$D$50,1),IF(AG_REQ!K91&gt;INDEX(INPUTS!$E$42:$E$50,ROWS(INPUTS!$E$42:$E$50)),"LARGER",INDEX(INPUTS!$D$42:$D$50,MATCH(AG_REQ!K91,INPUTS!$E$42:$E$50,1)+1)))))</f>
        <v/>
      </c>
      <c r="L91" s="4" t="str">
        <f aca="false">IF(TRIB!L91="","",IF(OR(ARCH!L91="",LEFT(ARCH!L91,3)="14x"),IF(AG_REQ!L91&lt;=INDEX(INPUTS!$B$42:$B$50,1),INDEX(INPUTS!$A$42:$A$50,1),IF(AG_REQ!L91&gt;INDEX(INPUTS!$B$42:$B$50,ROWS(INPUTS!$B$42:$B$50)),"LARGER",INDEX(INPUTS!$A$42:$A$50,MATCH(AG_REQ!L91,INPUTS!$B$42:$B$50,1)+1))),IF(AG_REQ!L91&lt;=INDEX(INPUTS!$E$42:$E$50,1),INDEX(INPUTS!$D$42:$D$50,1),IF(AG_REQ!L91&gt;INDEX(INPUTS!$E$42:$E$50,ROWS(INPUTS!$E$42:$E$50)),"LARGER",INDEX(INPUTS!$D$42:$D$50,MATCH(AG_REQ!L91,INPUTS!$E$42:$E$50,1)+1)))))</f>
        <v/>
      </c>
      <c r="M91" s="4" t="str">
        <f aca="false">IF(TRIB!M91="","",IF(OR(ARCH!M91="",LEFT(ARCH!M91,3)="14x"),IF(AG_REQ!M91&lt;=INDEX(INPUTS!$B$42:$B$50,1),INDEX(INPUTS!$A$42:$A$50,1),IF(AG_REQ!M91&gt;INDEX(INPUTS!$B$42:$B$50,ROWS(INPUTS!$B$42:$B$50)),"LARGER",INDEX(INPUTS!$A$42:$A$50,MATCH(AG_REQ!M91,INPUTS!$B$42:$B$50,1)+1))),IF(AG_REQ!M91&lt;=INDEX(INPUTS!$E$42:$E$50,1),INDEX(INPUTS!$D$42:$D$50,1),IF(AG_REQ!M91&gt;INDEX(INPUTS!$E$42:$E$50,ROWS(INPUTS!$E$42:$E$50)),"LARGER",INDEX(INPUTS!$D$42:$D$50,MATCH(AG_REQ!M91,INPUTS!$E$42:$E$50,1)+1)))))</f>
        <v/>
      </c>
      <c r="N91" s="4" t="str">
        <f aca="false">IF(TRIB!N91="","",IF(OR(ARCH!N91="",LEFT(ARCH!N91,3)="14x"),IF(AG_REQ!N91&lt;=INDEX(INPUTS!$B$42:$B$50,1),INDEX(INPUTS!$A$42:$A$50,1),IF(AG_REQ!N91&gt;INDEX(INPUTS!$B$42:$B$50,ROWS(INPUTS!$B$42:$B$50)),"LARGER",INDEX(INPUTS!$A$42:$A$50,MATCH(AG_REQ!N91,INPUTS!$B$42:$B$50,1)+1))),IF(AG_REQ!N91&lt;=INDEX(INPUTS!$E$42:$E$50,1),INDEX(INPUTS!$D$42:$D$50,1),IF(AG_REQ!N91&gt;INDEX(INPUTS!$E$42:$E$50,ROWS(INPUTS!$E$42:$E$50)),"LARGER",INDEX(INPUTS!$D$42:$D$50,MATCH(AG_REQ!N91,INPUTS!$E$42:$E$50,1)+1)))))</f>
        <v/>
      </c>
      <c r="O91" s="4" t="str">
        <f aca="false">IF(TRIB!O91="","",IF(OR(ARCH!O91="",LEFT(ARCH!O91,3)="14x"),IF(AG_REQ!O91&lt;=INDEX(INPUTS!$B$42:$B$50,1),INDEX(INPUTS!$A$42:$A$50,1),IF(AG_REQ!O91&gt;INDEX(INPUTS!$B$42:$B$50,ROWS(INPUTS!$B$42:$B$50)),"LARGER",INDEX(INPUTS!$A$42:$A$50,MATCH(AG_REQ!O91,INPUTS!$B$42:$B$50,1)+1))),IF(AG_REQ!O91&lt;=INDEX(INPUTS!$E$42:$E$50,1),INDEX(INPUTS!$D$42:$D$50,1),IF(AG_REQ!O91&gt;INDEX(INPUTS!$E$42:$E$50,ROWS(INPUTS!$E$42:$E$50)),"LARGER",INDEX(INPUTS!$D$42:$D$50,MATCH(AG_REQ!O91,INPUTS!$E$42:$E$50,1)+1)))))</f>
        <v/>
      </c>
      <c r="P91" s="4" t="str">
        <f aca="false">IF(TRIB!P91="","",IF(OR(ARCH!P91="",LEFT(ARCH!P91,3)="14x"),IF(AG_REQ!P91&lt;=INDEX(INPUTS!$B$42:$B$50,1),INDEX(INPUTS!$A$42:$A$50,1),IF(AG_REQ!P91&gt;INDEX(INPUTS!$B$42:$B$50,ROWS(INPUTS!$B$42:$B$50)),"LARGER",INDEX(INPUTS!$A$42:$A$50,MATCH(AG_REQ!P91,INPUTS!$B$42:$B$50,1)+1))),IF(AG_REQ!P91&lt;=INDEX(INPUTS!$E$42:$E$50,1),INDEX(INPUTS!$D$42:$D$50,1),IF(AG_REQ!P91&gt;INDEX(INPUTS!$E$42:$E$50,ROWS(INPUTS!$E$42:$E$50)),"LARGER",INDEX(INPUTS!$D$42:$D$50,MATCH(AG_REQ!P91,INPUTS!$E$42:$E$50,1)+1)))))</f>
        <v/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4" t="str">
        <f aca="false">IF(TRIB!E92="","",IF(OR(ARCH!E92="",LEFT(ARCH!E92,3)="14x"),IF(AG_REQ!E92&lt;=INDEX(INPUTS!$B$42:$B$50,1),INDEX(INPUTS!$A$42:$A$50,1),IF(AG_REQ!E92&gt;INDEX(INPUTS!$B$42:$B$50,ROWS(INPUTS!$B$42:$B$50)),"LARGER",INDEX(INPUTS!$A$42:$A$50,MATCH(AG_REQ!E92,INPUTS!$B$42:$B$50,1)+1))),IF(AG_REQ!E92&lt;=INDEX(INPUTS!$E$42:$E$50,1),INDEX(INPUTS!$D$42:$D$50,1),IF(AG_REQ!E92&gt;INDEX(INPUTS!$E$42:$E$50,ROWS(INPUTS!$E$42:$E$50)),"LARGER",INDEX(INPUTS!$D$42:$D$50,MATCH(AG_REQ!E92,INPUTS!$E$42:$E$50,1)+1)))))</f>
        <v>14x24</v>
      </c>
      <c r="F92" s="4" t="str">
        <f aca="false">IF(TRIB!F92="","",IF(OR(ARCH!F92="",LEFT(ARCH!F92,3)="14x"),IF(AG_REQ!F92&lt;=INDEX(INPUTS!$B$42:$B$50,1),INDEX(INPUTS!$A$42:$A$50,1),IF(AG_REQ!F92&gt;INDEX(INPUTS!$B$42:$B$50,ROWS(INPUTS!$B$42:$B$50)),"LARGER",INDEX(INPUTS!$A$42:$A$50,MATCH(AG_REQ!F92,INPUTS!$B$42:$B$50,1)+1))),IF(AG_REQ!F92&lt;=INDEX(INPUTS!$E$42:$E$50,1),INDEX(INPUTS!$D$42:$D$50,1),IF(AG_REQ!F92&gt;INDEX(INPUTS!$E$42:$E$50,ROWS(INPUTS!$E$42:$E$50)),"LARGER",INDEX(INPUTS!$D$42:$D$50,MATCH(AG_REQ!F92,INPUTS!$E$42:$E$50,1)+1)))))</f>
        <v>14x24</v>
      </c>
      <c r="G92" s="4" t="str">
        <f aca="false">IF(TRIB!G92="","",IF(OR(ARCH!G92="",LEFT(ARCH!G92,3)="14x"),IF(AG_REQ!G92&lt;=INDEX(INPUTS!$B$42:$B$50,1),INDEX(INPUTS!$A$42:$A$50,1),IF(AG_REQ!G92&gt;INDEX(INPUTS!$B$42:$B$50,ROWS(INPUTS!$B$42:$B$50)),"LARGER",INDEX(INPUTS!$A$42:$A$50,MATCH(AG_REQ!G92,INPUTS!$B$42:$B$50,1)+1))),IF(AG_REQ!G92&lt;=INDEX(INPUTS!$E$42:$E$50,1),INDEX(INPUTS!$D$42:$D$50,1),IF(AG_REQ!G92&gt;INDEX(INPUTS!$E$42:$E$50,ROWS(INPUTS!$E$42:$E$50)),"LARGER",INDEX(INPUTS!$D$42:$D$50,MATCH(AG_REQ!G92,INPUTS!$E$42:$E$50,1)+1)))))</f>
        <v>14x24</v>
      </c>
      <c r="H92" s="4" t="str">
        <f aca="false">IF(TRIB!H92="","",IF(OR(ARCH!H92="",LEFT(ARCH!H92,3)="14x"),IF(AG_REQ!H92&lt;=INDEX(INPUTS!$B$42:$B$50,1),INDEX(INPUTS!$A$42:$A$50,1),IF(AG_REQ!H92&gt;INDEX(INPUTS!$B$42:$B$50,ROWS(INPUTS!$B$42:$B$50)),"LARGER",INDEX(INPUTS!$A$42:$A$50,MATCH(AG_REQ!H92,INPUTS!$B$42:$B$50,1)+1))),IF(AG_REQ!H92&lt;=INDEX(INPUTS!$E$42:$E$50,1),INDEX(INPUTS!$D$42:$D$50,1),IF(AG_REQ!H92&gt;INDEX(INPUTS!$E$42:$E$50,ROWS(INPUTS!$E$42:$E$50)),"LARGER",INDEX(INPUTS!$D$42:$D$50,MATCH(AG_REQ!H92,INPUTS!$E$42:$E$50,1)+1)))))</f>
        <v>14x24</v>
      </c>
      <c r="I92" s="4" t="str">
        <f aca="false">IF(TRIB!I92="","",IF(OR(ARCH!I92="",LEFT(ARCH!I92,3)="14x"),IF(AG_REQ!I92&lt;=INDEX(INPUTS!$B$42:$B$50,1),INDEX(INPUTS!$A$42:$A$50,1),IF(AG_REQ!I92&gt;INDEX(INPUTS!$B$42:$B$50,ROWS(INPUTS!$B$42:$B$50)),"LARGER",INDEX(INPUTS!$A$42:$A$50,MATCH(AG_REQ!I92,INPUTS!$B$42:$B$50,1)+1))),IF(AG_REQ!I92&lt;=INDEX(INPUTS!$E$42:$E$50,1),INDEX(INPUTS!$D$42:$D$50,1),IF(AG_REQ!I92&gt;INDEX(INPUTS!$E$42:$E$50,ROWS(INPUTS!$E$42:$E$50)),"LARGER",INDEX(INPUTS!$D$42:$D$50,MATCH(AG_REQ!I92,INPUTS!$E$42:$E$50,1)+1)))))</f>
        <v>14x24</v>
      </c>
      <c r="J92" s="4" t="str">
        <f aca="false">IF(TRIB!J92="","",IF(OR(ARCH!J92="",LEFT(ARCH!J92,3)="14x"),IF(AG_REQ!J92&lt;=INDEX(INPUTS!$B$42:$B$50,1),INDEX(INPUTS!$A$42:$A$50,1),IF(AG_REQ!J92&gt;INDEX(INPUTS!$B$42:$B$50,ROWS(INPUTS!$B$42:$B$50)),"LARGER",INDEX(INPUTS!$A$42:$A$50,MATCH(AG_REQ!J92,INPUTS!$B$42:$B$50,1)+1))),IF(AG_REQ!J92&lt;=INDEX(INPUTS!$E$42:$E$50,1),INDEX(INPUTS!$D$42:$D$50,1),IF(AG_REQ!J92&gt;INDEX(INPUTS!$E$42:$E$50,ROWS(INPUTS!$E$42:$E$50)),"LARGER",INDEX(INPUTS!$D$42:$D$50,MATCH(AG_REQ!J92,INPUTS!$E$42:$E$50,1)+1)))))</f>
        <v/>
      </c>
      <c r="K92" s="4" t="str">
        <f aca="false">IF(TRIB!K92="","",IF(OR(ARCH!K92="",LEFT(ARCH!K92,3)="14x"),IF(AG_REQ!K92&lt;=INDEX(INPUTS!$B$42:$B$50,1),INDEX(INPUTS!$A$42:$A$50,1),IF(AG_REQ!K92&gt;INDEX(INPUTS!$B$42:$B$50,ROWS(INPUTS!$B$42:$B$50)),"LARGER",INDEX(INPUTS!$A$42:$A$50,MATCH(AG_REQ!K92,INPUTS!$B$42:$B$50,1)+1))),IF(AG_REQ!K92&lt;=INDEX(INPUTS!$E$42:$E$50,1),INDEX(INPUTS!$D$42:$D$50,1),IF(AG_REQ!K92&gt;INDEX(INPUTS!$E$42:$E$50,ROWS(INPUTS!$E$42:$E$50)),"LARGER",INDEX(INPUTS!$D$42:$D$50,MATCH(AG_REQ!K92,INPUTS!$E$42:$E$50,1)+1)))))</f>
        <v/>
      </c>
      <c r="L92" s="4" t="str">
        <f aca="false">IF(TRIB!L92="","",IF(OR(ARCH!L92="",LEFT(ARCH!L92,3)="14x"),IF(AG_REQ!L92&lt;=INDEX(INPUTS!$B$42:$B$50,1),INDEX(INPUTS!$A$42:$A$50,1),IF(AG_REQ!L92&gt;INDEX(INPUTS!$B$42:$B$50,ROWS(INPUTS!$B$42:$B$50)),"LARGER",INDEX(INPUTS!$A$42:$A$50,MATCH(AG_REQ!L92,INPUTS!$B$42:$B$50,1)+1))),IF(AG_REQ!L92&lt;=INDEX(INPUTS!$E$42:$E$50,1),INDEX(INPUTS!$D$42:$D$50,1),IF(AG_REQ!L92&gt;INDEX(INPUTS!$E$42:$E$50,ROWS(INPUTS!$E$42:$E$50)),"LARGER",INDEX(INPUTS!$D$42:$D$50,MATCH(AG_REQ!L92,INPUTS!$E$42:$E$50,1)+1)))))</f>
        <v/>
      </c>
      <c r="M92" s="4" t="str">
        <f aca="false">IF(TRIB!M92="","",IF(OR(ARCH!M92="",LEFT(ARCH!M92,3)="14x"),IF(AG_REQ!M92&lt;=INDEX(INPUTS!$B$42:$B$50,1),INDEX(INPUTS!$A$42:$A$50,1),IF(AG_REQ!M92&gt;INDEX(INPUTS!$B$42:$B$50,ROWS(INPUTS!$B$42:$B$50)),"LARGER",INDEX(INPUTS!$A$42:$A$50,MATCH(AG_REQ!M92,INPUTS!$B$42:$B$50,1)+1))),IF(AG_REQ!M92&lt;=INDEX(INPUTS!$E$42:$E$50,1),INDEX(INPUTS!$D$42:$D$50,1),IF(AG_REQ!M92&gt;INDEX(INPUTS!$E$42:$E$50,ROWS(INPUTS!$E$42:$E$50)),"LARGER",INDEX(INPUTS!$D$42:$D$50,MATCH(AG_REQ!M92,INPUTS!$E$42:$E$50,1)+1)))))</f>
        <v/>
      </c>
      <c r="N92" s="4" t="str">
        <f aca="false">IF(TRIB!N92="","",IF(OR(ARCH!N92="",LEFT(ARCH!N92,3)="14x"),IF(AG_REQ!N92&lt;=INDEX(INPUTS!$B$42:$B$50,1),INDEX(INPUTS!$A$42:$A$50,1),IF(AG_REQ!N92&gt;INDEX(INPUTS!$B$42:$B$50,ROWS(INPUTS!$B$42:$B$50)),"LARGER",INDEX(INPUTS!$A$42:$A$50,MATCH(AG_REQ!N92,INPUTS!$B$42:$B$50,1)+1))),IF(AG_REQ!N92&lt;=INDEX(INPUTS!$E$42:$E$50,1),INDEX(INPUTS!$D$42:$D$50,1),IF(AG_REQ!N92&gt;INDEX(INPUTS!$E$42:$E$50,ROWS(INPUTS!$E$42:$E$50)),"LARGER",INDEX(INPUTS!$D$42:$D$50,MATCH(AG_REQ!N92,INPUTS!$E$42:$E$50,1)+1)))))</f>
        <v/>
      </c>
      <c r="O92" s="4" t="str">
        <f aca="false">IF(TRIB!O92="","",IF(OR(ARCH!O92="",LEFT(ARCH!O92,3)="14x"),IF(AG_REQ!O92&lt;=INDEX(INPUTS!$B$42:$B$50,1),INDEX(INPUTS!$A$42:$A$50,1),IF(AG_REQ!O92&gt;INDEX(INPUTS!$B$42:$B$50,ROWS(INPUTS!$B$42:$B$50)),"LARGER",INDEX(INPUTS!$A$42:$A$50,MATCH(AG_REQ!O92,INPUTS!$B$42:$B$50,1)+1))),IF(AG_REQ!O92&lt;=INDEX(INPUTS!$E$42:$E$50,1),INDEX(INPUTS!$D$42:$D$50,1),IF(AG_REQ!O92&gt;INDEX(INPUTS!$E$42:$E$50,ROWS(INPUTS!$E$42:$E$50)),"LARGER",INDEX(INPUTS!$D$42:$D$50,MATCH(AG_REQ!O92,INPUTS!$E$42:$E$50,1)+1)))))</f>
        <v/>
      </c>
      <c r="P92" s="4" t="str">
        <f aca="false">IF(TRIB!P92="","",IF(OR(ARCH!P92="",LEFT(ARCH!P92,3)="14x"),IF(AG_REQ!P92&lt;=INDEX(INPUTS!$B$42:$B$50,1),INDEX(INPUTS!$A$42:$A$50,1),IF(AG_REQ!P92&gt;INDEX(INPUTS!$B$42:$B$50,ROWS(INPUTS!$B$42:$B$50)),"LARGER",INDEX(INPUTS!$A$42:$A$50,MATCH(AG_REQ!P92,INPUTS!$B$42:$B$50,1)+1))),IF(AG_REQ!P92&lt;=INDEX(INPUTS!$E$42:$E$50,1),INDEX(INPUTS!$D$42:$D$50,1),IF(AG_REQ!P92&gt;INDEX(INPUTS!$E$42:$E$50,ROWS(INPUTS!$E$42:$E$50)),"LARGER",INDEX(INPUTS!$D$42:$D$50,MATCH(AG_REQ!P92,INPUTS!$E$42:$E$50,1)+1)))))</f>
        <v/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4" t="str">
        <f aca="false">IF(TRIB!E93="","",IF(OR(ARCH!E93="",LEFT(ARCH!E93,3)="14x"),IF(AG_REQ!E93&lt;=INDEX(INPUTS!$B$42:$B$50,1),INDEX(INPUTS!$A$42:$A$50,1),IF(AG_REQ!E93&gt;INDEX(INPUTS!$B$42:$B$50,ROWS(INPUTS!$B$42:$B$50)),"LARGER",INDEX(INPUTS!$A$42:$A$50,MATCH(AG_REQ!E93,INPUTS!$B$42:$B$50,1)+1))),IF(AG_REQ!E93&lt;=INDEX(INPUTS!$E$42:$E$50,1),INDEX(INPUTS!$D$42:$D$50,1),IF(AG_REQ!E93&gt;INDEX(INPUTS!$E$42:$E$50,ROWS(INPUTS!$E$42:$E$50)),"LARGER",INDEX(INPUTS!$D$42:$D$50,MATCH(AG_REQ!E93,INPUTS!$E$42:$E$50,1)+1)))))</f>
        <v>14x24</v>
      </c>
      <c r="F93" s="4" t="str">
        <f aca="false">IF(TRIB!F93="","",IF(OR(ARCH!F93="",LEFT(ARCH!F93,3)="14x"),IF(AG_REQ!F93&lt;=INDEX(INPUTS!$B$42:$B$50,1),INDEX(INPUTS!$A$42:$A$50,1),IF(AG_REQ!F93&gt;INDEX(INPUTS!$B$42:$B$50,ROWS(INPUTS!$B$42:$B$50)),"LARGER",INDEX(INPUTS!$A$42:$A$50,MATCH(AG_REQ!F93,INPUTS!$B$42:$B$50,1)+1))),IF(AG_REQ!F93&lt;=INDEX(INPUTS!$E$42:$E$50,1),INDEX(INPUTS!$D$42:$D$50,1),IF(AG_REQ!F93&gt;INDEX(INPUTS!$E$42:$E$50,ROWS(INPUTS!$E$42:$E$50)),"LARGER",INDEX(INPUTS!$D$42:$D$50,MATCH(AG_REQ!F93,INPUTS!$E$42:$E$50,1)+1)))))</f>
        <v>14x24</v>
      </c>
      <c r="G93" s="4" t="str">
        <f aca="false">IF(TRIB!G93="","",IF(OR(ARCH!G93="",LEFT(ARCH!G93,3)="14x"),IF(AG_REQ!G93&lt;=INDEX(INPUTS!$B$42:$B$50,1),INDEX(INPUTS!$A$42:$A$50,1),IF(AG_REQ!G93&gt;INDEX(INPUTS!$B$42:$B$50,ROWS(INPUTS!$B$42:$B$50)),"LARGER",INDEX(INPUTS!$A$42:$A$50,MATCH(AG_REQ!G93,INPUTS!$B$42:$B$50,1)+1))),IF(AG_REQ!G93&lt;=INDEX(INPUTS!$E$42:$E$50,1),INDEX(INPUTS!$D$42:$D$50,1),IF(AG_REQ!G93&gt;INDEX(INPUTS!$E$42:$E$50,ROWS(INPUTS!$E$42:$E$50)),"LARGER",INDEX(INPUTS!$D$42:$D$50,MATCH(AG_REQ!G93,INPUTS!$E$42:$E$50,1)+1)))))</f>
        <v>14x24</v>
      </c>
      <c r="H93" s="4" t="str">
        <f aca="false">IF(TRIB!H93="","",IF(OR(ARCH!H93="",LEFT(ARCH!H93,3)="14x"),IF(AG_REQ!H93&lt;=INDEX(INPUTS!$B$42:$B$50,1),INDEX(INPUTS!$A$42:$A$50,1),IF(AG_REQ!H93&gt;INDEX(INPUTS!$B$42:$B$50,ROWS(INPUTS!$B$42:$B$50)),"LARGER",INDEX(INPUTS!$A$42:$A$50,MATCH(AG_REQ!H93,INPUTS!$B$42:$B$50,1)+1))),IF(AG_REQ!H93&lt;=INDEX(INPUTS!$E$42:$E$50,1),INDEX(INPUTS!$D$42:$D$50,1),IF(AG_REQ!H93&gt;INDEX(INPUTS!$E$42:$E$50,ROWS(INPUTS!$E$42:$E$50)),"LARGER",INDEX(INPUTS!$D$42:$D$50,MATCH(AG_REQ!H93,INPUTS!$E$42:$E$50,1)+1)))))</f>
        <v>14x24</v>
      </c>
      <c r="I93" s="4" t="str">
        <f aca="false">IF(TRIB!I93="","",IF(OR(ARCH!I93="",LEFT(ARCH!I93,3)="14x"),IF(AG_REQ!I93&lt;=INDEX(INPUTS!$B$42:$B$50,1),INDEX(INPUTS!$A$42:$A$50,1),IF(AG_REQ!I93&gt;INDEX(INPUTS!$B$42:$B$50,ROWS(INPUTS!$B$42:$B$50)),"LARGER",INDEX(INPUTS!$A$42:$A$50,MATCH(AG_REQ!I93,INPUTS!$B$42:$B$50,1)+1))),IF(AG_REQ!I93&lt;=INDEX(INPUTS!$E$42:$E$50,1),INDEX(INPUTS!$D$42:$D$50,1),IF(AG_REQ!I93&gt;INDEX(INPUTS!$E$42:$E$50,ROWS(INPUTS!$E$42:$E$50)),"LARGER",INDEX(INPUTS!$D$42:$D$50,MATCH(AG_REQ!I93,INPUTS!$E$42:$E$50,1)+1)))))</f>
        <v>14x24</v>
      </c>
      <c r="J93" s="4" t="str">
        <f aca="false">IF(TRIB!J93="","",IF(OR(ARCH!J93="",LEFT(ARCH!J93,3)="14x"),IF(AG_REQ!J93&lt;=INDEX(INPUTS!$B$42:$B$50,1),INDEX(INPUTS!$A$42:$A$50,1),IF(AG_REQ!J93&gt;INDEX(INPUTS!$B$42:$B$50,ROWS(INPUTS!$B$42:$B$50)),"LARGER",INDEX(INPUTS!$A$42:$A$50,MATCH(AG_REQ!J93,INPUTS!$B$42:$B$50,1)+1))),IF(AG_REQ!J93&lt;=INDEX(INPUTS!$E$42:$E$50,1),INDEX(INPUTS!$D$42:$D$50,1),IF(AG_REQ!J93&gt;INDEX(INPUTS!$E$42:$E$50,ROWS(INPUTS!$E$42:$E$50)),"LARGER",INDEX(INPUTS!$D$42:$D$50,MATCH(AG_REQ!J93,INPUTS!$E$42:$E$50,1)+1)))))</f>
        <v/>
      </c>
      <c r="K93" s="4" t="str">
        <f aca="false">IF(TRIB!K93="","",IF(OR(ARCH!K93="",LEFT(ARCH!K93,3)="14x"),IF(AG_REQ!K93&lt;=INDEX(INPUTS!$B$42:$B$50,1),INDEX(INPUTS!$A$42:$A$50,1),IF(AG_REQ!K93&gt;INDEX(INPUTS!$B$42:$B$50,ROWS(INPUTS!$B$42:$B$50)),"LARGER",INDEX(INPUTS!$A$42:$A$50,MATCH(AG_REQ!K93,INPUTS!$B$42:$B$50,1)+1))),IF(AG_REQ!K93&lt;=INDEX(INPUTS!$E$42:$E$50,1),INDEX(INPUTS!$D$42:$D$50,1),IF(AG_REQ!K93&gt;INDEX(INPUTS!$E$42:$E$50,ROWS(INPUTS!$E$42:$E$50)),"LARGER",INDEX(INPUTS!$D$42:$D$50,MATCH(AG_REQ!K93,INPUTS!$E$42:$E$50,1)+1)))))</f>
        <v/>
      </c>
      <c r="L93" s="4" t="str">
        <f aca="false">IF(TRIB!L93="","",IF(OR(ARCH!L93="",LEFT(ARCH!L93,3)="14x"),IF(AG_REQ!L93&lt;=INDEX(INPUTS!$B$42:$B$50,1),INDEX(INPUTS!$A$42:$A$50,1),IF(AG_REQ!L93&gt;INDEX(INPUTS!$B$42:$B$50,ROWS(INPUTS!$B$42:$B$50)),"LARGER",INDEX(INPUTS!$A$42:$A$50,MATCH(AG_REQ!L93,INPUTS!$B$42:$B$50,1)+1))),IF(AG_REQ!L93&lt;=INDEX(INPUTS!$E$42:$E$50,1),INDEX(INPUTS!$D$42:$D$50,1),IF(AG_REQ!L93&gt;INDEX(INPUTS!$E$42:$E$50,ROWS(INPUTS!$E$42:$E$50)),"LARGER",INDEX(INPUTS!$D$42:$D$50,MATCH(AG_REQ!L93,INPUTS!$E$42:$E$50,1)+1)))))</f>
        <v/>
      </c>
      <c r="M93" s="4" t="str">
        <f aca="false">IF(TRIB!M93="","",IF(OR(ARCH!M93="",LEFT(ARCH!M93,3)="14x"),IF(AG_REQ!M93&lt;=INDEX(INPUTS!$B$42:$B$50,1),INDEX(INPUTS!$A$42:$A$50,1),IF(AG_REQ!M93&gt;INDEX(INPUTS!$B$42:$B$50,ROWS(INPUTS!$B$42:$B$50)),"LARGER",INDEX(INPUTS!$A$42:$A$50,MATCH(AG_REQ!M93,INPUTS!$B$42:$B$50,1)+1))),IF(AG_REQ!M93&lt;=INDEX(INPUTS!$E$42:$E$50,1),INDEX(INPUTS!$D$42:$D$50,1),IF(AG_REQ!M93&gt;INDEX(INPUTS!$E$42:$E$50,ROWS(INPUTS!$E$42:$E$50)),"LARGER",INDEX(INPUTS!$D$42:$D$50,MATCH(AG_REQ!M93,INPUTS!$E$42:$E$50,1)+1)))))</f>
        <v/>
      </c>
      <c r="N93" s="4" t="str">
        <f aca="false">IF(TRIB!N93="","",IF(OR(ARCH!N93="",LEFT(ARCH!N93,3)="14x"),IF(AG_REQ!N93&lt;=INDEX(INPUTS!$B$42:$B$50,1),INDEX(INPUTS!$A$42:$A$50,1),IF(AG_REQ!N93&gt;INDEX(INPUTS!$B$42:$B$50,ROWS(INPUTS!$B$42:$B$50)),"LARGER",INDEX(INPUTS!$A$42:$A$50,MATCH(AG_REQ!N93,INPUTS!$B$42:$B$50,1)+1))),IF(AG_REQ!N93&lt;=INDEX(INPUTS!$E$42:$E$50,1),INDEX(INPUTS!$D$42:$D$50,1),IF(AG_REQ!N93&gt;INDEX(INPUTS!$E$42:$E$50,ROWS(INPUTS!$E$42:$E$50)),"LARGER",INDEX(INPUTS!$D$42:$D$50,MATCH(AG_REQ!N93,INPUTS!$E$42:$E$50,1)+1)))))</f>
        <v/>
      </c>
      <c r="O93" s="4" t="str">
        <f aca="false">IF(TRIB!O93="","",IF(OR(ARCH!O93="",LEFT(ARCH!O93,3)="14x"),IF(AG_REQ!O93&lt;=INDEX(INPUTS!$B$42:$B$50,1),INDEX(INPUTS!$A$42:$A$50,1),IF(AG_REQ!O93&gt;INDEX(INPUTS!$B$42:$B$50,ROWS(INPUTS!$B$42:$B$50)),"LARGER",INDEX(INPUTS!$A$42:$A$50,MATCH(AG_REQ!O93,INPUTS!$B$42:$B$50,1)+1))),IF(AG_REQ!O93&lt;=INDEX(INPUTS!$E$42:$E$50,1),INDEX(INPUTS!$D$42:$D$50,1),IF(AG_REQ!O93&gt;INDEX(INPUTS!$E$42:$E$50,ROWS(INPUTS!$E$42:$E$50)),"LARGER",INDEX(INPUTS!$D$42:$D$50,MATCH(AG_REQ!O93,INPUTS!$E$42:$E$50,1)+1)))))</f>
        <v/>
      </c>
      <c r="P93" s="4" t="str">
        <f aca="false">IF(TRIB!P93="","",IF(OR(ARCH!P93="",LEFT(ARCH!P93,3)="14x"),IF(AG_REQ!P93&lt;=INDEX(INPUTS!$B$42:$B$50,1),INDEX(INPUTS!$A$42:$A$50,1),IF(AG_REQ!P93&gt;INDEX(INPUTS!$B$42:$B$50,ROWS(INPUTS!$B$42:$B$50)),"LARGER",INDEX(INPUTS!$A$42:$A$50,MATCH(AG_REQ!P93,INPUTS!$B$42:$B$50,1)+1))),IF(AG_REQ!P93&lt;=INDEX(INPUTS!$E$42:$E$50,1),INDEX(INPUTS!$D$42:$D$50,1),IF(AG_REQ!P93&gt;INDEX(INPUTS!$E$42:$E$50,ROWS(INPUTS!$E$42:$E$50)),"LARGER",INDEX(INPUTS!$D$42:$D$50,MATCH(AG_REQ!P93,INPUTS!$E$42:$E$50,1)+1)))))</f>
        <v/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4" t="str">
        <f aca="false">IF(TRIB!E94="","",IF(OR(ARCH!E94="",LEFT(ARCH!E94,3)="14x"),IF(AG_REQ!E94&lt;=INDEX(INPUTS!$B$42:$B$50,1),INDEX(INPUTS!$A$42:$A$50,1),IF(AG_REQ!E94&gt;INDEX(INPUTS!$B$42:$B$50,ROWS(INPUTS!$B$42:$B$50)),"LARGER",INDEX(INPUTS!$A$42:$A$50,MATCH(AG_REQ!E94,INPUTS!$B$42:$B$50,1)+1))),IF(AG_REQ!E94&lt;=INDEX(INPUTS!$E$42:$E$50,1),INDEX(INPUTS!$D$42:$D$50,1),IF(AG_REQ!E94&gt;INDEX(INPUTS!$E$42:$E$50,ROWS(INPUTS!$E$42:$E$50)),"LARGER",INDEX(INPUTS!$D$42:$D$50,MATCH(AG_REQ!E94,INPUTS!$E$42:$E$50,1)+1)))))</f>
        <v>14x24</v>
      </c>
      <c r="F94" s="4" t="str">
        <f aca="false">IF(TRIB!F94="","",IF(OR(ARCH!F94="",LEFT(ARCH!F94,3)="14x"),IF(AG_REQ!F94&lt;=INDEX(INPUTS!$B$42:$B$50,1),INDEX(INPUTS!$A$42:$A$50,1),IF(AG_REQ!F94&gt;INDEX(INPUTS!$B$42:$B$50,ROWS(INPUTS!$B$42:$B$50)),"LARGER",INDEX(INPUTS!$A$42:$A$50,MATCH(AG_REQ!F94,INPUTS!$B$42:$B$50,1)+1))),IF(AG_REQ!F94&lt;=INDEX(INPUTS!$E$42:$E$50,1),INDEX(INPUTS!$D$42:$D$50,1),IF(AG_REQ!F94&gt;INDEX(INPUTS!$E$42:$E$50,ROWS(INPUTS!$E$42:$E$50)),"LARGER",INDEX(INPUTS!$D$42:$D$50,MATCH(AG_REQ!F94,INPUTS!$E$42:$E$50,1)+1)))))</f>
        <v>14x24</v>
      </c>
      <c r="G94" s="4" t="str">
        <f aca="false">IF(TRIB!G94="","",IF(OR(ARCH!G94="",LEFT(ARCH!G94,3)="14x"),IF(AG_REQ!G94&lt;=INDEX(INPUTS!$B$42:$B$50,1),INDEX(INPUTS!$A$42:$A$50,1),IF(AG_REQ!G94&gt;INDEX(INPUTS!$B$42:$B$50,ROWS(INPUTS!$B$42:$B$50)),"LARGER",INDEX(INPUTS!$A$42:$A$50,MATCH(AG_REQ!G94,INPUTS!$B$42:$B$50,1)+1))),IF(AG_REQ!G94&lt;=INDEX(INPUTS!$E$42:$E$50,1),INDEX(INPUTS!$D$42:$D$50,1),IF(AG_REQ!G94&gt;INDEX(INPUTS!$E$42:$E$50,ROWS(INPUTS!$E$42:$E$50)),"LARGER",INDEX(INPUTS!$D$42:$D$50,MATCH(AG_REQ!G94,INPUTS!$E$42:$E$50,1)+1)))))</f>
        <v>14x24</v>
      </c>
      <c r="H94" s="4" t="str">
        <f aca="false">IF(TRIB!H94="","",IF(OR(ARCH!H94="",LEFT(ARCH!H94,3)="14x"),IF(AG_REQ!H94&lt;=INDEX(INPUTS!$B$42:$B$50,1),INDEX(INPUTS!$A$42:$A$50,1),IF(AG_REQ!H94&gt;INDEX(INPUTS!$B$42:$B$50,ROWS(INPUTS!$B$42:$B$50)),"LARGER",INDEX(INPUTS!$A$42:$A$50,MATCH(AG_REQ!H94,INPUTS!$B$42:$B$50,1)+1))),IF(AG_REQ!H94&lt;=INDEX(INPUTS!$E$42:$E$50,1),INDEX(INPUTS!$D$42:$D$50,1),IF(AG_REQ!H94&gt;INDEX(INPUTS!$E$42:$E$50,ROWS(INPUTS!$E$42:$E$50)),"LARGER",INDEX(INPUTS!$D$42:$D$50,MATCH(AG_REQ!H94,INPUTS!$E$42:$E$50,1)+1)))))</f>
        <v>14x24</v>
      </c>
      <c r="I94" s="4" t="str">
        <f aca="false">IF(TRIB!I94="","",IF(OR(ARCH!I94="",LEFT(ARCH!I94,3)="14x"),IF(AG_REQ!I94&lt;=INDEX(INPUTS!$B$42:$B$50,1),INDEX(INPUTS!$A$42:$A$50,1),IF(AG_REQ!I94&gt;INDEX(INPUTS!$B$42:$B$50,ROWS(INPUTS!$B$42:$B$50)),"LARGER",INDEX(INPUTS!$A$42:$A$50,MATCH(AG_REQ!I94,INPUTS!$B$42:$B$50,1)+1))),IF(AG_REQ!I94&lt;=INDEX(INPUTS!$E$42:$E$50,1),INDEX(INPUTS!$D$42:$D$50,1),IF(AG_REQ!I94&gt;INDEX(INPUTS!$E$42:$E$50,ROWS(INPUTS!$E$42:$E$50)),"LARGER",INDEX(INPUTS!$D$42:$D$50,MATCH(AG_REQ!I94,INPUTS!$E$42:$E$50,1)+1)))))</f>
        <v>14x24</v>
      </c>
      <c r="J94" s="4" t="str">
        <f aca="false">IF(TRIB!J94="","",IF(OR(ARCH!J94="",LEFT(ARCH!J94,3)="14x"),IF(AG_REQ!J94&lt;=INDEX(INPUTS!$B$42:$B$50,1),INDEX(INPUTS!$A$42:$A$50,1),IF(AG_REQ!J94&gt;INDEX(INPUTS!$B$42:$B$50,ROWS(INPUTS!$B$42:$B$50)),"LARGER",INDEX(INPUTS!$A$42:$A$50,MATCH(AG_REQ!J94,INPUTS!$B$42:$B$50,1)+1))),IF(AG_REQ!J94&lt;=INDEX(INPUTS!$E$42:$E$50,1),INDEX(INPUTS!$D$42:$D$50,1),IF(AG_REQ!J94&gt;INDEX(INPUTS!$E$42:$E$50,ROWS(INPUTS!$E$42:$E$50)),"LARGER",INDEX(INPUTS!$D$42:$D$50,MATCH(AG_REQ!J94,INPUTS!$E$42:$E$50,1)+1)))))</f>
        <v>14x24</v>
      </c>
      <c r="K94" s="4" t="str">
        <f aca="false">IF(TRIB!K94="","",IF(OR(ARCH!K94="",LEFT(ARCH!K94,3)="14x"),IF(AG_REQ!K94&lt;=INDEX(INPUTS!$B$42:$B$50,1),INDEX(INPUTS!$A$42:$A$50,1),IF(AG_REQ!K94&gt;INDEX(INPUTS!$B$42:$B$50,ROWS(INPUTS!$B$42:$B$50)),"LARGER",INDEX(INPUTS!$A$42:$A$50,MATCH(AG_REQ!K94,INPUTS!$B$42:$B$50,1)+1))),IF(AG_REQ!K94&lt;=INDEX(INPUTS!$E$42:$E$50,1),INDEX(INPUTS!$D$42:$D$50,1),IF(AG_REQ!K94&gt;INDEX(INPUTS!$E$42:$E$50,ROWS(INPUTS!$E$42:$E$50)),"LARGER",INDEX(INPUTS!$D$42:$D$50,MATCH(AG_REQ!K94,INPUTS!$E$42:$E$50,1)+1)))))</f>
        <v/>
      </c>
      <c r="L94" s="4" t="str">
        <f aca="false">IF(TRIB!L94="","",IF(OR(ARCH!L94="",LEFT(ARCH!L94,3)="14x"),IF(AG_REQ!L94&lt;=INDEX(INPUTS!$B$42:$B$50,1),INDEX(INPUTS!$A$42:$A$50,1),IF(AG_REQ!L94&gt;INDEX(INPUTS!$B$42:$B$50,ROWS(INPUTS!$B$42:$B$50)),"LARGER",INDEX(INPUTS!$A$42:$A$50,MATCH(AG_REQ!L94,INPUTS!$B$42:$B$50,1)+1))),IF(AG_REQ!L94&lt;=INDEX(INPUTS!$E$42:$E$50,1),INDEX(INPUTS!$D$42:$D$50,1),IF(AG_REQ!L94&gt;INDEX(INPUTS!$E$42:$E$50,ROWS(INPUTS!$E$42:$E$50)),"LARGER",INDEX(INPUTS!$D$42:$D$50,MATCH(AG_REQ!L94,INPUTS!$E$42:$E$50,1)+1)))))</f>
        <v/>
      </c>
      <c r="M94" s="4" t="str">
        <f aca="false">IF(TRIB!M94="","",IF(OR(ARCH!M94="",LEFT(ARCH!M94,3)="14x"),IF(AG_REQ!M94&lt;=INDEX(INPUTS!$B$42:$B$50,1),INDEX(INPUTS!$A$42:$A$50,1),IF(AG_REQ!M94&gt;INDEX(INPUTS!$B$42:$B$50,ROWS(INPUTS!$B$42:$B$50)),"LARGER",INDEX(INPUTS!$A$42:$A$50,MATCH(AG_REQ!M94,INPUTS!$B$42:$B$50,1)+1))),IF(AG_REQ!M94&lt;=INDEX(INPUTS!$E$42:$E$50,1),INDEX(INPUTS!$D$42:$D$50,1),IF(AG_REQ!M94&gt;INDEX(INPUTS!$E$42:$E$50,ROWS(INPUTS!$E$42:$E$50)),"LARGER",INDEX(INPUTS!$D$42:$D$50,MATCH(AG_REQ!M94,INPUTS!$E$42:$E$50,1)+1)))))</f>
        <v/>
      </c>
      <c r="N94" s="4" t="str">
        <f aca="false">IF(TRIB!N94="","",IF(OR(ARCH!N94="",LEFT(ARCH!N94,3)="14x"),IF(AG_REQ!N94&lt;=INDEX(INPUTS!$B$42:$B$50,1),INDEX(INPUTS!$A$42:$A$50,1),IF(AG_REQ!N94&gt;INDEX(INPUTS!$B$42:$B$50,ROWS(INPUTS!$B$42:$B$50)),"LARGER",INDEX(INPUTS!$A$42:$A$50,MATCH(AG_REQ!N94,INPUTS!$B$42:$B$50,1)+1))),IF(AG_REQ!N94&lt;=INDEX(INPUTS!$E$42:$E$50,1),INDEX(INPUTS!$D$42:$D$50,1),IF(AG_REQ!N94&gt;INDEX(INPUTS!$E$42:$E$50,ROWS(INPUTS!$E$42:$E$50)),"LARGER",INDEX(INPUTS!$D$42:$D$50,MATCH(AG_REQ!N94,INPUTS!$E$42:$E$50,1)+1)))))</f>
        <v/>
      </c>
      <c r="O94" s="4" t="str">
        <f aca="false">IF(TRIB!O94="","",IF(OR(ARCH!O94="",LEFT(ARCH!O94,3)="14x"),IF(AG_REQ!O94&lt;=INDEX(INPUTS!$B$42:$B$50,1),INDEX(INPUTS!$A$42:$A$50,1),IF(AG_REQ!O94&gt;INDEX(INPUTS!$B$42:$B$50,ROWS(INPUTS!$B$42:$B$50)),"LARGER",INDEX(INPUTS!$A$42:$A$50,MATCH(AG_REQ!O94,INPUTS!$B$42:$B$50,1)+1))),IF(AG_REQ!O94&lt;=INDEX(INPUTS!$E$42:$E$50,1),INDEX(INPUTS!$D$42:$D$50,1),IF(AG_REQ!O94&gt;INDEX(INPUTS!$E$42:$E$50,ROWS(INPUTS!$E$42:$E$50)),"LARGER",INDEX(INPUTS!$D$42:$D$50,MATCH(AG_REQ!O94,INPUTS!$E$42:$E$50,1)+1)))))</f>
        <v/>
      </c>
      <c r="P94" s="4" t="str">
        <f aca="false">IF(TRIB!P94="","",IF(OR(ARCH!P94="",LEFT(ARCH!P94,3)="14x"),IF(AG_REQ!P94&lt;=INDEX(INPUTS!$B$42:$B$50,1),INDEX(INPUTS!$A$42:$A$50,1),IF(AG_REQ!P94&gt;INDEX(INPUTS!$B$42:$B$50,ROWS(INPUTS!$B$42:$B$50)),"LARGER",INDEX(INPUTS!$A$42:$A$50,MATCH(AG_REQ!P94,INPUTS!$B$42:$B$50,1)+1))),IF(AG_REQ!P94&lt;=INDEX(INPUTS!$E$42:$E$50,1),INDEX(INPUTS!$D$42:$D$50,1),IF(AG_REQ!P94&gt;INDEX(INPUTS!$E$42:$E$50,ROWS(INPUTS!$E$42:$E$50)),"LARGER",INDEX(INPUTS!$D$42:$D$50,MATCH(AG_REQ!P94,INPUTS!$E$42:$E$50,1)+1)))))</f>
        <v/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4" t="str">
        <f aca="false">IF(TRIB!E95="","",IF(OR(ARCH!E95="",LEFT(ARCH!E95,3)="14x"),IF(AG_REQ!E95&lt;=INDEX(INPUTS!$B$42:$B$50,1),INDEX(INPUTS!$A$42:$A$50,1),IF(AG_REQ!E95&gt;INDEX(INPUTS!$B$42:$B$50,ROWS(INPUTS!$B$42:$B$50)),"LARGER",INDEX(INPUTS!$A$42:$A$50,MATCH(AG_REQ!E95,INPUTS!$B$42:$B$50,1)+1))),IF(AG_REQ!E95&lt;=INDEX(INPUTS!$E$42:$E$50,1),INDEX(INPUTS!$D$42:$D$50,1),IF(AG_REQ!E95&gt;INDEX(INPUTS!$E$42:$E$50,ROWS(INPUTS!$E$42:$E$50)),"LARGER",INDEX(INPUTS!$D$42:$D$50,MATCH(AG_REQ!E95,INPUTS!$E$42:$E$50,1)+1)))))</f>
        <v>14x24</v>
      </c>
      <c r="F95" s="4" t="str">
        <f aca="false">IF(TRIB!F95="","",IF(OR(ARCH!F95="",LEFT(ARCH!F95,3)="14x"),IF(AG_REQ!F95&lt;=INDEX(INPUTS!$B$42:$B$50,1),INDEX(INPUTS!$A$42:$A$50,1),IF(AG_REQ!F95&gt;INDEX(INPUTS!$B$42:$B$50,ROWS(INPUTS!$B$42:$B$50)),"LARGER",INDEX(INPUTS!$A$42:$A$50,MATCH(AG_REQ!F95,INPUTS!$B$42:$B$50,1)+1))),IF(AG_REQ!F95&lt;=INDEX(INPUTS!$E$42:$E$50,1),INDEX(INPUTS!$D$42:$D$50,1),IF(AG_REQ!F95&gt;INDEX(INPUTS!$E$42:$E$50,ROWS(INPUTS!$E$42:$E$50)),"LARGER",INDEX(INPUTS!$D$42:$D$50,MATCH(AG_REQ!F95,INPUTS!$E$42:$E$50,1)+1)))))</f>
        <v>14x24</v>
      </c>
      <c r="G95" s="4" t="str">
        <f aca="false">IF(TRIB!G95="","",IF(OR(ARCH!G95="",LEFT(ARCH!G95,3)="14x"),IF(AG_REQ!G95&lt;=INDEX(INPUTS!$B$42:$B$50,1),INDEX(INPUTS!$A$42:$A$50,1),IF(AG_REQ!G95&gt;INDEX(INPUTS!$B$42:$B$50,ROWS(INPUTS!$B$42:$B$50)),"LARGER",INDEX(INPUTS!$A$42:$A$50,MATCH(AG_REQ!G95,INPUTS!$B$42:$B$50,1)+1))),IF(AG_REQ!G95&lt;=INDEX(INPUTS!$E$42:$E$50,1),INDEX(INPUTS!$D$42:$D$50,1),IF(AG_REQ!G95&gt;INDEX(INPUTS!$E$42:$E$50,ROWS(INPUTS!$E$42:$E$50)),"LARGER",INDEX(INPUTS!$D$42:$D$50,MATCH(AG_REQ!G95,INPUTS!$E$42:$E$50,1)+1)))))</f>
        <v>14x24</v>
      </c>
      <c r="H95" s="4" t="str">
        <f aca="false">IF(TRIB!H95="","",IF(OR(ARCH!H95="",LEFT(ARCH!H95,3)="14x"),IF(AG_REQ!H95&lt;=INDEX(INPUTS!$B$42:$B$50,1),INDEX(INPUTS!$A$42:$A$50,1),IF(AG_REQ!H95&gt;INDEX(INPUTS!$B$42:$B$50,ROWS(INPUTS!$B$42:$B$50)),"LARGER",INDEX(INPUTS!$A$42:$A$50,MATCH(AG_REQ!H95,INPUTS!$B$42:$B$50,1)+1))),IF(AG_REQ!H95&lt;=INDEX(INPUTS!$E$42:$E$50,1),INDEX(INPUTS!$D$42:$D$50,1),IF(AG_REQ!H95&gt;INDEX(INPUTS!$E$42:$E$50,ROWS(INPUTS!$E$42:$E$50)),"LARGER",INDEX(INPUTS!$D$42:$D$50,MATCH(AG_REQ!H95,INPUTS!$E$42:$E$50,1)+1)))))</f>
        <v>14x24</v>
      </c>
      <c r="I95" s="4" t="str">
        <f aca="false">IF(TRIB!I95="","",IF(OR(ARCH!I95="",LEFT(ARCH!I95,3)="14x"),IF(AG_REQ!I95&lt;=INDEX(INPUTS!$B$42:$B$50,1),INDEX(INPUTS!$A$42:$A$50,1),IF(AG_REQ!I95&gt;INDEX(INPUTS!$B$42:$B$50,ROWS(INPUTS!$B$42:$B$50)),"LARGER",INDEX(INPUTS!$A$42:$A$50,MATCH(AG_REQ!I95,INPUTS!$B$42:$B$50,1)+1))),IF(AG_REQ!I95&lt;=INDEX(INPUTS!$E$42:$E$50,1),INDEX(INPUTS!$D$42:$D$50,1),IF(AG_REQ!I95&gt;INDEX(INPUTS!$E$42:$E$50,ROWS(INPUTS!$E$42:$E$50)),"LARGER",INDEX(INPUTS!$D$42:$D$50,MATCH(AG_REQ!I95,INPUTS!$E$42:$E$50,1)+1)))))</f>
        <v>14x24</v>
      </c>
      <c r="J95" s="4" t="str">
        <f aca="false">IF(TRIB!J95="","",IF(OR(ARCH!J95="",LEFT(ARCH!J95,3)="14x"),IF(AG_REQ!J95&lt;=INDEX(INPUTS!$B$42:$B$50,1),INDEX(INPUTS!$A$42:$A$50,1),IF(AG_REQ!J95&gt;INDEX(INPUTS!$B$42:$B$50,ROWS(INPUTS!$B$42:$B$50)),"LARGER",INDEX(INPUTS!$A$42:$A$50,MATCH(AG_REQ!J95,INPUTS!$B$42:$B$50,1)+1))),IF(AG_REQ!J95&lt;=INDEX(INPUTS!$E$42:$E$50,1),INDEX(INPUTS!$D$42:$D$50,1),IF(AG_REQ!J95&gt;INDEX(INPUTS!$E$42:$E$50,ROWS(INPUTS!$E$42:$E$50)),"LARGER",INDEX(INPUTS!$D$42:$D$50,MATCH(AG_REQ!J95,INPUTS!$E$42:$E$50,1)+1)))))</f>
        <v>14x24</v>
      </c>
      <c r="K95" s="4" t="str">
        <f aca="false">IF(TRIB!K95="","",IF(OR(ARCH!K95="",LEFT(ARCH!K95,3)="14x"),IF(AG_REQ!K95&lt;=INDEX(INPUTS!$B$42:$B$50,1),INDEX(INPUTS!$A$42:$A$50,1),IF(AG_REQ!K95&gt;INDEX(INPUTS!$B$42:$B$50,ROWS(INPUTS!$B$42:$B$50)),"LARGER",INDEX(INPUTS!$A$42:$A$50,MATCH(AG_REQ!K95,INPUTS!$B$42:$B$50,1)+1))),IF(AG_REQ!K95&lt;=INDEX(INPUTS!$E$42:$E$50,1),INDEX(INPUTS!$D$42:$D$50,1),IF(AG_REQ!K95&gt;INDEX(INPUTS!$E$42:$E$50,ROWS(INPUTS!$E$42:$E$50)),"LARGER",INDEX(INPUTS!$D$42:$D$50,MATCH(AG_REQ!K95,INPUTS!$E$42:$E$50,1)+1)))))</f>
        <v/>
      </c>
      <c r="L95" s="4" t="str">
        <f aca="false">IF(TRIB!L95="","",IF(OR(ARCH!L95="",LEFT(ARCH!L95,3)="14x"),IF(AG_REQ!L95&lt;=INDEX(INPUTS!$B$42:$B$50,1),INDEX(INPUTS!$A$42:$A$50,1),IF(AG_REQ!L95&gt;INDEX(INPUTS!$B$42:$B$50,ROWS(INPUTS!$B$42:$B$50)),"LARGER",INDEX(INPUTS!$A$42:$A$50,MATCH(AG_REQ!L95,INPUTS!$B$42:$B$50,1)+1))),IF(AG_REQ!L95&lt;=INDEX(INPUTS!$E$42:$E$50,1),INDEX(INPUTS!$D$42:$D$50,1),IF(AG_REQ!L95&gt;INDEX(INPUTS!$E$42:$E$50,ROWS(INPUTS!$E$42:$E$50)),"LARGER",INDEX(INPUTS!$D$42:$D$50,MATCH(AG_REQ!L95,INPUTS!$E$42:$E$50,1)+1)))))</f>
        <v/>
      </c>
      <c r="M95" s="4" t="str">
        <f aca="false">IF(TRIB!M95="","",IF(OR(ARCH!M95="",LEFT(ARCH!M95,3)="14x"),IF(AG_REQ!M95&lt;=INDEX(INPUTS!$B$42:$B$50,1),INDEX(INPUTS!$A$42:$A$50,1),IF(AG_REQ!M95&gt;INDEX(INPUTS!$B$42:$B$50,ROWS(INPUTS!$B$42:$B$50)),"LARGER",INDEX(INPUTS!$A$42:$A$50,MATCH(AG_REQ!M95,INPUTS!$B$42:$B$50,1)+1))),IF(AG_REQ!M95&lt;=INDEX(INPUTS!$E$42:$E$50,1),INDEX(INPUTS!$D$42:$D$50,1),IF(AG_REQ!M95&gt;INDEX(INPUTS!$E$42:$E$50,ROWS(INPUTS!$E$42:$E$50)),"LARGER",INDEX(INPUTS!$D$42:$D$50,MATCH(AG_REQ!M95,INPUTS!$E$42:$E$50,1)+1)))))</f>
        <v/>
      </c>
      <c r="N95" s="4" t="str">
        <f aca="false">IF(TRIB!N95="","",IF(OR(ARCH!N95="",LEFT(ARCH!N95,3)="14x"),IF(AG_REQ!N95&lt;=INDEX(INPUTS!$B$42:$B$50,1),INDEX(INPUTS!$A$42:$A$50,1),IF(AG_REQ!N95&gt;INDEX(INPUTS!$B$42:$B$50,ROWS(INPUTS!$B$42:$B$50)),"LARGER",INDEX(INPUTS!$A$42:$A$50,MATCH(AG_REQ!N95,INPUTS!$B$42:$B$50,1)+1))),IF(AG_REQ!N95&lt;=INDEX(INPUTS!$E$42:$E$50,1),INDEX(INPUTS!$D$42:$D$50,1),IF(AG_REQ!N95&gt;INDEX(INPUTS!$E$42:$E$50,ROWS(INPUTS!$E$42:$E$50)),"LARGER",INDEX(INPUTS!$D$42:$D$50,MATCH(AG_REQ!N95,INPUTS!$E$42:$E$50,1)+1)))))</f>
        <v/>
      </c>
      <c r="O95" s="4" t="str">
        <f aca="false">IF(TRIB!O95="","",IF(OR(ARCH!O95="",LEFT(ARCH!O95,3)="14x"),IF(AG_REQ!O95&lt;=INDEX(INPUTS!$B$42:$B$50,1),INDEX(INPUTS!$A$42:$A$50,1),IF(AG_REQ!O95&gt;INDEX(INPUTS!$B$42:$B$50,ROWS(INPUTS!$B$42:$B$50)),"LARGER",INDEX(INPUTS!$A$42:$A$50,MATCH(AG_REQ!O95,INPUTS!$B$42:$B$50,1)+1))),IF(AG_REQ!O95&lt;=INDEX(INPUTS!$E$42:$E$50,1),INDEX(INPUTS!$D$42:$D$50,1),IF(AG_REQ!O95&gt;INDEX(INPUTS!$E$42:$E$50,ROWS(INPUTS!$E$42:$E$50)),"LARGER",INDEX(INPUTS!$D$42:$D$50,MATCH(AG_REQ!O95,INPUTS!$E$42:$E$50,1)+1)))))</f>
        <v/>
      </c>
      <c r="P95" s="4" t="str">
        <f aca="false">IF(TRIB!P95="","",IF(OR(ARCH!P95="",LEFT(ARCH!P95,3)="14x"),IF(AG_REQ!P95&lt;=INDEX(INPUTS!$B$42:$B$50,1),INDEX(INPUTS!$A$42:$A$50,1),IF(AG_REQ!P95&gt;INDEX(INPUTS!$B$42:$B$50,ROWS(INPUTS!$B$42:$B$50)),"LARGER",INDEX(INPUTS!$A$42:$A$50,MATCH(AG_REQ!P95,INPUTS!$B$42:$B$50,1)+1))),IF(AG_REQ!P95&lt;=INDEX(INPUTS!$E$42:$E$50,1),INDEX(INPUTS!$D$42:$D$50,1),IF(AG_REQ!P95&gt;INDEX(INPUTS!$E$42:$E$50,ROWS(INPUTS!$E$42:$E$50)),"LARGER",INDEX(INPUTS!$D$42:$D$50,MATCH(AG_REQ!P95,INPUTS!$E$42:$E$50,1)+1)))))</f>
        <v/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4" t="str">
        <f aca="false">IF(TRIB!E96="","",IF(OR(ARCH!E96="",LEFT(ARCH!E96,3)="14x"),IF(AG_REQ!E96&lt;=INDEX(INPUTS!$B$42:$B$50,1),INDEX(INPUTS!$A$42:$A$50,1),IF(AG_REQ!E96&gt;INDEX(INPUTS!$B$42:$B$50,ROWS(INPUTS!$B$42:$B$50)),"LARGER",INDEX(INPUTS!$A$42:$A$50,MATCH(AG_REQ!E96,INPUTS!$B$42:$B$50,1)+1))),IF(AG_REQ!E96&lt;=INDEX(INPUTS!$E$42:$E$50,1),INDEX(INPUTS!$D$42:$D$50,1),IF(AG_REQ!E96&gt;INDEX(INPUTS!$E$42:$E$50,ROWS(INPUTS!$E$42:$E$50)),"LARGER",INDEX(INPUTS!$D$42:$D$50,MATCH(AG_REQ!E96,INPUTS!$E$42:$E$50,1)+1)))))</f>
        <v>14x24</v>
      </c>
      <c r="F96" s="4" t="str">
        <f aca="false">IF(TRIB!F96="","",IF(OR(ARCH!F96="",LEFT(ARCH!F96,3)="14x"),IF(AG_REQ!F96&lt;=INDEX(INPUTS!$B$42:$B$50,1),INDEX(INPUTS!$A$42:$A$50,1),IF(AG_REQ!F96&gt;INDEX(INPUTS!$B$42:$B$50,ROWS(INPUTS!$B$42:$B$50)),"LARGER",INDEX(INPUTS!$A$42:$A$50,MATCH(AG_REQ!F96,INPUTS!$B$42:$B$50,1)+1))),IF(AG_REQ!F96&lt;=INDEX(INPUTS!$E$42:$E$50,1),INDEX(INPUTS!$D$42:$D$50,1),IF(AG_REQ!F96&gt;INDEX(INPUTS!$E$42:$E$50,ROWS(INPUTS!$E$42:$E$50)),"LARGER",INDEX(INPUTS!$D$42:$D$50,MATCH(AG_REQ!F96,INPUTS!$E$42:$E$50,1)+1)))))</f>
        <v>14x24</v>
      </c>
      <c r="G96" s="4" t="str">
        <f aca="false">IF(TRIB!G96="","",IF(OR(ARCH!G96="",LEFT(ARCH!G96,3)="14x"),IF(AG_REQ!G96&lt;=INDEX(INPUTS!$B$42:$B$50,1),INDEX(INPUTS!$A$42:$A$50,1),IF(AG_REQ!G96&gt;INDEX(INPUTS!$B$42:$B$50,ROWS(INPUTS!$B$42:$B$50)),"LARGER",INDEX(INPUTS!$A$42:$A$50,MATCH(AG_REQ!G96,INPUTS!$B$42:$B$50,1)+1))),IF(AG_REQ!G96&lt;=INDEX(INPUTS!$E$42:$E$50,1),INDEX(INPUTS!$D$42:$D$50,1),IF(AG_REQ!G96&gt;INDEX(INPUTS!$E$42:$E$50,ROWS(INPUTS!$E$42:$E$50)),"LARGER",INDEX(INPUTS!$D$42:$D$50,MATCH(AG_REQ!G96,INPUTS!$E$42:$E$50,1)+1)))))</f>
        <v>14x24</v>
      </c>
      <c r="H96" s="4" t="str">
        <f aca="false">IF(TRIB!H96="","",IF(OR(ARCH!H96="",LEFT(ARCH!H96,3)="14x"),IF(AG_REQ!H96&lt;=INDEX(INPUTS!$B$42:$B$50,1),INDEX(INPUTS!$A$42:$A$50,1),IF(AG_REQ!H96&gt;INDEX(INPUTS!$B$42:$B$50,ROWS(INPUTS!$B$42:$B$50)),"LARGER",INDEX(INPUTS!$A$42:$A$50,MATCH(AG_REQ!H96,INPUTS!$B$42:$B$50,1)+1))),IF(AG_REQ!H96&lt;=INDEX(INPUTS!$E$42:$E$50,1),INDEX(INPUTS!$D$42:$D$50,1),IF(AG_REQ!H96&gt;INDEX(INPUTS!$E$42:$E$50,ROWS(INPUTS!$E$42:$E$50)),"LARGER",INDEX(INPUTS!$D$42:$D$50,MATCH(AG_REQ!H96,INPUTS!$E$42:$E$50,1)+1)))))</f>
        <v>14x24</v>
      </c>
      <c r="I96" s="4" t="str">
        <f aca="false">IF(TRIB!I96="","",IF(OR(ARCH!I96="",LEFT(ARCH!I96,3)="14x"),IF(AG_REQ!I96&lt;=INDEX(INPUTS!$B$42:$B$50,1),INDEX(INPUTS!$A$42:$A$50,1),IF(AG_REQ!I96&gt;INDEX(INPUTS!$B$42:$B$50,ROWS(INPUTS!$B$42:$B$50)),"LARGER",INDEX(INPUTS!$A$42:$A$50,MATCH(AG_REQ!I96,INPUTS!$B$42:$B$50,1)+1))),IF(AG_REQ!I96&lt;=INDEX(INPUTS!$E$42:$E$50,1),INDEX(INPUTS!$D$42:$D$50,1),IF(AG_REQ!I96&gt;INDEX(INPUTS!$E$42:$E$50,ROWS(INPUTS!$E$42:$E$50)),"LARGER",INDEX(INPUTS!$D$42:$D$50,MATCH(AG_REQ!I96,INPUTS!$E$42:$E$50,1)+1)))))</f>
        <v>14x24</v>
      </c>
      <c r="J96" s="4" t="str">
        <f aca="false">IF(TRIB!J96="","",IF(OR(ARCH!J96="",LEFT(ARCH!J96,3)="14x"),IF(AG_REQ!J96&lt;=INDEX(INPUTS!$B$42:$B$50,1),INDEX(INPUTS!$A$42:$A$50,1),IF(AG_REQ!J96&gt;INDEX(INPUTS!$B$42:$B$50,ROWS(INPUTS!$B$42:$B$50)),"LARGER",INDEX(INPUTS!$A$42:$A$50,MATCH(AG_REQ!J96,INPUTS!$B$42:$B$50,1)+1))),IF(AG_REQ!J96&lt;=INDEX(INPUTS!$E$42:$E$50,1),INDEX(INPUTS!$D$42:$D$50,1),IF(AG_REQ!J96&gt;INDEX(INPUTS!$E$42:$E$50,ROWS(INPUTS!$E$42:$E$50)),"LARGER",INDEX(INPUTS!$D$42:$D$50,MATCH(AG_REQ!J96,INPUTS!$E$42:$E$50,1)+1)))))</f>
        <v/>
      </c>
      <c r="K96" s="4" t="str">
        <f aca="false">IF(TRIB!K96="","",IF(OR(ARCH!K96="",LEFT(ARCH!K96,3)="14x"),IF(AG_REQ!K96&lt;=INDEX(INPUTS!$B$42:$B$50,1),INDEX(INPUTS!$A$42:$A$50,1),IF(AG_REQ!K96&gt;INDEX(INPUTS!$B$42:$B$50,ROWS(INPUTS!$B$42:$B$50)),"LARGER",INDEX(INPUTS!$A$42:$A$50,MATCH(AG_REQ!K96,INPUTS!$B$42:$B$50,1)+1))),IF(AG_REQ!K96&lt;=INDEX(INPUTS!$E$42:$E$50,1),INDEX(INPUTS!$D$42:$D$50,1),IF(AG_REQ!K96&gt;INDEX(INPUTS!$E$42:$E$50,ROWS(INPUTS!$E$42:$E$50)),"LARGER",INDEX(INPUTS!$D$42:$D$50,MATCH(AG_REQ!K96,INPUTS!$E$42:$E$50,1)+1)))))</f>
        <v/>
      </c>
      <c r="L96" s="4" t="str">
        <f aca="false">IF(TRIB!L96="","",IF(OR(ARCH!L96="",LEFT(ARCH!L96,3)="14x"),IF(AG_REQ!L96&lt;=INDEX(INPUTS!$B$42:$B$50,1),INDEX(INPUTS!$A$42:$A$50,1),IF(AG_REQ!L96&gt;INDEX(INPUTS!$B$42:$B$50,ROWS(INPUTS!$B$42:$B$50)),"LARGER",INDEX(INPUTS!$A$42:$A$50,MATCH(AG_REQ!L96,INPUTS!$B$42:$B$50,1)+1))),IF(AG_REQ!L96&lt;=INDEX(INPUTS!$E$42:$E$50,1),INDEX(INPUTS!$D$42:$D$50,1),IF(AG_REQ!L96&gt;INDEX(INPUTS!$E$42:$E$50,ROWS(INPUTS!$E$42:$E$50)),"LARGER",INDEX(INPUTS!$D$42:$D$50,MATCH(AG_REQ!L96,INPUTS!$E$42:$E$50,1)+1)))))</f>
        <v/>
      </c>
      <c r="M96" s="4" t="str">
        <f aca="false">IF(TRIB!M96="","",IF(OR(ARCH!M96="",LEFT(ARCH!M96,3)="14x"),IF(AG_REQ!M96&lt;=INDEX(INPUTS!$B$42:$B$50,1),INDEX(INPUTS!$A$42:$A$50,1),IF(AG_REQ!M96&gt;INDEX(INPUTS!$B$42:$B$50,ROWS(INPUTS!$B$42:$B$50)),"LARGER",INDEX(INPUTS!$A$42:$A$50,MATCH(AG_REQ!M96,INPUTS!$B$42:$B$50,1)+1))),IF(AG_REQ!M96&lt;=INDEX(INPUTS!$E$42:$E$50,1),INDEX(INPUTS!$D$42:$D$50,1),IF(AG_REQ!M96&gt;INDEX(INPUTS!$E$42:$E$50,ROWS(INPUTS!$E$42:$E$50)),"LARGER",INDEX(INPUTS!$D$42:$D$50,MATCH(AG_REQ!M96,INPUTS!$E$42:$E$50,1)+1)))))</f>
        <v/>
      </c>
      <c r="N96" s="4" t="str">
        <f aca="false">IF(TRIB!N96="","",IF(OR(ARCH!N96="",LEFT(ARCH!N96,3)="14x"),IF(AG_REQ!N96&lt;=INDEX(INPUTS!$B$42:$B$50,1),INDEX(INPUTS!$A$42:$A$50,1),IF(AG_REQ!N96&gt;INDEX(INPUTS!$B$42:$B$50,ROWS(INPUTS!$B$42:$B$50)),"LARGER",INDEX(INPUTS!$A$42:$A$50,MATCH(AG_REQ!N96,INPUTS!$B$42:$B$50,1)+1))),IF(AG_REQ!N96&lt;=INDEX(INPUTS!$E$42:$E$50,1),INDEX(INPUTS!$D$42:$D$50,1),IF(AG_REQ!N96&gt;INDEX(INPUTS!$E$42:$E$50,ROWS(INPUTS!$E$42:$E$50)),"LARGER",INDEX(INPUTS!$D$42:$D$50,MATCH(AG_REQ!N96,INPUTS!$E$42:$E$50,1)+1)))))</f>
        <v/>
      </c>
      <c r="O96" s="4" t="str">
        <f aca="false">IF(TRIB!O96="","",IF(OR(ARCH!O96="",LEFT(ARCH!O96,3)="14x"),IF(AG_REQ!O96&lt;=INDEX(INPUTS!$B$42:$B$50,1),INDEX(INPUTS!$A$42:$A$50,1),IF(AG_REQ!O96&gt;INDEX(INPUTS!$B$42:$B$50,ROWS(INPUTS!$B$42:$B$50)),"LARGER",INDEX(INPUTS!$A$42:$A$50,MATCH(AG_REQ!O96,INPUTS!$B$42:$B$50,1)+1))),IF(AG_REQ!O96&lt;=INDEX(INPUTS!$E$42:$E$50,1),INDEX(INPUTS!$D$42:$D$50,1),IF(AG_REQ!O96&gt;INDEX(INPUTS!$E$42:$E$50,ROWS(INPUTS!$E$42:$E$50)),"LARGER",INDEX(INPUTS!$D$42:$D$50,MATCH(AG_REQ!O96,INPUTS!$E$42:$E$50,1)+1)))))</f>
        <v/>
      </c>
      <c r="P96" s="4" t="str">
        <f aca="false">IF(TRIB!P96="","",IF(OR(ARCH!P96="",LEFT(ARCH!P96,3)="14x"),IF(AG_REQ!P96&lt;=INDEX(INPUTS!$B$42:$B$50,1),INDEX(INPUTS!$A$42:$A$50,1),IF(AG_REQ!P96&gt;INDEX(INPUTS!$B$42:$B$50,ROWS(INPUTS!$B$42:$B$50)),"LARGER",INDEX(INPUTS!$A$42:$A$50,MATCH(AG_REQ!P96,INPUTS!$B$42:$B$50,1)+1))),IF(AG_REQ!P96&lt;=INDEX(INPUTS!$E$42:$E$50,1),INDEX(INPUTS!$D$42:$D$50,1),IF(AG_REQ!P96&gt;INDEX(INPUTS!$E$42:$E$50,ROWS(INPUTS!$E$42:$E$50)),"LARGER",INDEX(INPUTS!$D$42:$D$50,MATCH(AG_REQ!P96,INPUTS!$E$42:$E$50,1)+1)))))</f>
        <v/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4" t="str">
        <f aca="false">IF(TRIB!E97="","",IF(OR(ARCH!E97="",LEFT(ARCH!E97,3)="14x"),IF(AG_REQ!E97&lt;=INDEX(INPUTS!$B$42:$B$50,1),INDEX(INPUTS!$A$42:$A$50,1),IF(AG_REQ!E97&gt;INDEX(INPUTS!$B$42:$B$50,ROWS(INPUTS!$B$42:$B$50)),"LARGER",INDEX(INPUTS!$A$42:$A$50,MATCH(AG_REQ!E97,INPUTS!$B$42:$B$50,1)+1))),IF(AG_REQ!E97&lt;=INDEX(INPUTS!$E$42:$E$50,1),INDEX(INPUTS!$D$42:$D$50,1),IF(AG_REQ!E97&gt;INDEX(INPUTS!$E$42:$E$50,ROWS(INPUTS!$E$42:$E$50)),"LARGER",INDEX(INPUTS!$D$42:$D$50,MATCH(AG_REQ!E97,INPUTS!$E$42:$E$50,1)+1)))))</f>
        <v>14x24</v>
      </c>
      <c r="F97" s="4" t="str">
        <f aca="false">IF(TRIB!F97="","",IF(OR(ARCH!F97="",LEFT(ARCH!F97,3)="14x"),IF(AG_REQ!F97&lt;=INDEX(INPUTS!$B$42:$B$50,1),INDEX(INPUTS!$A$42:$A$50,1),IF(AG_REQ!F97&gt;INDEX(INPUTS!$B$42:$B$50,ROWS(INPUTS!$B$42:$B$50)),"LARGER",INDEX(INPUTS!$A$42:$A$50,MATCH(AG_REQ!F97,INPUTS!$B$42:$B$50,1)+1))),IF(AG_REQ!F97&lt;=INDEX(INPUTS!$E$42:$E$50,1),INDEX(INPUTS!$D$42:$D$50,1),IF(AG_REQ!F97&gt;INDEX(INPUTS!$E$42:$E$50,ROWS(INPUTS!$E$42:$E$50)),"LARGER",INDEX(INPUTS!$D$42:$D$50,MATCH(AG_REQ!F97,INPUTS!$E$42:$E$50,1)+1)))))</f>
        <v>14x24</v>
      </c>
      <c r="G97" s="4" t="str">
        <f aca="false">IF(TRIB!G97="","",IF(OR(ARCH!G97="",LEFT(ARCH!G97,3)="14x"),IF(AG_REQ!G97&lt;=INDEX(INPUTS!$B$42:$B$50,1),INDEX(INPUTS!$A$42:$A$50,1),IF(AG_REQ!G97&gt;INDEX(INPUTS!$B$42:$B$50,ROWS(INPUTS!$B$42:$B$50)),"LARGER",INDEX(INPUTS!$A$42:$A$50,MATCH(AG_REQ!G97,INPUTS!$B$42:$B$50,1)+1))),IF(AG_REQ!G97&lt;=INDEX(INPUTS!$E$42:$E$50,1),INDEX(INPUTS!$D$42:$D$50,1),IF(AG_REQ!G97&gt;INDEX(INPUTS!$E$42:$E$50,ROWS(INPUTS!$E$42:$E$50)),"LARGER",INDEX(INPUTS!$D$42:$D$50,MATCH(AG_REQ!G97,INPUTS!$E$42:$E$50,1)+1)))))</f>
        <v>14x24</v>
      </c>
      <c r="H97" s="4" t="str">
        <f aca="false">IF(TRIB!H97="","",IF(OR(ARCH!H97="",LEFT(ARCH!H97,3)="14x"),IF(AG_REQ!H97&lt;=INDEX(INPUTS!$B$42:$B$50,1),INDEX(INPUTS!$A$42:$A$50,1),IF(AG_REQ!H97&gt;INDEX(INPUTS!$B$42:$B$50,ROWS(INPUTS!$B$42:$B$50)),"LARGER",INDEX(INPUTS!$A$42:$A$50,MATCH(AG_REQ!H97,INPUTS!$B$42:$B$50,1)+1))),IF(AG_REQ!H97&lt;=INDEX(INPUTS!$E$42:$E$50,1),INDEX(INPUTS!$D$42:$D$50,1),IF(AG_REQ!H97&gt;INDEX(INPUTS!$E$42:$E$50,ROWS(INPUTS!$E$42:$E$50)),"LARGER",INDEX(INPUTS!$D$42:$D$50,MATCH(AG_REQ!H97,INPUTS!$E$42:$E$50,1)+1)))))</f>
        <v>14x24</v>
      </c>
      <c r="I97" s="4" t="str">
        <f aca="false">IF(TRIB!I97="","",IF(OR(ARCH!I97="",LEFT(ARCH!I97,3)="14x"),IF(AG_REQ!I97&lt;=INDEX(INPUTS!$B$42:$B$50,1),INDEX(INPUTS!$A$42:$A$50,1),IF(AG_REQ!I97&gt;INDEX(INPUTS!$B$42:$B$50,ROWS(INPUTS!$B$42:$B$50)),"LARGER",INDEX(INPUTS!$A$42:$A$50,MATCH(AG_REQ!I97,INPUTS!$B$42:$B$50,1)+1))),IF(AG_REQ!I97&lt;=INDEX(INPUTS!$E$42:$E$50,1),INDEX(INPUTS!$D$42:$D$50,1),IF(AG_REQ!I97&gt;INDEX(INPUTS!$E$42:$E$50,ROWS(INPUTS!$E$42:$E$50)),"LARGER",INDEX(INPUTS!$D$42:$D$50,MATCH(AG_REQ!I97,INPUTS!$E$42:$E$50,1)+1)))))</f>
        <v>14x24</v>
      </c>
      <c r="J97" s="4" t="str">
        <f aca="false">IF(TRIB!J97="","",IF(OR(ARCH!J97="",LEFT(ARCH!J97,3)="14x"),IF(AG_REQ!J97&lt;=INDEX(INPUTS!$B$42:$B$50,1),INDEX(INPUTS!$A$42:$A$50,1),IF(AG_REQ!J97&gt;INDEX(INPUTS!$B$42:$B$50,ROWS(INPUTS!$B$42:$B$50)),"LARGER",INDEX(INPUTS!$A$42:$A$50,MATCH(AG_REQ!J97,INPUTS!$B$42:$B$50,1)+1))),IF(AG_REQ!J97&lt;=INDEX(INPUTS!$E$42:$E$50,1),INDEX(INPUTS!$D$42:$D$50,1),IF(AG_REQ!J97&gt;INDEX(INPUTS!$E$42:$E$50,ROWS(INPUTS!$E$42:$E$50)),"LARGER",INDEX(INPUTS!$D$42:$D$50,MATCH(AG_REQ!J97,INPUTS!$E$42:$E$50,1)+1)))))</f>
        <v/>
      </c>
      <c r="K97" s="4" t="str">
        <f aca="false">IF(TRIB!K97="","",IF(OR(ARCH!K97="",LEFT(ARCH!K97,3)="14x"),IF(AG_REQ!K97&lt;=INDEX(INPUTS!$B$42:$B$50,1),INDEX(INPUTS!$A$42:$A$50,1),IF(AG_REQ!K97&gt;INDEX(INPUTS!$B$42:$B$50,ROWS(INPUTS!$B$42:$B$50)),"LARGER",INDEX(INPUTS!$A$42:$A$50,MATCH(AG_REQ!K97,INPUTS!$B$42:$B$50,1)+1))),IF(AG_REQ!K97&lt;=INDEX(INPUTS!$E$42:$E$50,1),INDEX(INPUTS!$D$42:$D$50,1),IF(AG_REQ!K97&gt;INDEX(INPUTS!$E$42:$E$50,ROWS(INPUTS!$E$42:$E$50)),"LARGER",INDEX(INPUTS!$D$42:$D$50,MATCH(AG_REQ!K97,INPUTS!$E$42:$E$50,1)+1)))))</f>
        <v/>
      </c>
      <c r="L97" s="4" t="str">
        <f aca="false">IF(TRIB!L97="","",IF(OR(ARCH!L97="",LEFT(ARCH!L97,3)="14x"),IF(AG_REQ!L97&lt;=INDEX(INPUTS!$B$42:$B$50,1),INDEX(INPUTS!$A$42:$A$50,1),IF(AG_REQ!L97&gt;INDEX(INPUTS!$B$42:$B$50,ROWS(INPUTS!$B$42:$B$50)),"LARGER",INDEX(INPUTS!$A$42:$A$50,MATCH(AG_REQ!L97,INPUTS!$B$42:$B$50,1)+1))),IF(AG_REQ!L97&lt;=INDEX(INPUTS!$E$42:$E$50,1),INDEX(INPUTS!$D$42:$D$50,1),IF(AG_REQ!L97&gt;INDEX(INPUTS!$E$42:$E$50,ROWS(INPUTS!$E$42:$E$50)),"LARGER",INDEX(INPUTS!$D$42:$D$50,MATCH(AG_REQ!L97,INPUTS!$E$42:$E$50,1)+1)))))</f>
        <v/>
      </c>
      <c r="M97" s="4" t="str">
        <f aca="false">IF(TRIB!M97="","",IF(OR(ARCH!M97="",LEFT(ARCH!M97,3)="14x"),IF(AG_REQ!M97&lt;=INDEX(INPUTS!$B$42:$B$50,1),INDEX(INPUTS!$A$42:$A$50,1),IF(AG_REQ!M97&gt;INDEX(INPUTS!$B$42:$B$50,ROWS(INPUTS!$B$42:$B$50)),"LARGER",INDEX(INPUTS!$A$42:$A$50,MATCH(AG_REQ!M97,INPUTS!$B$42:$B$50,1)+1))),IF(AG_REQ!M97&lt;=INDEX(INPUTS!$E$42:$E$50,1),INDEX(INPUTS!$D$42:$D$50,1),IF(AG_REQ!M97&gt;INDEX(INPUTS!$E$42:$E$50,ROWS(INPUTS!$E$42:$E$50)),"LARGER",INDEX(INPUTS!$D$42:$D$50,MATCH(AG_REQ!M97,INPUTS!$E$42:$E$50,1)+1)))))</f>
        <v/>
      </c>
      <c r="N97" s="4" t="str">
        <f aca="false">IF(TRIB!N97="","",IF(OR(ARCH!N97="",LEFT(ARCH!N97,3)="14x"),IF(AG_REQ!N97&lt;=INDEX(INPUTS!$B$42:$B$50,1),INDEX(INPUTS!$A$42:$A$50,1),IF(AG_REQ!N97&gt;INDEX(INPUTS!$B$42:$B$50,ROWS(INPUTS!$B$42:$B$50)),"LARGER",INDEX(INPUTS!$A$42:$A$50,MATCH(AG_REQ!N97,INPUTS!$B$42:$B$50,1)+1))),IF(AG_REQ!N97&lt;=INDEX(INPUTS!$E$42:$E$50,1),INDEX(INPUTS!$D$42:$D$50,1),IF(AG_REQ!N97&gt;INDEX(INPUTS!$E$42:$E$50,ROWS(INPUTS!$E$42:$E$50)),"LARGER",INDEX(INPUTS!$D$42:$D$50,MATCH(AG_REQ!N97,INPUTS!$E$42:$E$50,1)+1)))))</f>
        <v/>
      </c>
      <c r="O97" s="4" t="str">
        <f aca="false">IF(TRIB!O97="","",IF(OR(ARCH!O97="",LEFT(ARCH!O97,3)="14x"),IF(AG_REQ!O97&lt;=INDEX(INPUTS!$B$42:$B$50,1),INDEX(INPUTS!$A$42:$A$50,1),IF(AG_REQ!O97&gt;INDEX(INPUTS!$B$42:$B$50,ROWS(INPUTS!$B$42:$B$50)),"LARGER",INDEX(INPUTS!$A$42:$A$50,MATCH(AG_REQ!O97,INPUTS!$B$42:$B$50,1)+1))),IF(AG_REQ!O97&lt;=INDEX(INPUTS!$E$42:$E$50,1),INDEX(INPUTS!$D$42:$D$50,1),IF(AG_REQ!O97&gt;INDEX(INPUTS!$E$42:$E$50,ROWS(INPUTS!$E$42:$E$50)),"LARGER",INDEX(INPUTS!$D$42:$D$50,MATCH(AG_REQ!O97,INPUTS!$E$42:$E$50,1)+1)))))</f>
        <v/>
      </c>
      <c r="P97" s="4" t="str">
        <f aca="false">IF(TRIB!P97="","",IF(OR(ARCH!P97="",LEFT(ARCH!P97,3)="14x"),IF(AG_REQ!P97&lt;=INDEX(INPUTS!$B$42:$B$50,1),INDEX(INPUTS!$A$42:$A$50,1),IF(AG_REQ!P97&gt;INDEX(INPUTS!$B$42:$B$50,ROWS(INPUTS!$B$42:$B$50)),"LARGER",INDEX(INPUTS!$A$42:$A$50,MATCH(AG_REQ!P97,INPUTS!$B$42:$B$50,1)+1))),IF(AG_REQ!P97&lt;=INDEX(INPUTS!$E$42:$E$50,1),INDEX(INPUTS!$D$42:$D$50,1),IF(AG_REQ!P97&gt;INDEX(INPUTS!$E$42:$E$50,ROWS(INPUTS!$E$42:$E$50)),"LARGER",INDEX(INPUTS!$D$42:$D$50,MATCH(AG_REQ!P97,INPUTS!$E$42:$E$50,1)+1)))))</f>
        <v/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4" t="str">
        <f aca="false">IF(TRIB!E98="","",IF(OR(ARCH!E98="",LEFT(ARCH!E98,3)="14x"),IF(AG_REQ!E98&lt;=INDEX(INPUTS!$B$42:$B$50,1),INDEX(INPUTS!$A$42:$A$50,1),IF(AG_REQ!E98&gt;INDEX(INPUTS!$B$42:$B$50,ROWS(INPUTS!$B$42:$B$50)),"LARGER",INDEX(INPUTS!$A$42:$A$50,MATCH(AG_REQ!E98,INPUTS!$B$42:$B$50,1)+1))),IF(AG_REQ!E98&lt;=INDEX(INPUTS!$E$42:$E$50,1),INDEX(INPUTS!$D$42:$D$50,1),IF(AG_REQ!E98&gt;INDEX(INPUTS!$E$42:$E$50,ROWS(INPUTS!$E$42:$E$50)),"LARGER",INDEX(INPUTS!$D$42:$D$50,MATCH(AG_REQ!E98,INPUTS!$E$42:$E$50,1)+1)))))</f>
        <v>14x24</v>
      </c>
      <c r="F98" s="4" t="str">
        <f aca="false">IF(TRIB!F98="","",IF(OR(ARCH!F98="",LEFT(ARCH!F98,3)="14x"),IF(AG_REQ!F98&lt;=INDEX(INPUTS!$B$42:$B$50,1),INDEX(INPUTS!$A$42:$A$50,1),IF(AG_REQ!F98&gt;INDEX(INPUTS!$B$42:$B$50,ROWS(INPUTS!$B$42:$B$50)),"LARGER",INDEX(INPUTS!$A$42:$A$50,MATCH(AG_REQ!F98,INPUTS!$B$42:$B$50,1)+1))),IF(AG_REQ!F98&lt;=INDEX(INPUTS!$E$42:$E$50,1),INDEX(INPUTS!$D$42:$D$50,1),IF(AG_REQ!F98&gt;INDEX(INPUTS!$E$42:$E$50,ROWS(INPUTS!$E$42:$E$50)),"LARGER",INDEX(INPUTS!$D$42:$D$50,MATCH(AG_REQ!F98,INPUTS!$E$42:$E$50,1)+1)))))</f>
        <v>14x24</v>
      </c>
      <c r="G98" s="4" t="str">
        <f aca="false">IF(TRIB!G98="","",IF(OR(ARCH!G98="",LEFT(ARCH!G98,3)="14x"),IF(AG_REQ!G98&lt;=INDEX(INPUTS!$B$42:$B$50,1),INDEX(INPUTS!$A$42:$A$50,1),IF(AG_REQ!G98&gt;INDEX(INPUTS!$B$42:$B$50,ROWS(INPUTS!$B$42:$B$50)),"LARGER",INDEX(INPUTS!$A$42:$A$50,MATCH(AG_REQ!G98,INPUTS!$B$42:$B$50,1)+1))),IF(AG_REQ!G98&lt;=INDEX(INPUTS!$E$42:$E$50,1),INDEX(INPUTS!$D$42:$D$50,1),IF(AG_REQ!G98&gt;INDEX(INPUTS!$E$42:$E$50,ROWS(INPUTS!$E$42:$E$50)),"LARGER",INDEX(INPUTS!$D$42:$D$50,MATCH(AG_REQ!G98,INPUTS!$E$42:$E$50,1)+1)))))</f>
        <v>14x24</v>
      </c>
      <c r="H98" s="4" t="str">
        <f aca="false">IF(TRIB!H98="","",IF(OR(ARCH!H98="",LEFT(ARCH!H98,3)="14x"),IF(AG_REQ!H98&lt;=INDEX(INPUTS!$B$42:$B$50,1),INDEX(INPUTS!$A$42:$A$50,1),IF(AG_REQ!H98&gt;INDEX(INPUTS!$B$42:$B$50,ROWS(INPUTS!$B$42:$B$50)),"LARGER",INDEX(INPUTS!$A$42:$A$50,MATCH(AG_REQ!H98,INPUTS!$B$42:$B$50,1)+1))),IF(AG_REQ!H98&lt;=INDEX(INPUTS!$E$42:$E$50,1),INDEX(INPUTS!$D$42:$D$50,1),IF(AG_REQ!H98&gt;INDEX(INPUTS!$E$42:$E$50,ROWS(INPUTS!$E$42:$E$50)),"LARGER",INDEX(INPUTS!$D$42:$D$50,MATCH(AG_REQ!H98,INPUTS!$E$42:$E$50,1)+1)))))</f>
        <v>14x24</v>
      </c>
      <c r="I98" s="4" t="str">
        <f aca="false">IF(TRIB!I98="","",IF(OR(ARCH!I98="",LEFT(ARCH!I98,3)="14x"),IF(AG_REQ!I98&lt;=INDEX(INPUTS!$B$42:$B$50,1),INDEX(INPUTS!$A$42:$A$50,1),IF(AG_REQ!I98&gt;INDEX(INPUTS!$B$42:$B$50,ROWS(INPUTS!$B$42:$B$50)),"LARGER",INDEX(INPUTS!$A$42:$A$50,MATCH(AG_REQ!I98,INPUTS!$B$42:$B$50,1)+1))),IF(AG_REQ!I98&lt;=INDEX(INPUTS!$E$42:$E$50,1),INDEX(INPUTS!$D$42:$D$50,1),IF(AG_REQ!I98&gt;INDEX(INPUTS!$E$42:$E$50,ROWS(INPUTS!$E$42:$E$50)),"LARGER",INDEX(INPUTS!$D$42:$D$50,MATCH(AG_REQ!I98,INPUTS!$E$42:$E$50,1)+1)))))</f>
        <v>14x24</v>
      </c>
      <c r="J98" s="4" t="str">
        <f aca="false">IF(TRIB!J98="","",IF(OR(ARCH!J98="",LEFT(ARCH!J98,3)="14x"),IF(AG_REQ!J98&lt;=INDEX(INPUTS!$B$42:$B$50,1),INDEX(INPUTS!$A$42:$A$50,1),IF(AG_REQ!J98&gt;INDEX(INPUTS!$B$42:$B$50,ROWS(INPUTS!$B$42:$B$50)),"LARGER",INDEX(INPUTS!$A$42:$A$50,MATCH(AG_REQ!J98,INPUTS!$B$42:$B$50,1)+1))),IF(AG_REQ!J98&lt;=INDEX(INPUTS!$E$42:$E$50,1),INDEX(INPUTS!$D$42:$D$50,1),IF(AG_REQ!J98&gt;INDEX(INPUTS!$E$42:$E$50,ROWS(INPUTS!$E$42:$E$50)),"LARGER",INDEX(INPUTS!$D$42:$D$50,MATCH(AG_REQ!J98,INPUTS!$E$42:$E$50,1)+1)))))</f>
        <v/>
      </c>
      <c r="K98" s="4" t="str">
        <f aca="false">IF(TRIB!K98="","",IF(OR(ARCH!K98="",LEFT(ARCH!K98,3)="14x"),IF(AG_REQ!K98&lt;=INDEX(INPUTS!$B$42:$B$50,1),INDEX(INPUTS!$A$42:$A$50,1),IF(AG_REQ!K98&gt;INDEX(INPUTS!$B$42:$B$50,ROWS(INPUTS!$B$42:$B$50)),"LARGER",INDEX(INPUTS!$A$42:$A$50,MATCH(AG_REQ!K98,INPUTS!$B$42:$B$50,1)+1))),IF(AG_REQ!K98&lt;=INDEX(INPUTS!$E$42:$E$50,1),INDEX(INPUTS!$D$42:$D$50,1),IF(AG_REQ!K98&gt;INDEX(INPUTS!$E$42:$E$50,ROWS(INPUTS!$E$42:$E$50)),"LARGER",INDEX(INPUTS!$D$42:$D$50,MATCH(AG_REQ!K98,INPUTS!$E$42:$E$50,1)+1)))))</f>
        <v/>
      </c>
      <c r="L98" s="4" t="str">
        <f aca="false">IF(TRIB!L98="","",IF(OR(ARCH!L98="",LEFT(ARCH!L98,3)="14x"),IF(AG_REQ!L98&lt;=INDEX(INPUTS!$B$42:$B$50,1),INDEX(INPUTS!$A$42:$A$50,1),IF(AG_REQ!L98&gt;INDEX(INPUTS!$B$42:$B$50,ROWS(INPUTS!$B$42:$B$50)),"LARGER",INDEX(INPUTS!$A$42:$A$50,MATCH(AG_REQ!L98,INPUTS!$B$42:$B$50,1)+1))),IF(AG_REQ!L98&lt;=INDEX(INPUTS!$E$42:$E$50,1),INDEX(INPUTS!$D$42:$D$50,1),IF(AG_REQ!L98&gt;INDEX(INPUTS!$E$42:$E$50,ROWS(INPUTS!$E$42:$E$50)),"LARGER",INDEX(INPUTS!$D$42:$D$50,MATCH(AG_REQ!L98,INPUTS!$E$42:$E$50,1)+1)))))</f>
        <v/>
      </c>
      <c r="M98" s="4" t="str">
        <f aca="false">IF(TRIB!M98="","",IF(OR(ARCH!M98="",LEFT(ARCH!M98,3)="14x"),IF(AG_REQ!M98&lt;=INDEX(INPUTS!$B$42:$B$50,1),INDEX(INPUTS!$A$42:$A$50,1),IF(AG_REQ!M98&gt;INDEX(INPUTS!$B$42:$B$50,ROWS(INPUTS!$B$42:$B$50)),"LARGER",INDEX(INPUTS!$A$42:$A$50,MATCH(AG_REQ!M98,INPUTS!$B$42:$B$50,1)+1))),IF(AG_REQ!M98&lt;=INDEX(INPUTS!$E$42:$E$50,1),INDEX(INPUTS!$D$42:$D$50,1),IF(AG_REQ!M98&gt;INDEX(INPUTS!$E$42:$E$50,ROWS(INPUTS!$E$42:$E$50)),"LARGER",INDEX(INPUTS!$D$42:$D$50,MATCH(AG_REQ!M98,INPUTS!$E$42:$E$50,1)+1)))))</f>
        <v/>
      </c>
      <c r="N98" s="4" t="str">
        <f aca="false">IF(TRIB!N98="","",IF(OR(ARCH!N98="",LEFT(ARCH!N98,3)="14x"),IF(AG_REQ!N98&lt;=INDEX(INPUTS!$B$42:$B$50,1),INDEX(INPUTS!$A$42:$A$50,1),IF(AG_REQ!N98&gt;INDEX(INPUTS!$B$42:$B$50,ROWS(INPUTS!$B$42:$B$50)),"LARGER",INDEX(INPUTS!$A$42:$A$50,MATCH(AG_REQ!N98,INPUTS!$B$42:$B$50,1)+1))),IF(AG_REQ!N98&lt;=INDEX(INPUTS!$E$42:$E$50,1),INDEX(INPUTS!$D$42:$D$50,1),IF(AG_REQ!N98&gt;INDEX(INPUTS!$E$42:$E$50,ROWS(INPUTS!$E$42:$E$50)),"LARGER",INDEX(INPUTS!$D$42:$D$50,MATCH(AG_REQ!N98,INPUTS!$E$42:$E$50,1)+1)))))</f>
        <v/>
      </c>
      <c r="O98" s="4" t="str">
        <f aca="false">IF(TRIB!O98="","",IF(OR(ARCH!O98="",LEFT(ARCH!O98,3)="14x"),IF(AG_REQ!O98&lt;=INDEX(INPUTS!$B$42:$B$50,1),INDEX(INPUTS!$A$42:$A$50,1),IF(AG_REQ!O98&gt;INDEX(INPUTS!$B$42:$B$50,ROWS(INPUTS!$B$42:$B$50)),"LARGER",INDEX(INPUTS!$A$42:$A$50,MATCH(AG_REQ!O98,INPUTS!$B$42:$B$50,1)+1))),IF(AG_REQ!O98&lt;=INDEX(INPUTS!$E$42:$E$50,1),INDEX(INPUTS!$D$42:$D$50,1),IF(AG_REQ!O98&gt;INDEX(INPUTS!$E$42:$E$50,ROWS(INPUTS!$E$42:$E$50)),"LARGER",INDEX(INPUTS!$D$42:$D$50,MATCH(AG_REQ!O98,INPUTS!$E$42:$E$50,1)+1)))))</f>
        <v/>
      </c>
      <c r="P98" s="4" t="str">
        <f aca="false">IF(TRIB!P98="","",IF(OR(ARCH!P98="",LEFT(ARCH!P98,3)="14x"),IF(AG_REQ!P98&lt;=INDEX(INPUTS!$B$42:$B$50,1),INDEX(INPUTS!$A$42:$A$50,1),IF(AG_REQ!P98&gt;INDEX(INPUTS!$B$42:$B$50,ROWS(INPUTS!$B$42:$B$50)),"LARGER",INDEX(INPUTS!$A$42:$A$50,MATCH(AG_REQ!P98,INPUTS!$B$42:$B$50,1)+1))),IF(AG_REQ!P98&lt;=INDEX(INPUTS!$E$42:$E$50,1),INDEX(INPUTS!$D$42:$D$50,1),IF(AG_REQ!P98&gt;INDEX(INPUTS!$E$42:$E$50,ROWS(INPUTS!$E$42:$E$50)),"LARGER",INDEX(INPUTS!$D$42:$D$50,MATCH(AG_REQ!P98,INPUTS!$E$42:$E$50,1)+1)))))</f>
        <v/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4" t="str">
        <f aca="false">IF(TRIB!E99="","",IF(OR(ARCH!E99="",LEFT(ARCH!E99,3)="14x"),IF(AG_REQ!E99&lt;=INDEX(INPUTS!$B$42:$B$50,1),INDEX(INPUTS!$A$42:$A$50,1),IF(AG_REQ!E99&gt;INDEX(INPUTS!$B$42:$B$50,ROWS(INPUTS!$B$42:$B$50)),"LARGER",INDEX(INPUTS!$A$42:$A$50,MATCH(AG_REQ!E99,INPUTS!$B$42:$B$50,1)+1))),IF(AG_REQ!E99&lt;=INDEX(INPUTS!$E$42:$E$50,1),INDEX(INPUTS!$D$42:$D$50,1),IF(AG_REQ!E99&gt;INDEX(INPUTS!$E$42:$E$50,ROWS(INPUTS!$E$42:$E$50)),"LARGER",INDEX(INPUTS!$D$42:$D$50,MATCH(AG_REQ!E99,INPUTS!$E$42:$E$50,1)+1)))))</f>
        <v>14x24</v>
      </c>
      <c r="F99" s="4" t="str">
        <f aca="false">IF(TRIB!F99="","",IF(OR(ARCH!F99="",LEFT(ARCH!F99,3)="14x"),IF(AG_REQ!F99&lt;=INDEX(INPUTS!$B$42:$B$50,1),INDEX(INPUTS!$A$42:$A$50,1),IF(AG_REQ!F99&gt;INDEX(INPUTS!$B$42:$B$50,ROWS(INPUTS!$B$42:$B$50)),"LARGER",INDEX(INPUTS!$A$42:$A$50,MATCH(AG_REQ!F99,INPUTS!$B$42:$B$50,1)+1))),IF(AG_REQ!F99&lt;=INDEX(INPUTS!$E$42:$E$50,1),INDEX(INPUTS!$D$42:$D$50,1),IF(AG_REQ!F99&gt;INDEX(INPUTS!$E$42:$E$50,ROWS(INPUTS!$E$42:$E$50)),"LARGER",INDEX(INPUTS!$D$42:$D$50,MATCH(AG_REQ!F99,INPUTS!$E$42:$E$50,1)+1)))))</f>
        <v>14x24</v>
      </c>
      <c r="G99" s="4" t="str">
        <f aca="false">IF(TRIB!G99="","",IF(OR(ARCH!G99="",LEFT(ARCH!G99,3)="14x"),IF(AG_REQ!G99&lt;=INDEX(INPUTS!$B$42:$B$50,1),INDEX(INPUTS!$A$42:$A$50,1),IF(AG_REQ!G99&gt;INDEX(INPUTS!$B$42:$B$50,ROWS(INPUTS!$B$42:$B$50)),"LARGER",INDEX(INPUTS!$A$42:$A$50,MATCH(AG_REQ!G99,INPUTS!$B$42:$B$50,1)+1))),IF(AG_REQ!G99&lt;=INDEX(INPUTS!$E$42:$E$50,1),INDEX(INPUTS!$D$42:$D$50,1),IF(AG_REQ!G99&gt;INDEX(INPUTS!$E$42:$E$50,ROWS(INPUTS!$E$42:$E$50)),"LARGER",INDEX(INPUTS!$D$42:$D$50,MATCH(AG_REQ!G99,INPUTS!$E$42:$E$50,1)+1)))))</f>
        <v>14x24</v>
      </c>
      <c r="H99" s="4" t="str">
        <f aca="false">IF(TRIB!H99="","",IF(OR(ARCH!H99="",LEFT(ARCH!H99,3)="14x"),IF(AG_REQ!H99&lt;=INDEX(INPUTS!$B$42:$B$50,1),INDEX(INPUTS!$A$42:$A$50,1),IF(AG_REQ!H99&gt;INDEX(INPUTS!$B$42:$B$50,ROWS(INPUTS!$B$42:$B$50)),"LARGER",INDEX(INPUTS!$A$42:$A$50,MATCH(AG_REQ!H99,INPUTS!$B$42:$B$50,1)+1))),IF(AG_REQ!H99&lt;=INDEX(INPUTS!$E$42:$E$50,1),INDEX(INPUTS!$D$42:$D$50,1),IF(AG_REQ!H99&gt;INDEX(INPUTS!$E$42:$E$50,ROWS(INPUTS!$E$42:$E$50)),"LARGER",INDEX(INPUTS!$D$42:$D$50,MATCH(AG_REQ!H99,INPUTS!$E$42:$E$50,1)+1)))))</f>
        <v>14x24</v>
      </c>
      <c r="I99" s="4" t="str">
        <f aca="false">IF(TRIB!I99="","",IF(OR(ARCH!I99="",LEFT(ARCH!I99,3)="14x"),IF(AG_REQ!I99&lt;=INDEX(INPUTS!$B$42:$B$50,1),INDEX(INPUTS!$A$42:$A$50,1),IF(AG_REQ!I99&gt;INDEX(INPUTS!$B$42:$B$50,ROWS(INPUTS!$B$42:$B$50)),"LARGER",INDEX(INPUTS!$A$42:$A$50,MATCH(AG_REQ!I99,INPUTS!$B$42:$B$50,1)+1))),IF(AG_REQ!I99&lt;=INDEX(INPUTS!$E$42:$E$50,1),INDEX(INPUTS!$D$42:$D$50,1),IF(AG_REQ!I99&gt;INDEX(INPUTS!$E$42:$E$50,ROWS(INPUTS!$E$42:$E$50)),"LARGER",INDEX(INPUTS!$D$42:$D$50,MATCH(AG_REQ!I99,INPUTS!$E$42:$E$50,1)+1)))))</f>
        <v>14x24</v>
      </c>
      <c r="J99" s="4" t="str">
        <f aca="false">IF(TRIB!J99="","",IF(OR(ARCH!J99="",LEFT(ARCH!J99,3)="14x"),IF(AG_REQ!J99&lt;=INDEX(INPUTS!$B$42:$B$50,1),INDEX(INPUTS!$A$42:$A$50,1),IF(AG_REQ!J99&gt;INDEX(INPUTS!$B$42:$B$50,ROWS(INPUTS!$B$42:$B$50)),"LARGER",INDEX(INPUTS!$A$42:$A$50,MATCH(AG_REQ!J99,INPUTS!$B$42:$B$50,1)+1))),IF(AG_REQ!J99&lt;=INDEX(INPUTS!$E$42:$E$50,1),INDEX(INPUTS!$D$42:$D$50,1),IF(AG_REQ!J99&gt;INDEX(INPUTS!$E$42:$E$50,ROWS(INPUTS!$E$42:$E$50)),"LARGER",INDEX(INPUTS!$D$42:$D$50,MATCH(AG_REQ!J99,INPUTS!$E$42:$E$50,1)+1)))))</f>
        <v/>
      </c>
      <c r="K99" s="4" t="str">
        <f aca="false">IF(TRIB!K99="","",IF(OR(ARCH!K99="",LEFT(ARCH!K99,3)="14x"),IF(AG_REQ!K99&lt;=INDEX(INPUTS!$B$42:$B$50,1),INDEX(INPUTS!$A$42:$A$50,1),IF(AG_REQ!K99&gt;INDEX(INPUTS!$B$42:$B$50,ROWS(INPUTS!$B$42:$B$50)),"LARGER",INDEX(INPUTS!$A$42:$A$50,MATCH(AG_REQ!K99,INPUTS!$B$42:$B$50,1)+1))),IF(AG_REQ!K99&lt;=INDEX(INPUTS!$E$42:$E$50,1),INDEX(INPUTS!$D$42:$D$50,1),IF(AG_REQ!K99&gt;INDEX(INPUTS!$E$42:$E$50,ROWS(INPUTS!$E$42:$E$50)),"LARGER",INDEX(INPUTS!$D$42:$D$50,MATCH(AG_REQ!K99,INPUTS!$E$42:$E$50,1)+1)))))</f>
        <v/>
      </c>
      <c r="L99" s="4" t="str">
        <f aca="false">IF(TRIB!L99="","",IF(OR(ARCH!L99="",LEFT(ARCH!L99,3)="14x"),IF(AG_REQ!L99&lt;=INDEX(INPUTS!$B$42:$B$50,1),INDEX(INPUTS!$A$42:$A$50,1),IF(AG_REQ!L99&gt;INDEX(INPUTS!$B$42:$B$50,ROWS(INPUTS!$B$42:$B$50)),"LARGER",INDEX(INPUTS!$A$42:$A$50,MATCH(AG_REQ!L99,INPUTS!$B$42:$B$50,1)+1))),IF(AG_REQ!L99&lt;=INDEX(INPUTS!$E$42:$E$50,1),INDEX(INPUTS!$D$42:$D$50,1),IF(AG_REQ!L99&gt;INDEX(INPUTS!$E$42:$E$50,ROWS(INPUTS!$E$42:$E$50)),"LARGER",INDEX(INPUTS!$D$42:$D$50,MATCH(AG_REQ!L99,INPUTS!$E$42:$E$50,1)+1)))))</f>
        <v/>
      </c>
      <c r="M99" s="4" t="str">
        <f aca="false">IF(TRIB!M99="","",IF(OR(ARCH!M99="",LEFT(ARCH!M99,3)="14x"),IF(AG_REQ!M99&lt;=INDEX(INPUTS!$B$42:$B$50,1),INDEX(INPUTS!$A$42:$A$50,1),IF(AG_REQ!M99&gt;INDEX(INPUTS!$B$42:$B$50,ROWS(INPUTS!$B$42:$B$50)),"LARGER",INDEX(INPUTS!$A$42:$A$50,MATCH(AG_REQ!M99,INPUTS!$B$42:$B$50,1)+1))),IF(AG_REQ!M99&lt;=INDEX(INPUTS!$E$42:$E$50,1),INDEX(INPUTS!$D$42:$D$50,1),IF(AG_REQ!M99&gt;INDEX(INPUTS!$E$42:$E$50,ROWS(INPUTS!$E$42:$E$50)),"LARGER",INDEX(INPUTS!$D$42:$D$50,MATCH(AG_REQ!M99,INPUTS!$E$42:$E$50,1)+1)))))</f>
        <v/>
      </c>
      <c r="N99" s="4" t="str">
        <f aca="false">IF(TRIB!N99="","",IF(OR(ARCH!N99="",LEFT(ARCH!N99,3)="14x"),IF(AG_REQ!N99&lt;=INDEX(INPUTS!$B$42:$B$50,1),INDEX(INPUTS!$A$42:$A$50,1),IF(AG_REQ!N99&gt;INDEX(INPUTS!$B$42:$B$50,ROWS(INPUTS!$B$42:$B$50)),"LARGER",INDEX(INPUTS!$A$42:$A$50,MATCH(AG_REQ!N99,INPUTS!$B$42:$B$50,1)+1))),IF(AG_REQ!N99&lt;=INDEX(INPUTS!$E$42:$E$50,1),INDEX(INPUTS!$D$42:$D$50,1),IF(AG_REQ!N99&gt;INDEX(INPUTS!$E$42:$E$50,ROWS(INPUTS!$E$42:$E$50)),"LARGER",INDEX(INPUTS!$D$42:$D$50,MATCH(AG_REQ!N99,INPUTS!$E$42:$E$50,1)+1)))))</f>
        <v/>
      </c>
      <c r="O99" s="4" t="str">
        <f aca="false">IF(TRIB!O99="","",IF(OR(ARCH!O99="",LEFT(ARCH!O99,3)="14x"),IF(AG_REQ!O99&lt;=INDEX(INPUTS!$B$42:$B$50,1),INDEX(INPUTS!$A$42:$A$50,1),IF(AG_REQ!O99&gt;INDEX(INPUTS!$B$42:$B$50,ROWS(INPUTS!$B$42:$B$50)),"LARGER",INDEX(INPUTS!$A$42:$A$50,MATCH(AG_REQ!O99,INPUTS!$B$42:$B$50,1)+1))),IF(AG_REQ!O99&lt;=INDEX(INPUTS!$E$42:$E$50,1),INDEX(INPUTS!$D$42:$D$50,1),IF(AG_REQ!O99&gt;INDEX(INPUTS!$E$42:$E$50,ROWS(INPUTS!$E$42:$E$50)),"LARGER",INDEX(INPUTS!$D$42:$D$50,MATCH(AG_REQ!O99,INPUTS!$E$42:$E$50,1)+1)))))</f>
        <v/>
      </c>
      <c r="P99" s="4" t="str">
        <f aca="false">IF(TRIB!P99="","",IF(OR(ARCH!P99="",LEFT(ARCH!P99,3)="14x"),IF(AG_REQ!P99&lt;=INDEX(INPUTS!$B$42:$B$50,1),INDEX(INPUTS!$A$42:$A$50,1),IF(AG_REQ!P99&gt;INDEX(INPUTS!$B$42:$B$50,ROWS(INPUTS!$B$42:$B$50)),"LARGER",INDEX(INPUTS!$A$42:$A$50,MATCH(AG_REQ!P99,INPUTS!$B$42:$B$50,1)+1))),IF(AG_REQ!P99&lt;=INDEX(INPUTS!$E$42:$E$50,1),INDEX(INPUTS!$D$42:$D$50,1),IF(AG_REQ!P99&gt;INDEX(INPUTS!$E$42:$E$50,ROWS(INPUTS!$E$42:$E$50)),"LARGER",INDEX(INPUTS!$D$42:$D$50,MATCH(AG_REQ!P99,INPUTS!$E$42:$E$50,1)+1)))))</f>
        <v/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4" t="str">
        <f aca="false">IF(TRIB!E100="","",IF(OR(ARCH!E100="",LEFT(ARCH!E100,3)="14x"),IF(AG_REQ!E100&lt;=INDEX(INPUTS!$B$42:$B$50,1),INDEX(INPUTS!$A$42:$A$50,1),IF(AG_REQ!E100&gt;INDEX(INPUTS!$B$42:$B$50,ROWS(INPUTS!$B$42:$B$50)),"LARGER",INDEX(INPUTS!$A$42:$A$50,MATCH(AG_REQ!E100,INPUTS!$B$42:$B$50,1)+1))),IF(AG_REQ!E100&lt;=INDEX(INPUTS!$E$42:$E$50,1),INDEX(INPUTS!$D$42:$D$50,1),IF(AG_REQ!E100&gt;INDEX(INPUTS!$E$42:$E$50,ROWS(INPUTS!$E$42:$E$50)),"LARGER",INDEX(INPUTS!$D$42:$D$50,MATCH(AG_REQ!E100,INPUTS!$E$42:$E$50,1)+1)))))</f>
        <v>14x24</v>
      </c>
      <c r="F100" s="4" t="str">
        <f aca="false">IF(TRIB!F100="","",IF(OR(ARCH!F100="",LEFT(ARCH!F100,3)="14x"),IF(AG_REQ!F100&lt;=INDEX(INPUTS!$B$42:$B$50,1),INDEX(INPUTS!$A$42:$A$50,1),IF(AG_REQ!F100&gt;INDEX(INPUTS!$B$42:$B$50,ROWS(INPUTS!$B$42:$B$50)),"LARGER",INDEX(INPUTS!$A$42:$A$50,MATCH(AG_REQ!F100,INPUTS!$B$42:$B$50,1)+1))),IF(AG_REQ!F100&lt;=INDEX(INPUTS!$E$42:$E$50,1),INDEX(INPUTS!$D$42:$D$50,1),IF(AG_REQ!F100&gt;INDEX(INPUTS!$E$42:$E$50,ROWS(INPUTS!$E$42:$E$50)),"LARGER",INDEX(INPUTS!$D$42:$D$50,MATCH(AG_REQ!F100,INPUTS!$E$42:$E$50,1)+1)))))</f>
        <v>14x24</v>
      </c>
      <c r="G100" s="4" t="str">
        <f aca="false">IF(TRIB!G100="","",IF(OR(ARCH!G100="",LEFT(ARCH!G100,3)="14x"),IF(AG_REQ!G100&lt;=INDEX(INPUTS!$B$42:$B$50,1),INDEX(INPUTS!$A$42:$A$50,1),IF(AG_REQ!G100&gt;INDEX(INPUTS!$B$42:$B$50,ROWS(INPUTS!$B$42:$B$50)),"LARGER",INDEX(INPUTS!$A$42:$A$50,MATCH(AG_REQ!G100,INPUTS!$B$42:$B$50,1)+1))),IF(AG_REQ!G100&lt;=INDEX(INPUTS!$E$42:$E$50,1),INDEX(INPUTS!$D$42:$D$50,1),IF(AG_REQ!G100&gt;INDEX(INPUTS!$E$42:$E$50,ROWS(INPUTS!$E$42:$E$50)),"LARGER",INDEX(INPUTS!$D$42:$D$50,MATCH(AG_REQ!G100,INPUTS!$E$42:$E$50,1)+1)))))</f>
        <v>14x24</v>
      </c>
      <c r="H100" s="4" t="str">
        <f aca="false">IF(TRIB!H100="","",IF(OR(ARCH!H100="",LEFT(ARCH!H100,3)="14x"),IF(AG_REQ!H100&lt;=INDEX(INPUTS!$B$42:$B$50,1),INDEX(INPUTS!$A$42:$A$50,1),IF(AG_REQ!H100&gt;INDEX(INPUTS!$B$42:$B$50,ROWS(INPUTS!$B$42:$B$50)),"LARGER",INDEX(INPUTS!$A$42:$A$50,MATCH(AG_REQ!H100,INPUTS!$B$42:$B$50,1)+1))),IF(AG_REQ!H100&lt;=INDEX(INPUTS!$E$42:$E$50,1),INDEX(INPUTS!$D$42:$D$50,1),IF(AG_REQ!H100&gt;INDEX(INPUTS!$E$42:$E$50,ROWS(INPUTS!$E$42:$E$50)),"LARGER",INDEX(INPUTS!$D$42:$D$50,MATCH(AG_REQ!H100,INPUTS!$E$42:$E$50,1)+1)))))</f>
        <v>14x24</v>
      </c>
      <c r="I100" s="4" t="str">
        <f aca="false">IF(TRIB!I100="","",IF(OR(ARCH!I100="",LEFT(ARCH!I100,3)="14x"),IF(AG_REQ!I100&lt;=INDEX(INPUTS!$B$42:$B$50,1),INDEX(INPUTS!$A$42:$A$50,1),IF(AG_REQ!I100&gt;INDEX(INPUTS!$B$42:$B$50,ROWS(INPUTS!$B$42:$B$50)),"LARGER",INDEX(INPUTS!$A$42:$A$50,MATCH(AG_REQ!I100,INPUTS!$B$42:$B$50,1)+1))),IF(AG_REQ!I100&lt;=INDEX(INPUTS!$E$42:$E$50,1),INDEX(INPUTS!$D$42:$D$50,1),IF(AG_REQ!I100&gt;INDEX(INPUTS!$E$42:$E$50,ROWS(INPUTS!$E$42:$E$50)),"LARGER",INDEX(INPUTS!$D$42:$D$50,MATCH(AG_REQ!I100,INPUTS!$E$42:$E$50,1)+1)))))</f>
        <v>14x24</v>
      </c>
      <c r="J100" s="4" t="str">
        <f aca="false">IF(TRIB!J100="","",IF(OR(ARCH!J100="",LEFT(ARCH!J100,3)="14x"),IF(AG_REQ!J100&lt;=INDEX(INPUTS!$B$42:$B$50,1),INDEX(INPUTS!$A$42:$A$50,1),IF(AG_REQ!J100&gt;INDEX(INPUTS!$B$42:$B$50,ROWS(INPUTS!$B$42:$B$50)),"LARGER",INDEX(INPUTS!$A$42:$A$50,MATCH(AG_REQ!J100,INPUTS!$B$42:$B$50,1)+1))),IF(AG_REQ!J100&lt;=INDEX(INPUTS!$E$42:$E$50,1),INDEX(INPUTS!$D$42:$D$50,1),IF(AG_REQ!J100&gt;INDEX(INPUTS!$E$42:$E$50,ROWS(INPUTS!$E$42:$E$50)),"LARGER",INDEX(INPUTS!$D$42:$D$50,MATCH(AG_REQ!J100,INPUTS!$E$42:$E$50,1)+1)))))</f>
        <v/>
      </c>
      <c r="K100" s="4" t="str">
        <f aca="false">IF(TRIB!K100="","",IF(OR(ARCH!K100="",LEFT(ARCH!K100,3)="14x"),IF(AG_REQ!K100&lt;=INDEX(INPUTS!$B$42:$B$50,1),INDEX(INPUTS!$A$42:$A$50,1),IF(AG_REQ!K100&gt;INDEX(INPUTS!$B$42:$B$50,ROWS(INPUTS!$B$42:$B$50)),"LARGER",INDEX(INPUTS!$A$42:$A$50,MATCH(AG_REQ!K100,INPUTS!$B$42:$B$50,1)+1))),IF(AG_REQ!K100&lt;=INDEX(INPUTS!$E$42:$E$50,1),INDEX(INPUTS!$D$42:$D$50,1),IF(AG_REQ!K100&gt;INDEX(INPUTS!$E$42:$E$50,ROWS(INPUTS!$E$42:$E$50)),"LARGER",INDEX(INPUTS!$D$42:$D$50,MATCH(AG_REQ!K100,INPUTS!$E$42:$E$50,1)+1)))))</f>
        <v/>
      </c>
      <c r="L100" s="4" t="str">
        <f aca="false">IF(TRIB!L100="","",IF(OR(ARCH!L100="",LEFT(ARCH!L100,3)="14x"),IF(AG_REQ!L100&lt;=INDEX(INPUTS!$B$42:$B$50,1),INDEX(INPUTS!$A$42:$A$50,1),IF(AG_REQ!L100&gt;INDEX(INPUTS!$B$42:$B$50,ROWS(INPUTS!$B$42:$B$50)),"LARGER",INDEX(INPUTS!$A$42:$A$50,MATCH(AG_REQ!L100,INPUTS!$B$42:$B$50,1)+1))),IF(AG_REQ!L100&lt;=INDEX(INPUTS!$E$42:$E$50,1),INDEX(INPUTS!$D$42:$D$50,1),IF(AG_REQ!L100&gt;INDEX(INPUTS!$E$42:$E$50,ROWS(INPUTS!$E$42:$E$50)),"LARGER",INDEX(INPUTS!$D$42:$D$50,MATCH(AG_REQ!L100,INPUTS!$E$42:$E$50,1)+1)))))</f>
        <v/>
      </c>
      <c r="M100" s="4" t="str">
        <f aca="false">IF(TRIB!M100="","",IF(OR(ARCH!M100="",LEFT(ARCH!M100,3)="14x"),IF(AG_REQ!M100&lt;=INDEX(INPUTS!$B$42:$B$50,1),INDEX(INPUTS!$A$42:$A$50,1),IF(AG_REQ!M100&gt;INDEX(INPUTS!$B$42:$B$50,ROWS(INPUTS!$B$42:$B$50)),"LARGER",INDEX(INPUTS!$A$42:$A$50,MATCH(AG_REQ!M100,INPUTS!$B$42:$B$50,1)+1))),IF(AG_REQ!M100&lt;=INDEX(INPUTS!$E$42:$E$50,1),INDEX(INPUTS!$D$42:$D$50,1),IF(AG_REQ!M100&gt;INDEX(INPUTS!$E$42:$E$50,ROWS(INPUTS!$E$42:$E$50)),"LARGER",INDEX(INPUTS!$D$42:$D$50,MATCH(AG_REQ!M100,INPUTS!$E$42:$E$50,1)+1)))))</f>
        <v/>
      </c>
      <c r="N100" s="4" t="str">
        <f aca="false">IF(TRIB!N100="","",IF(OR(ARCH!N100="",LEFT(ARCH!N100,3)="14x"),IF(AG_REQ!N100&lt;=INDEX(INPUTS!$B$42:$B$50,1),INDEX(INPUTS!$A$42:$A$50,1),IF(AG_REQ!N100&gt;INDEX(INPUTS!$B$42:$B$50,ROWS(INPUTS!$B$42:$B$50)),"LARGER",INDEX(INPUTS!$A$42:$A$50,MATCH(AG_REQ!N100,INPUTS!$B$42:$B$50,1)+1))),IF(AG_REQ!N100&lt;=INDEX(INPUTS!$E$42:$E$50,1),INDEX(INPUTS!$D$42:$D$50,1),IF(AG_REQ!N100&gt;INDEX(INPUTS!$E$42:$E$50,ROWS(INPUTS!$E$42:$E$50)),"LARGER",INDEX(INPUTS!$D$42:$D$50,MATCH(AG_REQ!N100,INPUTS!$E$42:$E$50,1)+1)))))</f>
        <v/>
      </c>
      <c r="O100" s="4" t="str">
        <f aca="false">IF(TRIB!O100="","",IF(OR(ARCH!O100="",LEFT(ARCH!O100,3)="14x"),IF(AG_REQ!O100&lt;=INDEX(INPUTS!$B$42:$B$50,1),INDEX(INPUTS!$A$42:$A$50,1),IF(AG_REQ!O100&gt;INDEX(INPUTS!$B$42:$B$50,ROWS(INPUTS!$B$42:$B$50)),"LARGER",INDEX(INPUTS!$A$42:$A$50,MATCH(AG_REQ!O100,INPUTS!$B$42:$B$50,1)+1))),IF(AG_REQ!O100&lt;=INDEX(INPUTS!$E$42:$E$50,1),INDEX(INPUTS!$D$42:$D$50,1),IF(AG_REQ!O100&gt;INDEX(INPUTS!$E$42:$E$50,ROWS(INPUTS!$E$42:$E$50)),"LARGER",INDEX(INPUTS!$D$42:$D$50,MATCH(AG_REQ!O100,INPUTS!$E$42:$E$50,1)+1)))))</f>
        <v/>
      </c>
      <c r="P100" s="4" t="str">
        <f aca="false">IF(TRIB!P100="","",IF(OR(ARCH!P100="",LEFT(ARCH!P100,3)="14x"),IF(AG_REQ!P100&lt;=INDEX(INPUTS!$B$42:$B$50,1),INDEX(INPUTS!$A$42:$A$50,1),IF(AG_REQ!P100&gt;INDEX(INPUTS!$B$42:$B$50,ROWS(INPUTS!$B$42:$B$50)),"LARGER",INDEX(INPUTS!$A$42:$A$50,MATCH(AG_REQ!P100,INPUTS!$B$42:$B$50,1)+1))),IF(AG_REQ!P100&lt;=INDEX(INPUTS!$E$42:$E$50,1),INDEX(INPUTS!$D$42:$D$50,1),IF(AG_REQ!P100&gt;INDEX(INPUTS!$E$42:$E$50,ROWS(INPUTS!$E$42:$E$50)),"LARGER",INDEX(INPUTS!$D$42:$D$50,MATCH(AG_REQ!P100,INPUTS!$E$42:$E$50,1)+1)))))</f>
        <v/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4" t="str">
        <f aca="false">IF(TRIB!E101="","",IF(OR(ARCH!E101="",LEFT(ARCH!E101,3)="14x"),IF(AG_REQ!E101&lt;=INDEX(INPUTS!$B$42:$B$50,1),INDEX(INPUTS!$A$42:$A$50,1),IF(AG_REQ!E101&gt;INDEX(INPUTS!$B$42:$B$50,ROWS(INPUTS!$B$42:$B$50)),"LARGER",INDEX(INPUTS!$A$42:$A$50,MATCH(AG_REQ!E101,INPUTS!$B$42:$B$50,1)+1))),IF(AG_REQ!E101&lt;=INDEX(INPUTS!$E$42:$E$50,1),INDEX(INPUTS!$D$42:$D$50,1),IF(AG_REQ!E101&gt;INDEX(INPUTS!$E$42:$E$50,ROWS(INPUTS!$E$42:$E$50)),"LARGER",INDEX(INPUTS!$D$42:$D$50,MATCH(AG_REQ!E101,INPUTS!$E$42:$E$50,1)+1)))))</f>
        <v>14x24</v>
      </c>
      <c r="F101" s="4" t="str">
        <f aca="false">IF(TRIB!F101="","",IF(OR(ARCH!F101="",LEFT(ARCH!F101,3)="14x"),IF(AG_REQ!F101&lt;=INDEX(INPUTS!$B$42:$B$50,1),INDEX(INPUTS!$A$42:$A$50,1),IF(AG_REQ!F101&gt;INDEX(INPUTS!$B$42:$B$50,ROWS(INPUTS!$B$42:$B$50)),"LARGER",INDEX(INPUTS!$A$42:$A$50,MATCH(AG_REQ!F101,INPUTS!$B$42:$B$50,1)+1))),IF(AG_REQ!F101&lt;=INDEX(INPUTS!$E$42:$E$50,1),INDEX(INPUTS!$D$42:$D$50,1),IF(AG_REQ!F101&gt;INDEX(INPUTS!$E$42:$E$50,ROWS(INPUTS!$E$42:$E$50)),"LARGER",INDEX(INPUTS!$D$42:$D$50,MATCH(AG_REQ!F101,INPUTS!$E$42:$E$50,1)+1)))))</f>
        <v>14x24</v>
      </c>
      <c r="G101" s="4" t="str">
        <f aca="false">IF(TRIB!G101="","",IF(OR(ARCH!G101="",LEFT(ARCH!G101,3)="14x"),IF(AG_REQ!G101&lt;=INDEX(INPUTS!$B$42:$B$50,1),INDEX(INPUTS!$A$42:$A$50,1),IF(AG_REQ!G101&gt;INDEX(INPUTS!$B$42:$B$50,ROWS(INPUTS!$B$42:$B$50)),"LARGER",INDEX(INPUTS!$A$42:$A$50,MATCH(AG_REQ!G101,INPUTS!$B$42:$B$50,1)+1))),IF(AG_REQ!G101&lt;=INDEX(INPUTS!$E$42:$E$50,1),INDEX(INPUTS!$D$42:$D$50,1),IF(AG_REQ!G101&gt;INDEX(INPUTS!$E$42:$E$50,ROWS(INPUTS!$E$42:$E$50)),"LARGER",INDEX(INPUTS!$D$42:$D$50,MATCH(AG_REQ!G101,INPUTS!$E$42:$E$50,1)+1)))))</f>
        <v>14x24</v>
      </c>
      <c r="H101" s="4" t="str">
        <f aca="false">IF(TRIB!H101="","",IF(OR(ARCH!H101="",LEFT(ARCH!H101,3)="14x"),IF(AG_REQ!H101&lt;=INDEX(INPUTS!$B$42:$B$50,1),INDEX(INPUTS!$A$42:$A$50,1),IF(AG_REQ!H101&gt;INDEX(INPUTS!$B$42:$B$50,ROWS(INPUTS!$B$42:$B$50)),"LARGER",INDEX(INPUTS!$A$42:$A$50,MATCH(AG_REQ!H101,INPUTS!$B$42:$B$50,1)+1))),IF(AG_REQ!H101&lt;=INDEX(INPUTS!$E$42:$E$50,1),INDEX(INPUTS!$D$42:$D$50,1),IF(AG_REQ!H101&gt;INDEX(INPUTS!$E$42:$E$50,ROWS(INPUTS!$E$42:$E$50)),"LARGER",INDEX(INPUTS!$D$42:$D$50,MATCH(AG_REQ!H101,INPUTS!$E$42:$E$50,1)+1)))))</f>
        <v>14x24</v>
      </c>
      <c r="I101" s="4" t="str">
        <f aca="false">IF(TRIB!I101="","",IF(OR(ARCH!I101="",LEFT(ARCH!I101,3)="14x"),IF(AG_REQ!I101&lt;=INDEX(INPUTS!$B$42:$B$50,1),INDEX(INPUTS!$A$42:$A$50,1),IF(AG_REQ!I101&gt;INDEX(INPUTS!$B$42:$B$50,ROWS(INPUTS!$B$42:$B$50)),"LARGER",INDEX(INPUTS!$A$42:$A$50,MATCH(AG_REQ!I101,INPUTS!$B$42:$B$50,1)+1))),IF(AG_REQ!I101&lt;=INDEX(INPUTS!$E$42:$E$50,1),INDEX(INPUTS!$D$42:$D$50,1),IF(AG_REQ!I101&gt;INDEX(INPUTS!$E$42:$E$50,ROWS(INPUTS!$E$42:$E$50)),"LARGER",INDEX(INPUTS!$D$42:$D$50,MATCH(AG_REQ!I101,INPUTS!$E$42:$E$50,1)+1)))))</f>
        <v>14x24</v>
      </c>
      <c r="J101" s="4" t="str">
        <f aca="false">IF(TRIB!J101="","",IF(OR(ARCH!J101="",LEFT(ARCH!J101,3)="14x"),IF(AG_REQ!J101&lt;=INDEX(INPUTS!$B$42:$B$50,1),INDEX(INPUTS!$A$42:$A$50,1),IF(AG_REQ!J101&gt;INDEX(INPUTS!$B$42:$B$50,ROWS(INPUTS!$B$42:$B$50)),"LARGER",INDEX(INPUTS!$A$42:$A$50,MATCH(AG_REQ!J101,INPUTS!$B$42:$B$50,1)+1))),IF(AG_REQ!J101&lt;=INDEX(INPUTS!$E$42:$E$50,1),INDEX(INPUTS!$D$42:$D$50,1),IF(AG_REQ!J101&gt;INDEX(INPUTS!$E$42:$E$50,ROWS(INPUTS!$E$42:$E$50)),"LARGER",INDEX(INPUTS!$D$42:$D$50,MATCH(AG_REQ!J101,INPUTS!$E$42:$E$50,1)+1)))))</f>
        <v>14x24</v>
      </c>
      <c r="K101" s="4" t="str">
        <f aca="false">IF(TRIB!K101="","",IF(OR(ARCH!K101="",LEFT(ARCH!K101,3)="14x"),IF(AG_REQ!K101&lt;=INDEX(INPUTS!$B$42:$B$50,1),INDEX(INPUTS!$A$42:$A$50,1),IF(AG_REQ!K101&gt;INDEX(INPUTS!$B$42:$B$50,ROWS(INPUTS!$B$42:$B$50)),"LARGER",INDEX(INPUTS!$A$42:$A$50,MATCH(AG_REQ!K101,INPUTS!$B$42:$B$50,1)+1))),IF(AG_REQ!K101&lt;=INDEX(INPUTS!$E$42:$E$50,1),INDEX(INPUTS!$D$42:$D$50,1),IF(AG_REQ!K101&gt;INDEX(INPUTS!$E$42:$E$50,ROWS(INPUTS!$E$42:$E$50)),"LARGER",INDEX(INPUTS!$D$42:$D$50,MATCH(AG_REQ!K101,INPUTS!$E$42:$E$50,1)+1)))))</f>
        <v/>
      </c>
      <c r="L101" s="4" t="str">
        <f aca="false">IF(TRIB!L101="","",IF(OR(ARCH!L101="",LEFT(ARCH!L101,3)="14x"),IF(AG_REQ!L101&lt;=INDEX(INPUTS!$B$42:$B$50,1),INDEX(INPUTS!$A$42:$A$50,1),IF(AG_REQ!L101&gt;INDEX(INPUTS!$B$42:$B$50,ROWS(INPUTS!$B$42:$B$50)),"LARGER",INDEX(INPUTS!$A$42:$A$50,MATCH(AG_REQ!L101,INPUTS!$B$42:$B$50,1)+1))),IF(AG_REQ!L101&lt;=INDEX(INPUTS!$E$42:$E$50,1),INDEX(INPUTS!$D$42:$D$50,1),IF(AG_REQ!L101&gt;INDEX(INPUTS!$E$42:$E$50,ROWS(INPUTS!$E$42:$E$50)),"LARGER",INDEX(INPUTS!$D$42:$D$50,MATCH(AG_REQ!L101,INPUTS!$E$42:$E$50,1)+1)))))</f>
        <v/>
      </c>
      <c r="M101" s="4" t="str">
        <f aca="false">IF(TRIB!M101="","",IF(OR(ARCH!M101="",LEFT(ARCH!M101,3)="14x"),IF(AG_REQ!M101&lt;=INDEX(INPUTS!$B$42:$B$50,1),INDEX(INPUTS!$A$42:$A$50,1),IF(AG_REQ!M101&gt;INDEX(INPUTS!$B$42:$B$50,ROWS(INPUTS!$B$42:$B$50)),"LARGER",INDEX(INPUTS!$A$42:$A$50,MATCH(AG_REQ!M101,INPUTS!$B$42:$B$50,1)+1))),IF(AG_REQ!M101&lt;=INDEX(INPUTS!$E$42:$E$50,1),INDEX(INPUTS!$D$42:$D$50,1),IF(AG_REQ!M101&gt;INDEX(INPUTS!$E$42:$E$50,ROWS(INPUTS!$E$42:$E$50)),"LARGER",INDEX(INPUTS!$D$42:$D$50,MATCH(AG_REQ!M101,INPUTS!$E$42:$E$50,1)+1)))))</f>
        <v/>
      </c>
      <c r="N101" s="4" t="str">
        <f aca="false">IF(TRIB!N101="","",IF(OR(ARCH!N101="",LEFT(ARCH!N101,3)="14x"),IF(AG_REQ!N101&lt;=INDEX(INPUTS!$B$42:$B$50,1),INDEX(INPUTS!$A$42:$A$50,1),IF(AG_REQ!N101&gt;INDEX(INPUTS!$B$42:$B$50,ROWS(INPUTS!$B$42:$B$50)),"LARGER",INDEX(INPUTS!$A$42:$A$50,MATCH(AG_REQ!N101,INPUTS!$B$42:$B$50,1)+1))),IF(AG_REQ!N101&lt;=INDEX(INPUTS!$E$42:$E$50,1),INDEX(INPUTS!$D$42:$D$50,1),IF(AG_REQ!N101&gt;INDEX(INPUTS!$E$42:$E$50,ROWS(INPUTS!$E$42:$E$50)),"LARGER",INDEX(INPUTS!$D$42:$D$50,MATCH(AG_REQ!N101,INPUTS!$E$42:$E$50,1)+1)))))</f>
        <v/>
      </c>
      <c r="O101" s="4" t="str">
        <f aca="false">IF(TRIB!O101="","",IF(OR(ARCH!O101="",LEFT(ARCH!O101,3)="14x"),IF(AG_REQ!O101&lt;=INDEX(INPUTS!$B$42:$B$50,1),INDEX(INPUTS!$A$42:$A$50,1),IF(AG_REQ!O101&gt;INDEX(INPUTS!$B$42:$B$50,ROWS(INPUTS!$B$42:$B$50)),"LARGER",INDEX(INPUTS!$A$42:$A$50,MATCH(AG_REQ!O101,INPUTS!$B$42:$B$50,1)+1))),IF(AG_REQ!O101&lt;=INDEX(INPUTS!$E$42:$E$50,1),INDEX(INPUTS!$D$42:$D$50,1),IF(AG_REQ!O101&gt;INDEX(INPUTS!$E$42:$E$50,ROWS(INPUTS!$E$42:$E$50)),"LARGER",INDEX(INPUTS!$D$42:$D$50,MATCH(AG_REQ!O101,INPUTS!$E$42:$E$50,1)+1)))))</f>
        <v/>
      </c>
      <c r="P101" s="4" t="str">
        <f aca="false">IF(TRIB!P101="","",IF(OR(ARCH!P101="",LEFT(ARCH!P101,3)="14x"),IF(AG_REQ!P101&lt;=INDEX(INPUTS!$B$42:$B$50,1),INDEX(INPUTS!$A$42:$A$50,1),IF(AG_REQ!P101&gt;INDEX(INPUTS!$B$42:$B$50,ROWS(INPUTS!$B$42:$B$50)),"LARGER",INDEX(INPUTS!$A$42:$A$50,MATCH(AG_REQ!P101,INPUTS!$B$42:$B$50,1)+1))),IF(AG_REQ!P101&lt;=INDEX(INPUTS!$E$42:$E$50,1),INDEX(INPUTS!$D$42:$D$50,1),IF(AG_REQ!P101&gt;INDEX(INPUTS!$E$42:$E$50,ROWS(INPUTS!$E$42:$E$50)),"LARGER",INDEX(INPUTS!$D$42:$D$50,MATCH(AG_REQ!P101,INPUTS!$E$42:$E$50,1)+1)))))</f>
        <v/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4" t="str">
        <f aca="false">IF(TRIB!E102="","",IF(OR(ARCH!E102="",LEFT(ARCH!E102,3)="14x"),IF(AG_REQ!E102&lt;=INDEX(INPUTS!$B$42:$B$50,1),INDEX(INPUTS!$A$42:$A$50,1),IF(AG_REQ!E102&gt;INDEX(INPUTS!$B$42:$B$50,ROWS(INPUTS!$B$42:$B$50)),"LARGER",INDEX(INPUTS!$A$42:$A$50,MATCH(AG_REQ!E102,INPUTS!$B$42:$B$50,1)+1))),IF(AG_REQ!E102&lt;=INDEX(INPUTS!$E$42:$E$50,1),INDEX(INPUTS!$D$42:$D$50,1),IF(AG_REQ!E102&gt;INDEX(INPUTS!$E$42:$E$50,ROWS(INPUTS!$E$42:$E$50)),"LARGER",INDEX(INPUTS!$D$42:$D$50,MATCH(AG_REQ!E102,INPUTS!$E$42:$E$50,1)+1)))))</f>
        <v>14x24</v>
      </c>
      <c r="F102" s="4" t="str">
        <f aca="false">IF(TRIB!F102="","",IF(OR(ARCH!F102="",LEFT(ARCH!F102,3)="14x"),IF(AG_REQ!F102&lt;=INDEX(INPUTS!$B$42:$B$50,1),INDEX(INPUTS!$A$42:$A$50,1),IF(AG_REQ!F102&gt;INDEX(INPUTS!$B$42:$B$50,ROWS(INPUTS!$B$42:$B$50)),"LARGER",INDEX(INPUTS!$A$42:$A$50,MATCH(AG_REQ!F102,INPUTS!$B$42:$B$50,1)+1))),IF(AG_REQ!F102&lt;=INDEX(INPUTS!$E$42:$E$50,1),INDEX(INPUTS!$D$42:$D$50,1),IF(AG_REQ!F102&gt;INDEX(INPUTS!$E$42:$E$50,ROWS(INPUTS!$E$42:$E$50)),"LARGER",INDEX(INPUTS!$D$42:$D$50,MATCH(AG_REQ!F102,INPUTS!$E$42:$E$50,1)+1)))))</f>
        <v>14x24</v>
      </c>
      <c r="G102" s="4" t="str">
        <f aca="false">IF(TRIB!G102="","",IF(OR(ARCH!G102="",LEFT(ARCH!G102,3)="14x"),IF(AG_REQ!G102&lt;=INDEX(INPUTS!$B$42:$B$50,1),INDEX(INPUTS!$A$42:$A$50,1),IF(AG_REQ!G102&gt;INDEX(INPUTS!$B$42:$B$50,ROWS(INPUTS!$B$42:$B$50)),"LARGER",INDEX(INPUTS!$A$42:$A$50,MATCH(AG_REQ!G102,INPUTS!$B$42:$B$50,1)+1))),IF(AG_REQ!G102&lt;=INDEX(INPUTS!$E$42:$E$50,1),INDEX(INPUTS!$D$42:$D$50,1),IF(AG_REQ!G102&gt;INDEX(INPUTS!$E$42:$E$50,ROWS(INPUTS!$E$42:$E$50)),"LARGER",INDEX(INPUTS!$D$42:$D$50,MATCH(AG_REQ!G102,INPUTS!$E$42:$E$50,1)+1)))))</f>
        <v>14x24</v>
      </c>
      <c r="H102" s="4" t="str">
        <f aca="false">IF(TRIB!H102="","",IF(OR(ARCH!H102="",LEFT(ARCH!H102,3)="14x"),IF(AG_REQ!H102&lt;=INDEX(INPUTS!$B$42:$B$50,1),INDEX(INPUTS!$A$42:$A$50,1),IF(AG_REQ!H102&gt;INDEX(INPUTS!$B$42:$B$50,ROWS(INPUTS!$B$42:$B$50)),"LARGER",INDEX(INPUTS!$A$42:$A$50,MATCH(AG_REQ!H102,INPUTS!$B$42:$B$50,1)+1))),IF(AG_REQ!H102&lt;=INDEX(INPUTS!$E$42:$E$50,1),INDEX(INPUTS!$D$42:$D$50,1),IF(AG_REQ!H102&gt;INDEX(INPUTS!$E$42:$E$50,ROWS(INPUTS!$E$42:$E$50)),"LARGER",INDEX(INPUTS!$D$42:$D$50,MATCH(AG_REQ!H102,INPUTS!$E$42:$E$50,1)+1)))))</f>
        <v>14x24</v>
      </c>
      <c r="I102" s="4" t="str">
        <f aca="false">IF(TRIB!I102="","",IF(OR(ARCH!I102="",LEFT(ARCH!I102,3)="14x"),IF(AG_REQ!I102&lt;=INDEX(INPUTS!$B$42:$B$50,1),INDEX(INPUTS!$A$42:$A$50,1),IF(AG_REQ!I102&gt;INDEX(INPUTS!$B$42:$B$50,ROWS(INPUTS!$B$42:$B$50)),"LARGER",INDEX(INPUTS!$A$42:$A$50,MATCH(AG_REQ!I102,INPUTS!$B$42:$B$50,1)+1))),IF(AG_REQ!I102&lt;=INDEX(INPUTS!$E$42:$E$50,1),INDEX(INPUTS!$D$42:$D$50,1),IF(AG_REQ!I102&gt;INDEX(INPUTS!$E$42:$E$50,ROWS(INPUTS!$E$42:$E$50)),"LARGER",INDEX(INPUTS!$D$42:$D$50,MATCH(AG_REQ!I102,INPUTS!$E$42:$E$50,1)+1)))))</f>
        <v>14x24</v>
      </c>
      <c r="J102" s="4" t="str">
        <f aca="false">IF(TRIB!J102="","",IF(OR(ARCH!J102="",LEFT(ARCH!J102,3)="14x"),IF(AG_REQ!J102&lt;=INDEX(INPUTS!$B$42:$B$50,1),INDEX(INPUTS!$A$42:$A$50,1),IF(AG_REQ!J102&gt;INDEX(INPUTS!$B$42:$B$50,ROWS(INPUTS!$B$42:$B$50)),"LARGER",INDEX(INPUTS!$A$42:$A$50,MATCH(AG_REQ!J102,INPUTS!$B$42:$B$50,1)+1))),IF(AG_REQ!J102&lt;=INDEX(INPUTS!$E$42:$E$50,1),INDEX(INPUTS!$D$42:$D$50,1),IF(AG_REQ!J102&gt;INDEX(INPUTS!$E$42:$E$50,ROWS(INPUTS!$E$42:$E$50)),"LARGER",INDEX(INPUTS!$D$42:$D$50,MATCH(AG_REQ!J102,INPUTS!$E$42:$E$50,1)+1)))))</f>
        <v/>
      </c>
      <c r="K102" s="4" t="str">
        <f aca="false">IF(TRIB!K102="","",IF(OR(ARCH!K102="",LEFT(ARCH!K102,3)="14x"),IF(AG_REQ!K102&lt;=INDEX(INPUTS!$B$42:$B$50,1),INDEX(INPUTS!$A$42:$A$50,1),IF(AG_REQ!K102&gt;INDEX(INPUTS!$B$42:$B$50,ROWS(INPUTS!$B$42:$B$50)),"LARGER",INDEX(INPUTS!$A$42:$A$50,MATCH(AG_REQ!K102,INPUTS!$B$42:$B$50,1)+1))),IF(AG_REQ!K102&lt;=INDEX(INPUTS!$E$42:$E$50,1),INDEX(INPUTS!$D$42:$D$50,1),IF(AG_REQ!K102&gt;INDEX(INPUTS!$E$42:$E$50,ROWS(INPUTS!$E$42:$E$50)),"LARGER",INDEX(INPUTS!$D$42:$D$50,MATCH(AG_REQ!K102,INPUTS!$E$42:$E$50,1)+1)))))</f>
        <v/>
      </c>
      <c r="L102" s="4" t="str">
        <f aca="false">IF(TRIB!L102="","",IF(OR(ARCH!L102="",LEFT(ARCH!L102,3)="14x"),IF(AG_REQ!L102&lt;=INDEX(INPUTS!$B$42:$B$50,1),INDEX(INPUTS!$A$42:$A$50,1),IF(AG_REQ!L102&gt;INDEX(INPUTS!$B$42:$B$50,ROWS(INPUTS!$B$42:$B$50)),"LARGER",INDEX(INPUTS!$A$42:$A$50,MATCH(AG_REQ!L102,INPUTS!$B$42:$B$50,1)+1))),IF(AG_REQ!L102&lt;=INDEX(INPUTS!$E$42:$E$50,1),INDEX(INPUTS!$D$42:$D$50,1),IF(AG_REQ!L102&gt;INDEX(INPUTS!$E$42:$E$50,ROWS(INPUTS!$E$42:$E$50)),"LARGER",INDEX(INPUTS!$D$42:$D$50,MATCH(AG_REQ!L102,INPUTS!$E$42:$E$50,1)+1)))))</f>
        <v/>
      </c>
      <c r="M102" s="4" t="str">
        <f aca="false">IF(TRIB!M102="","",IF(OR(ARCH!M102="",LEFT(ARCH!M102,3)="14x"),IF(AG_REQ!M102&lt;=INDEX(INPUTS!$B$42:$B$50,1),INDEX(INPUTS!$A$42:$A$50,1),IF(AG_REQ!M102&gt;INDEX(INPUTS!$B$42:$B$50,ROWS(INPUTS!$B$42:$B$50)),"LARGER",INDEX(INPUTS!$A$42:$A$50,MATCH(AG_REQ!M102,INPUTS!$B$42:$B$50,1)+1))),IF(AG_REQ!M102&lt;=INDEX(INPUTS!$E$42:$E$50,1),INDEX(INPUTS!$D$42:$D$50,1),IF(AG_REQ!M102&gt;INDEX(INPUTS!$E$42:$E$50,ROWS(INPUTS!$E$42:$E$50)),"LARGER",INDEX(INPUTS!$D$42:$D$50,MATCH(AG_REQ!M102,INPUTS!$E$42:$E$50,1)+1)))))</f>
        <v/>
      </c>
      <c r="N102" s="4" t="str">
        <f aca="false">IF(TRIB!N102="","",IF(OR(ARCH!N102="",LEFT(ARCH!N102,3)="14x"),IF(AG_REQ!N102&lt;=INDEX(INPUTS!$B$42:$B$50,1),INDEX(INPUTS!$A$42:$A$50,1),IF(AG_REQ!N102&gt;INDEX(INPUTS!$B$42:$B$50,ROWS(INPUTS!$B$42:$B$50)),"LARGER",INDEX(INPUTS!$A$42:$A$50,MATCH(AG_REQ!N102,INPUTS!$B$42:$B$50,1)+1))),IF(AG_REQ!N102&lt;=INDEX(INPUTS!$E$42:$E$50,1),INDEX(INPUTS!$D$42:$D$50,1),IF(AG_REQ!N102&gt;INDEX(INPUTS!$E$42:$E$50,ROWS(INPUTS!$E$42:$E$50)),"LARGER",INDEX(INPUTS!$D$42:$D$50,MATCH(AG_REQ!N102,INPUTS!$E$42:$E$50,1)+1)))))</f>
        <v/>
      </c>
      <c r="O102" s="4" t="str">
        <f aca="false">IF(TRIB!O102="","",IF(OR(ARCH!O102="",LEFT(ARCH!O102,3)="14x"),IF(AG_REQ!O102&lt;=INDEX(INPUTS!$B$42:$B$50,1),INDEX(INPUTS!$A$42:$A$50,1),IF(AG_REQ!O102&gt;INDEX(INPUTS!$B$42:$B$50,ROWS(INPUTS!$B$42:$B$50)),"LARGER",INDEX(INPUTS!$A$42:$A$50,MATCH(AG_REQ!O102,INPUTS!$B$42:$B$50,1)+1))),IF(AG_REQ!O102&lt;=INDEX(INPUTS!$E$42:$E$50,1),INDEX(INPUTS!$D$42:$D$50,1),IF(AG_REQ!O102&gt;INDEX(INPUTS!$E$42:$E$50,ROWS(INPUTS!$E$42:$E$50)),"LARGER",INDEX(INPUTS!$D$42:$D$50,MATCH(AG_REQ!O102,INPUTS!$E$42:$E$50,1)+1)))))</f>
        <v/>
      </c>
      <c r="P102" s="4" t="str">
        <f aca="false">IF(TRIB!P102="","",IF(OR(ARCH!P102="",LEFT(ARCH!P102,3)="14x"),IF(AG_REQ!P102&lt;=INDEX(INPUTS!$B$42:$B$50,1),INDEX(INPUTS!$A$42:$A$50,1),IF(AG_REQ!P102&gt;INDEX(INPUTS!$B$42:$B$50,ROWS(INPUTS!$B$42:$B$50)),"LARGER",INDEX(INPUTS!$A$42:$A$50,MATCH(AG_REQ!P102,INPUTS!$B$42:$B$50,1)+1))),IF(AG_REQ!P102&lt;=INDEX(INPUTS!$E$42:$E$50,1),INDEX(INPUTS!$D$42:$D$50,1),IF(AG_REQ!P102&gt;INDEX(INPUTS!$E$42:$E$50,ROWS(INPUTS!$E$42:$E$50)),"LARGER",INDEX(INPUTS!$D$42:$D$50,MATCH(AG_REQ!P102,INPUTS!$E$42:$E$50,1)+1)))))</f>
        <v/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4" t="str">
        <f aca="false">IF(TRIB!E103="","",IF(OR(ARCH!E103="",LEFT(ARCH!E103,3)="14x"),IF(AG_REQ!E103&lt;=INDEX(INPUTS!$B$42:$B$50,1),INDEX(INPUTS!$A$42:$A$50,1),IF(AG_REQ!E103&gt;INDEX(INPUTS!$B$42:$B$50,ROWS(INPUTS!$B$42:$B$50)),"LARGER",INDEX(INPUTS!$A$42:$A$50,MATCH(AG_REQ!E103,INPUTS!$B$42:$B$50,1)+1))),IF(AG_REQ!E103&lt;=INDEX(INPUTS!$E$42:$E$50,1),INDEX(INPUTS!$D$42:$D$50,1),IF(AG_REQ!E103&gt;INDEX(INPUTS!$E$42:$E$50,ROWS(INPUTS!$E$42:$E$50)),"LARGER",INDEX(INPUTS!$D$42:$D$50,MATCH(AG_REQ!E103,INPUTS!$E$42:$E$50,1)+1)))))</f>
        <v>14x24</v>
      </c>
      <c r="F103" s="4" t="str">
        <f aca="false">IF(TRIB!F103="","",IF(OR(ARCH!F103="",LEFT(ARCH!F103,3)="14x"),IF(AG_REQ!F103&lt;=INDEX(INPUTS!$B$42:$B$50,1),INDEX(INPUTS!$A$42:$A$50,1),IF(AG_REQ!F103&gt;INDEX(INPUTS!$B$42:$B$50,ROWS(INPUTS!$B$42:$B$50)),"LARGER",INDEX(INPUTS!$A$42:$A$50,MATCH(AG_REQ!F103,INPUTS!$B$42:$B$50,1)+1))),IF(AG_REQ!F103&lt;=INDEX(INPUTS!$E$42:$E$50,1),INDEX(INPUTS!$D$42:$D$50,1),IF(AG_REQ!F103&gt;INDEX(INPUTS!$E$42:$E$50,ROWS(INPUTS!$E$42:$E$50)),"LARGER",INDEX(INPUTS!$D$42:$D$50,MATCH(AG_REQ!F103,INPUTS!$E$42:$E$50,1)+1)))))</f>
        <v>14x24</v>
      </c>
      <c r="G103" s="4" t="str">
        <f aca="false">IF(TRIB!G103="","",IF(OR(ARCH!G103="",LEFT(ARCH!G103,3)="14x"),IF(AG_REQ!G103&lt;=INDEX(INPUTS!$B$42:$B$50,1),INDEX(INPUTS!$A$42:$A$50,1),IF(AG_REQ!G103&gt;INDEX(INPUTS!$B$42:$B$50,ROWS(INPUTS!$B$42:$B$50)),"LARGER",INDEX(INPUTS!$A$42:$A$50,MATCH(AG_REQ!G103,INPUTS!$B$42:$B$50,1)+1))),IF(AG_REQ!G103&lt;=INDEX(INPUTS!$E$42:$E$50,1),INDEX(INPUTS!$D$42:$D$50,1),IF(AG_REQ!G103&gt;INDEX(INPUTS!$E$42:$E$50,ROWS(INPUTS!$E$42:$E$50)),"LARGER",INDEX(INPUTS!$D$42:$D$50,MATCH(AG_REQ!G103,INPUTS!$E$42:$E$50,1)+1)))))</f>
        <v>14x24</v>
      </c>
      <c r="H103" s="4" t="str">
        <f aca="false">IF(TRIB!H103="","",IF(OR(ARCH!H103="",LEFT(ARCH!H103,3)="14x"),IF(AG_REQ!H103&lt;=INDEX(INPUTS!$B$42:$B$50,1),INDEX(INPUTS!$A$42:$A$50,1),IF(AG_REQ!H103&gt;INDEX(INPUTS!$B$42:$B$50,ROWS(INPUTS!$B$42:$B$50)),"LARGER",INDEX(INPUTS!$A$42:$A$50,MATCH(AG_REQ!H103,INPUTS!$B$42:$B$50,1)+1))),IF(AG_REQ!H103&lt;=INDEX(INPUTS!$E$42:$E$50,1),INDEX(INPUTS!$D$42:$D$50,1),IF(AG_REQ!H103&gt;INDEX(INPUTS!$E$42:$E$50,ROWS(INPUTS!$E$42:$E$50)),"LARGER",INDEX(INPUTS!$D$42:$D$50,MATCH(AG_REQ!H103,INPUTS!$E$42:$E$50,1)+1)))))</f>
        <v>14x24</v>
      </c>
      <c r="I103" s="4" t="str">
        <f aca="false">IF(TRIB!I103="","",IF(OR(ARCH!I103="",LEFT(ARCH!I103,3)="14x"),IF(AG_REQ!I103&lt;=INDEX(INPUTS!$B$42:$B$50,1),INDEX(INPUTS!$A$42:$A$50,1),IF(AG_REQ!I103&gt;INDEX(INPUTS!$B$42:$B$50,ROWS(INPUTS!$B$42:$B$50)),"LARGER",INDEX(INPUTS!$A$42:$A$50,MATCH(AG_REQ!I103,INPUTS!$B$42:$B$50,1)+1))),IF(AG_REQ!I103&lt;=INDEX(INPUTS!$E$42:$E$50,1),INDEX(INPUTS!$D$42:$D$50,1),IF(AG_REQ!I103&gt;INDEX(INPUTS!$E$42:$E$50,ROWS(INPUTS!$E$42:$E$50)),"LARGER",INDEX(INPUTS!$D$42:$D$50,MATCH(AG_REQ!I103,INPUTS!$E$42:$E$50,1)+1)))))</f>
        <v>14x24</v>
      </c>
      <c r="J103" s="4" t="str">
        <f aca="false">IF(TRIB!J103="","",IF(OR(ARCH!J103="",LEFT(ARCH!J103,3)="14x"),IF(AG_REQ!J103&lt;=INDEX(INPUTS!$B$42:$B$50,1),INDEX(INPUTS!$A$42:$A$50,1),IF(AG_REQ!J103&gt;INDEX(INPUTS!$B$42:$B$50,ROWS(INPUTS!$B$42:$B$50)),"LARGER",INDEX(INPUTS!$A$42:$A$50,MATCH(AG_REQ!J103,INPUTS!$B$42:$B$50,1)+1))),IF(AG_REQ!J103&lt;=INDEX(INPUTS!$E$42:$E$50,1),INDEX(INPUTS!$D$42:$D$50,1),IF(AG_REQ!J103&gt;INDEX(INPUTS!$E$42:$E$50,ROWS(INPUTS!$E$42:$E$50)),"LARGER",INDEX(INPUTS!$D$42:$D$50,MATCH(AG_REQ!J103,INPUTS!$E$42:$E$50,1)+1)))))</f>
        <v/>
      </c>
      <c r="K103" s="4" t="str">
        <f aca="false">IF(TRIB!K103="","",IF(OR(ARCH!K103="",LEFT(ARCH!K103,3)="14x"),IF(AG_REQ!K103&lt;=INDEX(INPUTS!$B$42:$B$50,1),INDEX(INPUTS!$A$42:$A$50,1),IF(AG_REQ!K103&gt;INDEX(INPUTS!$B$42:$B$50,ROWS(INPUTS!$B$42:$B$50)),"LARGER",INDEX(INPUTS!$A$42:$A$50,MATCH(AG_REQ!K103,INPUTS!$B$42:$B$50,1)+1))),IF(AG_REQ!K103&lt;=INDEX(INPUTS!$E$42:$E$50,1),INDEX(INPUTS!$D$42:$D$50,1),IF(AG_REQ!K103&gt;INDEX(INPUTS!$E$42:$E$50,ROWS(INPUTS!$E$42:$E$50)),"LARGER",INDEX(INPUTS!$D$42:$D$50,MATCH(AG_REQ!K103,INPUTS!$E$42:$E$50,1)+1)))))</f>
        <v/>
      </c>
      <c r="L103" s="4" t="str">
        <f aca="false">IF(TRIB!L103="","",IF(OR(ARCH!L103="",LEFT(ARCH!L103,3)="14x"),IF(AG_REQ!L103&lt;=INDEX(INPUTS!$B$42:$B$50,1),INDEX(INPUTS!$A$42:$A$50,1),IF(AG_REQ!L103&gt;INDEX(INPUTS!$B$42:$B$50,ROWS(INPUTS!$B$42:$B$50)),"LARGER",INDEX(INPUTS!$A$42:$A$50,MATCH(AG_REQ!L103,INPUTS!$B$42:$B$50,1)+1))),IF(AG_REQ!L103&lt;=INDEX(INPUTS!$E$42:$E$50,1),INDEX(INPUTS!$D$42:$D$50,1),IF(AG_REQ!L103&gt;INDEX(INPUTS!$E$42:$E$50,ROWS(INPUTS!$E$42:$E$50)),"LARGER",INDEX(INPUTS!$D$42:$D$50,MATCH(AG_REQ!L103,INPUTS!$E$42:$E$50,1)+1)))))</f>
        <v/>
      </c>
      <c r="M103" s="4" t="str">
        <f aca="false">IF(TRIB!M103="","",IF(OR(ARCH!M103="",LEFT(ARCH!M103,3)="14x"),IF(AG_REQ!M103&lt;=INDEX(INPUTS!$B$42:$B$50,1),INDEX(INPUTS!$A$42:$A$50,1),IF(AG_REQ!M103&gt;INDEX(INPUTS!$B$42:$B$50,ROWS(INPUTS!$B$42:$B$50)),"LARGER",INDEX(INPUTS!$A$42:$A$50,MATCH(AG_REQ!M103,INPUTS!$B$42:$B$50,1)+1))),IF(AG_REQ!M103&lt;=INDEX(INPUTS!$E$42:$E$50,1),INDEX(INPUTS!$D$42:$D$50,1),IF(AG_REQ!M103&gt;INDEX(INPUTS!$E$42:$E$50,ROWS(INPUTS!$E$42:$E$50)),"LARGER",INDEX(INPUTS!$D$42:$D$50,MATCH(AG_REQ!M103,INPUTS!$E$42:$E$50,1)+1)))))</f>
        <v/>
      </c>
      <c r="N103" s="4" t="str">
        <f aca="false">IF(TRIB!N103="","",IF(OR(ARCH!N103="",LEFT(ARCH!N103,3)="14x"),IF(AG_REQ!N103&lt;=INDEX(INPUTS!$B$42:$B$50,1),INDEX(INPUTS!$A$42:$A$50,1),IF(AG_REQ!N103&gt;INDEX(INPUTS!$B$42:$B$50,ROWS(INPUTS!$B$42:$B$50)),"LARGER",INDEX(INPUTS!$A$42:$A$50,MATCH(AG_REQ!N103,INPUTS!$B$42:$B$50,1)+1))),IF(AG_REQ!N103&lt;=INDEX(INPUTS!$E$42:$E$50,1),INDEX(INPUTS!$D$42:$D$50,1),IF(AG_REQ!N103&gt;INDEX(INPUTS!$E$42:$E$50,ROWS(INPUTS!$E$42:$E$50)),"LARGER",INDEX(INPUTS!$D$42:$D$50,MATCH(AG_REQ!N103,INPUTS!$E$42:$E$50,1)+1)))))</f>
        <v/>
      </c>
      <c r="O103" s="4" t="str">
        <f aca="false">IF(TRIB!O103="","",IF(OR(ARCH!O103="",LEFT(ARCH!O103,3)="14x"),IF(AG_REQ!O103&lt;=INDEX(INPUTS!$B$42:$B$50,1),INDEX(INPUTS!$A$42:$A$50,1),IF(AG_REQ!O103&gt;INDEX(INPUTS!$B$42:$B$50,ROWS(INPUTS!$B$42:$B$50)),"LARGER",INDEX(INPUTS!$A$42:$A$50,MATCH(AG_REQ!O103,INPUTS!$B$42:$B$50,1)+1))),IF(AG_REQ!O103&lt;=INDEX(INPUTS!$E$42:$E$50,1),INDEX(INPUTS!$D$42:$D$50,1),IF(AG_REQ!O103&gt;INDEX(INPUTS!$E$42:$E$50,ROWS(INPUTS!$E$42:$E$50)),"LARGER",INDEX(INPUTS!$D$42:$D$50,MATCH(AG_REQ!O103,INPUTS!$E$42:$E$50,1)+1)))))</f>
        <v/>
      </c>
      <c r="P103" s="4" t="str">
        <f aca="false">IF(TRIB!P103="","",IF(OR(ARCH!P103="",LEFT(ARCH!P103,3)="14x"),IF(AG_REQ!P103&lt;=INDEX(INPUTS!$B$42:$B$50,1),INDEX(INPUTS!$A$42:$A$50,1),IF(AG_REQ!P103&gt;INDEX(INPUTS!$B$42:$B$50,ROWS(INPUTS!$B$42:$B$50)),"LARGER",INDEX(INPUTS!$A$42:$A$50,MATCH(AG_REQ!P103,INPUTS!$B$42:$B$50,1)+1))),IF(AG_REQ!P103&lt;=INDEX(INPUTS!$E$42:$E$50,1),INDEX(INPUTS!$D$42:$D$50,1),IF(AG_REQ!P103&gt;INDEX(INPUTS!$E$42:$E$50,ROWS(INPUTS!$E$42:$E$50)),"LARGER",INDEX(INPUTS!$D$42:$D$50,MATCH(AG_REQ!P103,INPUTS!$E$42:$E$50,1)+1)))))</f>
        <v/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4" t="str">
        <f aca="false">IF(TRIB!E104="","",IF(OR(ARCH!E104="",LEFT(ARCH!E104,3)="14x"),IF(AG_REQ!E104&lt;=INDEX(INPUTS!$B$42:$B$50,1),INDEX(INPUTS!$A$42:$A$50,1),IF(AG_REQ!E104&gt;INDEX(INPUTS!$B$42:$B$50,ROWS(INPUTS!$B$42:$B$50)),"LARGER",INDEX(INPUTS!$A$42:$A$50,MATCH(AG_REQ!E104,INPUTS!$B$42:$B$50,1)+1))),IF(AG_REQ!E104&lt;=INDEX(INPUTS!$E$42:$E$50,1),INDEX(INPUTS!$D$42:$D$50,1),IF(AG_REQ!E104&gt;INDEX(INPUTS!$E$42:$E$50,ROWS(INPUTS!$E$42:$E$50)),"LARGER",INDEX(INPUTS!$D$42:$D$50,MATCH(AG_REQ!E104,INPUTS!$E$42:$E$50,1)+1)))))</f>
        <v>14x24</v>
      </c>
      <c r="F104" s="4" t="str">
        <f aca="false">IF(TRIB!F104="","",IF(OR(ARCH!F104="",LEFT(ARCH!F104,3)="14x"),IF(AG_REQ!F104&lt;=INDEX(INPUTS!$B$42:$B$50,1),INDEX(INPUTS!$A$42:$A$50,1),IF(AG_REQ!F104&gt;INDEX(INPUTS!$B$42:$B$50,ROWS(INPUTS!$B$42:$B$50)),"LARGER",INDEX(INPUTS!$A$42:$A$50,MATCH(AG_REQ!F104,INPUTS!$B$42:$B$50,1)+1))),IF(AG_REQ!F104&lt;=INDEX(INPUTS!$E$42:$E$50,1),INDEX(INPUTS!$D$42:$D$50,1),IF(AG_REQ!F104&gt;INDEX(INPUTS!$E$42:$E$50,ROWS(INPUTS!$E$42:$E$50)),"LARGER",INDEX(INPUTS!$D$42:$D$50,MATCH(AG_REQ!F104,INPUTS!$E$42:$E$50,1)+1)))))</f>
        <v>14x24</v>
      </c>
      <c r="G104" s="4" t="str">
        <f aca="false">IF(TRIB!G104="","",IF(OR(ARCH!G104="",LEFT(ARCH!G104,3)="14x"),IF(AG_REQ!G104&lt;=INDEX(INPUTS!$B$42:$B$50,1),INDEX(INPUTS!$A$42:$A$50,1),IF(AG_REQ!G104&gt;INDEX(INPUTS!$B$42:$B$50,ROWS(INPUTS!$B$42:$B$50)),"LARGER",INDEX(INPUTS!$A$42:$A$50,MATCH(AG_REQ!G104,INPUTS!$B$42:$B$50,1)+1))),IF(AG_REQ!G104&lt;=INDEX(INPUTS!$E$42:$E$50,1),INDEX(INPUTS!$D$42:$D$50,1),IF(AG_REQ!G104&gt;INDEX(INPUTS!$E$42:$E$50,ROWS(INPUTS!$E$42:$E$50)),"LARGER",INDEX(INPUTS!$D$42:$D$50,MATCH(AG_REQ!G104,INPUTS!$E$42:$E$50,1)+1)))))</f>
        <v>14x24</v>
      </c>
      <c r="H104" s="4" t="str">
        <f aca="false">IF(TRIB!H104="","",IF(OR(ARCH!H104="",LEFT(ARCH!H104,3)="14x"),IF(AG_REQ!H104&lt;=INDEX(INPUTS!$B$42:$B$50,1),INDEX(INPUTS!$A$42:$A$50,1),IF(AG_REQ!H104&gt;INDEX(INPUTS!$B$42:$B$50,ROWS(INPUTS!$B$42:$B$50)),"LARGER",INDEX(INPUTS!$A$42:$A$50,MATCH(AG_REQ!H104,INPUTS!$B$42:$B$50,1)+1))),IF(AG_REQ!H104&lt;=INDEX(INPUTS!$E$42:$E$50,1),INDEX(INPUTS!$D$42:$D$50,1),IF(AG_REQ!H104&gt;INDEX(INPUTS!$E$42:$E$50,ROWS(INPUTS!$E$42:$E$50)),"LARGER",INDEX(INPUTS!$D$42:$D$50,MATCH(AG_REQ!H104,INPUTS!$E$42:$E$50,1)+1)))))</f>
        <v>14x24</v>
      </c>
      <c r="I104" s="4" t="str">
        <f aca="false">IF(TRIB!I104="","",IF(OR(ARCH!I104="",LEFT(ARCH!I104,3)="14x"),IF(AG_REQ!I104&lt;=INDEX(INPUTS!$B$42:$B$50,1),INDEX(INPUTS!$A$42:$A$50,1),IF(AG_REQ!I104&gt;INDEX(INPUTS!$B$42:$B$50,ROWS(INPUTS!$B$42:$B$50)),"LARGER",INDEX(INPUTS!$A$42:$A$50,MATCH(AG_REQ!I104,INPUTS!$B$42:$B$50,1)+1))),IF(AG_REQ!I104&lt;=INDEX(INPUTS!$E$42:$E$50,1),INDEX(INPUTS!$D$42:$D$50,1),IF(AG_REQ!I104&gt;INDEX(INPUTS!$E$42:$E$50,ROWS(INPUTS!$E$42:$E$50)),"LARGER",INDEX(INPUTS!$D$42:$D$50,MATCH(AG_REQ!I104,INPUTS!$E$42:$E$50,1)+1)))))</f>
        <v>14x24</v>
      </c>
      <c r="J104" s="4" t="str">
        <f aca="false">IF(TRIB!J104="","",IF(OR(ARCH!J104="",LEFT(ARCH!J104,3)="14x"),IF(AG_REQ!J104&lt;=INDEX(INPUTS!$B$42:$B$50,1),INDEX(INPUTS!$A$42:$A$50,1),IF(AG_REQ!J104&gt;INDEX(INPUTS!$B$42:$B$50,ROWS(INPUTS!$B$42:$B$50)),"LARGER",INDEX(INPUTS!$A$42:$A$50,MATCH(AG_REQ!J104,INPUTS!$B$42:$B$50,1)+1))),IF(AG_REQ!J104&lt;=INDEX(INPUTS!$E$42:$E$50,1),INDEX(INPUTS!$D$42:$D$50,1),IF(AG_REQ!J104&gt;INDEX(INPUTS!$E$42:$E$50,ROWS(INPUTS!$E$42:$E$50)),"LARGER",INDEX(INPUTS!$D$42:$D$50,MATCH(AG_REQ!J104,INPUTS!$E$42:$E$50,1)+1)))))</f>
        <v/>
      </c>
      <c r="K104" s="4" t="str">
        <f aca="false">IF(TRIB!K104="","",IF(OR(ARCH!K104="",LEFT(ARCH!K104,3)="14x"),IF(AG_REQ!K104&lt;=INDEX(INPUTS!$B$42:$B$50,1),INDEX(INPUTS!$A$42:$A$50,1),IF(AG_REQ!K104&gt;INDEX(INPUTS!$B$42:$B$50,ROWS(INPUTS!$B$42:$B$50)),"LARGER",INDEX(INPUTS!$A$42:$A$50,MATCH(AG_REQ!K104,INPUTS!$B$42:$B$50,1)+1))),IF(AG_REQ!K104&lt;=INDEX(INPUTS!$E$42:$E$50,1),INDEX(INPUTS!$D$42:$D$50,1),IF(AG_REQ!K104&gt;INDEX(INPUTS!$E$42:$E$50,ROWS(INPUTS!$E$42:$E$50)),"LARGER",INDEX(INPUTS!$D$42:$D$50,MATCH(AG_REQ!K104,INPUTS!$E$42:$E$50,1)+1)))))</f>
        <v/>
      </c>
      <c r="L104" s="4" t="str">
        <f aca="false">IF(TRIB!L104="","",IF(OR(ARCH!L104="",LEFT(ARCH!L104,3)="14x"),IF(AG_REQ!L104&lt;=INDEX(INPUTS!$B$42:$B$50,1),INDEX(INPUTS!$A$42:$A$50,1),IF(AG_REQ!L104&gt;INDEX(INPUTS!$B$42:$B$50,ROWS(INPUTS!$B$42:$B$50)),"LARGER",INDEX(INPUTS!$A$42:$A$50,MATCH(AG_REQ!L104,INPUTS!$B$42:$B$50,1)+1))),IF(AG_REQ!L104&lt;=INDEX(INPUTS!$E$42:$E$50,1),INDEX(INPUTS!$D$42:$D$50,1),IF(AG_REQ!L104&gt;INDEX(INPUTS!$E$42:$E$50,ROWS(INPUTS!$E$42:$E$50)),"LARGER",INDEX(INPUTS!$D$42:$D$50,MATCH(AG_REQ!L104,INPUTS!$E$42:$E$50,1)+1)))))</f>
        <v/>
      </c>
      <c r="M104" s="4" t="str">
        <f aca="false">IF(TRIB!M104="","",IF(OR(ARCH!M104="",LEFT(ARCH!M104,3)="14x"),IF(AG_REQ!M104&lt;=INDEX(INPUTS!$B$42:$B$50,1),INDEX(INPUTS!$A$42:$A$50,1),IF(AG_REQ!M104&gt;INDEX(INPUTS!$B$42:$B$50,ROWS(INPUTS!$B$42:$B$50)),"LARGER",INDEX(INPUTS!$A$42:$A$50,MATCH(AG_REQ!M104,INPUTS!$B$42:$B$50,1)+1))),IF(AG_REQ!M104&lt;=INDEX(INPUTS!$E$42:$E$50,1),INDEX(INPUTS!$D$42:$D$50,1),IF(AG_REQ!M104&gt;INDEX(INPUTS!$E$42:$E$50,ROWS(INPUTS!$E$42:$E$50)),"LARGER",INDEX(INPUTS!$D$42:$D$50,MATCH(AG_REQ!M104,INPUTS!$E$42:$E$50,1)+1)))))</f>
        <v/>
      </c>
      <c r="N104" s="4" t="str">
        <f aca="false">IF(TRIB!N104="","",IF(OR(ARCH!N104="",LEFT(ARCH!N104,3)="14x"),IF(AG_REQ!N104&lt;=INDEX(INPUTS!$B$42:$B$50,1),INDEX(INPUTS!$A$42:$A$50,1),IF(AG_REQ!N104&gt;INDEX(INPUTS!$B$42:$B$50,ROWS(INPUTS!$B$42:$B$50)),"LARGER",INDEX(INPUTS!$A$42:$A$50,MATCH(AG_REQ!N104,INPUTS!$B$42:$B$50,1)+1))),IF(AG_REQ!N104&lt;=INDEX(INPUTS!$E$42:$E$50,1),INDEX(INPUTS!$D$42:$D$50,1),IF(AG_REQ!N104&gt;INDEX(INPUTS!$E$42:$E$50,ROWS(INPUTS!$E$42:$E$50)),"LARGER",INDEX(INPUTS!$D$42:$D$50,MATCH(AG_REQ!N104,INPUTS!$E$42:$E$50,1)+1)))))</f>
        <v/>
      </c>
      <c r="O104" s="4" t="str">
        <f aca="false">IF(TRIB!O104="","",IF(OR(ARCH!O104="",LEFT(ARCH!O104,3)="14x"),IF(AG_REQ!O104&lt;=INDEX(INPUTS!$B$42:$B$50,1),INDEX(INPUTS!$A$42:$A$50,1),IF(AG_REQ!O104&gt;INDEX(INPUTS!$B$42:$B$50,ROWS(INPUTS!$B$42:$B$50)),"LARGER",INDEX(INPUTS!$A$42:$A$50,MATCH(AG_REQ!O104,INPUTS!$B$42:$B$50,1)+1))),IF(AG_REQ!O104&lt;=INDEX(INPUTS!$E$42:$E$50,1),INDEX(INPUTS!$D$42:$D$50,1),IF(AG_REQ!O104&gt;INDEX(INPUTS!$E$42:$E$50,ROWS(INPUTS!$E$42:$E$50)),"LARGER",INDEX(INPUTS!$D$42:$D$50,MATCH(AG_REQ!O104,INPUTS!$E$42:$E$50,1)+1)))))</f>
        <v/>
      </c>
      <c r="P104" s="4" t="str">
        <f aca="false">IF(TRIB!P104="","",IF(OR(ARCH!P104="",LEFT(ARCH!P104,3)="14x"),IF(AG_REQ!P104&lt;=INDEX(INPUTS!$B$42:$B$50,1),INDEX(INPUTS!$A$42:$A$50,1),IF(AG_REQ!P104&gt;INDEX(INPUTS!$B$42:$B$50,ROWS(INPUTS!$B$42:$B$50)),"LARGER",INDEX(INPUTS!$A$42:$A$50,MATCH(AG_REQ!P104,INPUTS!$B$42:$B$50,1)+1))),IF(AG_REQ!P104&lt;=INDEX(INPUTS!$E$42:$E$50,1),INDEX(INPUTS!$D$42:$D$50,1),IF(AG_REQ!P104&gt;INDEX(INPUTS!$E$42:$E$50,ROWS(INPUTS!$E$42:$E$50)),"LARGER",INDEX(INPUTS!$D$42:$D$50,MATCH(AG_REQ!P104,INPUTS!$E$42:$E$50,1)+1)))))</f>
        <v/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4" t="str">
        <f aca="false">IF(TRIB!E105="","",IF(OR(ARCH!E105="",LEFT(ARCH!E105,3)="14x"),IF(AG_REQ!E105&lt;=INDEX(INPUTS!$B$42:$B$50,1),INDEX(INPUTS!$A$42:$A$50,1),IF(AG_REQ!E105&gt;INDEX(INPUTS!$B$42:$B$50,ROWS(INPUTS!$B$42:$B$50)),"LARGER",INDEX(INPUTS!$A$42:$A$50,MATCH(AG_REQ!E105,INPUTS!$B$42:$B$50,1)+1))),IF(AG_REQ!E105&lt;=INDEX(INPUTS!$E$42:$E$50,1),INDEX(INPUTS!$D$42:$D$50,1),IF(AG_REQ!E105&gt;INDEX(INPUTS!$E$42:$E$50,ROWS(INPUTS!$E$42:$E$50)),"LARGER",INDEX(INPUTS!$D$42:$D$50,MATCH(AG_REQ!E105,INPUTS!$E$42:$E$50,1)+1)))))</f>
        <v>14x24</v>
      </c>
      <c r="F105" s="4" t="str">
        <f aca="false">IF(TRIB!F105="","",IF(OR(ARCH!F105="",LEFT(ARCH!F105,3)="14x"),IF(AG_REQ!F105&lt;=INDEX(INPUTS!$B$42:$B$50,1),INDEX(INPUTS!$A$42:$A$50,1),IF(AG_REQ!F105&gt;INDEX(INPUTS!$B$42:$B$50,ROWS(INPUTS!$B$42:$B$50)),"LARGER",INDEX(INPUTS!$A$42:$A$50,MATCH(AG_REQ!F105,INPUTS!$B$42:$B$50,1)+1))),IF(AG_REQ!F105&lt;=INDEX(INPUTS!$E$42:$E$50,1),INDEX(INPUTS!$D$42:$D$50,1),IF(AG_REQ!F105&gt;INDEX(INPUTS!$E$42:$E$50,ROWS(INPUTS!$E$42:$E$50)),"LARGER",INDEX(INPUTS!$D$42:$D$50,MATCH(AG_REQ!F105,INPUTS!$E$42:$E$50,1)+1)))))</f>
        <v>14x24</v>
      </c>
      <c r="G105" s="4" t="str">
        <f aca="false">IF(TRIB!G105="","",IF(OR(ARCH!G105="",LEFT(ARCH!G105,3)="14x"),IF(AG_REQ!G105&lt;=INDEX(INPUTS!$B$42:$B$50,1),INDEX(INPUTS!$A$42:$A$50,1),IF(AG_REQ!G105&gt;INDEX(INPUTS!$B$42:$B$50,ROWS(INPUTS!$B$42:$B$50)),"LARGER",INDEX(INPUTS!$A$42:$A$50,MATCH(AG_REQ!G105,INPUTS!$B$42:$B$50,1)+1))),IF(AG_REQ!G105&lt;=INDEX(INPUTS!$E$42:$E$50,1),INDEX(INPUTS!$D$42:$D$50,1),IF(AG_REQ!G105&gt;INDEX(INPUTS!$E$42:$E$50,ROWS(INPUTS!$E$42:$E$50)),"LARGER",INDEX(INPUTS!$D$42:$D$50,MATCH(AG_REQ!G105,INPUTS!$E$42:$E$50,1)+1)))))</f>
        <v>14x24</v>
      </c>
      <c r="H105" s="4" t="str">
        <f aca="false">IF(TRIB!H105="","",IF(OR(ARCH!H105="",LEFT(ARCH!H105,3)="14x"),IF(AG_REQ!H105&lt;=INDEX(INPUTS!$B$42:$B$50,1),INDEX(INPUTS!$A$42:$A$50,1),IF(AG_REQ!H105&gt;INDEX(INPUTS!$B$42:$B$50,ROWS(INPUTS!$B$42:$B$50)),"LARGER",INDEX(INPUTS!$A$42:$A$50,MATCH(AG_REQ!H105,INPUTS!$B$42:$B$50,1)+1))),IF(AG_REQ!H105&lt;=INDEX(INPUTS!$E$42:$E$50,1),INDEX(INPUTS!$D$42:$D$50,1),IF(AG_REQ!H105&gt;INDEX(INPUTS!$E$42:$E$50,ROWS(INPUTS!$E$42:$E$50)),"LARGER",INDEX(INPUTS!$D$42:$D$50,MATCH(AG_REQ!H105,INPUTS!$E$42:$E$50,1)+1)))))</f>
        <v>14x24</v>
      </c>
      <c r="I105" s="4" t="str">
        <f aca="false">IF(TRIB!I105="","",IF(OR(ARCH!I105="",LEFT(ARCH!I105,3)="14x"),IF(AG_REQ!I105&lt;=INDEX(INPUTS!$B$42:$B$50,1),INDEX(INPUTS!$A$42:$A$50,1),IF(AG_REQ!I105&gt;INDEX(INPUTS!$B$42:$B$50,ROWS(INPUTS!$B$42:$B$50)),"LARGER",INDEX(INPUTS!$A$42:$A$50,MATCH(AG_REQ!I105,INPUTS!$B$42:$B$50,1)+1))),IF(AG_REQ!I105&lt;=INDEX(INPUTS!$E$42:$E$50,1),INDEX(INPUTS!$D$42:$D$50,1),IF(AG_REQ!I105&gt;INDEX(INPUTS!$E$42:$E$50,ROWS(INPUTS!$E$42:$E$50)),"LARGER",INDEX(INPUTS!$D$42:$D$50,MATCH(AG_REQ!I105,INPUTS!$E$42:$E$50,1)+1)))))</f>
        <v>14x24</v>
      </c>
      <c r="J105" s="4" t="str">
        <f aca="false">IF(TRIB!J105="","",IF(OR(ARCH!J105="",LEFT(ARCH!J105,3)="14x"),IF(AG_REQ!J105&lt;=INDEX(INPUTS!$B$42:$B$50,1),INDEX(INPUTS!$A$42:$A$50,1),IF(AG_REQ!J105&gt;INDEX(INPUTS!$B$42:$B$50,ROWS(INPUTS!$B$42:$B$50)),"LARGER",INDEX(INPUTS!$A$42:$A$50,MATCH(AG_REQ!J105,INPUTS!$B$42:$B$50,1)+1))),IF(AG_REQ!J105&lt;=INDEX(INPUTS!$E$42:$E$50,1),INDEX(INPUTS!$D$42:$D$50,1),IF(AG_REQ!J105&gt;INDEX(INPUTS!$E$42:$E$50,ROWS(INPUTS!$E$42:$E$50)),"LARGER",INDEX(INPUTS!$D$42:$D$50,MATCH(AG_REQ!J105,INPUTS!$E$42:$E$50,1)+1)))))</f>
        <v/>
      </c>
      <c r="K105" s="4" t="str">
        <f aca="false">IF(TRIB!K105="","",IF(OR(ARCH!K105="",LEFT(ARCH!K105,3)="14x"),IF(AG_REQ!K105&lt;=INDEX(INPUTS!$B$42:$B$50,1),INDEX(INPUTS!$A$42:$A$50,1),IF(AG_REQ!K105&gt;INDEX(INPUTS!$B$42:$B$50,ROWS(INPUTS!$B$42:$B$50)),"LARGER",INDEX(INPUTS!$A$42:$A$50,MATCH(AG_REQ!K105,INPUTS!$B$42:$B$50,1)+1))),IF(AG_REQ!K105&lt;=INDEX(INPUTS!$E$42:$E$50,1),INDEX(INPUTS!$D$42:$D$50,1),IF(AG_REQ!K105&gt;INDEX(INPUTS!$E$42:$E$50,ROWS(INPUTS!$E$42:$E$50)),"LARGER",INDEX(INPUTS!$D$42:$D$50,MATCH(AG_REQ!K105,INPUTS!$E$42:$E$50,1)+1)))))</f>
        <v/>
      </c>
      <c r="L105" s="4" t="str">
        <f aca="false">IF(TRIB!L105="","",IF(OR(ARCH!L105="",LEFT(ARCH!L105,3)="14x"),IF(AG_REQ!L105&lt;=INDEX(INPUTS!$B$42:$B$50,1),INDEX(INPUTS!$A$42:$A$50,1),IF(AG_REQ!L105&gt;INDEX(INPUTS!$B$42:$B$50,ROWS(INPUTS!$B$42:$B$50)),"LARGER",INDEX(INPUTS!$A$42:$A$50,MATCH(AG_REQ!L105,INPUTS!$B$42:$B$50,1)+1))),IF(AG_REQ!L105&lt;=INDEX(INPUTS!$E$42:$E$50,1),INDEX(INPUTS!$D$42:$D$50,1),IF(AG_REQ!L105&gt;INDEX(INPUTS!$E$42:$E$50,ROWS(INPUTS!$E$42:$E$50)),"LARGER",INDEX(INPUTS!$D$42:$D$50,MATCH(AG_REQ!L105,INPUTS!$E$42:$E$50,1)+1)))))</f>
        <v/>
      </c>
      <c r="M105" s="4" t="str">
        <f aca="false">IF(TRIB!M105="","",IF(OR(ARCH!M105="",LEFT(ARCH!M105,3)="14x"),IF(AG_REQ!M105&lt;=INDEX(INPUTS!$B$42:$B$50,1),INDEX(INPUTS!$A$42:$A$50,1),IF(AG_REQ!M105&gt;INDEX(INPUTS!$B$42:$B$50,ROWS(INPUTS!$B$42:$B$50)),"LARGER",INDEX(INPUTS!$A$42:$A$50,MATCH(AG_REQ!M105,INPUTS!$B$42:$B$50,1)+1))),IF(AG_REQ!M105&lt;=INDEX(INPUTS!$E$42:$E$50,1),INDEX(INPUTS!$D$42:$D$50,1),IF(AG_REQ!M105&gt;INDEX(INPUTS!$E$42:$E$50,ROWS(INPUTS!$E$42:$E$50)),"LARGER",INDEX(INPUTS!$D$42:$D$50,MATCH(AG_REQ!M105,INPUTS!$E$42:$E$50,1)+1)))))</f>
        <v/>
      </c>
      <c r="N105" s="4" t="str">
        <f aca="false">IF(TRIB!N105="","",IF(OR(ARCH!N105="",LEFT(ARCH!N105,3)="14x"),IF(AG_REQ!N105&lt;=INDEX(INPUTS!$B$42:$B$50,1),INDEX(INPUTS!$A$42:$A$50,1),IF(AG_REQ!N105&gt;INDEX(INPUTS!$B$42:$B$50,ROWS(INPUTS!$B$42:$B$50)),"LARGER",INDEX(INPUTS!$A$42:$A$50,MATCH(AG_REQ!N105,INPUTS!$B$42:$B$50,1)+1))),IF(AG_REQ!N105&lt;=INDEX(INPUTS!$E$42:$E$50,1),INDEX(INPUTS!$D$42:$D$50,1),IF(AG_REQ!N105&gt;INDEX(INPUTS!$E$42:$E$50,ROWS(INPUTS!$E$42:$E$50)),"LARGER",INDEX(INPUTS!$D$42:$D$50,MATCH(AG_REQ!N105,INPUTS!$E$42:$E$50,1)+1)))))</f>
        <v/>
      </c>
      <c r="O105" s="4" t="str">
        <f aca="false">IF(TRIB!O105="","",IF(OR(ARCH!O105="",LEFT(ARCH!O105,3)="14x"),IF(AG_REQ!O105&lt;=INDEX(INPUTS!$B$42:$B$50,1),INDEX(INPUTS!$A$42:$A$50,1),IF(AG_REQ!O105&gt;INDEX(INPUTS!$B$42:$B$50,ROWS(INPUTS!$B$42:$B$50)),"LARGER",INDEX(INPUTS!$A$42:$A$50,MATCH(AG_REQ!O105,INPUTS!$B$42:$B$50,1)+1))),IF(AG_REQ!O105&lt;=INDEX(INPUTS!$E$42:$E$50,1),INDEX(INPUTS!$D$42:$D$50,1),IF(AG_REQ!O105&gt;INDEX(INPUTS!$E$42:$E$50,ROWS(INPUTS!$E$42:$E$50)),"LARGER",INDEX(INPUTS!$D$42:$D$50,MATCH(AG_REQ!O105,INPUTS!$E$42:$E$50,1)+1)))))</f>
        <v/>
      </c>
      <c r="P105" s="4" t="str">
        <f aca="false">IF(TRIB!P105="","",IF(OR(ARCH!P105="",LEFT(ARCH!P105,3)="14x"),IF(AG_REQ!P105&lt;=INDEX(INPUTS!$B$42:$B$50,1),INDEX(INPUTS!$A$42:$A$50,1),IF(AG_REQ!P105&gt;INDEX(INPUTS!$B$42:$B$50,ROWS(INPUTS!$B$42:$B$50)),"LARGER",INDEX(INPUTS!$A$42:$A$50,MATCH(AG_REQ!P105,INPUTS!$B$42:$B$50,1)+1))),IF(AG_REQ!P105&lt;=INDEX(INPUTS!$E$42:$E$50,1),INDEX(INPUTS!$D$42:$D$50,1),IF(AG_REQ!P105&gt;INDEX(INPUTS!$E$42:$E$50,ROWS(INPUTS!$E$42:$E$50)),"LARGER",INDEX(INPUTS!$D$42:$D$50,MATCH(AG_REQ!P105,INPUTS!$E$42:$E$50,1)+1)))))</f>
        <v/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4" t="str">
        <f aca="false">IF(TRIB!E106="","",IF(OR(ARCH!E106="",LEFT(ARCH!E106,3)="14x"),IF(AG_REQ!E106&lt;=INDEX(INPUTS!$B$42:$B$50,1),INDEX(INPUTS!$A$42:$A$50,1),IF(AG_REQ!E106&gt;INDEX(INPUTS!$B$42:$B$50,ROWS(INPUTS!$B$42:$B$50)),"LARGER",INDEX(INPUTS!$A$42:$A$50,MATCH(AG_REQ!E106,INPUTS!$B$42:$B$50,1)+1))),IF(AG_REQ!E106&lt;=INDEX(INPUTS!$E$42:$E$50,1),INDEX(INPUTS!$D$42:$D$50,1),IF(AG_REQ!E106&gt;INDEX(INPUTS!$E$42:$E$50,ROWS(INPUTS!$E$42:$E$50)),"LARGER",INDEX(INPUTS!$D$42:$D$50,MATCH(AG_REQ!E106,INPUTS!$E$42:$E$50,1)+1)))))</f>
        <v>14x24</v>
      </c>
      <c r="F106" s="4" t="str">
        <f aca="false">IF(TRIB!F106="","",IF(OR(ARCH!F106="",LEFT(ARCH!F106,3)="14x"),IF(AG_REQ!F106&lt;=INDEX(INPUTS!$B$42:$B$50,1),INDEX(INPUTS!$A$42:$A$50,1),IF(AG_REQ!F106&gt;INDEX(INPUTS!$B$42:$B$50,ROWS(INPUTS!$B$42:$B$50)),"LARGER",INDEX(INPUTS!$A$42:$A$50,MATCH(AG_REQ!F106,INPUTS!$B$42:$B$50,1)+1))),IF(AG_REQ!F106&lt;=INDEX(INPUTS!$E$42:$E$50,1),INDEX(INPUTS!$D$42:$D$50,1),IF(AG_REQ!F106&gt;INDEX(INPUTS!$E$42:$E$50,ROWS(INPUTS!$E$42:$E$50)),"LARGER",INDEX(INPUTS!$D$42:$D$50,MATCH(AG_REQ!F106,INPUTS!$E$42:$E$50,1)+1)))))</f>
        <v>14x24</v>
      </c>
      <c r="G106" s="4" t="str">
        <f aca="false">IF(TRIB!G106="","",IF(OR(ARCH!G106="",LEFT(ARCH!G106,3)="14x"),IF(AG_REQ!G106&lt;=INDEX(INPUTS!$B$42:$B$50,1),INDEX(INPUTS!$A$42:$A$50,1),IF(AG_REQ!G106&gt;INDEX(INPUTS!$B$42:$B$50,ROWS(INPUTS!$B$42:$B$50)),"LARGER",INDEX(INPUTS!$A$42:$A$50,MATCH(AG_REQ!G106,INPUTS!$B$42:$B$50,1)+1))),IF(AG_REQ!G106&lt;=INDEX(INPUTS!$E$42:$E$50,1),INDEX(INPUTS!$D$42:$D$50,1),IF(AG_REQ!G106&gt;INDEX(INPUTS!$E$42:$E$50,ROWS(INPUTS!$E$42:$E$50)),"LARGER",INDEX(INPUTS!$D$42:$D$50,MATCH(AG_REQ!G106,INPUTS!$E$42:$E$50,1)+1)))))</f>
        <v>14x24</v>
      </c>
      <c r="H106" s="4" t="str">
        <f aca="false">IF(TRIB!H106="","",IF(OR(ARCH!H106="",LEFT(ARCH!H106,3)="14x"),IF(AG_REQ!H106&lt;=INDEX(INPUTS!$B$42:$B$50,1),INDEX(INPUTS!$A$42:$A$50,1),IF(AG_REQ!H106&gt;INDEX(INPUTS!$B$42:$B$50,ROWS(INPUTS!$B$42:$B$50)),"LARGER",INDEX(INPUTS!$A$42:$A$50,MATCH(AG_REQ!H106,INPUTS!$B$42:$B$50,1)+1))),IF(AG_REQ!H106&lt;=INDEX(INPUTS!$E$42:$E$50,1),INDEX(INPUTS!$D$42:$D$50,1),IF(AG_REQ!H106&gt;INDEX(INPUTS!$E$42:$E$50,ROWS(INPUTS!$E$42:$E$50)),"LARGER",INDEX(INPUTS!$D$42:$D$50,MATCH(AG_REQ!H106,INPUTS!$E$42:$E$50,1)+1)))))</f>
        <v>14x24</v>
      </c>
      <c r="I106" s="4" t="str">
        <f aca="false">IF(TRIB!I106="","",IF(OR(ARCH!I106="",LEFT(ARCH!I106,3)="14x"),IF(AG_REQ!I106&lt;=INDEX(INPUTS!$B$42:$B$50,1),INDEX(INPUTS!$A$42:$A$50,1),IF(AG_REQ!I106&gt;INDEX(INPUTS!$B$42:$B$50,ROWS(INPUTS!$B$42:$B$50)),"LARGER",INDEX(INPUTS!$A$42:$A$50,MATCH(AG_REQ!I106,INPUTS!$B$42:$B$50,1)+1))),IF(AG_REQ!I106&lt;=INDEX(INPUTS!$E$42:$E$50,1),INDEX(INPUTS!$D$42:$D$50,1),IF(AG_REQ!I106&gt;INDEX(INPUTS!$E$42:$E$50,ROWS(INPUTS!$E$42:$E$50)),"LARGER",INDEX(INPUTS!$D$42:$D$50,MATCH(AG_REQ!I106,INPUTS!$E$42:$E$50,1)+1)))))</f>
        <v>14x24</v>
      </c>
      <c r="J106" s="4" t="str">
        <f aca="false">IF(TRIB!J106="","",IF(OR(ARCH!J106="",LEFT(ARCH!J106,3)="14x"),IF(AG_REQ!J106&lt;=INDEX(INPUTS!$B$42:$B$50,1),INDEX(INPUTS!$A$42:$A$50,1),IF(AG_REQ!J106&gt;INDEX(INPUTS!$B$42:$B$50,ROWS(INPUTS!$B$42:$B$50)),"LARGER",INDEX(INPUTS!$A$42:$A$50,MATCH(AG_REQ!J106,INPUTS!$B$42:$B$50,1)+1))),IF(AG_REQ!J106&lt;=INDEX(INPUTS!$E$42:$E$50,1),INDEX(INPUTS!$D$42:$D$50,1),IF(AG_REQ!J106&gt;INDEX(INPUTS!$E$42:$E$50,ROWS(INPUTS!$E$42:$E$50)),"LARGER",INDEX(INPUTS!$D$42:$D$50,MATCH(AG_REQ!J106,INPUTS!$E$42:$E$50,1)+1)))))</f>
        <v/>
      </c>
      <c r="K106" s="4" t="str">
        <f aca="false">IF(TRIB!K106="","",IF(OR(ARCH!K106="",LEFT(ARCH!K106,3)="14x"),IF(AG_REQ!K106&lt;=INDEX(INPUTS!$B$42:$B$50,1),INDEX(INPUTS!$A$42:$A$50,1),IF(AG_REQ!K106&gt;INDEX(INPUTS!$B$42:$B$50,ROWS(INPUTS!$B$42:$B$50)),"LARGER",INDEX(INPUTS!$A$42:$A$50,MATCH(AG_REQ!K106,INPUTS!$B$42:$B$50,1)+1))),IF(AG_REQ!K106&lt;=INDEX(INPUTS!$E$42:$E$50,1),INDEX(INPUTS!$D$42:$D$50,1),IF(AG_REQ!K106&gt;INDEX(INPUTS!$E$42:$E$50,ROWS(INPUTS!$E$42:$E$50)),"LARGER",INDEX(INPUTS!$D$42:$D$50,MATCH(AG_REQ!K106,INPUTS!$E$42:$E$50,1)+1)))))</f>
        <v/>
      </c>
      <c r="L106" s="4" t="str">
        <f aca="false">IF(TRIB!L106="","",IF(OR(ARCH!L106="",LEFT(ARCH!L106,3)="14x"),IF(AG_REQ!L106&lt;=INDEX(INPUTS!$B$42:$B$50,1),INDEX(INPUTS!$A$42:$A$50,1),IF(AG_REQ!L106&gt;INDEX(INPUTS!$B$42:$B$50,ROWS(INPUTS!$B$42:$B$50)),"LARGER",INDEX(INPUTS!$A$42:$A$50,MATCH(AG_REQ!L106,INPUTS!$B$42:$B$50,1)+1))),IF(AG_REQ!L106&lt;=INDEX(INPUTS!$E$42:$E$50,1),INDEX(INPUTS!$D$42:$D$50,1),IF(AG_REQ!L106&gt;INDEX(INPUTS!$E$42:$E$50,ROWS(INPUTS!$E$42:$E$50)),"LARGER",INDEX(INPUTS!$D$42:$D$50,MATCH(AG_REQ!L106,INPUTS!$E$42:$E$50,1)+1)))))</f>
        <v/>
      </c>
      <c r="M106" s="4" t="str">
        <f aca="false">IF(TRIB!M106="","",IF(OR(ARCH!M106="",LEFT(ARCH!M106,3)="14x"),IF(AG_REQ!M106&lt;=INDEX(INPUTS!$B$42:$B$50,1),INDEX(INPUTS!$A$42:$A$50,1),IF(AG_REQ!M106&gt;INDEX(INPUTS!$B$42:$B$50,ROWS(INPUTS!$B$42:$B$50)),"LARGER",INDEX(INPUTS!$A$42:$A$50,MATCH(AG_REQ!M106,INPUTS!$B$42:$B$50,1)+1))),IF(AG_REQ!M106&lt;=INDEX(INPUTS!$E$42:$E$50,1),INDEX(INPUTS!$D$42:$D$50,1),IF(AG_REQ!M106&gt;INDEX(INPUTS!$E$42:$E$50,ROWS(INPUTS!$E$42:$E$50)),"LARGER",INDEX(INPUTS!$D$42:$D$50,MATCH(AG_REQ!M106,INPUTS!$E$42:$E$50,1)+1)))))</f>
        <v/>
      </c>
      <c r="N106" s="4" t="str">
        <f aca="false">IF(TRIB!N106="","",IF(OR(ARCH!N106="",LEFT(ARCH!N106,3)="14x"),IF(AG_REQ!N106&lt;=INDEX(INPUTS!$B$42:$B$50,1),INDEX(INPUTS!$A$42:$A$50,1),IF(AG_REQ!N106&gt;INDEX(INPUTS!$B$42:$B$50,ROWS(INPUTS!$B$42:$B$50)),"LARGER",INDEX(INPUTS!$A$42:$A$50,MATCH(AG_REQ!N106,INPUTS!$B$42:$B$50,1)+1))),IF(AG_REQ!N106&lt;=INDEX(INPUTS!$E$42:$E$50,1),INDEX(INPUTS!$D$42:$D$50,1),IF(AG_REQ!N106&gt;INDEX(INPUTS!$E$42:$E$50,ROWS(INPUTS!$E$42:$E$50)),"LARGER",INDEX(INPUTS!$D$42:$D$50,MATCH(AG_REQ!N106,INPUTS!$E$42:$E$50,1)+1)))))</f>
        <v/>
      </c>
      <c r="O106" s="4" t="str">
        <f aca="false">IF(TRIB!O106="","",IF(OR(ARCH!O106="",LEFT(ARCH!O106,3)="14x"),IF(AG_REQ!O106&lt;=INDEX(INPUTS!$B$42:$B$50,1),INDEX(INPUTS!$A$42:$A$50,1),IF(AG_REQ!O106&gt;INDEX(INPUTS!$B$42:$B$50,ROWS(INPUTS!$B$42:$B$50)),"LARGER",INDEX(INPUTS!$A$42:$A$50,MATCH(AG_REQ!O106,INPUTS!$B$42:$B$50,1)+1))),IF(AG_REQ!O106&lt;=INDEX(INPUTS!$E$42:$E$50,1),INDEX(INPUTS!$D$42:$D$50,1),IF(AG_REQ!O106&gt;INDEX(INPUTS!$E$42:$E$50,ROWS(INPUTS!$E$42:$E$50)),"LARGER",INDEX(INPUTS!$D$42:$D$50,MATCH(AG_REQ!O106,INPUTS!$E$42:$E$50,1)+1)))))</f>
        <v/>
      </c>
      <c r="P106" s="4" t="str">
        <f aca="false">IF(TRIB!P106="","",IF(OR(ARCH!P106="",LEFT(ARCH!P106,3)="14x"),IF(AG_REQ!P106&lt;=INDEX(INPUTS!$B$42:$B$50,1),INDEX(INPUTS!$A$42:$A$50,1),IF(AG_REQ!P106&gt;INDEX(INPUTS!$B$42:$B$50,ROWS(INPUTS!$B$42:$B$50)),"LARGER",INDEX(INPUTS!$A$42:$A$50,MATCH(AG_REQ!P106,INPUTS!$B$42:$B$50,1)+1))),IF(AG_REQ!P106&lt;=INDEX(INPUTS!$E$42:$E$50,1),INDEX(INPUTS!$D$42:$D$50,1),IF(AG_REQ!P106&gt;INDEX(INPUTS!$E$42:$E$50,ROWS(INPUTS!$E$42:$E$50)),"LARGER",INDEX(INPUTS!$D$42:$D$50,MATCH(AG_REQ!P106,INPUTS!$E$42:$E$50,1)+1)))))</f>
        <v/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4" t="str">
        <f aca="false">IF(TRIB!E107="","",IF(OR(ARCH!E107="",LEFT(ARCH!E107,3)="14x"),IF(AG_REQ!E107&lt;=INDEX(INPUTS!$B$42:$B$50,1),INDEX(INPUTS!$A$42:$A$50,1),IF(AG_REQ!E107&gt;INDEX(INPUTS!$B$42:$B$50,ROWS(INPUTS!$B$42:$B$50)),"LARGER",INDEX(INPUTS!$A$42:$A$50,MATCH(AG_REQ!E107,INPUTS!$B$42:$B$50,1)+1))),IF(AG_REQ!E107&lt;=INDEX(INPUTS!$E$42:$E$50,1),INDEX(INPUTS!$D$42:$D$50,1),IF(AG_REQ!E107&gt;INDEX(INPUTS!$E$42:$E$50,ROWS(INPUTS!$E$42:$E$50)),"LARGER",INDEX(INPUTS!$D$42:$D$50,MATCH(AG_REQ!E107,INPUTS!$E$42:$E$50,1)+1)))))</f>
        <v>14x24</v>
      </c>
      <c r="F107" s="4" t="str">
        <f aca="false">IF(TRIB!F107="","",IF(OR(ARCH!F107="",LEFT(ARCH!F107,3)="14x"),IF(AG_REQ!F107&lt;=INDEX(INPUTS!$B$42:$B$50,1),INDEX(INPUTS!$A$42:$A$50,1),IF(AG_REQ!F107&gt;INDEX(INPUTS!$B$42:$B$50,ROWS(INPUTS!$B$42:$B$50)),"LARGER",INDEX(INPUTS!$A$42:$A$50,MATCH(AG_REQ!F107,INPUTS!$B$42:$B$50,1)+1))),IF(AG_REQ!F107&lt;=INDEX(INPUTS!$E$42:$E$50,1),INDEX(INPUTS!$D$42:$D$50,1),IF(AG_REQ!F107&gt;INDEX(INPUTS!$E$42:$E$50,ROWS(INPUTS!$E$42:$E$50)),"LARGER",INDEX(INPUTS!$D$42:$D$50,MATCH(AG_REQ!F107,INPUTS!$E$42:$E$50,1)+1)))))</f>
        <v>14x24</v>
      </c>
      <c r="G107" s="4" t="str">
        <f aca="false">IF(TRIB!G107="","",IF(OR(ARCH!G107="",LEFT(ARCH!G107,3)="14x"),IF(AG_REQ!G107&lt;=INDEX(INPUTS!$B$42:$B$50,1),INDEX(INPUTS!$A$42:$A$50,1),IF(AG_REQ!G107&gt;INDEX(INPUTS!$B$42:$B$50,ROWS(INPUTS!$B$42:$B$50)),"LARGER",INDEX(INPUTS!$A$42:$A$50,MATCH(AG_REQ!G107,INPUTS!$B$42:$B$50,1)+1))),IF(AG_REQ!G107&lt;=INDEX(INPUTS!$E$42:$E$50,1),INDEX(INPUTS!$D$42:$D$50,1),IF(AG_REQ!G107&gt;INDEX(INPUTS!$E$42:$E$50,ROWS(INPUTS!$E$42:$E$50)),"LARGER",INDEX(INPUTS!$D$42:$D$50,MATCH(AG_REQ!G107,INPUTS!$E$42:$E$50,1)+1)))))</f>
        <v>14x24</v>
      </c>
      <c r="H107" s="4" t="str">
        <f aca="false">IF(TRIB!H107="","",IF(OR(ARCH!H107="",LEFT(ARCH!H107,3)="14x"),IF(AG_REQ!H107&lt;=INDEX(INPUTS!$B$42:$B$50,1),INDEX(INPUTS!$A$42:$A$50,1),IF(AG_REQ!H107&gt;INDEX(INPUTS!$B$42:$B$50,ROWS(INPUTS!$B$42:$B$50)),"LARGER",INDEX(INPUTS!$A$42:$A$50,MATCH(AG_REQ!H107,INPUTS!$B$42:$B$50,1)+1))),IF(AG_REQ!H107&lt;=INDEX(INPUTS!$E$42:$E$50,1),INDEX(INPUTS!$D$42:$D$50,1),IF(AG_REQ!H107&gt;INDEX(INPUTS!$E$42:$E$50,ROWS(INPUTS!$E$42:$E$50)),"LARGER",INDEX(INPUTS!$D$42:$D$50,MATCH(AG_REQ!H107,INPUTS!$E$42:$E$50,1)+1)))))</f>
        <v>14x24</v>
      </c>
      <c r="I107" s="4" t="str">
        <f aca="false">IF(TRIB!I107="","",IF(OR(ARCH!I107="",LEFT(ARCH!I107,3)="14x"),IF(AG_REQ!I107&lt;=INDEX(INPUTS!$B$42:$B$50,1),INDEX(INPUTS!$A$42:$A$50,1),IF(AG_REQ!I107&gt;INDEX(INPUTS!$B$42:$B$50,ROWS(INPUTS!$B$42:$B$50)),"LARGER",INDEX(INPUTS!$A$42:$A$50,MATCH(AG_REQ!I107,INPUTS!$B$42:$B$50,1)+1))),IF(AG_REQ!I107&lt;=INDEX(INPUTS!$E$42:$E$50,1),INDEX(INPUTS!$D$42:$D$50,1),IF(AG_REQ!I107&gt;INDEX(INPUTS!$E$42:$E$50,ROWS(INPUTS!$E$42:$E$50)),"LARGER",INDEX(INPUTS!$D$42:$D$50,MATCH(AG_REQ!I107,INPUTS!$E$42:$E$50,1)+1)))))</f>
        <v>14x24</v>
      </c>
      <c r="J107" s="4" t="str">
        <f aca="false">IF(TRIB!J107="","",IF(OR(ARCH!J107="",LEFT(ARCH!J107,3)="14x"),IF(AG_REQ!J107&lt;=INDEX(INPUTS!$B$42:$B$50,1),INDEX(INPUTS!$A$42:$A$50,1),IF(AG_REQ!J107&gt;INDEX(INPUTS!$B$42:$B$50,ROWS(INPUTS!$B$42:$B$50)),"LARGER",INDEX(INPUTS!$A$42:$A$50,MATCH(AG_REQ!J107,INPUTS!$B$42:$B$50,1)+1))),IF(AG_REQ!J107&lt;=INDEX(INPUTS!$E$42:$E$50,1),INDEX(INPUTS!$D$42:$D$50,1),IF(AG_REQ!J107&gt;INDEX(INPUTS!$E$42:$E$50,ROWS(INPUTS!$E$42:$E$50)),"LARGER",INDEX(INPUTS!$D$42:$D$50,MATCH(AG_REQ!J107,INPUTS!$E$42:$E$50,1)+1)))))</f>
        <v/>
      </c>
      <c r="K107" s="4" t="str">
        <f aca="false">IF(TRIB!K107="","",IF(OR(ARCH!K107="",LEFT(ARCH!K107,3)="14x"),IF(AG_REQ!K107&lt;=INDEX(INPUTS!$B$42:$B$50,1),INDEX(INPUTS!$A$42:$A$50,1),IF(AG_REQ!K107&gt;INDEX(INPUTS!$B$42:$B$50,ROWS(INPUTS!$B$42:$B$50)),"LARGER",INDEX(INPUTS!$A$42:$A$50,MATCH(AG_REQ!K107,INPUTS!$B$42:$B$50,1)+1))),IF(AG_REQ!K107&lt;=INDEX(INPUTS!$E$42:$E$50,1),INDEX(INPUTS!$D$42:$D$50,1),IF(AG_REQ!K107&gt;INDEX(INPUTS!$E$42:$E$50,ROWS(INPUTS!$E$42:$E$50)),"LARGER",INDEX(INPUTS!$D$42:$D$50,MATCH(AG_REQ!K107,INPUTS!$E$42:$E$50,1)+1)))))</f>
        <v/>
      </c>
      <c r="L107" s="4" t="str">
        <f aca="false">IF(TRIB!L107="","",IF(OR(ARCH!L107="",LEFT(ARCH!L107,3)="14x"),IF(AG_REQ!L107&lt;=INDEX(INPUTS!$B$42:$B$50,1),INDEX(INPUTS!$A$42:$A$50,1),IF(AG_REQ!L107&gt;INDEX(INPUTS!$B$42:$B$50,ROWS(INPUTS!$B$42:$B$50)),"LARGER",INDEX(INPUTS!$A$42:$A$50,MATCH(AG_REQ!L107,INPUTS!$B$42:$B$50,1)+1))),IF(AG_REQ!L107&lt;=INDEX(INPUTS!$E$42:$E$50,1),INDEX(INPUTS!$D$42:$D$50,1),IF(AG_REQ!L107&gt;INDEX(INPUTS!$E$42:$E$50,ROWS(INPUTS!$E$42:$E$50)),"LARGER",INDEX(INPUTS!$D$42:$D$50,MATCH(AG_REQ!L107,INPUTS!$E$42:$E$50,1)+1)))))</f>
        <v/>
      </c>
      <c r="M107" s="4" t="str">
        <f aca="false">IF(TRIB!M107="","",IF(OR(ARCH!M107="",LEFT(ARCH!M107,3)="14x"),IF(AG_REQ!M107&lt;=INDEX(INPUTS!$B$42:$B$50,1),INDEX(INPUTS!$A$42:$A$50,1),IF(AG_REQ!M107&gt;INDEX(INPUTS!$B$42:$B$50,ROWS(INPUTS!$B$42:$B$50)),"LARGER",INDEX(INPUTS!$A$42:$A$50,MATCH(AG_REQ!M107,INPUTS!$B$42:$B$50,1)+1))),IF(AG_REQ!M107&lt;=INDEX(INPUTS!$E$42:$E$50,1),INDEX(INPUTS!$D$42:$D$50,1),IF(AG_REQ!M107&gt;INDEX(INPUTS!$E$42:$E$50,ROWS(INPUTS!$E$42:$E$50)),"LARGER",INDEX(INPUTS!$D$42:$D$50,MATCH(AG_REQ!M107,INPUTS!$E$42:$E$50,1)+1)))))</f>
        <v/>
      </c>
      <c r="N107" s="4" t="str">
        <f aca="false">IF(TRIB!N107="","",IF(OR(ARCH!N107="",LEFT(ARCH!N107,3)="14x"),IF(AG_REQ!N107&lt;=INDEX(INPUTS!$B$42:$B$50,1),INDEX(INPUTS!$A$42:$A$50,1),IF(AG_REQ!N107&gt;INDEX(INPUTS!$B$42:$B$50,ROWS(INPUTS!$B$42:$B$50)),"LARGER",INDEX(INPUTS!$A$42:$A$50,MATCH(AG_REQ!N107,INPUTS!$B$42:$B$50,1)+1))),IF(AG_REQ!N107&lt;=INDEX(INPUTS!$E$42:$E$50,1),INDEX(INPUTS!$D$42:$D$50,1),IF(AG_REQ!N107&gt;INDEX(INPUTS!$E$42:$E$50,ROWS(INPUTS!$E$42:$E$50)),"LARGER",INDEX(INPUTS!$D$42:$D$50,MATCH(AG_REQ!N107,INPUTS!$E$42:$E$50,1)+1)))))</f>
        <v/>
      </c>
      <c r="O107" s="4" t="str">
        <f aca="false">IF(TRIB!O107="","",IF(OR(ARCH!O107="",LEFT(ARCH!O107,3)="14x"),IF(AG_REQ!O107&lt;=INDEX(INPUTS!$B$42:$B$50,1),INDEX(INPUTS!$A$42:$A$50,1),IF(AG_REQ!O107&gt;INDEX(INPUTS!$B$42:$B$50,ROWS(INPUTS!$B$42:$B$50)),"LARGER",INDEX(INPUTS!$A$42:$A$50,MATCH(AG_REQ!O107,INPUTS!$B$42:$B$50,1)+1))),IF(AG_REQ!O107&lt;=INDEX(INPUTS!$E$42:$E$50,1),INDEX(INPUTS!$D$42:$D$50,1),IF(AG_REQ!O107&gt;INDEX(INPUTS!$E$42:$E$50,ROWS(INPUTS!$E$42:$E$50)),"LARGER",INDEX(INPUTS!$D$42:$D$50,MATCH(AG_REQ!O107,INPUTS!$E$42:$E$50,1)+1)))))</f>
        <v/>
      </c>
      <c r="P107" s="4" t="str">
        <f aca="false">IF(TRIB!P107="","",IF(OR(ARCH!P107="",LEFT(ARCH!P107,3)="14x"),IF(AG_REQ!P107&lt;=INDEX(INPUTS!$B$42:$B$50,1),INDEX(INPUTS!$A$42:$A$50,1),IF(AG_REQ!P107&gt;INDEX(INPUTS!$B$42:$B$50,ROWS(INPUTS!$B$42:$B$50)),"LARGER",INDEX(INPUTS!$A$42:$A$50,MATCH(AG_REQ!P107,INPUTS!$B$42:$B$50,1)+1))),IF(AG_REQ!P107&lt;=INDEX(INPUTS!$E$42:$E$50,1),INDEX(INPUTS!$D$42:$D$50,1),IF(AG_REQ!P107&gt;INDEX(INPUTS!$E$42:$E$50,ROWS(INPUTS!$E$42:$E$50)),"LARGER",INDEX(INPUTS!$D$42:$D$50,MATCH(AG_REQ!P107,INPUTS!$E$42:$E$50,1)+1)))))</f>
        <v/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4" t="str">
        <f aca="false">IF(TRIB!E108="","",IF(OR(ARCH!E108="",LEFT(ARCH!E108,3)="14x"),IF(AG_REQ!E108&lt;=INDEX(INPUTS!$B$42:$B$50,1),INDEX(INPUTS!$A$42:$A$50,1),IF(AG_REQ!E108&gt;INDEX(INPUTS!$B$42:$B$50,ROWS(INPUTS!$B$42:$B$50)),"LARGER",INDEX(INPUTS!$A$42:$A$50,MATCH(AG_REQ!E108,INPUTS!$B$42:$B$50,1)+1))),IF(AG_REQ!E108&lt;=INDEX(INPUTS!$E$42:$E$50,1),INDEX(INPUTS!$D$42:$D$50,1),IF(AG_REQ!E108&gt;INDEX(INPUTS!$E$42:$E$50,ROWS(INPUTS!$E$42:$E$50)),"LARGER",INDEX(INPUTS!$D$42:$D$50,MATCH(AG_REQ!E108,INPUTS!$E$42:$E$50,1)+1)))))</f>
        <v>14x24</v>
      </c>
      <c r="F108" s="4" t="str">
        <f aca="false">IF(TRIB!F108="","",IF(OR(ARCH!F108="",LEFT(ARCH!F108,3)="14x"),IF(AG_REQ!F108&lt;=INDEX(INPUTS!$B$42:$B$50,1),INDEX(INPUTS!$A$42:$A$50,1),IF(AG_REQ!F108&gt;INDEX(INPUTS!$B$42:$B$50,ROWS(INPUTS!$B$42:$B$50)),"LARGER",INDEX(INPUTS!$A$42:$A$50,MATCH(AG_REQ!F108,INPUTS!$B$42:$B$50,1)+1))),IF(AG_REQ!F108&lt;=INDEX(INPUTS!$E$42:$E$50,1),INDEX(INPUTS!$D$42:$D$50,1),IF(AG_REQ!F108&gt;INDEX(INPUTS!$E$42:$E$50,ROWS(INPUTS!$E$42:$E$50)),"LARGER",INDEX(INPUTS!$D$42:$D$50,MATCH(AG_REQ!F108,INPUTS!$E$42:$E$50,1)+1)))))</f>
        <v>14x24</v>
      </c>
      <c r="G108" s="4" t="str">
        <f aca="false">IF(TRIB!G108="","",IF(OR(ARCH!G108="",LEFT(ARCH!G108,3)="14x"),IF(AG_REQ!G108&lt;=INDEX(INPUTS!$B$42:$B$50,1),INDEX(INPUTS!$A$42:$A$50,1),IF(AG_REQ!G108&gt;INDEX(INPUTS!$B$42:$B$50,ROWS(INPUTS!$B$42:$B$50)),"LARGER",INDEX(INPUTS!$A$42:$A$50,MATCH(AG_REQ!G108,INPUTS!$B$42:$B$50,1)+1))),IF(AG_REQ!G108&lt;=INDEX(INPUTS!$E$42:$E$50,1),INDEX(INPUTS!$D$42:$D$50,1),IF(AG_REQ!G108&gt;INDEX(INPUTS!$E$42:$E$50,ROWS(INPUTS!$E$42:$E$50)),"LARGER",INDEX(INPUTS!$D$42:$D$50,MATCH(AG_REQ!G108,INPUTS!$E$42:$E$50,1)+1)))))</f>
        <v>14x24</v>
      </c>
      <c r="H108" s="4" t="str">
        <f aca="false">IF(TRIB!H108="","",IF(OR(ARCH!H108="",LEFT(ARCH!H108,3)="14x"),IF(AG_REQ!H108&lt;=INDEX(INPUTS!$B$42:$B$50,1),INDEX(INPUTS!$A$42:$A$50,1),IF(AG_REQ!H108&gt;INDEX(INPUTS!$B$42:$B$50,ROWS(INPUTS!$B$42:$B$50)),"LARGER",INDEX(INPUTS!$A$42:$A$50,MATCH(AG_REQ!H108,INPUTS!$B$42:$B$50,1)+1))),IF(AG_REQ!H108&lt;=INDEX(INPUTS!$E$42:$E$50,1),INDEX(INPUTS!$D$42:$D$50,1),IF(AG_REQ!H108&gt;INDEX(INPUTS!$E$42:$E$50,ROWS(INPUTS!$E$42:$E$50)),"LARGER",INDEX(INPUTS!$D$42:$D$50,MATCH(AG_REQ!H108,INPUTS!$E$42:$E$50,1)+1)))))</f>
        <v>14x24</v>
      </c>
      <c r="I108" s="4" t="str">
        <f aca="false">IF(TRIB!I108="","",IF(OR(ARCH!I108="",LEFT(ARCH!I108,3)="14x"),IF(AG_REQ!I108&lt;=INDEX(INPUTS!$B$42:$B$50,1),INDEX(INPUTS!$A$42:$A$50,1),IF(AG_REQ!I108&gt;INDEX(INPUTS!$B$42:$B$50,ROWS(INPUTS!$B$42:$B$50)),"LARGER",INDEX(INPUTS!$A$42:$A$50,MATCH(AG_REQ!I108,INPUTS!$B$42:$B$50,1)+1))),IF(AG_REQ!I108&lt;=INDEX(INPUTS!$E$42:$E$50,1),INDEX(INPUTS!$D$42:$D$50,1),IF(AG_REQ!I108&gt;INDEX(INPUTS!$E$42:$E$50,ROWS(INPUTS!$E$42:$E$50)),"LARGER",INDEX(INPUTS!$D$42:$D$50,MATCH(AG_REQ!I108,INPUTS!$E$42:$E$50,1)+1)))))</f>
        <v>14x24</v>
      </c>
      <c r="J108" s="4" t="str">
        <f aca="false">IF(TRIB!J108="","",IF(OR(ARCH!J108="",LEFT(ARCH!J108,3)="14x"),IF(AG_REQ!J108&lt;=INDEX(INPUTS!$B$42:$B$50,1),INDEX(INPUTS!$A$42:$A$50,1),IF(AG_REQ!J108&gt;INDEX(INPUTS!$B$42:$B$50,ROWS(INPUTS!$B$42:$B$50)),"LARGER",INDEX(INPUTS!$A$42:$A$50,MATCH(AG_REQ!J108,INPUTS!$B$42:$B$50,1)+1))),IF(AG_REQ!J108&lt;=INDEX(INPUTS!$E$42:$E$50,1),INDEX(INPUTS!$D$42:$D$50,1),IF(AG_REQ!J108&gt;INDEX(INPUTS!$E$42:$E$50,ROWS(INPUTS!$E$42:$E$50)),"LARGER",INDEX(INPUTS!$D$42:$D$50,MATCH(AG_REQ!J108,INPUTS!$E$42:$E$50,1)+1)))))</f>
        <v/>
      </c>
      <c r="K108" s="4" t="str">
        <f aca="false">IF(TRIB!K108="","",IF(OR(ARCH!K108="",LEFT(ARCH!K108,3)="14x"),IF(AG_REQ!K108&lt;=INDEX(INPUTS!$B$42:$B$50,1),INDEX(INPUTS!$A$42:$A$50,1),IF(AG_REQ!K108&gt;INDEX(INPUTS!$B$42:$B$50,ROWS(INPUTS!$B$42:$B$50)),"LARGER",INDEX(INPUTS!$A$42:$A$50,MATCH(AG_REQ!K108,INPUTS!$B$42:$B$50,1)+1))),IF(AG_REQ!K108&lt;=INDEX(INPUTS!$E$42:$E$50,1),INDEX(INPUTS!$D$42:$D$50,1),IF(AG_REQ!K108&gt;INDEX(INPUTS!$E$42:$E$50,ROWS(INPUTS!$E$42:$E$50)),"LARGER",INDEX(INPUTS!$D$42:$D$50,MATCH(AG_REQ!K108,INPUTS!$E$42:$E$50,1)+1)))))</f>
        <v/>
      </c>
      <c r="L108" s="4" t="str">
        <f aca="false">IF(TRIB!L108="","",IF(OR(ARCH!L108="",LEFT(ARCH!L108,3)="14x"),IF(AG_REQ!L108&lt;=INDEX(INPUTS!$B$42:$B$50,1),INDEX(INPUTS!$A$42:$A$50,1),IF(AG_REQ!L108&gt;INDEX(INPUTS!$B$42:$B$50,ROWS(INPUTS!$B$42:$B$50)),"LARGER",INDEX(INPUTS!$A$42:$A$50,MATCH(AG_REQ!L108,INPUTS!$B$42:$B$50,1)+1))),IF(AG_REQ!L108&lt;=INDEX(INPUTS!$E$42:$E$50,1),INDEX(INPUTS!$D$42:$D$50,1),IF(AG_REQ!L108&gt;INDEX(INPUTS!$E$42:$E$50,ROWS(INPUTS!$E$42:$E$50)),"LARGER",INDEX(INPUTS!$D$42:$D$50,MATCH(AG_REQ!L108,INPUTS!$E$42:$E$50,1)+1)))))</f>
        <v/>
      </c>
      <c r="M108" s="4" t="str">
        <f aca="false">IF(TRIB!M108="","",IF(OR(ARCH!M108="",LEFT(ARCH!M108,3)="14x"),IF(AG_REQ!M108&lt;=INDEX(INPUTS!$B$42:$B$50,1),INDEX(INPUTS!$A$42:$A$50,1),IF(AG_REQ!M108&gt;INDEX(INPUTS!$B$42:$B$50,ROWS(INPUTS!$B$42:$B$50)),"LARGER",INDEX(INPUTS!$A$42:$A$50,MATCH(AG_REQ!M108,INPUTS!$B$42:$B$50,1)+1))),IF(AG_REQ!M108&lt;=INDEX(INPUTS!$E$42:$E$50,1),INDEX(INPUTS!$D$42:$D$50,1),IF(AG_REQ!M108&gt;INDEX(INPUTS!$E$42:$E$50,ROWS(INPUTS!$E$42:$E$50)),"LARGER",INDEX(INPUTS!$D$42:$D$50,MATCH(AG_REQ!M108,INPUTS!$E$42:$E$50,1)+1)))))</f>
        <v/>
      </c>
      <c r="N108" s="4" t="str">
        <f aca="false">IF(TRIB!N108="","",IF(OR(ARCH!N108="",LEFT(ARCH!N108,3)="14x"),IF(AG_REQ!N108&lt;=INDEX(INPUTS!$B$42:$B$50,1),INDEX(INPUTS!$A$42:$A$50,1),IF(AG_REQ!N108&gt;INDEX(INPUTS!$B$42:$B$50,ROWS(INPUTS!$B$42:$B$50)),"LARGER",INDEX(INPUTS!$A$42:$A$50,MATCH(AG_REQ!N108,INPUTS!$B$42:$B$50,1)+1))),IF(AG_REQ!N108&lt;=INDEX(INPUTS!$E$42:$E$50,1),INDEX(INPUTS!$D$42:$D$50,1),IF(AG_REQ!N108&gt;INDEX(INPUTS!$E$42:$E$50,ROWS(INPUTS!$E$42:$E$50)),"LARGER",INDEX(INPUTS!$D$42:$D$50,MATCH(AG_REQ!N108,INPUTS!$E$42:$E$50,1)+1)))))</f>
        <v/>
      </c>
      <c r="O108" s="4" t="str">
        <f aca="false">IF(TRIB!O108="","",IF(OR(ARCH!O108="",LEFT(ARCH!O108,3)="14x"),IF(AG_REQ!O108&lt;=INDEX(INPUTS!$B$42:$B$50,1),INDEX(INPUTS!$A$42:$A$50,1),IF(AG_REQ!O108&gt;INDEX(INPUTS!$B$42:$B$50,ROWS(INPUTS!$B$42:$B$50)),"LARGER",INDEX(INPUTS!$A$42:$A$50,MATCH(AG_REQ!O108,INPUTS!$B$42:$B$50,1)+1))),IF(AG_REQ!O108&lt;=INDEX(INPUTS!$E$42:$E$50,1),INDEX(INPUTS!$D$42:$D$50,1),IF(AG_REQ!O108&gt;INDEX(INPUTS!$E$42:$E$50,ROWS(INPUTS!$E$42:$E$50)),"LARGER",INDEX(INPUTS!$D$42:$D$50,MATCH(AG_REQ!O108,INPUTS!$E$42:$E$50,1)+1)))))</f>
        <v/>
      </c>
      <c r="P108" s="4" t="str">
        <f aca="false">IF(TRIB!P108="","",IF(OR(ARCH!P108="",LEFT(ARCH!P108,3)="14x"),IF(AG_REQ!P108&lt;=INDEX(INPUTS!$B$42:$B$50,1),INDEX(INPUTS!$A$42:$A$50,1),IF(AG_REQ!P108&gt;INDEX(INPUTS!$B$42:$B$50,ROWS(INPUTS!$B$42:$B$50)),"LARGER",INDEX(INPUTS!$A$42:$A$50,MATCH(AG_REQ!P108,INPUTS!$B$42:$B$50,1)+1))),IF(AG_REQ!P108&lt;=INDEX(INPUTS!$E$42:$E$50,1),INDEX(INPUTS!$D$42:$D$50,1),IF(AG_REQ!P108&gt;INDEX(INPUTS!$E$42:$E$50,ROWS(INPUTS!$E$42:$E$50)),"LARGER",INDEX(INPUTS!$D$42:$D$50,MATCH(AG_REQ!P108,INPUTS!$E$42:$E$50,1)+1)))))</f>
        <v/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4" t="str">
        <f aca="false">IF(TRIB!E109="","",IF(OR(ARCH!E109="",LEFT(ARCH!E109,3)="14x"),IF(AG_REQ!E109&lt;=INDEX(INPUTS!$B$42:$B$50,1),INDEX(INPUTS!$A$42:$A$50,1),IF(AG_REQ!E109&gt;INDEX(INPUTS!$B$42:$B$50,ROWS(INPUTS!$B$42:$B$50)),"LARGER",INDEX(INPUTS!$A$42:$A$50,MATCH(AG_REQ!E109,INPUTS!$B$42:$B$50,1)+1))),IF(AG_REQ!E109&lt;=INDEX(INPUTS!$E$42:$E$50,1),INDEX(INPUTS!$D$42:$D$50,1),IF(AG_REQ!E109&gt;INDEX(INPUTS!$E$42:$E$50,ROWS(INPUTS!$E$42:$E$50)),"LARGER",INDEX(INPUTS!$D$42:$D$50,MATCH(AG_REQ!E109,INPUTS!$E$42:$E$50,1)+1)))))</f>
        <v>14x24</v>
      </c>
      <c r="F109" s="4" t="str">
        <f aca="false">IF(TRIB!F109="","",IF(OR(ARCH!F109="",LEFT(ARCH!F109,3)="14x"),IF(AG_REQ!F109&lt;=INDEX(INPUTS!$B$42:$B$50,1),INDEX(INPUTS!$A$42:$A$50,1),IF(AG_REQ!F109&gt;INDEX(INPUTS!$B$42:$B$50,ROWS(INPUTS!$B$42:$B$50)),"LARGER",INDEX(INPUTS!$A$42:$A$50,MATCH(AG_REQ!F109,INPUTS!$B$42:$B$50,1)+1))),IF(AG_REQ!F109&lt;=INDEX(INPUTS!$E$42:$E$50,1),INDEX(INPUTS!$D$42:$D$50,1),IF(AG_REQ!F109&gt;INDEX(INPUTS!$E$42:$E$50,ROWS(INPUTS!$E$42:$E$50)),"LARGER",INDEX(INPUTS!$D$42:$D$50,MATCH(AG_REQ!F109,INPUTS!$E$42:$E$50,1)+1)))))</f>
        <v>14x24</v>
      </c>
      <c r="G109" s="4" t="str">
        <f aca="false">IF(TRIB!G109="","",IF(OR(ARCH!G109="",LEFT(ARCH!G109,3)="14x"),IF(AG_REQ!G109&lt;=INDEX(INPUTS!$B$42:$B$50,1),INDEX(INPUTS!$A$42:$A$50,1),IF(AG_REQ!G109&gt;INDEX(INPUTS!$B$42:$B$50,ROWS(INPUTS!$B$42:$B$50)),"LARGER",INDEX(INPUTS!$A$42:$A$50,MATCH(AG_REQ!G109,INPUTS!$B$42:$B$50,1)+1))),IF(AG_REQ!G109&lt;=INDEX(INPUTS!$E$42:$E$50,1),INDEX(INPUTS!$D$42:$D$50,1),IF(AG_REQ!G109&gt;INDEX(INPUTS!$E$42:$E$50,ROWS(INPUTS!$E$42:$E$50)),"LARGER",INDEX(INPUTS!$D$42:$D$50,MATCH(AG_REQ!G109,INPUTS!$E$42:$E$50,1)+1)))))</f>
        <v>14x24</v>
      </c>
      <c r="H109" s="4" t="str">
        <f aca="false">IF(TRIB!H109="","",IF(OR(ARCH!H109="",LEFT(ARCH!H109,3)="14x"),IF(AG_REQ!H109&lt;=INDEX(INPUTS!$B$42:$B$50,1),INDEX(INPUTS!$A$42:$A$50,1),IF(AG_REQ!H109&gt;INDEX(INPUTS!$B$42:$B$50,ROWS(INPUTS!$B$42:$B$50)),"LARGER",INDEX(INPUTS!$A$42:$A$50,MATCH(AG_REQ!H109,INPUTS!$B$42:$B$50,1)+1))),IF(AG_REQ!H109&lt;=INDEX(INPUTS!$E$42:$E$50,1),INDEX(INPUTS!$D$42:$D$50,1),IF(AG_REQ!H109&gt;INDEX(INPUTS!$E$42:$E$50,ROWS(INPUTS!$E$42:$E$50)),"LARGER",INDEX(INPUTS!$D$42:$D$50,MATCH(AG_REQ!H109,INPUTS!$E$42:$E$50,1)+1)))))</f>
        <v>14x24</v>
      </c>
      <c r="I109" s="4" t="str">
        <f aca="false">IF(TRIB!I109="","",IF(OR(ARCH!I109="",LEFT(ARCH!I109,3)="14x"),IF(AG_REQ!I109&lt;=INDEX(INPUTS!$B$42:$B$50,1),INDEX(INPUTS!$A$42:$A$50,1),IF(AG_REQ!I109&gt;INDEX(INPUTS!$B$42:$B$50,ROWS(INPUTS!$B$42:$B$50)),"LARGER",INDEX(INPUTS!$A$42:$A$50,MATCH(AG_REQ!I109,INPUTS!$B$42:$B$50,1)+1))),IF(AG_REQ!I109&lt;=INDEX(INPUTS!$E$42:$E$50,1),INDEX(INPUTS!$D$42:$D$50,1),IF(AG_REQ!I109&gt;INDEX(INPUTS!$E$42:$E$50,ROWS(INPUTS!$E$42:$E$50)),"LARGER",INDEX(INPUTS!$D$42:$D$50,MATCH(AG_REQ!I109,INPUTS!$E$42:$E$50,1)+1)))))</f>
        <v>14x24</v>
      </c>
      <c r="J109" s="4" t="str">
        <f aca="false">IF(TRIB!J109="","",IF(OR(ARCH!J109="",LEFT(ARCH!J109,3)="14x"),IF(AG_REQ!J109&lt;=INDEX(INPUTS!$B$42:$B$50,1),INDEX(INPUTS!$A$42:$A$50,1),IF(AG_REQ!J109&gt;INDEX(INPUTS!$B$42:$B$50,ROWS(INPUTS!$B$42:$B$50)),"LARGER",INDEX(INPUTS!$A$42:$A$50,MATCH(AG_REQ!J109,INPUTS!$B$42:$B$50,1)+1))),IF(AG_REQ!J109&lt;=INDEX(INPUTS!$E$42:$E$50,1),INDEX(INPUTS!$D$42:$D$50,1),IF(AG_REQ!J109&gt;INDEX(INPUTS!$E$42:$E$50,ROWS(INPUTS!$E$42:$E$50)),"LARGER",INDEX(INPUTS!$D$42:$D$50,MATCH(AG_REQ!J109,INPUTS!$E$42:$E$50,1)+1)))))</f>
        <v/>
      </c>
      <c r="K109" s="4" t="str">
        <f aca="false">IF(TRIB!K109="","",IF(OR(ARCH!K109="",LEFT(ARCH!K109,3)="14x"),IF(AG_REQ!K109&lt;=INDEX(INPUTS!$B$42:$B$50,1),INDEX(INPUTS!$A$42:$A$50,1),IF(AG_REQ!K109&gt;INDEX(INPUTS!$B$42:$B$50,ROWS(INPUTS!$B$42:$B$50)),"LARGER",INDEX(INPUTS!$A$42:$A$50,MATCH(AG_REQ!K109,INPUTS!$B$42:$B$50,1)+1))),IF(AG_REQ!K109&lt;=INDEX(INPUTS!$E$42:$E$50,1),INDEX(INPUTS!$D$42:$D$50,1),IF(AG_REQ!K109&gt;INDEX(INPUTS!$E$42:$E$50,ROWS(INPUTS!$E$42:$E$50)),"LARGER",INDEX(INPUTS!$D$42:$D$50,MATCH(AG_REQ!K109,INPUTS!$E$42:$E$50,1)+1)))))</f>
        <v/>
      </c>
      <c r="L109" s="4" t="str">
        <f aca="false">IF(TRIB!L109="","",IF(OR(ARCH!L109="",LEFT(ARCH!L109,3)="14x"),IF(AG_REQ!L109&lt;=INDEX(INPUTS!$B$42:$B$50,1),INDEX(INPUTS!$A$42:$A$50,1),IF(AG_REQ!L109&gt;INDEX(INPUTS!$B$42:$B$50,ROWS(INPUTS!$B$42:$B$50)),"LARGER",INDEX(INPUTS!$A$42:$A$50,MATCH(AG_REQ!L109,INPUTS!$B$42:$B$50,1)+1))),IF(AG_REQ!L109&lt;=INDEX(INPUTS!$E$42:$E$50,1),INDEX(INPUTS!$D$42:$D$50,1),IF(AG_REQ!L109&gt;INDEX(INPUTS!$E$42:$E$50,ROWS(INPUTS!$E$42:$E$50)),"LARGER",INDEX(INPUTS!$D$42:$D$50,MATCH(AG_REQ!L109,INPUTS!$E$42:$E$50,1)+1)))))</f>
        <v/>
      </c>
      <c r="M109" s="4" t="str">
        <f aca="false">IF(TRIB!M109="","",IF(OR(ARCH!M109="",LEFT(ARCH!M109,3)="14x"),IF(AG_REQ!M109&lt;=INDEX(INPUTS!$B$42:$B$50,1),INDEX(INPUTS!$A$42:$A$50,1),IF(AG_REQ!M109&gt;INDEX(INPUTS!$B$42:$B$50,ROWS(INPUTS!$B$42:$B$50)),"LARGER",INDEX(INPUTS!$A$42:$A$50,MATCH(AG_REQ!M109,INPUTS!$B$42:$B$50,1)+1))),IF(AG_REQ!M109&lt;=INDEX(INPUTS!$E$42:$E$50,1),INDEX(INPUTS!$D$42:$D$50,1),IF(AG_REQ!M109&gt;INDEX(INPUTS!$E$42:$E$50,ROWS(INPUTS!$E$42:$E$50)),"LARGER",INDEX(INPUTS!$D$42:$D$50,MATCH(AG_REQ!M109,INPUTS!$E$42:$E$50,1)+1)))))</f>
        <v/>
      </c>
      <c r="N109" s="4" t="str">
        <f aca="false">IF(TRIB!N109="","",IF(OR(ARCH!N109="",LEFT(ARCH!N109,3)="14x"),IF(AG_REQ!N109&lt;=INDEX(INPUTS!$B$42:$B$50,1),INDEX(INPUTS!$A$42:$A$50,1),IF(AG_REQ!N109&gt;INDEX(INPUTS!$B$42:$B$50,ROWS(INPUTS!$B$42:$B$50)),"LARGER",INDEX(INPUTS!$A$42:$A$50,MATCH(AG_REQ!N109,INPUTS!$B$42:$B$50,1)+1))),IF(AG_REQ!N109&lt;=INDEX(INPUTS!$E$42:$E$50,1),INDEX(INPUTS!$D$42:$D$50,1),IF(AG_REQ!N109&gt;INDEX(INPUTS!$E$42:$E$50,ROWS(INPUTS!$E$42:$E$50)),"LARGER",INDEX(INPUTS!$D$42:$D$50,MATCH(AG_REQ!N109,INPUTS!$E$42:$E$50,1)+1)))))</f>
        <v/>
      </c>
      <c r="O109" s="4" t="str">
        <f aca="false">IF(TRIB!O109="","",IF(OR(ARCH!O109="",LEFT(ARCH!O109,3)="14x"),IF(AG_REQ!O109&lt;=INDEX(INPUTS!$B$42:$B$50,1),INDEX(INPUTS!$A$42:$A$50,1),IF(AG_REQ!O109&gt;INDEX(INPUTS!$B$42:$B$50,ROWS(INPUTS!$B$42:$B$50)),"LARGER",INDEX(INPUTS!$A$42:$A$50,MATCH(AG_REQ!O109,INPUTS!$B$42:$B$50,1)+1))),IF(AG_REQ!O109&lt;=INDEX(INPUTS!$E$42:$E$50,1),INDEX(INPUTS!$D$42:$D$50,1),IF(AG_REQ!O109&gt;INDEX(INPUTS!$E$42:$E$50,ROWS(INPUTS!$E$42:$E$50)),"LARGER",INDEX(INPUTS!$D$42:$D$50,MATCH(AG_REQ!O109,INPUTS!$E$42:$E$50,1)+1)))))</f>
        <v/>
      </c>
      <c r="P109" s="4" t="str">
        <f aca="false">IF(TRIB!P109="","",IF(OR(ARCH!P109="",LEFT(ARCH!P109,3)="14x"),IF(AG_REQ!P109&lt;=INDEX(INPUTS!$B$42:$B$50,1),INDEX(INPUTS!$A$42:$A$50,1),IF(AG_REQ!P109&gt;INDEX(INPUTS!$B$42:$B$50,ROWS(INPUTS!$B$42:$B$50)),"LARGER",INDEX(INPUTS!$A$42:$A$50,MATCH(AG_REQ!P109,INPUTS!$B$42:$B$50,1)+1))),IF(AG_REQ!P109&lt;=INDEX(INPUTS!$E$42:$E$50,1),INDEX(INPUTS!$D$42:$D$50,1),IF(AG_REQ!P109&gt;INDEX(INPUTS!$E$42:$E$50,ROWS(INPUTS!$E$42:$E$50)),"LARGER",INDEX(INPUTS!$D$42:$D$50,MATCH(AG_REQ!P109,INPUTS!$E$42:$E$50,1)+1)))))</f>
        <v/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4" t="str">
        <f aca="false">IF(TRIB!E110="","",IF(OR(ARCH!E110="",LEFT(ARCH!E110,3)="14x"),IF(AG_REQ!E110&lt;=INDEX(INPUTS!$B$42:$B$50,1),INDEX(INPUTS!$A$42:$A$50,1),IF(AG_REQ!E110&gt;INDEX(INPUTS!$B$42:$B$50,ROWS(INPUTS!$B$42:$B$50)),"LARGER",INDEX(INPUTS!$A$42:$A$50,MATCH(AG_REQ!E110,INPUTS!$B$42:$B$50,1)+1))),IF(AG_REQ!E110&lt;=INDEX(INPUTS!$E$42:$E$50,1),INDEX(INPUTS!$D$42:$D$50,1),IF(AG_REQ!E110&gt;INDEX(INPUTS!$E$42:$E$50,ROWS(INPUTS!$E$42:$E$50)),"LARGER",INDEX(INPUTS!$D$42:$D$50,MATCH(AG_REQ!E110,INPUTS!$E$42:$E$50,1)+1)))))</f>
        <v>14x24</v>
      </c>
      <c r="F110" s="4" t="str">
        <f aca="false">IF(TRIB!F110="","",IF(OR(ARCH!F110="",LEFT(ARCH!F110,3)="14x"),IF(AG_REQ!F110&lt;=INDEX(INPUTS!$B$42:$B$50,1),INDEX(INPUTS!$A$42:$A$50,1),IF(AG_REQ!F110&gt;INDEX(INPUTS!$B$42:$B$50,ROWS(INPUTS!$B$42:$B$50)),"LARGER",INDEX(INPUTS!$A$42:$A$50,MATCH(AG_REQ!F110,INPUTS!$B$42:$B$50,1)+1))),IF(AG_REQ!F110&lt;=INDEX(INPUTS!$E$42:$E$50,1),INDEX(INPUTS!$D$42:$D$50,1),IF(AG_REQ!F110&gt;INDEX(INPUTS!$E$42:$E$50,ROWS(INPUTS!$E$42:$E$50)),"LARGER",INDEX(INPUTS!$D$42:$D$50,MATCH(AG_REQ!F110,INPUTS!$E$42:$E$50,1)+1)))))</f>
        <v>14x24</v>
      </c>
      <c r="G110" s="4" t="str">
        <f aca="false">IF(TRIB!G110="","",IF(OR(ARCH!G110="",LEFT(ARCH!G110,3)="14x"),IF(AG_REQ!G110&lt;=INDEX(INPUTS!$B$42:$B$50,1),INDEX(INPUTS!$A$42:$A$50,1),IF(AG_REQ!G110&gt;INDEX(INPUTS!$B$42:$B$50,ROWS(INPUTS!$B$42:$B$50)),"LARGER",INDEX(INPUTS!$A$42:$A$50,MATCH(AG_REQ!G110,INPUTS!$B$42:$B$50,1)+1))),IF(AG_REQ!G110&lt;=INDEX(INPUTS!$E$42:$E$50,1),INDEX(INPUTS!$D$42:$D$50,1),IF(AG_REQ!G110&gt;INDEX(INPUTS!$E$42:$E$50,ROWS(INPUTS!$E$42:$E$50)),"LARGER",INDEX(INPUTS!$D$42:$D$50,MATCH(AG_REQ!G110,INPUTS!$E$42:$E$50,1)+1)))))</f>
        <v>14x24</v>
      </c>
      <c r="H110" s="4" t="str">
        <f aca="false">IF(TRIB!H110="","",IF(OR(ARCH!H110="",LEFT(ARCH!H110,3)="14x"),IF(AG_REQ!H110&lt;=INDEX(INPUTS!$B$42:$B$50,1),INDEX(INPUTS!$A$42:$A$50,1),IF(AG_REQ!H110&gt;INDEX(INPUTS!$B$42:$B$50,ROWS(INPUTS!$B$42:$B$50)),"LARGER",INDEX(INPUTS!$A$42:$A$50,MATCH(AG_REQ!H110,INPUTS!$B$42:$B$50,1)+1))),IF(AG_REQ!H110&lt;=INDEX(INPUTS!$E$42:$E$50,1),INDEX(INPUTS!$D$42:$D$50,1),IF(AG_REQ!H110&gt;INDEX(INPUTS!$E$42:$E$50,ROWS(INPUTS!$E$42:$E$50)),"LARGER",INDEX(INPUTS!$D$42:$D$50,MATCH(AG_REQ!H110,INPUTS!$E$42:$E$50,1)+1)))))</f>
        <v/>
      </c>
      <c r="I110" s="4" t="str">
        <f aca="false">IF(TRIB!I110="","",IF(OR(ARCH!I110="",LEFT(ARCH!I110,3)="14x"),IF(AG_REQ!I110&lt;=INDEX(INPUTS!$B$42:$B$50,1),INDEX(INPUTS!$A$42:$A$50,1),IF(AG_REQ!I110&gt;INDEX(INPUTS!$B$42:$B$50,ROWS(INPUTS!$B$42:$B$50)),"LARGER",INDEX(INPUTS!$A$42:$A$50,MATCH(AG_REQ!I110,INPUTS!$B$42:$B$50,1)+1))),IF(AG_REQ!I110&lt;=INDEX(INPUTS!$E$42:$E$50,1),INDEX(INPUTS!$D$42:$D$50,1),IF(AG_REQ!I110&gt;INDEX(INPUTS!$E$42:$E$50,ROWS(INPUTS!$E$42:$E$50)),"LARGER",INDEX(INPUTS!$D$42:$D$50,MATCH(AG_REQ!I110,INPUTS!$E$42:$E$50,1)+1)))))</f>
        <v/>
      </c>
      <c r="J110" s="4" t="str">
        <f aca="false">IF(TRIB!J110="","",IF(OR(ARCH!J110="",LEFT(ARCH!J110,3)="14x"),IF(AG_REQ!J110&lt;=INDEX(INPUTS!$B$42:$B$50,1),INDEX(INPUTS!$A$42:$A$50,1),IF(AG_REQ!J110&gt;INDEX(INPUTS!$B$42:$B$50,ROWS(INPUTS!$B$42:$B$50)),"LARGER",INDEX(INPUTS!$A$42:$A$50,MATCH(AG_REQ!J110,INPUTS!$B$42:$B$50,1)+1))),IF(AG_REQ!J110&lt;=INDEX(INPUTS!$E$42:$E$50,1),INDEX(INPUTS!$D$42:$D$50,1),IF(AG_REQ!J110&gt;INDEX(INPUTS!$E$42:$E$50,ROWS(INPUTS!$E$42:$E$50)),"LARGER",INDEX(INPUTS!$D$42:$D$50,MATCH(AG_REQ!J110,INPUTS!$E$42:$E$50,1)+1)))))</f>
        <v/>
      </c>
      <c r="K110" s="4" t="str">
        <f aca="false">IF(TRIB!K110="","",IF(OR(ARCH!K110="",LEFT(ARCH!K110,3)="14x"),IF(AG_REQ!K110&lt;=INDEX(INPUTS!$B$42:$B$50,1),INDEX(INPUTS!$A$42:$A$50,1),IF(AG_REQ!K110&gt;INDEX(INPUTS!$B$42:$B$50,ROWS(INPUTS!$B$42:$B$50)),"LARGER",INDEX(INPUTS!$A$42:$A$50,MATCH(AG_REQ!K110,INPUTS!$B$42:$B$50,1)+1))),IF(AG_REQ!K110&lt;=INDEX(INPUTS!$E$42:$E$50,1),INDEX(INPUTS!$D$42:$D$50,1),IF(AG_REQ!K110&gt;INDEX(INPUTS!$E$42:$E$50,ROWS(INPUTS!$E$42:$E$50)),"LARGER",INDEX(INPUTS!$D$42:$D$50,MATCH(AG_REQ!K110,INPUTS!$E$42:$E$50,1)+1)))))</f>
        <v/>
      </c>
      <c r="L110" s="4" t="str">
        <f aca="false">IF(TRIB!L110="","",IF(OR(ARCH!L110="",LEFT(ARCH!L110,3)="14x"),IF(AG_REQ!L110&lt;=INDEX(INPUTS!$B$42:$B$50,1),INDEX(INPUTS!$A$42:$A$50,1),IF(AG_REQ!L110&gt;INDEX(INPUTS!$B$42:$B$50,ROWS(INPUTS!$B$42:$B$50)),"LARGER",INDEX(INPUTS!$A$42:$A$50,MATCH(AG_REQ!L110,INPUTS!$B$42:$B$50,1)+1))),IF(AG_REQ!L110&lt;=INDEX(INPUTS!$E$42:$E$50,1),INDEX(INPUTS!$D$42:$D$50,1),IF(AG_REQ!L110&gt;INDEX(INPUTS!$E$42:$E$50,ROWS(INPUTS!$E$42:$E$50)),"LARGER",INDEX(INPUTS!$D$42:$D$50,MATCH(AG_REQ!L110,INPUTS!$E$42:$E$50,1)+1)))))</f>
        <v/>
      </c>
      <c r="M110" s="4" t="str">
        <f aca="false">IF(TRIB!M110="","",IF(OR(ARCH!M110="",LEFT(ARCH!M110,3)="14x"),IF(AG_REQ!M110&lt;=INDEX(INPUTS!$B$42:$B$50,1),INDEX(INPUTS!$A$42:$A$50,1),IF(AG_REQ!M110&gt;INDEX(INPUTS!$B$42:$B$50,ROWS(INPUTS!$B$42:$B$50)),"LARGER",INDEX(INPUTS!$A$42:$A$50,MATCH(AG_REQ!M110,INPUTS!$B$42:$B$50,1)+1))),IF(AG_REQ!M110&lt;=INDEX(INPUTS!$E$42:$E$50,1),INDEX(INPUTS!$D$42:$D$50,1),IF(AG_REQ!M110&gt;INDEX(INPUTS!$E$42:$E$50,ROWS(INPUTS!$E$42:$E$50)),"LARGER",INDEX(INPUTS!$D$42:$D$50,MATCH(AG_REQ!M110,INPUTS!$E$42:$E$50,1)+1)))))</f>
        <v/>
      </c>
      <c r="N110" s="4" t="str">
        <f aca="false">IF(TRIB!N110="","",IF(OR(ARCH!N110="",LEFT(ARCH!N110,3)="14x"),IF(AG_REQ!N110&lt;=INDEX(INPUTS!$B$42:$B$50,1),INDEX(INPUTS!$A$42:$A$50,1),IF(AG_REQ!N110&gt;INDEX(INPUTS!$B$42:$B$50,ROWS(INPUTS!$B$42:$B$50)),"LARGER",INDEX(INPUTS!$A$42:$A$50,MATCH(AG_REQ!N110,INPUTS!$B$42:$B$50,1)+1))),IF(AG_REQ!N110&lt;=INDEX(INPUTS!$E$42:$E$50,1),INDEX(INPUTS!$D$42:$D$50,1),IF(AG_REQ!N110&gt;INDEX(INPUTS!$E$42:$E$50,ROWS(INPUTS!$E$42:$E$50)),"LARGER",INDEX(INPUTS!$D$42:$D$50,MATCH(AG_REQ!N110,INPUTS!$E$42:$E$50,1)+1)))))</f>
        <v/>
      </c>
      <c r="O110" s="4" t="str">
        <f aca="false">IF(TRIB!O110="","",IF(OR(ARCH!O110="",LEFT(ARCH!O110,3)="14x"),IF(AG_REQ!O110&lt;=INDEX(INPUTS!$B$42:$B$50,1),INDEX(INPUTS!$A$42:$A$50,1),IF(AG_REQ!O110&gt;INDEX(INPUTS!$B$42:$B$50,ROWS(INPUTS!$B$42:$B$50)),"LARGER",INDEX(INPUTS!$A$42:$A$50,MATCH(AG_REQ!O110,INPUTS!$B$42:$B$50,1)+1))),IF(AG_REQ!O110&lt;=INDEX(INPUTS!$E$42:$E$50,1),INDEX(INPUTS!$D$42:$D$50,1),IF(AG_REQ!O110&gt;INDEX(INPUTS!$E$42:$E$50,ROWS(INPUTS!$E$42:$E$50)),"LARGER",INDEX(INPUTS!$D$42:$D$50,MATCH(AG_REQ!O110,INPUTS!$E$42:$E$50,1)+1)))))</f>
        <v/>
      </c>
      <c r="P110" s="4" t="str">
        <f aca="false">IF(TRIB!P110="","",IF(OR(ARCH!P110="",LEFT(ARCH!P110,3)="14x"),IF(AG_REQ!P110&lt;=INDEX(INPUTS!$B$42:$B$50,1),INDEX(INPUTS!$A$42:$A$50,1),IF(AG_REQ!P110&gt;INDEX(INPUTS!$B$42:$B$50,ROWS(INPUTS!$B$42:$B$50)),"LARGER",INDEX(INPUTS!$A$42:$A$50,MATCH(AG_REQ!P110,INPUTS!$B$42:$B$50,1)+1))),IF(AG_REQ!P110&lt;=INDEX(INPUTS!$E$42:$E$50,1),INDEX(INPUTS!$D$42:$D$50,1),IF(AG_REQ!P110&gt;INDEX(INPUTS!$E$42:$E$50,ROWS(INPUTS!$E$42:$E$50)),"LARGER",INDEX(INPUTS!$D$42:$D$50,MATCH(AG_REQ!P110,INPUTS!$E$42:$E$50,1)+1)))))</f>
        <v/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4" t="str">
        <f aca="false">IF(TRIB!E111="","",IF(OR(ARCH!E111="",LEFT(ARCH!E111,3)="14x"),IF(AG_REQ!E111&lt;=INDEX(INPUTS!$B$42:$B$50,1),INDEX(INPUTS!$A$42:$A$50,1),IF(AG_REQ!E111&gt;INDEX(INPUTS!$B$42:$B$50,ROWS(INPUTS!$B$42:$B$50)),"LARGER",INDEX(INPUTS!$A$42:$A$50,MATCH(AG_REQ!E111,INPUTS!$B$42:$B$50,1)+1))),IF(AG_REQ!E111&lt;=INDEX(INPUTS!$E$42:$E$50,1),INDEX(INPUTS!$D$42:$D$50,1),IF(AG_REQ!E111&gt;INDEX(INPUTS!$E$42:$E$50,ROWS(INPUTS!$E$42:$E$50)),"LARGER",INDEX(INPUTS!$D$42:$D$50,MATCH(AG_REQ!E111,INPUTS!$E$42:$E$50,1)+1)))))</f>
        <v>14x24</v>
      </c>
      <c r="F111" s="4" t="str">
        <f aca="false">IF(TRIB!F111="","",IF(OR(ARCH!F111="",LEFT(ARCH!F111,3)="14x"),IF(AG_REQ!F111&lt;=INDEX(INPUTS!$B$42:$B$50,1),INDEX(INPUTS!$A$42:$A$50,1),IF(AG_REQ!F111&gt;INDEX(INPUTS!$B$42:$B$50,ROWS(INPUTS!$B$42:$B$50)),"LARGER",INDEX(INPUTS!$A$42:$A$50,MATCH(AG_REQ!F111,INPUTS!$B$42:$B$50,1)+1))),IF(AG_REQ!F111&lt;=INDEX(INPUTS!$E$42:$E$50,1),INDEX(INPUTS!$D$42:$D$50,1),IF(AG_REQ!F111&gt;INDEX(INPUTS!$E$42:$E$50,ROWS(INPUTS!$E$42:$E$50)),"LARGER",INDEX(INPUTS!$D$42:$D$50,MATCH(AG_REQ!F111,INPUTS!$E$42:$E$50,1)+1)))))</f>
        <v>14x24</v>
      </c>
      <c r="G111" s="4" t="str">
        <f aca="false">IF(TRIB!G111="","",IF(OR(ARCH!G111="",LEFT(ARCH!G111,3)="14x"),IF(AG_REQ!G111&lt;=INDEX(INPUTS!$B$42:$B$50,1),INDEX(INPUTS!$A$42:$A$50,1),IF(AG_REQ!G111&gt;INDEX(INPUTS!$B$42:$B$50,ROWS(INPUTS!$B$42:$B$50)),"LARGER",INDEX(INPUTS!$A$42:$A$50,MATCH(AG_REQ!G111,INPUTS!$B$42:$B$50,1)+1))),IF(AG_REQ!G111&lt;=INDEX(INPUTS!$E$42:$E$50,1),INDEX(INPUTS!$D$42:$D$50,1),IF(AG_REQ!G111&gt;INDEX(INPUTS!$E$42:$E$50,ROWS(INPUTS!$E$42:$E$50)),"LARGER",INDEX(INPUTS!$D$42:$D$50,MATCH(AG_REQ!G111,INPUTS!$E$42:$E$50,1)+1)))))</f>
        <v>14x24</v>
      </c>
      <c r="H111" s="4" t="str">
        <f aca="false">IF(TRIB!H111="","",IF(OR(ARCH!H111="",LEFT(ARCH!H111,3)="14x"),IF(AG_REQ!H111&lt;=INDEX(INPUTS!$B$42:$B$50,1),INDEX(INPUTS!$A$42:$A$50,1),IF(AG_REQ!H111&gt;INDEX(INPUTS!$B$42:$B$50,ROWS(INPUTS!$B$42:$B$50)),"LARGER",INDEX(INPUTS!$A$42:$A$50,MATCH(AG_REQ!H111,INPUTS!$B$42:$B$50,1)+1))),IF(AG_REQ!H111&lt;=INDEX(INPUTS!$E$42:$E$50,1),INDEX(INPUTS!$D$42:$D$50,1),IF(AG_REQ!H111&gt;INDEX(INPUTS!$E$42:$E$50,ROWS(INPUTS!$E$42:$E$50)),"LARGER",INDEX(INPUTS!$D$42:$D$50,MATCH(AG_REQ!H111,INPUTS!$E$42:$E$50,1)+1)))))</f>
        <v/>
      </c>
      <c r="I111" s="4" t="str">
        <f aca="false">IF(TRIB!I111="","",IF(OR(ARCH!I111="",LEFT(ARCH!I111,3)="14x"),IF(AG_REQ!I111&lt;=INDEX(INPUTS!$B$42:$B$50,1),INDEX(INPUTS!$A$42:$A$50,1),IF(AG_REQ!I111&gt;INDEX(INPUTS!$B$42:$B$50,ROWS(INPUTS!$B$42:$B$50)),"LARGER",INDEX(INPUTS!$A$42:$A$50,MATCH(AG_REQ!I111,INPUTS!$B$42:$B$50,1)+1))),IF(AG_REQ!I111&lt;=INDEX(INPUTS!$E$42:$E$50,1),INDEX(INPUTS!$D$42:$D$50,1),IF(AG_REQ!I111&gt;INDEX(INPUTS!$E$42:$E$50,ROWS(INPUTS!$E$42:$E$50)),"LARGER",INDEX(INPUTS!$D$42:$D$50,MATCH(AG_REQ!I111,INPUTS!$E$42:$E$50,1)+1)))))</f>
        <v/>
      </c>
      <c r="J111" s="4" t="str">
        <f aca="false">IF(TRIB!J111="","",IF(OR(ARCH!J111="",LEFT(ARCH!J111,3)="14x"),IF(AG_REQ!J111&lt;=INDEX(INPUTS!$B$42:$B$50,1),INDEX(INPUTS!$A$42:$A$50,1),IF(AG_REQ!J111&gt;INDEX(INPUTS!$B$42:$B$50,ROWS(INPUTS!$B$42:$B$50)),"LARGER",INDEX(INPUTS!$A$42:$A$50,MATCH(AG_REQ!J111,INPUTS!$B$42:$B$50,1)+1))),IF(AG_REQ!J111&lt;=INDEX(INPUTS!$E$42:$E$50,1),INDEX(INPUTS!$D$42:$D$50,1),IF(AG_REQ!J111&gt;INDEX(INPUTS!$E$42:$E$50,ROWS(INPUTS!$E$42:$E$50)),"LARGER",INDEX(INPUTS!$D$42:$D$50,MATCH(AG_REQ!J111,INPUTS!$E$42:$E$50,1)+1)))))</f>
        <v/>
      </c>
      <c r="K111" s="4" t="str">
        <f aca="false">IF(TRIB!K111="","",IF(OR(ARCH!K111="",LEFT(ARCH!K111,3)="14x"),IF(AG_REQ!K111&lt;=INDEX(INPUTS!$B$42:$B$50,1),INDEX(INPUTS!$A$42:$A$50,1),IF(AG_REQ!K111&gt;INDEX(INPUTS!$B$42:$B$50,ROWS(INPUTS!$B$42:$B$50)),"LARGER",INDEX(INPUTS!$A$42:$A$50,MATCH(AG_REQ!K111,INPUTS!$B$42:$B$50,1)+1))),IF(AG_REQ!K111&lt;=INDEX(INPUTS!$E$42:$E$50,1),INDEX(INPUTS!$D$42:$D$50,1),IF(AG_REQ!K111&gt;INDEX(INPUTS!$E$42:$E$50,ROWS(INPUTS!$E$42:$E$50)),"LARGER",INDEX(INPUTS!$D$42:$D$50,MATCH(AG_REQ!K111,INPUTS!$E$42:$E$50,1)+1)))))</f>
        <v/>
      </c>
      <c r="L111" s="4" t="str">
        <f aca="false">IF(TRIB!L111="","",IF(OR(ARCH!L111="",LEFT(ARCH!L111,3)="14x"),IF(AG_REQ!L111&lt;=INDEX(INPUTS!$B$42:$B$50,1),INDEX(INPUTS!$A$42:$A$50,1),IF(AG_REQ!L111&gt;INDEX(INPUTS!$B$42:$B$50,ROWS(INPUTS!$B$42:$B$50)),"LARGER",INDEX(INPUTS!$A$42:$A$50,MATCH(AG_REQ!L111,INPUTS!$B$42:$B$50,1)+1))),IF(AG_REQ!L111&lt;=INDEX(INPUTS!$E$42:$E$50,1),INDEX(INPUTS!$D$42:$D$50,1),IF(AG_REQ!L111&gt;INDEX(INPUTS!$E$42:$E$50,ROWS(INPUTS!$E$42:$E$50)),"LARGER",INDEX(INPUTS!$D$42:$D$50,MATCH(AG_REQ!L111,INPUTS!$E$42:$E$50,1)+1)))))</f>
        <v/>
      </c>
      <c r="M111" s="4" t="str">
        <f aca="false">IF(TRIB!M111="","",IF(OR(ARCH!M111="",LEFT(ARCH!M111,3)="14x"),IF(AG_REQ!M111&lt;=INDEX(INPUTS!$B$42:$B$50,1),INDEX(INPUTS!$A$42:$A$50,1),IF(AG_REQ!M111&gt;INDEX(INPUTS!$B$42:$B$50,ROWS(INPUTS!$B$42:$B$50)),"LARGER",INDEX(INPUTS!$A$42:$A$50,MATCH(AG_REQ!M111,INPUTS!$B$42:$B$50,1)+1))),IF(AG_REQ!M111&lt;=INDEX(INPUTS!$E$42:$E$50,1),INDEX(INPUTS!$D$42:$D$50,1),IF(AG_REQ!M111&gt;INDEX(INPUTS!$E$42:$E$50,ROWS(INPUTS!$E$42:$E$50)),"LARGER",INDEX(INPUTS!$D$42:$D$50,MATCH(AG_REQ!M111,INPUTS!$E$42:$E$50,1)+1)))))</f>
        <v/>
      </c>
      <c r="N111" s="4" t="str">
        <f aca="false">IF(TRIB!N111="","",IF(OR(ARCH!N111="",LEFT(ARCH!N111,3)="14x"),IF(AG_REQ!N111&lt;=INDEX(INPUTS!$B$42:$B$50,1),INDEX(INPUTS!$A$42:$A$50,1),IF(AG_REQ!N111&gt;INDEX(INPUTS!$B$42:$B$50,ROWS(INPUTS!$B$42:$B$50)),"LARGER",INDEX(INPUTS!$A$42:$A$50,MATCH(AG_REQ!N111,INPUTS!$B$42:$B$50,1)+1))),IF(AG_REQ!N111&lt;=INDEX(INPUTS!$E$42:$E$50,1),INDEX(INPUTS!$D$42:$D$50,1),IF(AG_REQ!N111&gt;INDEX(INPUTS!$E$42:$E$50,ROWS(INPUTS!$E$42:$E$50)),"LARGER",INDEX(INPUTS!$D$42:$D$50,MATCH(AG_REQ!N111,INPUTS!$E$42:$E$50,1)+1)))))</f>
        <v/>
      </c>
      <c r="O111" s="4" t="str">
        <f aca="false">IF(TRIB!O111="","",IF(OR(ARCH!O111="",LEFT(ARCH!O111,3)="14x"),IF(AG_REQ!O111&lt;=INDEX(INPUTS!$B$42:$B$50,1),INDEX(INPUTS!$A$42:$A$50,1),IF(AG_REQ!O111&gt;INDEX(INPUTS!$B$42:$B$50,ROWS(INPUTS!$B$42:$B$50)),"LARGER",INDEX(INPUTS!$A$42:$A$50,MATCH(AG_REQ!O111,INPUTS!$B$42:$B$50,1)+1))),IF(AG_REQ!O111&lt;=INDEX(INPUTS!$E$42:$E$50,1),INDEX(INPUTS!$D$42:$D$50,1),IF(AG_REQ!O111&gt;INDEX(INPUTS!$E$42:$E$50,ROWS(INPUTS!$E$42:$E$50)),"LARGER",INDEX(INPUTS!$D$42:$D$50,MATCH(AG_REQ!O111,INPUTS!$E$42:$E$50,1)+1)))))</f>
        <v/>
      </c>
      <c r="P111" s="4" t="str">
        <f aca="false">IF(TRIB!P111="","",IF(OR(ARCH!P111="",LEFT(ARCH!P111,3)="14x"),IF(AG_REQ!P111&lt;=INDEX(INPUTS!$B$42:$B$50,1),INDEX(INPUTS!$A$42:$A$50,1),IF(AG_REQ!P111&gt;INDEX(INPUTS!$B$42:$B$50,ROWS(INPUTS!$B$42:$B$50)),"LARGER",INDEX(INPUTS!$A$42:$A$50,MATCH(AG_REQ!P111,INPUTS!$B$42:$B$50,1)+1))),IF(AG_REQ!P111&lt;=INDEX(INPUTS!$E$42:$E$50,1),INDEX(INPUTS!$D$42:$D$50,1),IF(AG_REQ!P111&gt;INDEX(INPUTS!$E$42:$E$50,ROWS(INPUTS!$E$42:$E$50)),"LARGER",INDEX(INPUTS!$D$42:$D$50,MATCH(AG_REQ!P111,INPUTS!$E$42:$E$50,1)+1)))))</f>
        <v/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4" t="str">
        <f aca="false">IF(TRIB!E112="","",IF(OR(ARCH!E112="",LEFT(ARCH!E112,3)="14x"),IF(AG_REQ!E112&lt;=INDEX(INPUTS!$B$42:$B$50,1),INDEX(INPUTS!$A$42:$A$50,1),IF(AG_REQ!E112&gt;INDEX(INPUTS!$B$42:$B$50,ROWS(INPUTS!$B$42:$B$50)),"LARGER",INDEX(INPUTS!$A$42:$A$50,MATCH(AG_REQ!E112,INPUTS!$B$42:$B$50,1)+1))),IF(AG_REQ!E112&lt;=INDEX(INPUTS!$E$42:$E$50,1),INDEX(INPUTS!$D$42:$D$50,1),IF(AG_REQ!E112&gt;INDEX(INPUTS!$E$42:$E$50,ROWS(INPUTS!$E$42:$E$50)),"LARGER",INDEX(INPUTS!$D$42:$D$50,MATCH(AG_REQ!E112,INPUTS!$E$42:$E$50,1)+1)))))</f>
        <v/>
      </c>
      <c r="F112" s="4" t="str">
        <f aca="false">IF(TRIB!F112="","",IF(OR(ARCH!F112="",LEFT(ARCH!F112,3)="14x"),IF(AG_REQ!F112&lt;=INDEX(INPUTS!$B$42:$B$50,1),INDEX(INPUTS!$A$42:$A$50,1),IF(AG_REQ!F112&gt;INDEX(INPUTS!$B$42:$B$50,ROWS(INPUTS!$B$42:$B$50)),"LARGER",INDEX(INPUTS!$A$42:$A$50,MATCH(AG_REQ!F112,INPUTS!$B$42:$B$50,1)+1))),IF(AG_REQ!F112&lt;=INDEX(INPUTS!$E$42:$E$50,1),INDEX(INPUTS!$D$42:$D$50,1),IF(AG_REQ!F112&gt;INDEX(INPUTS!$E$42:$E$50,ROWS(INPUTS!$E$42:$E$50)),"LARGER",INDEX(INPUTS!$D$42:$D$50,MATCH(AG_REQ!F112,INPUTS!$E$42:$E$50,1)+1)))))</f>
        <v>14x24</v>
      </c>
      <c r="G112" s="4" t="str">
        <f aca="false">IF(TRIB!G112="","",IF(OR(ARCH!G112="",LEFT(ARCH!G112,3)="14x"),IF(AG_REQ!G112&lt;=INDEX(INPUTS!$B$42:$B$50,1),INDEX(INPUTS!$A$42:$A$50,1),IF(AG_REQ!G112&gt;INDEX(INPUTS!$B$42:$B$50,ROWS(INPUTS!$B$42:$B$50)),"LARGER",INDEX(INPUTS!$A$42:$A$50,MATCH(AG_REQ!G112,INPUTS!$B$42:$B$50,1)+1))),IF(AG_REQ!G112&lt;=INDEX(INPUTS!$E$42:$E$50,1),INDEX(INPUTS!$D$42:$D$50,1),IF(AG_REQ!G112&gt;INDEX(INPUTS!$E$42:$E$50,ROWS(INPUTS!$E$42:$E$50)),"LARGER",INDEX(INPUTS!$D$42:$D$50,MATCH(AG_REQ!G112,INPUTS!$E$42:$E$50,1)+1)))))</f>
        <v/>
      </c>
      <c r="H112" s="4" t="str">
        <f aca="false">IF(TRIB!H112="","",IF(OR(ARCH!H112="",LEFT(ARCH!H112,3)="14x"),IF(AG_REQ!H112&lt;=INDEX(INPUTS!$B$42:$B$50,1),INDEX(INPUTS!$A$42:$A$50,1),IF(AG_REQ!H112&gt;INDEX(INPUTS!$B$42:$B$50,ROWS(INPUTS!$B$42:$B$50)),"LARGER",INDEX(INPUTS!$A$42:$A$50,MATCH(AG_REQ!H112,INPUTS!$B$42:$B$50,1)+1))),IF(AG_REQ!H112&lt;=INDEX(INPUTS!$E$42:$E$50,1),INDEX(INPUTS!$D$42:$D$50,1),IF(AG_REQ!H112&gt;INDEX(INPUTS!$E$42:$E$50,ROWS(INPUTS!$E$42:$E$50)),"LARGER",INDEX(INPUTS!$D$42:$D$50,MATCH(AG_REQ!H112,INPUTS!$E$42:$E$50,1)+1)))))</f>
        <v/>
      </c>
      <c r="I112" s="4" t="str">
        <f aca="false">IF(TRIB!I112="","",IF(OR(ARCH!I112="",LEFT(ARCH!I112,3)="14x"),IF(AG_REQ!I112&lt;=INDEX(INPUTS!$B$42:$B$50,1),INDEX(INPUTS!$A$42:$A$50,1),IF(AG_REQ!I112&gt;INDEX(INPUTS!$B$42:$B$50,ROWS(INPUTS!$B$42:$B$50)),"LARGER",INDEX(INPUTS!$A$42:$A$50,MATCH(AG_REQ!I112,INPUTS!$B$42:$B$50,1)+1))),IF(AG_REQ!I112&lt;=INDEX(INPUTS!$E$42:$E$50,1),INDEX(INPUTS!$D$42:$D$50,1),IF(AG_REQ!I112&gt;INDEX(INPUTS!$E$42:$E$50,ROWS(INPUTS!$E$42:$E$50)),"LARGER",INDEX(INPUTS!$D$42:$D$50,MATCH(AG_REQ!I112,INPUTS!$E$42:$E$50,1)+1)))))</f>
        <v/>
      </c>
      <c r="J112" s="4" t="str">
        <f aca="false">IF(TRIB!J112="","",IF(OR(ARCH!J112="",LEFT(ARCH!J112,3)="14x"),IF(AG_REQ!J112&lt;=INDEX(INPUTS!$B$42:$B$50,1),INDEX(INPUTS!$A$42:$A$50,1),IF(AG_REQ!J112&gt;INDEX(INPUTS!$B$42:$B$50,ROWS(INPUTS!$B$42:$B$50)),"LARGER",INDEX(INPUTS!$A$42:$A$50,MATCH(AG_REQ!J112,INPUTS!$B$42:$B$50,1)+1))),IF(AG_REQ!J112&lt;=INDEX(INPUTS!$E$42:$E$50,1),INDEX(INPUTS!$D$42:$D$50,1),IF(AG_REQ!J112&gt;INDEX(INPUTS!$E$42:$E$50,ROWS(INPUTS!$E$42:$E$50)),"LARGER",INDEX(INPUTS!$D$42:$D$50,MATCH(AG_REQ!J112,INPUTS!$E$42:$E$50,1)+1)))))</f>
        <v/>
      </c>
      <c r="K112" s="4" t="str">
        <f aca="false">IF(TRIB!K112="","",IF(OR(ARCH!K112="",LEFT(ARCH!K112,3)="14x"),IF(AG_REQ!K112&lt;=INDEX(INPUTS!$B$42:$B$50,1),INDEX(INPUTS!$A$42:$A$50,1),IF(AG_REQ!K112&gt;INDEX(INPUTS!$B$42:$B$50,ROWS(INPUTS!$B$42:$B$50)),"LARGER",INDEX(INPUTS!$A$42:$A$50,MATCH(AG_REQ!K112,INPUTS!$B$42:$B$50,1)+1))),IF(AG_REQ!K112&lt;=INDEX(INPUTS!$E$42:$E$50,1),INDEX(INPUTS!$D$42:$D$50,1),IF(AG_REQ!K112&gt;INDEX(INPUTS!$E$42:$E$50,ROWS(INPUTS!$E$42:$E$50)),"LARGER",INDEX(INPUTS!$D$42:$D$50,MATCH(AG_REQ!K112,INPUTS!$E$42:$E$50,1)+1)))))</f>
        <v/>
      </c>
      <c r="L112" s="4" t="str">
        <f aca="false">IF(TRIB!L112="","",IF(OR(ARCH!L112="",LEFT(ARCH!L112,3)="14x"),IF(AG_REQ!L112&lt;=INDEX(INPUTS!$B$42:$B$50,1),INDEX(INPUTS!$A$42:$A$50,1),IF(AG_REQ!L112&gt;INDEX(INPUTS!$B$42:$B$50,ROWS(INPUTS!$B$42:$B$50)),"LARGER",INDEX(INPUTS!$A$42:$A$50,MATCH(AG_REQ!L112,INPUTS!$B$42:$B$50,1)+1))),IF(AG_REQ!L112&lt;=INDEX(INPUTS!$E$42:$E$50,1),INDEX(INPUTS!$D$42:$D$50,1),IF(AG_REQ!L112&gt;INDEX(INPUTS!$E$42:$E$50,ROWS(INPUTS!$E$42:$E$50)),"LARGER",INDEX(INPUTS!$D$42:$D$50,MATCH(AG_REQ!L112,INPUTS!$E$42:$E$50,1)+1)))))</f>
        <v/>
      </c>
      <c r="M112" s="4" t="str">
        <f aca="false">IF(TRIB!M112="","",IF(OR(ARCH!M112="",LEFT(ARCH!M112,3)="14x"),IF(AG_REQ!M112&lt;=INDEX(INPUTS!$B$42:$B$50,1),INDEX(INPUTS!$A$42:$A$50,1),IF(AG_REQ!M112&gt;INDEX(INPUTS!$B$42:$B$50,ROWS(INPUTS!$B$42:$B$50)),"LARGER",INDEX(INPUTS!$A$42:$A$50,MATCH(AG_REQ!M112,INPUTS!$B$42:$B$50,1)+1))),IF(AG_REQ!M112&lt;=INDEX(INPUTS!$E$42:$E$50,1),INDEX(INPUTS!$D$42:$D$50,1),IF(AG_REQ!M112&gt;INDEX(INPUTS!$E$42:$E$50,ROWS(INPUTS!$E$42:$E$50)),"LARGER",INDEX(INPUTS!$D$42:$D$50,MATCH(AG_REQ!M112,INPUTS!$E$42:$E$50,1)+1)))))</f>
        <v/>
      </c>
      <c r="N112" s="4" t="str">
        <f aca="false">IF(TRIB!N112="","",IF(OR(ARCH!N112="",LEFT(ARCH!N112,3)="14x"),IF(AG_REQ!N112&lt;=INDEX(INPUTS!$B$42:$B$50,1),INDEX(INPUTS!$A$42:$A$50,1),IF(AG_REQ!N112&gt;INDEX(INPUTS!$B$42:$B$50,ROWS(INPUTS!$B$42:$B$50)),"LARGER",INDEX(INPUTS!$A$42:$A$50,MATCH(AG_REQ!N112,INPUTS!$B$42:$B$50,1)+1))),IF(AG_REQ!N112&lt;=INDEX(INPUTS!$E$42:$E$50,1),INDEX(INPUTS!$D$42:$D$50,1),IF(AG_REQ!N112&gt;INDEX(INPUTS!$E$42:$E$50,ROWS(INPUTS!$E$42:$E$50)),"LARGER",INDEX(INPUTS!$D$42:$D$50,MATCH(AG_REQ!N112,INPUTS!$E$42:$E$50,1)+1)))))</f>
        <v/>
      </c>
      <c r="O112" s="4" t="str">
        <f aca="false">IF(TRIB!O112="","",IF(OR(ARCH!O112="",LEFT(ARCH!O112,3)="14x"),IF(AG_REQ!O112&lt;=INDEX(INPUTS!$B$42:$B$50,1),INDEX(INPUTS!$A$42:$A$50,1),IF(AG_REQ!O112&gt;INDEX(INPUTS!$B$42:$B$50,ROWS(INPUTS!$B$42:$B$50)),"LARGER",INDEX(INPUTS!$A$42:$A$50,MATCH(AG_REQ!O112,INPUTS!$B$42:$B$50,1)+1))),IF(AG_REQ!O112&lt;=INDEX(INPUTS!$E$42:$E$50,1),INDEX(INPUTS!$D$42:$D$50,1),IF(AG_REQ!O112&gt;INDEX(INPUTS!$E$42:$E$50,ROWS(INPUTS!$E$42:$E$50)),"LARGER",INDEX(INPUTS!$D$42:$D$50,MATCH(AG_REQ!O112,INPUTS!$E$42:$E$50,1)+1)))))</f>
        <v/>
      </c>
      <c r="P112" s="4" t="str">
        <f aca="false">IF(TRIB!P112="","",IF(OR(ARCH!P112="",LEFT(ARCH!P112,3)="14x"),IF(AG_REQ!P112&lt;=INDEX(INPUTS!$B$42:$B$50,1),INDEX(INPUTS!$A$42:$A$50,1),IF(AG_REQ!P112&gt;INDEX(INPUTS!$B$42:$B$50,ROWS(INPUTS!$B$42:$B$50)),"LARGER",INDEX(INPUTS!$A$42:$A$50,MATCH(AG_REQ!P112,INPUTS!$B$42:$B$50,1)+1))),IF(AG_REQ!P112&lt;=INDEX(INPUTS!$E$42:$E$50,1),INDEX(INPUTS!$D$42:$D$50,1),IF(AG_REQ!P112&gt;INDEX(INPUTS!$E$42:$E$50,ROWS(INPUTS!$E$42:$E$50)),"LARGER",INDEX(INPUTS!$D$42:$D$50,MATCH(AG_REQ!P112,INPUTS!$E$42:$E$50,1)+1)))))</f>
        <v/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4" t="str">
        <f aca="false">IF(TRIB!E113="","",IF(OR(ARCH!E113="",LEFT(ARCH!E113,3)="14x"),IF(AG_REQ!E113&lt;=INDEX(INPUTS!$B$42:$B$50,1),INDEX(INPUTS!$A$42:$A$50,1),IF(AG_REQ!E113&gt;INDEX(INPUTS!$B$42:$B$50,ROWS(INPUTS!$B$42:$B$50)),"LARGER",INDEX(INPUTS!$A$42:$A$50,MATCH(AG_REQ!E113,INPUTS!$B$42:$B$50,1)+1))),IF(AG_REQ!E113&lt;=INDEX(INPUTS!$E$42:$E$50,1),INDEX(INPUTS!$D$42:$D$50,1),IF(AG_REQ!E113&gt;INDEX(INPUTS!$E$42:$E$50,ROWS(INPUTS!$E$42:$E$50)),"LARGER",INDEX(INPUTS!$D$42:$D$50,MATCH(AG_REQ!E113,INPUTS!$E$42:$E$50,1)+1)))))</f>
        <v/>
      </c>
      <c r="F113" s="4" t="str">
        <f aca="false">IF(TRIB!F113="","",IF(OR(ARCH!F113="",LEFT(ARCH!F113,3)="14x"),IF(AG_REQ!F113&lt;=INDEX(INPUTS!$B$42:$B$50,1),INDEX(INPUTS!$A$42:$A$50,1),IF(AG_REQ!F113&gt;INDEX(INPUTS!$B$42:$B$50,ROWS(INPUTS!$B$42:$B$50)),"LARGER",INDEX(INPUTS!$A$42:$A$50,MATCH(AG_REQ!F113,INPUTS!$B$42:$B$50,1)+1))),IF(AG_REQ!F113&lt;=INDEX(INPUTS!$E$42:$E$50,1),INDEX(INPUTS!$D$42:$D$50,1),IF(AG_REQ!F113&gt;INDEX(INPUTS!$E$42:$E$50,ROWS(INPUTS!$E$42:$E$50)),"LARGER",INDEX(INPUTS!$D$42:$D$50,MATCH(AG_REQ!F113,INPUTS!$E$42:$E$50,1)+1)))))</f>
        <v>18x18</v>
      </c>
      <c r="G113" s="4" t="str">
        <f aca="false">IF(TRIB!G113="","",IF(OR(ARCH!G113="",LEFT(ARCH!G113,3)="14x"),IF(AG_REQ!G113&lt;=INDEX(INPUTS!$B$42:$B$50,1),INDEX(INPUTS!$A$42:$A$50,1),IF(AG_REQ!G113&gt;INDEX(INPUTS!$B$42:$B$50,ROWS(INPUTS!$B$42:$B$50)),"LARGER",INDEX(INPUTS!$A$42:$A$50,MATCH(AG_REQ!G113,INPUTS!$B$42:$B$50,1)+1))),IF(AG_REQ!G113&lt;=INDEX(INPUTS!$E$42:$E$50,1),INDEX(INPUTS!$D$42:$D$50,1),IF(AG_REQ!G113&gt;INDEX(INPUTS!$E$42:$E$50,ROWS(INPUTS!$E$42:$E$50)),"LARGER",INDEX(INPUTS!$D$42:$D$50,MATCH(AG_REQ!G113,INPUTS!$E$42:$E$50,1)+1)))))</f>
        <v/>
      </c>
      <c r="H113" s="4" t="str">
        <f aca="false">IF(TRIB!H113="","",IF(OR(ARCH!H113="",LEFT(ARCH!H113,3)="14x"),IF(AG_REQ!H113&lt;=INDEX(INPUTS!$B$42:$B$50,1),INDEX(INPUTS!$A$42:$A$50,1),IF(AG_REQ!H113&gt;INDEX(INPUTS!$B$42:$B$50,ROWS(INPUTS!$B$42:$B$50)),"LARGER",INDEX(INPUTS!$A$42:$A$50,MATCH(AG_REQ!H113,INPUTS!$B$42:$B$50,1)+1))),IF(AG_REQ!H113&lt;=INDEX(INPUTS!$E$42:$E$50,1),INDEX(INPUTS!$D$42:$D$50,1),IF(AG_REQ!H113&gt;INDEX(INPUTS!$E$42:$E$50,ROWS(INPUTS!$E$42:$E$50)),"LARGER",INDEX(INPUTS!$D$42:$D$50,MATCH(AG_REQ!H113,INPUTS!$E$42:$E$50,1)+1)))))</f>
        <v/>
      </c>
      <c r="I113" s="4" t="str">
        <f aca="false">IF(TRIB!I113="","",IF(OR(ARCH!I113="",LEFT(ARCH!I113,3)="14x"),IF(AG_REQ!I113&lt;=INDEX(INPUTS!$B$42:$B$50,1),INDEX(INPUTS!$A$42:$A$50,1),IF(AG_REQ!I113&gt;INDEX(INPUTS!$B$42:$B$50,ROWS(INPUTS!$B$42:$B$50)),"LARGER",INDEX(INPUTS!$A$42:$A$50,MATCH(AG_REQ!I113,INPUTS!$B$42:$B$50,1)+1))),IF(AG_REQ!I113&lt;=INDEX(INPUTS!$E$42:$E$50,1),INDEX(INPUTS!$D$42:$D$50,1),IF(AG_REQ!I113&gt;INDEX(INPUTS!$E$42:$E$50,ROWS(INPUTS!$E$42:$E$50)),"LARGER",INDEX(INPUTS!$D$42:$D$50,MATCH(AG_REQ!I113,INPUTS!$E$42:$E$50,1)+1)))))</f>
        <v/>
      </c>
      <c r="J113" s="4" t="str">
        <f aca="false">IF(TRIB!J113="","",IF(OR(ARCH!J113="",LEFT(ARCH!J113,3)="14x"),IF(AG_REQ!J113&lt;=INDEX(INPUTS!$B$42:$B$50,1),INDEX(INPUTS!$A$42:$A$50,1),IF(AG_REQ!J113&gt;INDEX(INPUTS!$B$42:$B$50,ROWS(INPUTS!$B$42:$B$50)),"LARGER",INDEX(INPUTS!$A$42:$A$50,MATCH(AG_REQ!J113,INPUTS!$B$42:$B$50,1)+1))),IF(AG_REQ!J113&lt;=INDEX(INPUTS!$E$42:$E$50,1),INDEX(INPUTS!$D$42:$D$50,1),IF(AG_REQ!J113&gt;INDEX(INPUTS!$E$42:$E$50,ROWS(INPUTS!$E$42:$E$50)),"LARGER",INDEX(INPUTS!$D$42:$D$50,MATCH(AG_REQ!J113,INPUTS!$E$42:$E$50,1)+1)))))</f>
        <v/>
      </c>
      <c r="K113" s="4" t="str">
        <f aca="false">IF(TRIB!K113="","",IF(OR(ARCH!K113="",LEFT(ARCH!K113,3)="14x"),IF(AG_REQ!K113&lt;=INDEX(INPUTS!$B$42:$B$50,1),INDEX(INPUTS!$A$42:$A$50,1),IF(AG_REQ!K113&gt;INDEX(INPUTS!$B$42:$B$50,ROWS(INPUTS!$B$42:$B$50)),"LARGER",INDEX(INPUTS!$A$42:$A$50,MATCH(AG_REQ!K113,INPUTS!$B$42:$B$50,1)+1))),IF(AG_REQ!K113&lt;=INDEX(INPUTS!$E$42:$E$50,1),INDEX(INPUTS!$D$42:$D$50,1),IF(AG_REQ!K113&gt;INDEX(INPUTS!$E$42:$E$50,ROWS(INPUTS!$E$42:$E$50)),"LARGER",INDEX(INPUTS!$D$42:$D$50,MATCH(AG_REQ!K113,INPUTS!$E$42:$E$50,1)+1)))))</f>
        <v/>
      </c>
      <c r="L113" s="4" t="str">
        <f aca="false">IF(TRIB!L113="","",IF(OR(ARCH!L113="",LEFT(ARCH!L113,3)="14x"),IF(AG_REQ!L113&lt;=INDEX(INPUTS!$B$42:$B$50,1),INDEX(INPUTS!$A$42:$A$50,1),IF(AG_REQ!L113&gt;INDEX(INPUTS!$B$42:$B$50,ROWS(INPUTS!$B$42:$B$50)),"LARGER",INDEX(INPUTS!$A$42:$A$50,MATCH(AG_REQ!L113,INPUTS!$B$42:$B$50,1)+1))),IF(AG_REQ!L113&lt;=INDEX(INPUTS!$E$42:$E$50,1),INDEX(INPUTS!$D$42:$D$50,1),IF(AG_REQ!L113&gt;INDEX(INPUTS!$E$42:$E$50,ROWS(INPUTS!$E$42:$E$50)),"LARGER",INDEX(INPUTS!$D$42:$D$50,MATCH(AG_REQ!L113,INPUTS!$E$42:$E$50,1)+1)))))</f>
        <v/>
      </c>
      <c r="M113" s="4" t="str">
        <f aca="false">IF(TRIB!M113="","",IF(OR(ARCH!M113="",LEFT(ARCH!M113,3)="14x"),IF(AG_REQ!M113&lt;=INDEX(INPUTS!$B$42:$B$50,1),INDEX(INPUTS!$A$42:$A$50,1),IF(AG_REQ!M113&gt;INDEX(INPUTS!$B$42:$B$50,ROWS(INPUTS!$B$42:$B$50)),"LARGER",INDEX(INPUTS!$A$42:$A$50,MATCH(AG_REQ!M113,INPUTS!$B$42:$B$50,1)+1))),IF(AG_REQ!M113&lt;=INDEX(INPUTS!$E$42:$E$50,1),INDEX(INPUTS!$D$42:$D$50,1),IF(AG_REQ!M113&gt;INDEX(INPUTS!$E$42:$E$50,ROWS(INPUTS!$E$42:$E$50)),"LARGER",INDEX(INPUTS!$D$42:$D$50,MATCH(AG_REQ!M113,INPUTS!$E$42:$E$50,1)+1)))))</f>
        <v/>
      </c>
      <c r="N113" s="4" t="str">
        <f aca="false">IF(TRIB!N113="","",IF(OR(ARCH!N113="",LEFT(ARCH!N113,3)="14x"),IF(AG_REQ!N113&lt;=INDEX(INPUTS!$B$42:$B$50,1),INDEX(INPUTS!$A$42:$A$50,1),IF(AG_REQ!N113&gt;INDEX(INPUTS!$B$42:$B$50,ROWS(INPUTS!$B$42:$B$50)),"LARGER",INDEX(INPUTS!$A$42:$A$50,MATCH(AG_REQ!N113,INPUTS!$B$42:$B$50,1)+1))),IF(AG_REQ!N113&lt;=INDEX(INPUTS!$E$42:$E$50,1),INDEX(INPUTS!$D$42:$D$50,1),IF(AG_REQ!N113&gt;INDEX(INPUTS!$E$42:$E$50,ROWS(INPUTS!$E$42:$E$50)),"LARGER",INDEX(INPUTS!$D$42:$D$50,MATCH(AG_REQ!N113,INPUTS!$E$42:$E$50,1)+1)))))</f>
        <v/>
      </c>
      <c r="O113" s="4" t="str">
        <f aca="false">IF(TRIB!O113="","",IF(OR(ARCH!O113="",LEFT(ARCH!O113,3)="14x"),IF(AG_REQ!O113&lt;=INDEX(INPUTS!$B$42:$B$50,1),INDEX(INPUTS!$A$42:$A$50,1),IF(AG_REQ!O113&gt;INDEX(INPUTS!$B$42:$B$50,ROWS(INPUTS!$B$42:$B$50)),"LARGER",INDEX(INPUTS!$A$42:$A$50,MATCH(AG_REQ!O113,INPUTS!$B$42:$B$50,1)+1))),IF(AG_REQ!O113&lt;=INDEX(INPUTS!$E$42:$E$50,1),INDEX(INPUTS!$D$42:$D$50,1),IF(AG_REQ!O113&gt;INDEX(INPUTS!$E$42:$E$50,ROWS(INPUTS!$E$42:$E$50)),"LARGER",INDEX(INPUTS!$D$42:$D$50,MATCH(AG_REQ!O113,INPUTS!$E$42:$E$50,1)+1)))))</f>
        <v/>
      </c>
      <c r="P113" s="4" t="str">
        <f aca="false">IF(TRIB!P113="","",IF(OR(ARCH!P113="",LEFT(ARCH!P113,3)="14x"),IF(AG_REQ!P113&lt;=INDEX(INPUTS!$B$42:$B$50,1),INDEX(INPUTS!$A$42:$A$50,1),IF(AG_REQ!P113&gt;INDEX(INPUTS!$B$42:$B$50,ROWS(INPUTS!$B$42:$B$50)),"LARGER",INDEX(INPUTS!$A$42:$A$50,MATCH(AG_REQ!P113,INPUTS!$B$42:$B$50,1)+1))),IF(AG_REQ!P113&lt;=INDEX(INPUTS!$E$42:$E$50,1),INDEX(INPUTS!$D$42:$D$50,1),IF(AG_REQ!P113&gt;INDEX(INPUTS!$E$42:$E$50,ROWS(INPUTS!$E$42:$E$50)),"LARGER",INDEX(INPUTS!$D$42:$D$50,MATCH(AG_REQ!P113,INPUTS!$E$42:$E$50,1)+1)))))</f>
        <v/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4" t="str">
        <f aca="false">IF(TRIB!E114="","",IF(OR(ARCH!E114="",LEFT(ARCH!E114,3)="14x"),IF(AG_REQ!E114&lt;=INDEX(INPUTS!$B$42:$B$50,1),INDEX(INPUTS!$A$42:$A$50,1),IF(AG_REQ!E114&gt;INDEX(INPUTS!$B$42:$B$50,ROWS(INPUTS!$B$42:$B$50)),"LARGER",INDEX(INPUTS!$A$42:$A$50,MATCH(AG_REQ!E114,INPUTS!$B$42:$B$50,1)+1))),IF(AG_REQ!E114&lt;=INDEX(INPUTS!$E$42:$E$50,1),INDEX(INPUTS!$D$42:$D$50,1),IF(AG_REQ!E114&gt;INDEX(INPUTS!$E$42:$E$50,ROWS(INPUTS!$E$42:$E$50)),"LARGER",INDEX(INPUTS!$D$42:$D$50,MATCH(AG_REQ!E114,INPUTS!$E$42:$E$50,1)+1)))))</f>
        <v>14x24</v>
      </c>
      <c r="F114" s="4" t="str">
        <f aca="false">IF(TRIB!F114="","",IF(OR(ARCH!F114="",LEFT(ARCH!F114,3)="14x"),IF(AG_REQ!F114&lt;=INDEX(INPUTS!$B$42:$B$50,1),INDEX(INPUTS!$A$42:$A$50,1),IF(AG_REQ!F114&gt;INDEX(INPUTS!$B$42:$B$50,ROWS(INPUTS!$B$42:$B$50)),"LARGER",INDEX(INPUTS!$A$42:$A$50,MATCH(AG_REQ!F114,INPUTS!$B$42:$B$50,1)+1))),IF(AG_REQ!F114&lt;=INDEX(INPUTS!$E$42:$E$50,1),INDEX(INPUTS!$D$42:$D$50,1),IF(AG_REQ!F114&gt;INDEX(INPUTS!$E$42:$E$50,ROWS(INPUTS!$E$42:$E$50)),"LARGER",INDEX(INPUTS!$D$42:$D$50,MATCH(AG_REQ!F114,INPUTS!$E$42:$E$50,1)+1)))))</f>
        <v>14x24</v>
      </c>
      <c r="G114" s="4" t="str">
        <f aca="false">IF(TRIB!G114="","",IF(OR(ARCH!G114="",LEFT(ARCH!G114,3)="14x"),IF(AG_REQ!G114&lt;=INDEX(INPUTS!$B$42:$B$50,1),INDEX(INPUTS!$A$42:$A$50,1),IF(AG_REQ!G114&gt;INDEX(INPUTS!$B$42:$B$50,ROWS(INPUTS!$B$42:$B$50)),"LARGER",INDEX(INPUTS!$A$42:$A$50,MATCH(AG_REQ!G114,INPUTS!$B$42:$B$50,1)+1))),IF(AG_REQ!G114&lt;=INDEX(INPUTS!$E$42:$E$50,1),INDEX(INPUTS!$D$42:$D$50,1),IF(AG_REQ!G114&gt;INDEX(INPUTS!$E$42:$E$50,ROWS(INPUTS!$E$42:$E$50)),"LARGER",INDEX(INPUTS!$D$42:$D$50,MATCH(AG_REQ!G114,INPUTS!$E$42:$E$50,1)+1)))))</f>
        <v/>
      </c>
      <c r="H114" s="4" t="str">
        <f aca="false">IF(TRIB!H114="","",IF(OR(ARCH!H114="",LEFT(ARCH!H114,3)="14x"),IF(AG_REQ!H114&lt;=INDEX(INPUTS!$B$42:$B$50,1),INDEX(INPUTS!$A$42:$A$50,1),IF(AG_REQ!H114&gt;INDEX(INPUTS!$B$42:$B$50,ROWS(INPUTS!$B$42:$B$50)),"LARGER",INDEX(INPUTS!$A$42:$A$50,MATCH(AG_REQ!H114,INPUTS!$B$42:$B$50,1)+1))),IF(AG_REQ!H114&lt;=INDEX(INPUTS!$E$42:$E$50,1),INDEX(INPUTS!$D$42:$D$50,1),IF(AG_REQ!H114&gt;INDEX(INPUTS!$E$42:$E$50,ROWS(INPUTS!$E$42:$E$50)),"LARGER",INDEX(INPUTS!$D$42:$D$50,MATCH(AG_REQ!H114,INPUTS!$E$42:$E$50,1)+1)))))</f>
        <v/>
      </c>
      <c r="I114" s="4" t="str">
        <f aca="false">IF(TRIB!I114="","",IF(OR(ARCH!I114="",LEFT(ARCH!I114,3)="14x"),IF(AG_REQ!I114&lt;=INDEX(INPUTS!$B$42:$B$50,1),INDEX(INPUTS!$A$42:$A$50,1),IF(AG_REQ!I114&gt;INDEX(INPUTS!$B$42:$B$50,ROWS(INPUTS!$B$42:$B$50)),"LARGER",INDEX(INPUTS!$A$42:$A$50,MATCH(AG_REQ!I114,INPUTS!$B$42:$B$50,1)+1))),IF(AG_REQ!I114&lt;=INDEX(INPUTS!$E$42:$E$50,1),INDEX(INPUTS!$D$42:$D$50,1),IF(AG_REQ!I114&gt;INDEX(INPUTS!$E$42:$E$50,ROWS(INPUTS!$E$42:$E$50)),"LARGER",INDEX(INPUTS!$D$42:$D$50,MATCH(AG_REQ!I114,INPUTS!$E$42:$E$50,1)+1)))))</f>
        <v/>
      </c>
      <c r="J114" s="4" t="str">
        <f aca="false">IF(TRIB!J114="","",IF(OR(ARCH!J114="",LEFT(ARCH!J114,3)="14x"),IF(AG_REQ!J114&lt;=INDEX(INPUTS!$B$42:$B$50,1),INDEX(INPUTS!$A$42:$A$50,1),IF(AG_REQ!J114&gt;INDEX(INPUTS!$B$42:$B$50,ROWS(INPUTS!$B$42:$B$50)),"LARGER",INDEX(INPUTS!$A$42:$A$50,MATCH(AG_REQ!J114,INPUTS!$B$42:$B$50,1)+1))),IF(AG_REQ!J114&lt;=INDEX(INPUTS!$E$42:$E$50,1),INDEX(INPUTS!$D$42:$D$50,1),IF(AG_REQ!J114&gt;INDEX(INPUTS!$E$42:$E$50,ROWS(INPUTS!$E$42:$E$50)),"LARGER",INDEX(INPUTS!$D$42:$D$50,MATCH(AG_REQ!J114,INPUTS!$E$42:$E$50,1)+1)))))</f>
        <v/>
      </c>
      <c r="K114" s="4" t="str">
        <f aca="false">IF(TRIB!K114="","",IF(OR(ARCH!K114="",LEFT(ARCH!K114,3)="14x"),IF(AG_REQ!K114&lt;=INDEX(INPUTS!$B$42:$B$50,1),INDEX(INPUTS!$A$42:$A$50,1),IF(AG_REQ!K114&gt;INDEX(INPUTS!$B$42:$B$50,ROWS(INPUTS!$B$42:$B$50)),"LARGER",INDEX(INPUTS!$A$42:$A$50,MATCH(AG_REQ!K114,INPUTS!$B$42:$B$50,1)+1))),IF(AG_REQ!K114&lt;=INDEX(INPUTS!$E$42:$E$50,1),INDEX(INPUTS!$D$42:$D$50,1),IF(AG_REQ!K114&gt;INDEX(INPUTS!$E$42:$E$50,ROWS(INPUTS!$E$42:$E$50)),"LARGER",INDEX(INPUTS!$D$42:$D$50,MATCH(AG_REQ!K114,INPUTS!$E$42:$E$50,1)+1)))))</f>
        <v/>
      </c>
      <c r="L114" s="4" t="str">
        <f aca="false">IF(TRIB!L114="","",IF(OR(ARCH!L114="",LEFT(ARCH!L114,3)="14x"),IF(AG_REQ!L114&lt;=INDEX(INPUTS!$B$42:$B$50,1),INDEX(INPUTS!$A$42:$A$50,1),IF(AG_REQ!L114&gt;INDEX(INPUTS!$B$42:$B$50,ROWS(INPUTS!$B$42:$B$50)),"LARGER",INDEX(INPUTS!$A$42:$A$50,MATCH(AG_REQ!L114,INPUTS!$B$42:$B$50,1)+1))),IF(AG_REQ!L114&lt;=INDEX(INPUTS!$E$42:$E$50,1),INDEX(INPUTS!$D$42:$D$50,1),IF(AG_REQ!L114&gt;INDEX(INPUTS!$E$42:$E$50,ROWS(INPUTS!$E$42:$E$50)),"LARGER",INDEX(INPUTS!$D$42:$D$50,MATCH(AG_REQ!L114,INPUTS!$E$42:$E$50,1)+1)))))</f>
        <v/>
      </c>
      <c r="M114" s="4" t="str">
        <f aca="false">IF(TRIB!M114="","",IF(OR(ARCH!M114="",LEFT(ARCH!M114,3)="14x"),IF(AG_REQ!M114&lt;=INDEX(INPUTS!$B$42:$B$50,1),INDEX(INPUTS!$A$42:$A$50,1),IF(AG_REQ!M114&gt;INDEX(INPUTS!$B$42:$B$50,ROWS(INPUTS!$B$42:$B$50)),"LARGER",INDEX(INPUTS!$A$42:$A$50,MATCH(AG_REQ!M114,INPUTS!$B$42:$B$50,1)+1))),IF(AG_REQ!M114&lt;=INDEX(INPUTS!$E$42:$E$50,1),INDEX(INPUTS!$D$42:$D$50,1),IF(AG_REQ!M114&gt;INDEX(INPUTS!$E$42:$E$50,ROWS(INPUTS!$E$42:$E$50)),"LARGER",INDEX(INPUTS!$D$42:$D$50,MATCH(AG_REQ!M114,INPUTS!$E$42:$E$50,1)+1)))))</f>
        <v/>
      </c>
      <c r="N114" s="4" t="str">
        <f aca="false">IF(TRIB!N114="","",IF(OR(ARCH!N114="",LEFT(ARCH!N114,3)="14x"),IF(AG_REQ!N114&lt;=INDEX(INPUTS!$B$42:$B$50,1),INDEX(INPUTS!$A$42:$A$50,1),IF(AG_REQ!N114&gt;INDEX(INPUTS!$B$42:$B$50,ROWS(INPUTS!$B$42:$B$50)),"LARGER",INDEX(INPUTS!$A$42:$A$50,MATCH(AG_REQ!N114,INPUTS!$B$42:$B$50,1)+1))),IF(AG_REQ!N114&lt;=INDEX(INPUTS!$E$42:$E$50,1),INDEX(INPUTS!$D$42:$D$50,1),IF(AG_REQ!N114&gt;INDEX(INPUTS!$E$42:$E$50,ROWS(INPUTS!$E$42:$E$50)),"LARGER",INDEX(INPUTS!$D$42:$D$50,MATCH(AG_REQ!N114,INPUTS!$E$42:$E$50,1)+1)))))</f>
        <v/>
      </c>
      <c r="O114" s="4" t="str">
        <f aca="false">IF(TRIB!O114="","",IF(OR(ARCH!O114="",LEFT(ARCH!O114,3)="14x"),IF(AG_REQ!O114&lt;=INDEX(INPUTS!$B$42:$B$50,1),INDEX(INPUTS!$A$42:$A$50,1),IF(AG_REQ!O114&gt;INDEX(INPUTS!$B$42:$B$50,ROWS(INPUTS!$B$42:$B$50)),"LARGER",INDEX(INPUTS!$A$42:$A$50,MATCH(AG_REQ!O114,INPUTS!$B$42:$B$50,1)+1))),IF(AG_REQ!O114&lt;=INDEX(INPUTS!$E$42:$E$50,1),INDEX(INPUTS!$D$42:$D$50,1),IF(AG_REQ!O114&gt;INDEX(INPUTS!$E$42:$E$50,ROWS(INPUTS!$E$42:$E$50)),"LARGER",INDEX(INPUTS!$D$42:$D$50,MATCH(AG_REQ!O114,INPUTS!$E$42:$E$50,1)+1)))))</f>
        <v/>
      </c>
      <c r="P114" s="4" t="str">
        <f aca="false">IF(TRIB!P114="","",IF(OR(ARCH!P114="",LEFT(ARCH!P114,3)="14x"),IF(AG_REQ!P114&lt;=INDEX(INPUTS!$B$42:$B$50,1),INDEX(INPUTS!$A$42:$A$50,1),IF(AG_REQ!P114&gt;INDEX(INPUTS!$B$42:$B$50,ROWS(INPUTS!$B$42:$B$50)),"LARGER",INDEX(INPUTS!$A$42:$A$50,MATCH(AG_REQ!P114,INPUTS!$B$42:$B$50,1)+1))),IF(AG_REQ!P114&lt;=INDEX(INPUTS!$E$42:$E$50,1),INDEX(INPUTS!$D$42:$D$50,1),IF(AG_REQ!P114&gt;INDEX(INPUTS!$E$42:$E$50,ROWS(INPUTS!$E$42:$E$50)),"LARGER",INDEX(INPUTS!$D$42:$D$50,MATCH(AG_REQ!P114,INPUTS!$E$42:$E$50,1)+1)))))</f>
        <v/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4" t="str">
        <f aca="false">IF(TRIB!E115="","",IF(OR(ARCH!E115="",LEFT(ARCH!E115,3)="14x"),IF(AG_REQ!E115&lt;=INDEX(INPUTS!$B$42:$B$50,1),INDEX(INPUTS!$A$42:$A$50,1),IF(AG_REQ!E115&gt;INDEX(INPUTS!$B$42:$B$50,ROWS(INPUTS!$B$42:$B$50)),"LARGER",INDEX(INPUTS!$A$42:$A$50,MATCH(AG_REQ!E115,INPUTS!$B$42:$B$50,1)+1))),IF(AG_REQ!E115&lt;=INDEX(INPUTS!$E$42:$E$50,1),INDEX(INPUTS!$D$42:$D$50,1),IF(AG_REQ!E115&gt;INDEX(INPUTS!$E$42:$E$50,ROWS(INPUTS!$E$42:$E$50)),"LARGER",INDEX(INPUTS!$D$42:$D$50,MATCH(AG_REQ!E115,INPUTS!$E$42:$E$50,1)+1)))))</f>
        <v>14x24</v>
      </c>
      <c r="F115" s="4" t="str">
        <f aca="false">IF(TRIB!F115="","",IF(OR(ARCH!F115="",LEFT(ARCH!F115,3)="14x"),IF(AG_REQ!F115&lt;=INDEX(INPUTS!$B$42:$B$50,1),INDEX(INPUTS!$A$42:$A$50,1),IF(AG_REQ!F115&gt;INDEX(INPUTS!$B$42:$B$50,ROWS(INPUTS!$B$42:$B$50)),"LARGER",INDEX(INPUTS!$A$42:$A$50,MATCH(AG_REQ!F115,INPUTS!$B$42:$B$50,1)+1))),IF(AG_REQ!F115&lt;=INDEX(INPUTS!$E$42:$E$50,1),INDEX(INPUTS!$D$42:$D$50,1),IF(AG_REQ!F115&gt;INDEX(INPUTS!$E$42:$E$50,ROWS(INPUTS!$E$42:$E$50)),"LARGER",INDEX(INPUTS!$D$42:$D$50,MATCH(AG_REQ!F115,INPUTS!$E$42:$E$50,1)+1)))))</f>
        <v>14x24</v>
      </c>
      <c r="G115" s="4" t="str">
        <f aca="false">IF(TRIB!G115="","",IF(OR(ARCH!G115="",LEFT(ARCH!G115,3)="14x"),IF(AG_REQ!G115&lt;=INDEX(INPUTS!$B$42:$B$50,1),INDEX(INPUTS!$A$42:$A$50,1),IF(AG_REQ!G115&gt;INDEX(INPUTS!$B$42:$B$50,ROWS(INPUTS!$B$42:$B$50)),"LARGER",INDEX(INPUTS!$A$42:$A$50,MATCH(AG_REQ!G115,INPUTS!$B$42:$B$50,1)+1))),IF(AG_REQ!G115&lt;=INDEX(INPUTS!$E$42:$E$50,1),INDEX(INPUTS!$D$42:$D$50,1),IF(AG_REQ!G115&gt;INDEX(INPUTS!$E$42:$E$50,ROWS(INPUTS!$E$42:$E$50)),"LARGER",INDEX(INPUTS!$D$42:$D$50,MATCH(AG_REQ!G115,INPUTS!$E$42:$E$50,1)+1)))))</f>
        <v/>
      </c>
      <c r="H115" s="4" t="str">
        <f aca="false">IF(TRIB!H115="","",IF(OR(ARCH!H115="",LEFT(ARCH!H115,3)="14x"),IF(AG_REQ!H115&lt;=INDEX(INPUTS!$B$42:$B$50,1),INDEX(INPUTS!$A$42:$A$50,1),IF(AG_REQ!H115&gt;INDEX(INPUTS!$B$42:$B$50,ROWS(INPUTS!$B$42:$B$50)),"LARGER",INDEX(INPUTS!$A$42:$A$50,MATCH(AG_REQ!H115,INPUTS!$B$42:$B$50,1)+1))),IF(AG_REQ!H115&lt;=INDEX(INPUTS!$E$42:$E$50,1),INDEX(INPUTS!$D$42:$D$50,1),IF(AG_REQ!H115&gt;INDEX(INPUTS!$E$42:$E$50,ROWS(INPUTS!$E$42:$E$50)),"LARGER",INDEX(INPUTS!$D$42:$D$50,MATCH(AG_REQ!H115,INPUTS!$E$42:$E$50,1)+1)))))</f>
        <v/>
      </c>
      <c r="I115" s="4" t="str">
        <f aca="false">IF(TRIB!I115="","",IF(OR(ARCH!I115="",LEFT(ARCH!I115,3)="14x"),IF(AG_REQ!I115&lt;=INDEX(INPUTS!$B$42:$B$50,1),INDEX(INPUTS!$A$42:$A$50,1),IF(AG_REQ!I115&gt;INDEX(INPUTS!$B$42:$B$50,ROWS(INPUTS!$B$42:$B$50)),"LARGER",INDEX(INPUTS!$A$42:$A$50,MATCH(AG_REQ!I115,INPUTS!$B$42:$B$50,1)+1))),IF(AG_REQ!I115&lt;=INDEX(INPUTS!$E$42:$E$50,1),INDEX(INPUTS!$D$42:$D$50,1),IF(AG_REQ!I115&gt;INDEX(INPUTS!$E$42:$E$50,ROWS(INPUTS!$E$42:$E$50)),"LARGER",INDEX(INPUTS!$D$42:$D$50,MATCH(AG_REQ!I115,INPUTS!$E$42:$E$50,1)+1)))))</f>
        <v/>
      </c>
      <c r="J115" s="4" t="str">
        <f aca="false">IF(TRIB!J115="","",IF(OR(ARCH!J115="",LEFT(ARCH!J115,3)="14x"),IF(AG_REQ!J115&lt;=INDEX(INPUTS!$B$42:$B$50,1),INDEX(INPUTS!$A$42:$A$50,1),IF(AG_REQ!J115&gt;INDEX(INPUTS!$B$42:$B$50,ROWS(INPUTS!$B$42:$B$50)),"LARGER",INDEX(INPUTS!$A$42:$A$50,MATCH(AG_REQ!J115,INPUTS!$B$42:$B$50,1)+1))),IF(AG_REQ!J115&lt;=INDEX(INPUTS!$E$42:$E$50,1),INDEX(INPUTS!$D$42:$D$50,1),IF(AG_REQ!J115&gt;INDEX(INPUTS!$E$42:$E$50,ROWS(INPUTS!$E$42:$E$50)),"LARGER",INDEX(INPUTS!$D$42:$D$50,MATCH(AG_REQ!J115,INPUTS!$E$42:$E$50,1)+1)))))</f>
        <v/>
      </c>
      <c r="K115" s="4" t="str">
        <f aca="false">IF(TRIB!K115="","",IF(OR(ARCH!K115="",LEFT(ARCH!K115,3)="14x"),IF(AG_REQ!K115&lt;=INDEX(INPUTS!$B$42:$B$50,1),INDEX(INPUTS!$A$42:$A$50,1),IF(AG_REQ!K115&gt;INDEX(INPUTS!$B$42:$B$50,ROWS(INPUTS!$B$42:$B$50)),"LARGER",INDEX(INPUTS!$A$42:$A$50,MATCH(AG_REQ!K115,INPUTS!$B$42:$B$50,1)+1))),IF(AG_REQ!K115&lt;=INDEX(INPUTS!$E$42:$E$50,1),INDEX(INPUTS!$D$42:$D$50,1),IF(AG_REQ!K115&gt;INDEX(INPUTS!$E$42:$E$50,ROWS(INPUTS!$E$42:$E$50)),"LARGER",INDEX(INPUTS!$D$42:$D$50,MATCH(AG_REQ!K115,INPUTS!$E$42:$E$50,1)+1)))))</f>
        <v/>
      </c>
      <c r="L115" s="4" t="str">
        <f aca="false">IF(TRIB!L115="","",IF(OR(ARCH!L115="",LEFT(ARCH!L115,3)="14x"),IF(AG_REQ!L115&lt;=INDEX(INPUTS!$B$42:$B$50,1),INDEX(INPUTS!$A$42:$A$50,1),IF(AG_REQ!L115&gt;INDEX(INPUTS!$B$42:$B$50,ROWS(INPUTS!$B$42:$B$50)),"LARGER",INDEX(INPUTS!$A$42:$A$50,MATCH(AG_REQ!L115,INPUTS!$B$42:$B$50,1)+1))),IF(AG_REQ!L115&lt;=INDEX(INPUTS!$E$42:$E$50,1),INDEX(INPUTS!$D$42:$D$50,1),IF(AG_REQ!L115&gt;INDEX(INPUTS!$E$42:$E$50,ROWS(INPUTS!$E$42:$E$50)),"LARGER",INDEX(INPUTS!$D$42:$D$50,MATCH(AG_REQ!L115,INPUTS!$E$42:$E$50,1)+1)))))</f>
        <v/>
      </c>
      <c r="M115" s="4" t="str">
        <f aca="false">IF(TRIB!M115="","",IF(OR(ARCH!M115="",LEFT(ARCH!M115,3)="14x"),IF(AG_REQ!M115&lt;=INDEX(INPUTS!$B$42:$B$50,1),INDEX(INPUTS!$A$42:$A$50,1),IF(AG_REQ!M115&gt;INDEX(INPUTS!$B$42:$B$50,ROWS(INPUTS!$B$42:$B$50)),"LARGER",INDEX(INPUTS!$A$42:$A$50,MATCH(AG_REQ!M115,INPUTS!$B$42:$B$50,1)+1))),IF(AG_REQ!M115&lt;=INDEX(INPUTS!$E$42:$E$50,1),INDEX(INPUTS!$D$42:$D$50,1),IF(AG_REQ!M115&gt;INDEX(INPUTS!$E$42:$E$50,ROWS(INPUTS!$E$42:$E$50)),"LARGER",INDEX(INPUTS!$D$42:$D$50,MATCH(AG_REQ!M115,INPUTS!$E$42:$E$50,1)+1)))))</f>
        <v/>
      </c>
      <c r="N115" s="4" t="str">
        <f aca="false">IF(TRIB!N115="","",IF(OR(ARCH!N115="",LEFT(ARCH!N115,3)="14x"),IF(AG_REQ!N115&lt;=INDEX(INPUTS!$B$42:$B$50,1),INDEX(INPUTS!$A$42:$A$50,1),IF(AG_REQ!N115&gt;INDEX(INPUTS!$B$42:$B$50,ROWS(INPUTS!$B$42:$B$50)),"LARGER",INDEX(INPUTS!$A$42:$A$50,MATCH(AG_REQ!N115,INPUTS!$B$42:$B$50,1)+1))),IF(AG_REQ!N115&lt;=INDEX(INPUTS!$E$42:$E$50,1),INDEX(INPUTS!$D$42:$D$50,1),IF(AG_REQ!N115&gt;INDEX(INPUTS!$E$42:$E$50,ROWS(INPUTS!$E$42:$E$50)),"LARGER",INDEX(INPUTS!$D$42:$D$50,MATCH(AG_REQ!N115,INPUTS!$E$42:$E$50,1)+1)))))</f>
        <v/>
      </c>
      <c r="O115" s="4" t="str">
        <f aca="false">IF(TRIB!O115="","",IF(OR(ARCH!O115="",LEFT(ARCH!O115,3)="14x"),IF(AG_REQ!O115&lt;=INDEX(INPUTS!$B$42:$B$50,1),INDEX(INPUTS!$A$42:$A$50,1),IF(AG_REQ!O115&gt;INDEX(INPUTS!$B$42:$B$50,ROWS(INPUTS!$B$42:$B$50)),"LARGER",INDEX(INPUTS!$A$42:$A$50,MATCH(AG_REQ!O115,INPUTS!$B$42:$B$50,1)+1))),IF(AG_REQ!O115&lt;=INDEX(INPUTS!$E$42:$E$50,1),INDEX(INPUTS!$D$42:$D$50,1),IF(AG_REQ!O115&gt;INDEX(INPUTS!$E$42:$E$50,ROWS(INPUTS!$E$42:$E$50)),"LARGER",INDEX(INPUTS!$D$42:$D$50,MATCH(AG_REQ!O115,INPUTS!$E$42:$E$50,1)+1)))))</f>
        <v/>
      </c>
      <c r="P115" s="4" t="str">
        <f aca="false">IF(TRIB!P115="","",IF(OR(ARCH!P115="",LEFT(ARCH!P115,3)="14x"),IF(AG_REQ!P115&lt;=INDEX(INPUTS!$B$42:$B$50,1),INDEX(INPUTS!$A$42:$A$50,1),IF(AG_REQ!P115&gt;INDEX(INPUTS!$B$42:$B$50,ROWS(INPUTS!$B$42:$B$50)),"LARGER",INDEX(INPUTS!$A$42:$A$50,MATCH(AG_REQ!P115,INPUTS!$B$42:$B$50,1)+1))),IF(AG_REQ!P115&lt;=INDEX(INPUTS!$E$42:$E$50,1),INDEX(INPUTS!$D$42:$D$50,1),IF(AG_REQ!P115&gt;INDEX(INPUTS!$E$42:$E$50,ROWS(INPUTS!$E$42:$E$50)),"LARGER",INDEX(INPUTS!$D$42:$D$50,MATCH(AG_REQ!P115,INPUTS!$E$42:$E$50,1)+1)))))</f>
        <v/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4" t="str">
        <f aca="false">IF(TRIB!E116="","",IF(OR(ARCH!E116="",LEFT(ARCH!E116,3)="14x"),IF(AG_REQ!E116&lt;=INDEX(INPUTS!$B$42:$B$50,1),INDEX(INPUTS!$A$42:$A$50,1),IF(AG_REQ!E116&gt;INDEX(INPUTS!$B$42:$B$50,ROWS(INPUTS!$B$42:$B$50)),"LARGER",INDEX(INPUTS!$A$42:$A$50,MATCH(AG_REQ!E116,INPUTS!$B$42:$B$50,1)+1))),IF(AG_REQ!E116&lt;=INDEX(INPUTS!$E$42:$E$50,1),INDEX(INPUTS!$D$42:$D$50,1),IF(AG_REQ!E116&gt;INDEX(INPUTS!$E$42:$E$50,ROWS(INPUTS!$E$42:$E$50)),"LARGER",INDEX(INPUTS!$D$42:$D$50,MATCH(AG_REQ!E116,INPUTS!$E$42:$E$50,1)+1)))))</f>
        <v>14x24</v>
      </c>
      <c r="F116" s="4" t="str">
        <f aca="false">IF(TRIB!F116="","",IF(OR(ARCH!F116="",LEFT(ARCH!F116,3)="14x"),IF(AG_REQ!F116&lt;=INDEX(INPUTS!$B$42:$B$50,1),INDEX(INPUTS!$A$42:$A$50,1),IF(AG_REQ!F116&gt;INDEX(INPUTS!$B$42:$B$50,ROWS(INPUTS!$B$42:$B$50)),"LARGER",INDEX(INPUTS!$A$42:$A$50,MATCH(AG_REQ!F116,INPUTS!$B$42:$B$50,1)+1))),IF(AG_REQ!F116&lt;=INDEX(INPUTS!$E$42:$E$50,1),INDEX(INPUTS!$D$42:$D$50,1),IF(AG_REQ!F116&gt;INDEX(INPUTS!$E$42:$E$50,ROWS(INPUTS!$E$42:$E$50)),"LARGER",INDEX(INPUTS!$D$42:$D$50,MATCH(AG_REQ!F116,INPUTS!$E$42:$E$50,1)+1)))))</f>
        <v>14x24</v>
      </c>
      <c r="G116" s="4" t="str">
        <f aca="false">IF(TRIB!G116="","",IF(OR(ARCH!G116="",LEFT(ARCH!G116,3)="14x"),IF(AG_REQ!G116&lt;=INDEX(INPUTS!$B$42:$B$50,1),INDEX(INPUTS!$A$42:$A$50,1),IF(AG_REQ!G116&gt;INDEX(INPUTS!$B$42:$B$50,ROWS(INPUTS!$B$42:$B$50)),"LARGER",INDEX(INPUTS!$A$42:$A$50,MATCH(AG_REQ!G116,INPUTS!$B$42:$B$50,1)+1))),IF(AG_REQ!G116&lt;=INDEX(INPUTS!$E$42:$E$50,1),INDEX(INPUTS!$D$42:$D$50,1),IF(AG_REQ!G116&gt;INDEX(INPUTS!$E$42:$E$50,ROWS(INPUTS!$E$42:$E$50)),"LARGER",INDEX(INPUTS!$D$42:$D$50,MATCH(AG_REQ!G116,INPUTS!$E$42:$E$50,1)+1)))))</f>
        <v/>
      </c>
      <c r="H116" s="4" t="str">
        <f aca="false">IF(TRIB!H116="","",IF(OR(ARCH!H116="",LEFT(ARCH!H116,3)="14x"),IF(AG_REQ!H116&lt;=INDEX(INPUTS!$B$42:$B$50,1),INDEX(INPUTS!$A$42:$A$50,1),IF(AG_REQ!H116&gt;INDEX(INPUTS!$B$42:$B$50,ROWS(INPUTS!$B$42:$B$50)),"LARGER",INDEX(INPUTS!$A$42:$A$50,MATCH(AG_REQ!H116,INPUTS!$B$42:$B$50,1)+1))),IF(AG_REQ!H116&lt;=INDEX(INPUTS!$E$42:$E$50,1),INDEX(INPUTS!$D$42:$D$50,1),IF(AG_REQ!H116&gt;INDEX(INPUTS!$E$42:$E$50,ROWS(INPUTS!$E$42:$E$50)),"LARGER",INDEX(INPUTS!$D$42:$D$50,MATCH(AG_REQ!H116,INPUTS!$E$42:$E$50,1)+1)))))</f>
        <v/>
      </c>
      <c r="I116" s="4" t="str">
        <f aca="false">IF(TRIB!I116="","",IF(OR(ARCH!I116="",LEFT(ARCH!I116,3)="14x"),IF(AG_REQ!I116&lt;=INDEX(INPUTS!$B$42:$B$50,1),INDEX(INPUTS!$A$42:$A$50,1),IF(AG_REQ!I116&gt;INDEX(INPUTS!$B$42:$B$50,ROWS(INPUTS!$B$42:$B$50)),"LARGER",INDEX(INPUTS!$A$42:$A$50,MATCH(AG_REQ!I116,INPUTS!$B$42:$B$50,1)+1))),IF(AG_REQ!I116&lt;=INDEX(INPUTS!$E$42:$E$50,1),INDEX(INPUTS!$D$42:$D$50,1),IF(AG_REQ!I116&gt;INDEX(INPUTS!$E$42:$E$50,ROWS(INPUTS!$E$42:$E$50)),"LARGER",INDEX(INPUTS!$D$42:$D$50,MATCH(AG_REQ!I116,INPUTS!$E$42:$E$50,1)+1)))))</f>
        <v/>
      </c>
      <c r="J116" s="4" t="str">
        <f aca="false">IF(TRIB!J116="","",IF(OR(ARCH!J116="",LEFT(ARCH!J116,3)="14x"),IF(AG_REQ!J116&lt;=INDEX(INPUTS!$B$42:$B$50,1),INDEX(INPUTS!$A$42:$A$50,1),IF(AG_REQ!J116&gt;INDEX(INPUTS!$B$42:$B$50,ROWS(INPUTS!$B$42:$B$50)),"LARGER",INDEX(INPUTS!$A$42:$A$50,MATCH(AG_REQ!J116,INPUTS!$B$42:$B$50,1)+1))),IF(AG_REQ!J116&lt;=INDEX(INPUTS!$E$42:$E$50,1),INDEX(INPUTS!$D$42:$D$50,1),IF(AG_REQ!J116&gt;INDEX(INPUTS!$E$42:$E$50,ROWS(INPUTS!$E$42:$E$50)),"LARGER",INDEX(INPUTS!$D$42:$D$50,MATCH(AG_REQ!J116,INPUTS!$E$42:$E$50,1)+1)))))</f>
        <v/>
      </c>
      <c r="K116" s="4" t="str">
        <f aca="false">IF(TRIB!K116="","",IF(OR(ARCH!K116="",LEFT(ARCH!K116,3)="14x"),IF(AG_REQ!K116&lt;=INDEX(INPUTS!$B$42:$B$50,1),INDEX(INPUTS!$A$42:$A$50,1),IF(AG_REQ!K116&gt;INDEX(INPUTS!$B$42:$B$50,ROWS(INPUTS!$B$42:$B$50)),"LARGER",INDEX(INPUTS!$A$42:$A$50,MATCH(AG_REQ!K116,INPUTS!$B$42:$B$50,1)+1))),IF(AG_REQ!K116&lt;=INDEX(INPUTS!$E$42:$E$50,1),INDEX(INPUTS!$D$42:$D$50,1),IF(AG_REQ!K116&gt;INDEX(INPUTS!$E$42:$E$50,ROWS(INPUTS!$E$42:$E$50)),"LARGER",INDEX(INPUTS!$D$42:$D$50,MATCH(AG_REQ!K116,INPUTS!$E$42:$E$50,1)+1)))))</f>
        <v/>
      </c>
      <c r="L116" s="4" t="str">
        <f aca="false">IF(TRIB!L116="","",IF(OR(ARCH!L116="",LEFT(ARCH!L116,3)="14x"),IF(AG_REQ!L116&lt;=INDEX(INPUTS!$B$42:$B$50,1),INDEX(INPUTS!$A$42:$A$50,1),IF(AG_REQ!L116&gt;INDEX(INPUTS!$B$42:$B$50,ROWS(INPUTS!$B$42:$B$50)),"LARGER",INDEX(INPUTS!$A$42:$A$50,MATCH(AG_REQ!L116,INPUTS!$B$42:$B$50,1)+1))),IF(AG_REQ!L116&lt;=INDEX(INPUTS!$E$42:$E$50,1),INDEX(INPUTS!$D$42:$D$50,1),IF(AG_REQ!L116&gt;INDEX(INPUTS!$E$42:$E$50,ROWS(INPUTS!$E$42:$E$50)),"LARGER",INDEX(INPUTS!$D$42:$D$50,MATCH(AG_REQ!L116,INPUTS!$E$42:$E$50,1)+1)))))</f>
        <v/>
      </c>
      <c r="M116" s="4" t="str">
        <f aca="false">IF(TRIB!M116="","",IF(OR(ARCH!M116="",LEFT(ARCH!M116,3)="14x"),IF(AG_REQ!M116&lt;=INDEX(INPUTS!$B$42:$B$50,1),INDEX(INPUTS!$A$42:$A$50,1),IF(AG_REQ!M116&gt;INDEX(INPUTS!$B$42:$B$50,ROWS(INPUTS!$B$42:$B$50)),"LARGER",INDEX(INPUTS!$A$42:$A$50,MATCH(AG_REQ!M116,INPUTS!$B$42:$B$50,1)+1))),IF(AG_REQ!M116&lt;=INDEX(INPUTS!$E$42:$E$50,1),INDEX(INPUTS!$D$42:$D$50,1),IF(AG_REQ!M116&gt;INDEX(INPUTS!$E$42:$E$50,ROWS(INPUTS!$E$42:$E$50)),"LARGER",INDEX(INPUTS!$D$42:$D$50,MATCH(AG_REQ!M116,INPUTS!$E$42:$E$50,1)+1)))))</f>
        <v/>
      </c>
      <c r="N116" s="4" t="str">
        <f aca="false">IF(TRIB!N116="","",IF(OR(ARCH!N116="",LEFT(ARCH!N116,3)="14x"),IF(AG_REQ!N116&lt;=INDEX(INPUTS!$B$42:$B$50,1),INDEX(INPUTS!$A$42:$A$50,1),IF(AG_REQ!N116&gt;INDEX(INPUTS!$B$42:$B$50,ROWS(INPUTS!$B$42:$B$50)),"LARGER",INDEX(INPUTS!$A$42:$A$50,MATCH(AG_REQ!N116,INPUTS!$B$42:$B$50,1)+1))),IF(AG_REQ!N116&lt;=INDEX(INPUTS!$E$42:$E$50,1),INDEX(INPUTS!$D$42:$D$50,1),IF(AG_REQ!N116&gt;INDEX(INPUTS!$E$42:$E$50,ROWS(INPUTS!$E$42:$E$50)),"LARGER",INDEX(INPUTS!$D$42:$D$50,MATCH(AG_REQ!N116,INPUTS!$E$42:$E$50,1)+1)))))</f>
        <v/>
      </c>
      <c r="O116" s="4" t="str">
        <f aca="false">IF(TRIB!O116="","",IF(OR(ARCH!O116="",LEFT(ARCH!O116,3)="14x"),IF(AG_REQ!O116&lt;=INDEX(INPUTS!$B$42:$B$50,1),INDEX(INPUTS!$A$42:$A$50,1),IF(AG_REQ!O116&gt;INDEX(INPUTS!$B$42:$B$50,ROWS(INPUTS!$B$42:$B$50)),"LARGER",INDEX(INPUTS!$A$42:$A$50,MATCH(AG_REQ!O116,INPUTS!$B$42:$B$50,1)+1))),IF(AG_REQ!O116&lt;=INDEX(INPUTS!$E$42:$E$50,1),INDEX(INPUTS!$D$42:$D$50,1),IF(AG_REQ!O116&gt;INDEX(INPUTS!$E$42:$E$50,ROWS(INPUTS!$E$42:$E$50)),"LARGER",INDEX(INPUTS!$D$42:$D$50,MATCH(AG_REQ!O116,INPUTS!$E$42:$E$50,1)+1)))))</f>
        <v/>
      </c>
      <c r="P116" s="4" t="str">
        <f aca="false">IF(TRIB!P116="","",IF(OR(ARCH!P116="",LEFT(ARCH!P116,3)="14x"),IF(AG_REQ!P116&lt;=INDEX(INPUTS!$B$42:$B$50,1),INDEX(INPUTS!$A$42:$A$50,1),IF(AG_REQ!P116&gt;INDEX(INPUTS!$B$42:$B$50,ROWS(INPUTS!$B$42:$B$50)),"LARGER",INDEX(INPUTS!$A$42:$A$50,MATCH(AG_REQ!P116,INPUTS!$B$42:$B$50,1)+1))),IF(AG_REQ!P116&lt;=INDEX(INPUTS!$E$42:$E$50,1),INDEX(INPUTS!$D$42:$D$50,1),IF(AG_REQ!P116&gt;INDEX(INPUTS!$E$42:$E$50,ROWS(INPUTS!$E$42:$E$50)),"LARGER",INDEX(INPUTS!$D$42:$D$50,MATCH(AG_REQ!P116,INPUTS!$E$42:$E$50,1)+1)))))</f>
        <v/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4" t="str">
        <f aca="false">IF(TRIB!E117="","",IF(OR(ARCH!E117="",LEFT(ARCH!E117,3)="14x"),IF(AG_REQ!E117&lt;=INDEX(INPUTS!$B$42:$B$50,1),INDEX(INPUTS!$A$42:$A$50,1),IF(AG_REQ!E117&gt;INDEX(INPUTS!$B$42:$B$50,ROWS(INPUTS!$B$42:$B$50)),"LARGER",INDEX(INPUTS!$A$42:$A$50,MATCH(AG_REQ!E117,INPUTS!$B$42:$B$50,1)+1))),IF(AG_REQ!E117&lt;=INDEX(INPUTS!$E$42:$E$50,1),INDEX(INPUTS!$D$42:$D$50,1),IF(AG_REQ!E117&gt;INDEX(INPUTS!$E$42:$E$50,ROWS(INPUTS!$E$42:$E$50)),"LARGER",INDEX(INPUTS!$D$42:$D$50,MATCH(AG_REQ!E117,INPUTS!$E$42:$E$50,1)+1)))))</f>
        <v>14x24</v>
      </c>
      <c r="F117" s="4" t="str">
        <f aca="false">IF(TRIB!F117="","",IF(OR(ARCH!F117="",LEFT(ARCH!F117,3)="14x"),IF(AG_REQ!F117&lt;=INDEX(INPUTS!$B$42:$B$50,1),INDEX(INPUTS!$A$42:$A$50,1),IF(AG_REQ!F117&gt;INDEX(INPUTS!$B$42:$B$50,ROWS(INPUTS!$B$42:$B$50)),"LARGER",INDEX(INPUTS!$A$42:$A$50,MATCH(AG_REQ!F117,INPUTS!$B$42:$B$50,1)+1))),IF(AG_REQ!F117&lt;=INDEX(INPUTS!$E$42:$E$50,1),INDEX(INPUTS!$D$42:$D$50,1),IF(AG_REQ!F117&gt;INDEX(INPUTS!$E$42:$E$50,ROWS(INPUTS!$E$42:$E$50)),"LARGER",INDEX(INPUTS!$D$42:$D$50,MATCH(AG_REQ!F117,INPUTS!$E$42:$E$50,1)+1)))))</f>
        <v>14x24</v>
      </c>
      <c r="G117" s="4" t="str">
        <f aca="false">IF(TRIB!G117="","",IF(OR(ARCH!G117="",LEFT(ARCH!G117,3)="14x"),IF(AG_REQ!G117&lt;=INDEX(INPUTS!$B$42:$B$50,1),INDEX(INPUTS!$A$42:$A$50,1),IF(AG_REQ!G117&gt;INDEX(INPUTS!$B$42:$B$50,ROWS(INPUTS!$B$42:$B$50)),"LARGER",INDEX(INPUTS!$A$42:$A$50,MATCH(AG_REQ!G117,INPUTS!$B$42:$B$50,1)+1))),IF(AG_REQ!G117&lt;=INDEX(INPUTS!$E$42:$E$50,1),INDEX(INPUTS!$D$42:$D$50,1),IF(AG_REQ!G117&gt;INDEX(INPUTS!$E$42:$E$50,ROWS(INPUTS!$E$42:$E$50)),"LARGER",INDEX(INPUTS!$D$42:$D$50,MATCH(AG_REQ!G117,INPUTS!$E$42:$E$50,1)+1)))))</f>
        <v/>
      </c>
      <c r="H117" s="4" t="str">
        <f aca="false">IF(TRIB!H117="","",IF(OR(ARCH!H117="",LEFT(ARCH!H117,3)="14x"),IF(AG_REQ!H117&lt;=INDEX(INPUTS!$B$42:$B$50,1),INDEX(INPUTS!$A$42:$A$50,1),IF(AG_REQ!H117&gt;INDEX(INPUTS!$B$42:$B$50,ROWS(INPUTS!$B$42:$B$50)),"LARGER",INDEX(INPUTS!$A$42:$A$50,MATCH(AG_REQ!H117,INPUTS!$B$42:$B$50,1)+1))),IF(AG_REQ!H117&lt;=INDEX(INPUTS!$E$42:$E$50,1),INDEX(INPUTS!$D$42:$D$50,1),IF(AG_REQ!H117&gt;INDEX(INPUTS!$E$42:$E$50,ROWS(INPUTS!$E$42:$E$50)),"LARGER",INDEX(INPUTS!$D$42:$D$50,MATCH(AG_REQ!H117,INPUTS!$E$42:$E$50,1)+1)))))</f>
        <v/>
      </c>
      <c r="I117" s="4" t="str">
        <f aca="false">IF(TRIB!I117="","",IF(OR(ARCH!I117="",LEFT(ARCH!I117,3)="14x"),IF(AG_REQ!I117&lt;=INDEX(INPUTS!$B$42:$B$50,1),INDEX(INPUTS!$A$42:$A$50,1),IF(AG_REQ!I117&gt;INDEX(INPUTS!$B$42:$B$50,ROWS(INPUTS!$B$42:$B$50)),"LARGER",INDEX(INPUTS!$A$42:$A$50,MATCH(AG_REQ!I117,INPUTS!$B$42:$B$50,1)+1))),IF(AG_REQ!I117&lt;=INDEX(INPUTS!$E$42:$E$50,1),INDEX(INPUTS!$D$42:$D$50,1),IF(AG_REQ!I117&gt;INDEX(INPUTS!$E$42:$E$50,ROWS(INPUTS!$E$42:$E$50)),"LARGER",INDEX(INPUTS!$D$42:$D$50,MATCH(AG_REQ!I117,INPUTS!$E$42:$E$50,1)+1)))))</f>
        <v/>
      </c>
      <c r="J117" s="4" t="str">
        <f aca="false">IF(TRIB!J117="","",IF(OR(ARCH!J117="",LEFT(ARCH!J117,3)="14x"),IF(AG_REQ!J117&lt;=INDEX(INPUTS!$B$42:$B$50,1),INDEX(INPUTS!$A$42:$A$50,1),IF(AG_REQ!J117&gt;INDEX(INPUTS!$B$42:$B$50,ROWS(INPUTS!$B$42:$B$50)),"LARGER",INDEX(INPUTS!$A$42:$A$50,MATCH(AG_REQ!J117,INPUTS!$B$42:$B$50,1)+1))),IF(AG_REQ!J117&lt;=INDEX(INPUTS!$E$42:$E$50,1),INDEX(INPUTS!$D$42:$D$50,1),IF(AG_REQ!J117&gt;INDEX(INPUTS!$E$42:$E$50,ROWS(INPUTS!$E$42:$E$50)),"LARGER",INDEX(INPUTS!$D$42:$D$50,MATCH(AG_REQ!J117,INPUTS!$E$42:$E$50,1)+1)))))</f>
        <v/>
      </c>
      <c r="K117" s="4" t="str">
        <f aca="false">IF(TRIB!K117="","",IF(OR(ARCH!K117="",LEFT(ARCH!K117,3)="14x"),IF(AG_REQ!K117&lt;=INDEX(INPUTS!$B$42:$B$50,1),INDEX(INPUTS!$A$42:$A$50,1),IF(AG_REQ!K117&gt;INDEX(INPUTS!$B$42:$B$50,ROWS(INPUTS!$B$42:$B$50)),"LARGER",INDEX(INPUTS!$A$42:$A$50,MATCH(AG_REQ!K117,INPUTS!$B$42:$B$50,1)+1))),IF(AG_REQ!K117&lt;=INDEX(INPUTS!$E$42:$E$50,1),INDEX(INPUTS!$D$42:$D$50,1),IF(AG_REQ!K117&gt;INDEX(INPUTS!$E$42:$E$50,ROWS(INPUTS!$E$42:$E$50)),"LARGER",INDEX(INPUTS!$D$42:$D$50,MATCH(AG_REQ!K117,INPUTS!$E$42:$E$50,1)+1)))))</f>
        <v/>
      </c>
      <c r="L117" s="4" t="str">
        <f aca="false">IF(TRIB!L117="","",IF(OR(ARCH!L117="",LEFT(ARCH!L117,3)="14x"),IF(AG_REQ!L117&lt;=INDEX(INPUTS!$B$42:$B$50,1),INDEX(INPUTS!$A$42:$A$50,1),IF(AG_REQ!L117&gt;INDEX(INPUTS!$B$42:$B$50,ROWS(INPUTS!$B$42:$B$50)),"LARGER",INDEX(INPUTS!$A$42:$A$50,MATCH(AG_REQ!L117,INPUTS!$B$42:$B$50,1)+1))),IF(AG_REQ!L117&lt;=INDEX(INPUTS!$E$42:$E$50,1),INDEX(INPUTS!$D$42:$D$50,1),IF(AG_REQ!L117&gt;INDEX(INPUTS!$E$42:$E$50,ROWS(INPUTS!$E$42:$E$50)),"LARGER",INDEX(INPUTS!$D$42:$D$50,MATCH(AG_REQ!L117,INPUTS!$E$42:$E$50,1)+1)))))</f>
        <v/>
      </c>
      <c r="M117" s="4" t="str">
        <f aca="false">IF(TRIB!M117="","",IF(OR(ARCH!M117="",LEFT(ARCH!M117,3)="14x"),IF(AG_REQ!M117&lt;=INDEX(INPUTS!$B$42:$B$50,1),INDEX(INPUTS!$A$42:$A$50,1),IF(AG_REQ!M117&gt;INDEX(INPUTS!$B$42:$B$50,ROWS(INPUTS!$B$42:$B$50)),"LARGER",INDEX(INPUTS!$A$42:$A$50,MATCH(AG_REQ!M117,INPUTS!$B$42:$B$50,1)+1))),IF(AG_REQ!M117&lt;=INDEX(INPUTS!$E$42:$E$50,1),INDEX(INPUTS!$D$42:$D$50,1),IF(AG_REQ!M117&gt;INDEX(INPUTS!$E$42:$E$50,ROWS(INPUTS!$E$42:$E$50)),"LARGER",INDEX(INPUTS!$D$42:$D$50,MATCH(AG_REQ!M117,INPUTS!$E$42:$E$50,1)+1)))))</f>
        <v/>
      </c>
      <c r="N117" s="4" t="str">
        <f aca="false">IF(TRIB!N117="","",IF(OR(ARCH!N117="",LEFT(ARCH!N117,3)="14x"),IF(AG_REQ!N117&lt;=INDEX(INPUTS!$B$42:$B$50,1),INDEX(INPUTS!$A$42:$A$50,1),IF(AG_REQ!N117&gt;INDEX(INPUTS!$B$42:$B$50,ROWS(INPUTS!$B$42:$B$50)),"LARGER",INDEX(INPUTS!$A$42:$A$50,MATCH(AG_REQ!N117,INPUTS!$B$42:$B$50,1)+1))),IF(AG_REQ!N117&lt;=INDEX(INPUTS!$E$42:$E$50,1),INDEX(INPUTS!$D$42:$D$50,1),IF(AG_REQ!N117&gt;INDEX(INPUTS!$E$42:$E$50,ROWS(INPUTS!$E$42:$E$50)),"LARGER",INDEX(INPUTS!$D$42:$D$50,MATCH(AG_REQ!N117,INPUTS!$E$42:$E$50,1)+1)))))</f>
        <v/>
      </c>
      <c r="O117" s="4" t="str">
        <f aca="false">IF(TRIB!O117="","",IF(OR(ARCH!O117="",LEFT(ARCH!O117,3)="14x"),IF(AG_REQ!O117&lt;=INDEX(INPUTS!$B$42:$B$50,1),INDEX(INPUTS!$A$42:$A$50,1),IF(AG_REQ!O117&gt;INDEX(INPUTS!$B$42:$B$50,ROWS(INPUTS!$B$42:$B$50)),"LARGER",INDEX(INPUTS!$A$42:$A$50,MATCH(AG_REQ!O117,INPUTS!$B$42:$B$50,1)+1))),IF(AG_REQ!O117&lt;=INDEX(INPUTS!$E$42:$E$50,1),INDEX(INPUTS!$D$42:$D$50,1),IF(AG_REQ!O117&gt;INDEX(INPUTS!$E$42:$E$50,ROWS(INPUTS!$E$42:$E$50)),"LARGER",INDEX(INPUTS!$D$42:$D$50,MATCH(AG_REQ!O117,INPUTS!$E$42:$E$50,1)+1)))))</f>
        <v/>
      </c>
      <c r="P117" s="4" t="str">
        <f aca="false">IF(TRIB!P117="","",IF(OR(ARCH!P117="",LEFT(ARCH!P117,3)="14x"),IF(AG_REQ!P117&lt;=INDEX(INPUTS!$B$42:$B$50,1),INDEX(INPUTS!$A$42:$A$50,1),IF(AG_REQ!P117&gt;INDEX(INPUTS!$B$42:$B$50,ROWS(INPUTS!$B$42:$B$50)),"LARGER",INDEX(INPUTS!$A$42:$A$50,MATCH(AG_REQ!P117,INPUTS!$B$42:$B$50,1)+1))),IF(AG_REQ!P117&lt;=INDEX(INPUTS!$E$42:$E$50,1),INDEX(INPUTS!$D$42:$D$50,1),IF(AG_REQ!P117&gt;INDEX(INPUTS!$E$42:$E$50,ROWS(INPUTS!$E$42:$E$50)),"LARGER",INDEX(INPUTS!$D$42:$D$50,MATCH(AG_REQ!P117,INPUTS!$E$42:$E$50,1)+1)))))</f>
        <v/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4" t="str">
        <f aca="false">IF(TRIB!E118="","",IF(OR(ARCH!E118="",LEFT(ARCH!E118,3)="14x"),IF(AG_REQ!E118&lt;=INDEX(INPUTS!$B$42:$B$50,1),INDEX(INPUTS!$A$42:$A$50,1),IF(AG_REQ!E118&gt;INDEX(INPUTS!$B$42:$B$50,ROWS(INPUTS!$B$42:$B$50)),"LARGER",INDEX(INPUTS!$A$42:$A$50,MATCH(AG_REQ!E118,INPUTS!$B$42:$B$50,1)+1))),IF(AG_REQ!E118&lt;=INDEX(INPUTS!$E$42:$E$50,1),INDEX(INPUTS!$D$42:$D$50,1),IF(AG_REQ!E118&gt;INDEX(INPUTS!$E$42:$E$50,ROWS(INPUTS!$E$42:$E$50)),"LARGER",INDEX(INPUTS!$D$42:$D$50,MATCH(AG_REQ!E118,INPUTS!$E$42:$E$50,1)+1)))))</f>
        <v>14x24</v>
      </c>
      <c r="F118" s="4" t="str">
        <f aca="false">IF(TRIB!F118="","",IF(OR(ARCH!F118="",LEFT(ARCH!F118,3)="14x"),IF(AG_REQ!F118&lt;=INDEX(INPUTS!$B$42:$B$50,1),INDEX(INPUTS!$A$42:$A$50,1),IF(AG_REQ!F118&gt;INDEX(INPUTS!$B$42:$B$50,ROWS(INPUTS!$B$42:$B$50)),"LARGER",INDEX(INPUTS!$A$42:$A$50,MATCH(AG_REQ!F118,INPUTS!$B$42:$B$50,1)+1))),IF(AG_REQ!F118&lt;=INDEX(INPUTS!$E$42:$E$50,1),INDEX(INPUTS!$D$42:$D$50,1),IF(AG_REQ!F118&gt;INDEX(INPUTS!$E$42:$E$50,ROWS(INPUTS!$E$42:$E$50)),"LARGER",INDEX(INPUTS!$D$42:$D$50,MATCH(AG_REQ!F118,INPUTS!$E$42:$E$50,1)+1)))))</f>
        <v>14x24</v>
      </c>
      <c r="G118" s="4" t="str">
        <f aca="false">IF(TRIB!G118="","",IF(OR(ARCH!G118="",LEFT(ARCH!G118,3)="14x"),IF(AG_REQ!G118&lt;=INDEX(INPUTS!$B$42:$B$50,1),INDEX(INPUTS!$A$42:$A$50,1),IF(AG_REQ!G118&gt;INDEX(INPUTS!$B$42:$B$50,ROWS(INPUTS!$B$42:$B$50)),"LARGER",INDEX(INPUTS!$A$42:$A$50,MATCH(AG_REQ!G118,INPUTS!$B$42:$B$50,1)+1))),IF(AG_REQ!G118&lt;=INDEX(INPUTS!$E$42:$E$50,1),INDEX(INPUTS!$D$42:$D$50,1),IF(AG_REQ!G118&gt;INDEX(INPUTS!$E$42:$E$50,ROWS(INPUTS!$E$42:$E$50)),"LARGER",INDEX(INPUTS!$D$42:$D$50,MATCH(AG_REQ!G118,INPUTS!$E$42:$E$50,1)+1)))))</f>
        <v/>
      </c>
      <c r="H118" s="4" t="str">
        <f aca="false">IF(TRIB!H118="","",IF(OR(ARCH!H118="",LEFT(ARCH!H118,3)="14x"),IF(AG_REQ!H118&lt;=INDEX(INPUTS!$B$42:$B$50,1),INDEX(INPUTS!$A$42:$A$50,1),IF(AG_REQ!H118&gt;INDEX(INPUTS!$B$42:$B$50,ROWS(INPUTS!$B$42:$B$50)),"LARGER",INDEX(INPUTS!$A$42:$A$50,MATCH(AG_REQ!H118,INPUTS!$B$42:$B$50,1)+1))),IF(AG_REQ!H118&lt;=INDEX(INPUTS!$E$42:$E$50,1),INDEX(INPUTS!$D$42:$D$50,1),IF(AG_REQ!H118&gt;INDEX(INPUTS!$E$42:$E$50,ROWS(INPUTS!$E$42:$E$50)),"LARGER",INDEX(INPUTS!$D$42:$D$50,MATCH(AG_REQ!H118,INPUTS!$E$42:$E$50,1)+1)))))</f>
        <v/>
      </c>
      <c r="I118" s="4" t="str">
        <f aca="false">IF(TRIB!I118="","",IF(OR(ARCH!I118="",LEFT(ARCH!I118,3)="14x"),IF(AG_REQ!I118&lt;=INDEX(INPUTS!$B$42:$B$50,1),INDEX(INPUTS!$A$42:$A$50,1),IF(AG_REQ!I118&gt;INDEX(INPUTS!$B$42:$B$50,ROWS(INPUTS!$B$42:$B$50)),"LARGER",INDEX(INPUTS!$A$42:$A$50,MATCH(AG_REQ!I118,INPUTS!$B$42:$B$50,1)+1))),IF(AG_REQ!I118&lt;=INDEX(INPUTS!$E$42:$E$50,1),INDEX(INPUTS!$D$42:$D$50,1),IF(AG_REQ!I118&gt;INDEX(INPUTS!$E$42:$E$50,ROWS(INPUTS!$E$42:$E$50)),"LARGER",INDEX(INPUTS!$D$42:$D$50,MATCH(AG_REQ!I118,INPUTS!$E$42:$E$50,1)+1)))))</f>
        <v/>
      </c>
      <c r="J118" s="4" t="str">
        <f aca="false">IF(TRIB!J118="","",IF(OR(ARCH!J118="",LEFT(ARCH!J118,3)="14x"),IF(AG_REQ!J118&lt;=INDEX(INPUTS!$B$42:$B$50,1),INDEX(INPUTS!$A$42:$A$50,1),IF(AG_REQ!J118&gt;INDEX(INPUTS!$B$42:$B$50,ROWS(INPUTS!$B$42:$B$50)),"LARGER",INDEX(INPUTS!$A$42:$A$50,MATCH(AG_REQ!J118,INPUTS!$B$42:$B$50,1)+1))),IF(AG_REQ!J118&lt;=INDEX(INPUTS!$E$42:$E$50,1),INDEX(INPUTS!$D$42:$D$50,1),IF(AG_REQ!J118&gt;INDEX(INPUTS!$E$42:$E$50,ROWS(INPUTS!$E$42:$E$50)),"LARGER",INDEX(INPUTS!$D$42:$D$50,MATCH(AG_REQ!J118,INPUTS!$E$42:$E$50,1)+1)))))</f>
        <v/>
      </c>
      <c r="K118" s="4" t="str">
        <f aca="false">IF(TRIB!K118="","",IF(OR(ARCH!K118="",LEFT(ARCH!K118,3)="14x"),IF(AG_REQ!K118&lt;=INDEX(INPUTS!$B$42:$B$50,1),INDEX(INPUTS!$A$42:$A$50,1),IF(AG_REQ!K118&gt;INDEX(INPUTS!$B$42:$B$50,ROWS(INPUTS!$B$42:$B$50)),"LARGER",INDEX(INPUTS!$A$42:$A$50,MATCH(AG_REQ!K118,INPUTS!$B$42:$B$50,1)+1))),IF(AG_REQ!K118&lt;=INDEX(INPUTS!$E$42:$E$50,1),INDEX(INPUTS!$D$42:$D$50,1),IF(AG_REQ!K118&gt;INDEX(INPUTS!$E$42:$E$50,ROWS(INPUTS!$E$42:$E$50)),"LARGER",INDEX(INPUTS!$D$42:$D$50,MATCH(AG_REQ!K118,INPUTS!$E$42:$E$50,1)+1)))))</f>
        <v/>
      </c>
      <c r="L118" s="4" t="str">
        <f aca="false">IF(TRIB!L118="","",IF(OR(ARCH!L118="",LEFT(ARCH!L118,3)="14x"),IF(AG_REQ!L118&lt;=INDEX(INPUTS!$B$42:$B$50,1),INDEX(INPUTS!$A$42:$A$50,1),IF(AG_REQ!L118&gt;INDEX(INPUTS!$B$42:$B$50,ROWS(INPUTS!$B$42:$B$50)),"LARGER",INDEX(INPUTS!$A$42:$A$50,MATCH(AG_REQ!L118,INPUTS!$B$42:$B$50,1)+1))),IF(AG_REQ!L118&lt;=INDEX(INPUTS!$E$42:$E$50,1),INDEX(INPUTS!$D$42:$D$50,1),IF(AG_REQ!L118&gt;INDEX(INPUTS!$E$42:$E$50,ROWS(INPUTS!$E$42:$E$50)),"LARGER",INDEX(INPUTS!$D$42:$D$50,MATCH(AG_REQ!L118,INPUTS!$E$42:$E$50,1)+1)))))</f>
        <v/>
      </c>
      <c r="M118" s="4" t="str">
        <f aca="false">IF(TRIB!M118="","",IF(OR(ARCH!M118="",LEFT(ARCH!M118,3)="14x"),IF(AG_REQ!M118&lt;=INDEX(INPUTS!$B$42:$B$50,1),INDEX(INPUTS!$A$42:$A$50,1),IF(AG_REQ!M118&gt;INDEX(INPUTS!$B$42:$B$50,ROWS(INPUTS!$B$42:$B$50)),"LARGER",INDEX(INPUTS!$A$42:$A$50,MATCH(AG_REQ!M118,INPUTS!$B$42:$B$50,1)+1))),IF(AG_REQ!M118&lt;=INDEX(INPUTS!$E$42:$E$50,1),INDEX(INPUTS!$D$42:$D$50,1),IF(AG_REQ!M118&gt;INDEX(INPUTS!$E$42:$E$50,ROWS(INPUTS!$E$42:$E$50)),"LARGER",INDEX(INPUTS!$D$42:$D$50,MATCH(AG_REQ!M118,INPUTS!$E$42:$E$50,1)+1)))))</f>
        <v/>
      </c>
      <c r="N118" s="4" t="str">
        <f aca="false">IF(TRIB!N118="","",IF(OR(ARCH!N118="",LEFT(ARCH!N118,3)="14x"),IF(AG_REQ!N118&lt;=INDEX(INPUTS!$B$42:$B$50,1),INDEX(INPUTS!$A$42:$A$50,1),IF(AG_REQ!N118&gt;INDEX(INPUTS!$B$42:$B$50,ROWS(INPUTS!$B$42:$B$50)),"LARGER",INDEX(INPUTS!$A$42:$A$50,MATCH(AG_REQ!N118,INPUTS!$B$42:$B$50,1)+1))),IF(AG_REQ!N118&lt;=INDEX(INPUTS!$E$42:$E$50,1),INDEX(INPUTS!$D$42:$D$50,1),IF(AG_REQ!N118&gt;INDEX(INPUTS!$E$42:$E$50,ROWS(INPUTS!$E$42:$E$50)),"LARGER",INDEX(INPUTS!$D$42:$D$50,MATCH(AG_REQ!N118,INPUTS!$E$42:$E$50,1)+1)))))</f>
        <v/>
      </c>
      <c r="O118" s="4" t="str">
        <f aca="false">IF(TRIB!O118="","",IF(OR(ARCH!O118="",LEFT(ARCH!O118,3)="14x"),IF(AG_REQ!O118&lt;=INDEX(INPUTS!$B$42:$B$50,1),INDEX(INPUTS!$A$42:$A$50,1),IF(AG_REQ!O118&gt;INDEX(INPUTS!$B$42:$B$50,ROWS(INPUTS!$B$42:$B$50)),"LARGER",INDEX(INPUTS!$A$42:$A$50,MATCH(AG_REQ!O118,INPUTS!$B$42:$B$50,1)+1))),IF(AG_REQ!O118&lt;=INDEX(INPUTS!$E$42:$E$50,1),INDEX(INPUTS!$D$42:$D$50,1),IF(AG_REQ!O118&gt;INDEX(INPUTS!$E$42:$E$50,ROWS(INPUTS!$E$42:$E$50)),"LARGER",INDEX(INPUTS!$D$42:$D$50,MATCH(AG_REQ!O118,INPUTS!$E$42:$E$50,1)+1)))))</f>
        <v/>
      </c>
      <c r="P118" s="4" t="str">
        <f aca="false">IF(TRIB!P118="","",IF(OR(ARCH!P118="",LEFT(ARCH!P118,3)="14x"),IF(AG_REQ!P118&lt;=INDEX(INPUTS!$B$42:$B$50,1),INDEX(INPUTS!$A$42:$A$50,1),IF(AG_REQ!P118&gt;INDEX(INPUTS!$B$42:$B$50,ROWS(INPUTS!$B$42:$B$50)),"LARGER",INDEX(INPUTS!$A$42:$A$50,MATCH(AG_REQ!P118,INPUTS!$B$42:$B$50,1)+1))),IF(AG_REQ!P118&lt;=INDEX(INPUTS!$E$42:$E$50,1),INDEX(INPUTS!$D$42:$D$50,1),IF(AG_REQ!P118&gt;INDEX(INPUTS!$E$42:$E$50,ROWS(INPUTS!$E$42:$E$50)),"LARGER",INDEX(INPUTS!$D$42:$D$50,MATCH(AG_REQ!P118,INPUTS!$E$42:$E$50,1)+1)))))</f>
        <v/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4" t="str">
        <f aca="false">IF(TRIB!E119="","",IF(OR(ARCH!E119="",LEFT(ARCH!E119,3)="14x"),IF(AG_REQ!E119&lt;=INDEX(INPUTS!$B$42:$B$50,1),INDEX(INPUTS!$A$42:$A$50,1),IF(AG_REQ!E119&gt;INDEX(INPUTS!$B$42:$B$50,ROWS(INPUTS!$B$42:$B$50)),"LARGER",INDEX(INPUTS!$A$42:$A$50,MATCH(AG_REQ!E119,INPUTS!$B$42:$B$50,1)+1))),IF(AG_REQ!E119&lt;=INDEX(INPUTS!$E$42:$E$50,1),INDEX(INPUTS!$D$42:$D$50,1),IF(AG_REQ!E119&gt;INDEX(INPUTS!$E$42:$E$50,ROWS(INPUTS!$E$42:$E$50)),"LARGER",INDEX(INPUTS!$D$42:$D$50,MATCH(AG_REQ!E119,INPUTS!$E$42:$E$50,1)+1)))))</f>
        <v/>
      </c>
      <c r="F119" s="4" t="str">
        <f aca="false">IF(TRIB!F119="","",IF(OR(ARCH!F119="",LEFT(ARCH!F119,3)="14x"),IF(AG_REQ!F119&lt;=INDEX(INPUTS!$B$42:$B$50,1),INDEX(INPUTS!$A$42:$A$50,1),IF(AG_REQ!F119&gt;INDEX(INPUTS!$B$42:$B$50,ROWS(INPUTS!$B$42:$B$50)),"LARGER",INDEX(INPUTS!$A$42:$A$50,MATCH(AG_REQ!F119,INPUTS!$B$42:$B$50,1)+1))),IF(AG_REQ!F119&lt;=INDEX(INPUTS!$E$42:$E$50,1),INDEX(INPUTS!$D$42:$D$50,1),IF(AG_REQ!F119&gt;INDEX(INPUTS!$E$42:$E$50,ROWS(INPUTS!$E$42:$E$50)),"LARGER",INDEX(INPUTS!$D$42:$D$50,MATCH(AG_REQ!F119,INPUTS!$E$42:$E$50,1)+1)))))</f>
        <v/>
      </c>
      <c r="G119" s="4" t="str">
        <f aca="false">IF(TRIB!G119="","",IF(OR(ARCH!G119="",LEFT(ARCH!G119,3)="14x"),IF(AG_REQ!G119&lt;=INDEX(INPUTS!$B$42:$B$50,1),INDEX(INPUTS!$A$42:$A$50,1),IF(AG_REQ!G119&gt;INDEX(INPUTS!$B$42:$B$50,ROWS(INPUTS!$B$42:$B$50)),"LARGER",INDEX(INPUTS!$A$42:$A$50,MATCH(AG_REQ!G119,INPUTS!$B$42:$B$50,1)+1))),IF(AG_REQ!G119&lt;=INDEX(INPUTS!$E$42:$E$50,1),INDEX(INPUTS!$D$42:$D$50,1),IF(AG_REQ!G119&gt;INDEX(INPUTS!$E$42:$E$50,ROWS(INPUTS!$E$42:$E$50)),"LARGER",INDEX(INPUTS!$D$42:$D$50,MATCH(AG_REQ!G119,INPUTS!$E$42:$E$50,1)+1)))))</f>
        <v/>
      </c>
      <c r="H119" s="4" t="str">
        <f aca="false">IF(TRIB!H119="","",IF(OR(ARCH!H119="",LEFT(ARCH!H119,3)="14x"),IF(AG_REQ!H119&lt;=INDEX(INPUTS!$B$42:$B$50,1),INDEX(INPUTS!$A$42:$A$50,1),IF(AG_REQ!H119&gt;INDEX(INPUTS!$B$42:$B$50,ROWS(INPUTS!$B$42:$B$50)),"LARGER",INDEX(INPUTS!$A$42:$A$50,MATCH(AG_REQ!H119,INPUTS!$B$42:$B$50,1)+1))),IF(AG_REQ!H119&lt;=INDEX(INPUTS!$E$42:$E$50,1),INDEX(INPUTS!$D$42:$D$50,1),IF(AG_REQ!H119&gt;INDEX(INPUTS!$E$42:$E$50,ROWS(INPUTS!$E$42:$E$50)),"LARGER",INDEX(INPUTS!$D$42:$D$50,MATCH(AG_REQ!H119,INPUTS!$E$42:$E$50,1)+1)))))</f>
        <v/>
      </c>
      <c r="I119" s="4" t="str">
        <f aca="false">IF(TRIB!I119="","",IF(OR(ARCH!I119="",LEFT(ARCH!I119,3)="14x"),IF(AG_REQ!I119&lt;=INDEX(INPUTS!$B$42:$B$50,1),INDEX(INPUTS!$A$42:$A$50,1),IF(AG_REQ!I119&gt;INDEX(INPUTS!$B$42:$B$50,ROWS(INPUTS!$B$42:$B$50)),"LARGER",INDEX(INPUTS!$A$42:$A$50,MATCH(AG_REQ!I119,INPUTS!$B$42:$B$50,1)+1))),IF(AG_REQ!I119&lt;=INDEX(INPUTS!$E$42:$E$50,1),INDEX(INPUTS!$D$42:$D$50,1),IF(AG_REQ!I119&gt;INDEX(INPUTS!$E$42:$E$50,ROWS(INPUTS!$E$42:$E$50)),"LARGER",INDEX(INPUTS!$D$42:$D$50,MATCH(AG_REQ!I119,INPUTS!$E$42:$E$50,1)+1)))))</f>
        <v/>
      </c>
      <c r="J119" s="4" t="str">
        <f aca="false">IF(TRIB!J119="","",IF(OR(ARCH!J119="",LEFT(ARCH!J119,3)="14x"),IF(AG_REQ!J119&lt;=INDEX(INPUTS!$B$42:$B$50,1),INDEX(INPUTS!$A$42:$A$50,1),IF(AG_REQ!J119&gt;INDEX(INPUTS!$B$42:$B$50,ROWS(INPUTS!$B$42:$B$50)),"LARGER",INDEX(INPUTS!$A$42:$A$50,MATCH(AG_REQ!J119,INPUTS!$B$42:$B$50,1)+1))),IF(AG_REQ!J119&lt;=INDEX(INPUTS!$E$42:$E$50,1),INDEX(INPUTS!$D$42:$D$50,1),IF(AG_REQ!J119&gt;INDEX(INPUTS!$E$42:$E$50,ROWS(INPUTS!$E$42:$E$50)),"LARGER",INDEX(INPUTS!$D$42:$D$50,MATCH(AG_REQ!J119,INPUTS!$E$42:$E$50,1)+1)))))</f>
        <v>14x24</v>
      </c>
      <c r="K119" s="4" t="str">
        <f aca="false">IF(TRIB!K119="","",IF(OR(ARCH!K119="",LEFT(ARCH!K119,3)="14x"),IF(AG_REQ!K119&lt;=INDEX(INPUTS!$B$42:$B$50,1),INDEX(INPUTS!$A$42:$A$50,1),IF(AG_REQ!K119&gt;INDEX(INPUTS!$B$42:$B$50,ROWS(INPUTS!$B$42:$B$50)),"LARGER",INDEX(INPUTS!$A$42:$A$50,MATCH(AG_REQ!K119,INPUTS!$B$42:$B$50,1)+1))),IF(AG_REQ!K119&lt;=INDEX(INPUTS!$E$42:$E$50,1),INDEX(INPUTS!$D$42:$D$50,1),IF(AG_REQ!K119&gt;INDEX(INPUTS!$E$42:$E$50,ROWS(INPUTS!$E$42:$E$50)),"LARGER",INDEX(INPUTS!$D$42:$D$50,MATCH(AG_REQ!K119,INPUTS!$E$42:$E$50,1)+1)))))</f>
        <v/>
      </c>
      <c r="L119" s="4" t="str">
        <f aca="false">IF(TRIB!L119="","",IF(OR(ARCH!L119="",LEFT(ARCH!L119,3)="14x"),IF(AG_REQ!L119&lt;=INDEX(INPUTS!$B$42:$B$50,1),INDEX(INPUTS!$A$42:$A$50,1),IF(AG_REQ!L119&gt;INDEX(INPUTS!$B$42:$B$50,ROWS(INPUTS!$B$42:$B$50)),"LARGER",INDEX(INPUTS!$A$42:$A$50,MATCH(AG_REQ!L119,INPUTS!$B$42:$B$50,1)+1))),IF(AG_REQ!L119&lt;=INDEX(INPUTS!$E$42:$E$50,1),INDEX(INPUTS!$D$42:$D$50,1),IF(AG_REQ!L119&gt;INDEX(INPUTS!$E$42:$E$50,ROWS(INPUTS!$E$42:$E$50)),"LARGER",INDEX(INPUTS!$D$42:$D$50,MATCH(AG_REQ!L119,INPUTS!$E$42:$E$50,1)+1)))))</f>
        <v/>
      </c>
      <c r="M119" s="4" t="str">
        <f aca="false">IF(TRIB!M119="","",IF(OR(ARCH!M119="",LEFT(ARCH!M119,3)="14x"),IF(AG_REQ!M119&lt;=INDEX(INPUTS!$B$42:$B$50,1),INDEX(INPUTS!$A$42:$A$50,1),IF(AG_REQ!M119&gt;INDEX(INPUTS!$B$42:$B$50,ROWS(INPUTS!$B$42:$B$50)),"LARGER",INDEX(INPUTS!$A$42:$A$50,MATCH(AG_REQ!M119,INPUTS!$B$42:$B$50,1)+1))),IF(AG_REQ!M119&lt;=INDEX(INPUTS!$E$42:$E$50,1),INDEX(INPUTS!$D$42:$D$50,1),IF(AG_REQ!M119&gt;INDEX(INPUTS!$E$42:$E$50,ROWS(INPUTS!$E$42:$E$50)),"LARGER",INDEX(INPUTS!$D$42:$D$50,MATCH(AG_REQ!M119,INPUTS!$E$42:$E$50,1)+1)))))</f>
        <v/>
      </c>
      <c r="N119" s="4" t="str">
        <f aca="false">IF(TRIB!N119="","",IF(OR(ARCH!N119="",LEFT(ARCH!N119,3)="14x"),IF(AG_REQ!N119&lt;=INDEX(INPUTS!$B$42:$B$50,1),INDEX(INPUTS!$A$42:$A$50,1),IF(AG_REQ!N119&gt;INDEX(INPUTS!$B$42:$B$50,ROWS(INPUTS!$B$42:$B$50)),"LARGER",INDEX(INPUTS!$A$42:$A$50,MATCH(AG_REQ!N119,INPUTS!$B$42:$B$50,1)+1))),IF(AG_REQ!N119&lt;=INDEX(INPUTS!$E$42:$E$50,1),INDEX(INPUTS!$D$42:$D$50,1),IF(AG_REQ!N119&gt;INDEX(INPUTS!$E$42:$E$50,ROWS(INPUTS!$E$42:$E$50)),"LARGER",INDEX(INPUTS!$D$42:$D$50,MATCH(AG_REQ!N119,INPUTS!$E$42:$E$50,1)+1)))))</f>
        <v/>
      </c>
      <c r="O119" s="4" t="str">
        <f aca="false">IF(TRIB!O119="","",IF(OR(ARCH!O119="",LEFT(ARCH!O119,3)="14x"),IF(AG_REQ!O119&lt;=INDEX(INPUTS!$B$42:$B$50,1),INDEX(INPUTS!$A$42:$A$50,1),IF(AG_REQ!O119&gt;INDEX(INPUTS!$B$42:$B$50,ROWS(INPUTS!$B$42:$B$50)),"LARGER",INDEX(INPUTS!$A$42:$A$50,MATCH(AG_REQ!O119,INPUTS!$B$42:$B$50,1)+1))),IF(AG_REQ!O119&lt;=INDEX(INPUTS!$E$42:$E$50,1),INDEX(INPUTS!$D$42:$D$50,1),IF(AG_REQ!O119&gt;INDEX(INPUTS!$E$42:$E$50,ROWS(INPUTS!$E$42:$E$50)),"LARGER",INDEX(INPUTS!$D$42:$D$50,MATCH(AG_REQ!O119,INPUTS!$E$42:$E$50,1)+1)))))</f>
        <v/>
      </c>
      <c r="P119" s="4" t="str">
        <f aca="false">IF(TRIB!P119="","",IF(OR(ARCH!P119="",LEFT(ARCH!P119,3)="14x"),IF(AG_REQ!P119&lt;=INDEX(INPUTS!$B$42:$B$50,1),INDEX(INPUTS!$A$42:$A$50,1),IF(AG_REQ!P119&gt;INDEX(INPUTS!$B$42:$B$50,ROWS(INPUTS!$B$42:$B$50)),"LARGER",INDEX(INPUTS!$A$42:$A$50,MATCH(AG_REQ!P119,INPUTS!$B$42:$B$50,1)+1))),IF(AG_REQ!P119&lt;=INDEX(INPUTS!$E$42:$E$50,1),INDEX(INPUTS!$D$42:$D$50,1),IF(AG_REQ!P119&gt;INDEX(INPUTS!$E$42:$E$50,ROWS(INPUTS!$E$42:$E$50)),"LARGER",INDEX(INPUTS!$D$42:$D$50,MATCH(AG_REQ!P119,INPUTS!$E$42:$E$50,1)+1)))))</f>
        <v/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4" t="str">
        <f aca="false">IF(TRIB!E120="","",IF(OR(ARCH!E120="",LEFT(ARCH!E120,3)="14x"),IF(AG_REQ!E120&lt;=INDEX(INPUTS!$B$42:$B$50,1),INDEX(INPUTS!$A$42:$A$50,1),IF(AG_REQ!E120&gt;INDEX(INPUTS!$B$42:$B$50,ROWS(INPUTS!$B$42:$B$50)),"LARGER",INDEX(INPUTS!$A$42:$A$50,MATCH(AG_REQ!E120,INPUTS!$B$42:$B$50,1)+1))),IF(AG_REQ!E120&lt;=INDEX(INPUTS!$E$42:$E$50,1),INDEX(INPUTS!$D$42:$D$50,1),IF(AG_REQ!E120&gt;INDEX(INPUTS!$E$42:$E$50,ROWS(INPUTS!$E$42:$E$50)),"LARGER",INDEX(INPUTS!$D$42:$D$50,MATCH(AG_REQ!E120,INPUTS!$E$42:$E$50,1)+1)))))</f>
        <v/>
      </c>
      <c r="F120" s="4" t="str">
        <f aca="false">IF(TRIB!F120="","",IF(OR(ARCH!F120="",LEFT(ARCH!F120,3)="14x"),IF(AG_REQ!F120&lt;=INDEX(INPUTS!$B$42:$B$50,1),INDEX(INPUTS!$A$42:$A$50,1),IF(AG_REQ!F120&gt;INDEX(INPUTS!$B$42:$B$50,ROWS(INPUTS!$B$42:$B$50)),"LARGER",INDEX(INPUTS!$A$42:$A$50,MATCH(AG_REQ!F120,INPUTS!$B$42:$B$50,1)+1))),IF(AG_REQ!F120&lt;=INDEX(INPUTS!$E$42:$E$50,1),INDEX(INPUTS!$D$42:$D$50,1),IF(AG_REQ!F120&gt;INDEX(INPUTS!$E$42:$E$50,ROWS(INPUTS!$E$42:$E$50)),"LARGER",INDEX(INPUTS!$D$42:$D$50,MATCH(AG_REQ!F120,INPUTS!$E$42:$E$50,1)+1)))))</f>
        <v/>
      </c>
      <c r="G120" s="4" t="str">
        <f aca="false">IF(TRIB!G120="","",IF(OR(ARCH!G120="",LEFT(ARCH!G120,3)="14x"),IF(AG_REQ!G120&lt;=INDEX(INPUTS!$B$42:$B$50,1),INDEX(INPUTS!$A$42:$A$50,1),IF(AG_REQ!G120&gt;INDEX(INPUTS!$B$42:$B$50,ROWS(INPUTS!$B$42:$B$50)),"LARGER",INDEX(INPUTS!$A$42:$A$50,MATCH(AG_REQ!G120,INPUTS!$B$42:$B$50,1)+1))),IF(AG_REQ!G120&lt;=INDEX(INPUTS!$E$42:$E$50,1),INDEX(INPUTS!$D$42:$D$50,1),IF(AG_REQ!G120&gt;INDEX(INPUTS!$E$42:$E$50,ROWS(INPUTS!$E$42:$E$50)),"LARGER",INDEX(INPUTS!$D$42:$D$50,MATCH(AG_REQ!G120,INPUTS!$E$42:$E$50,1)+1)))))</f>
        <v/>
      </c>
      <c r="H120" s="4" t="str">
        <f aca="false">IF(TRIB!H120="","",IF(OR(ARCH!H120="",LEFT(ARCH!H120,3)="14x"),IF(AG_REQ!H120&lt;=INDEX(INPUTS!$B$42:$B$50,1),INDEX(INPUTS!$A$42:$A$50,1),IF(AG_REQ!H120&gt;INDEX(INPUTS!$B$42:$B$50,ROWS(INPUTS!$B$42:$B$50)),"LARGER",INDEX(INPUTS!$A$42:$A$50,MATCH(AG_REQ!H120,INPUTS!$B$42:$B$50,1)+1))),IF(AG_REQ!H120&lt;=INDEX(INPUTS!$E$42:$E$50,1),INDEX(INPUTS!$D$42:$D$50,1),IF(AG_REQ!H120&gt;INDEX(INPUTS!$E$42:$E$50,ROWS(INPUTS!$E$42:$E$50)),"LARGER",INDEX(INPUTS!$D$42:$D$50,MATCH(AG_REQ!H120,INPUTS!$E$42:$E$50,1)+1)))))</f>
        <v/>
      </c>
      <c r="I120" s="4" t="str">
        <f aca="false">IF(TRIB!I120="","",IF(OR(ARCH!I120="",LEFT(ARCH!I120,3)="14x"),IF(AG_REQ!I120&lt;=INDEX(INPUTS!$B$42:$B$50,1),INDEX(INPUTS!$A$42:$A$50,1),IF(AG_REQ!I120&gt;INDEX(INPUTS!$B$42:$B$50,ROWS(INPUTS!$B$42:$B$50)),"LARGER",INDEX(INPUTS!$A$42:$A$50,MATCH(AG_REQ!I120,INPUTS!$B$42:$B$50,1)+1))),IF(AG_REQ!I120&lt;=INDEX(INPUTS!$E$42:$E$50,1),INDEX(INPUTS!$D$42:$D$50,1),IF(AG_REQ!I120&gt;INDEX(INPUTS!$E$42:$E$50,ROWS(INPUTS!$E$42:$E$50)),"LARGER",INDEX(INPUTS!$D$42:$D$50,MATCH(AG_REQ!I120,INPUTS!$E$42:$E$50,1)+1)))))</f>
        <v/>
      </c>
      <c r="J120" s="4" t="str">
        <f aca="false">IF(TRIB!J120="","",IF(OR(ARCH!J120="",LEFT(ARCH!J120,3)="14x"),IF(AG_REQ!J120&lt;=INDEX(INPUTS!$B$42:$B$50,1),INDEX(INPUTS!$A$42:$A$50,1),IF(AG_REQ!J120&gt;INDEX(INPUTS!$B$42:$B$50,ROWS(INPUTS!$B$42:$B$50)),"LARGER",INDEX(INPUTS!$A$42:$A$50,MATCH(AG_REQ!J120,INPUTS!$B$42:$B$50,1)+1))),IF(AG_REQ!J120&lt;=INDEX(INPUTS!$E$42:$E$50,1),INDEX(INPUTS!$D$42:$D$50,1),IF(AG_REQ!J120&gt;INDEX(INPUTS!$E$42:$E$50,ROWS(INPUTS!$E$42:$E$50)),"LARGER",INDEX(INPUTS!$D$42:$D$50,MATCH(AG_REQ!J120,INPUTS!$E$42:$E$50,1)+1)))))</f>
        <v>14x24</v>
      </c>
      <c r="K120" s="4" t="str">
        <f aca="false">IF(TRIB!K120="","",IF(OR(ARCH!K120="",LEFT(ARCH!K120,3)="14x"),IF(AG_REQ!K120&lt;=INDEX(INPUTS!$B$42:$B$50,1),INDEX(INPUTS!$A$42:$A$50,1),IF(AG_REQ!K120&gt;INDEX(INPUTS!$B$42:$B$50,ROWS(INPUTS!$B$42:$B$50)),"LARGER",INDEX(INPUTS!$A$42:$A$50,MATCH(AG_REQ!K120,INPUTS!$B$42:$B$50,1)+1))),IF(AG_REQ!K120&lt;=INDEX(INPUTS!$E$42:$E$50,1),INDEX(INPUTS!$D$42:$D$50,1),IF(AG_REQ!K120&gt;INDEX(INPUTS!$E$42:$E$50,ROWS(INPUTS!$E$42:$E$50)),"LARGER",INDEX(INPUTS!$D$42:$D$50,MATCH(AG_REQ!K120,INPUTS!$E$42:$E$50,1)+1)))))</f>
        <v/>
      </c>
      <c r="L120" s="4" t="str">
        <f aca="false">IF(TRIB!L120="","",IF(OR(ARCH!L120="",LEFT(ARCH!L120,3)="14x"),IF(AG_REQ!L120&lt;=INDEX(INPUTS!$B$42:$B$50,1),INDEX(INPUTS!$A$42:$A$50,1),IF(AG_REQ!L120&gt;INDEX(INPUTS!$B$42:$B$50,ROWS(INPUTS!$B$42:$B$50)),"LARGER",INDEX(INPUTS!$A$42:$A$50,MATCH(AG_REQ!L120,INPUTS!$B$42:$B$50,1)+1))),IF(AG_REQ!L120&lt;=INDEX(INPUTS!$E$42:$E$50,1),INDEX(INPUTS!$D$42:$D$50,1),IF(AG_REQ!L120&gt;INDEX(INPUTS!$E$42:$E$50,ROWS(INPUTS!$E$42:$E$50)),"LARGER",INDEX(INPUTS!$D$42:$D$50,MATCH(AG_REQ!L120,INPUTS!$E$42:$E$50,1)+1)))))</f>
        <v/>
      </c>
      <c r="M120" s="4" t="str">
        <f aca="false">IF(TRIB!M120="","",IF(OR(ARCH!M120="",LEFT(ARCH!M120,3)="14x"),IF(AG_REQ!M120&lt;=INDEX(INPUTS!$B$42:$B$50,1),INDEX(INPUTS!$A$42:$A$50,1),IF(AG_REQ!M120&gt;INDEX(INPUTS!$B$42:$B$50,ROWS(INPUTS!$B$42:$B$50)),"LARGER",INDEX(INPUTS!$A$42:$A$50,MATCH(AG_REQ!M120,INPUTS!$B$42:$B$50,1)+1))),IF(AG_REQ!M120&lt;=INDEX(INPUTS!$E$42:$E$50,1),INDEX(INPUTS!$D$42:$D$50,1),IF(AG_REQ!M120&gt;INDEX(INPUTS!$E$42:$E$50,ROWS(INPUTS!$E$42:$E$50)),"LARGER",INDEX(INPUTS!$D$42:$D$50,MATCH(AG_REQ!M120,INPUTS!$E$42:$E$50,1)+1)))))</f>
        <v/>
      </c>
      <c r="N120" s="4" t="str">
        <f aca="false">IF(TRIB!N120="","",IF(OR(ARCH!N120="",LEFT(ARCH!N120,3)="14x"),IF(AG_REQ!N120&lt;=INDEX(INPUTS!$B$42:$B$50,1),INDEX(INPUTS!$A$42:$A$50,1),IF(AG_REQ!N120&gt;INDEX(INPUTS!$B$42:$B$50,ROWS(INPUTS!$B$42:$B$50)),"LARGER",INDEX(INPUTS!$A$42:$A$50,MATCH(AG_REQ!N120,INPUTS!$B$42:$B$50,1)+1))),IF(AG_REQ!N120&lt;=INDEX(INPUTS!$E$42:$E$50,1),INDEX(INPUTS!$D$42:$D$50,1),IF(AG_REQ!N120&gt;INDEX(INPUTS!$E$42:$E$50,ROWS(INPUTS!$E$42:$E$50)),"LARGER",INDEX(INPUTS!$D$42:$D$50,MATCH(AG_REQ!N120,INPUTS!$E$42:$E$50,1)+1)))))</f>
        <v/>
      </c>
      <c r="O120" s="4" t="str">
        <f aca="false">IF(TRIB!O120="","",IF(OR(ARCH!O120="",LEFT(ARCH!O120,3)="14x"),IF(AG_REQ!O120&lt;=INDEX(INPUTS!$B$42:$B$50,1),INDEX(INPUTS!$A$42:$A$50,1),IF(AG_REQ!O120&gt;INDEX(INPUTS!$B$42:$B$50,ROWS(INPUTS!$B$42:$B$50)),"LARGER",INDEX(INPUTS!$A$42:$A$50,MATCH(AG_REQ!O120,INPUTS!$B$42:$B$50,1)+1))),IF(AG_REQ!O120&lt;=INDEX(INPUTS!$E$42:$E$50,1),INDEX(INPUTS!$D$42:$D$50,1),IF(AG_REQ!O120&gt;INDEX(INPUTS!$E$42:$E$50,ROWS(INPUTS!$E$42:$E$50)),"LARGER",INDEX(INPUTS!$D$42:$D$50,MATCH(AG_REQ!O120,INPUTS!$E$42:$E$50,1)+1)))))</f>
        <v/>
      </c>
      <c r="P120" s="4" t="str">
        <f aca="false">IF(TRIB!P120="","",IF(OR(ARCH!P120="",LEFT(ARCH!P120,3)="14x"),IF(AG_REQ!P120&lt;=INDEX(INPUTS!$B$42:$B$50,1),INDEX(INPUTS!$A$42:$A$50,1),IF(AG_REQ!P120&gt;INDEX(INPUTS!$B$42:$B$50,ROWS(INPUTS!$B$42:$B$50)),"LARGER",INDEX(INPUTS!$A$42:$A$50,MATCH(AG_REQ!P120,INPUTS!$B$42:$B$50,1)+1))),IF(AG_REQ!P120&lt;=INDEX(INPUTS!$E$42:$E$50,1),INDEX(INPUTS!$D$42:$D$50,1),IF(AG_REQ!P120&gt;INDEX(INPUTS!$E$42:$E$50,ROWS(INPUTS!$E$42:$E$50)),"LARGER",INDEX(INPUTS!$D$42:$D$50,MATCH(AG_REQ!P120,INPUTS!$E$42:$E$50,1)+1)))))</f>
        <v/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4" t="str">
        <f aca="false">IF(TRIB!E121="","",IF(OR(ARCH!E121="",LEFT(ARCH!E121,3)="14x"),IF(AG_REQ!E121&lt;=INDEX(INPUTS!$B$42:$B$50,1),INDEX(INPUTS!$A$42:$A$50,1),IF(AG_REQ!E121&gt;INDEX(INPUTS!$B$42:$B$50,ROWS(INPUTS!$B$42:$B$50)),"LARGER",INDEX(INPUTS!$A$42:$A$50,MATCH(AG_REQ!E121,INPUTS!$B$42:$B$50,1)+1))),IF(AG_REQ!E121&lt;=INDEX(INPUTS!$E$42:$E$50,1),INDEX(INPUTS!$D$42:$D$50,1),IF(AG_REQ!E121&gt;INDEX(INPUTS!$E$42:$E$50,ROWS(INPUTS!$E$42:$E$50)),"LARGER",INDEX(INPUTS!$D$42:$D$50,MATCH(AG_REQ!E121,INPUTS!$E$42:$E$50,1)+1)))))</f>
        <v/>
      </c>
      <c r="F121" s="4" t="str">
        <f aca="false">IF(TRIB!F121="","",IF(OR(ARCH!F121="",LEFT(ARCH!F121,3)="14x"),IF(AG_REQ!F121&lt;=INDEX(INPUTS!$B$42:$B$50,1),INDEX(INPUTS!$A$42:$A$50,1),IF(AG_REQ!F121&gt;INDEX(INPUTS!$B$42:$B$50,ROWS(INPUTS!$B$42:$B$50)),"LARGER",INDEX(INPUTS!$A$42:$A$50,MATCH(AG_REQ!F121,INPUTS!$B$42:$B$50,1)+1))),IF(AG_REQ!F121&lt;=INDEX(INPUTS!$E$42:$E$50,1),INDEX(INPUTS!$D$42:$D$50,1),IF(AG_REQ!F121&gt;INDEX(INPUTS!$E$42:$E$50,ROWS(INPUTS!$E$42:$E$50)),"LARGER",INDEX(INPUTS!$D$42:$D$50,MATCH(AG_REQ!F121,INPUTS!$E$42:$E$50,1)+1)))))</f>
        <v/>
      </c>
      <c r="G121" s="4" t="str">
        <f aca="false">IF(TRIB!G121="","",IF(OR(ARCH!G121="",LEFT(ARCH!G121,3)="14x"),IF(AG_REQ!G121&lt;=INDEX(INPUTS!$B$42:$B$50,1),INDEX(INPUTS!$A$42:$A$50,1),IF(AG_REQ!G121&gt;INDEX(INPUTS!$B$42:$B$50,ROWS(INPUTS!$B$42:$B$50)),"LARGER",INDEX(INPUTS!$A$42:$A$50,MATCH(AG_REQ!G121,INPUTS!$B$42:$B$50,1)+1))),IF(AG_REQ!G121&lt;=INDEX(INPUTS!$E$42:$E$50,1),INDEX(INPUTS!$D$42:$D$50,1),IF(AG_REQ!G121&gt;INDEX(INPUTS!$E$42:$E$50,ROWS(INPUTS!$E$42:$E$50)),"LARGER",INDEX(INPUTS!$D$42:$D$50,MATCH(AG_REQ!G121,INPUTS!$E$42:$E$50,1)+1)))))</f>
        <v/>
      </c>
      <c r="H121" s="4" t="str">
        <f aca="false">IF(TRIB!H121="","",IF(OR(ARCH!H121="",LEFT(ARCH!H121,3)="14x"),IF(AG_REQ!H121&lt;=INDEX(INPUTS!$B$42:$B$50,1),INDEX(INPUTS!$A$42:$A$50,1),IF(AG_REQ!H121&gt;INDEX(INPUTS!$B$42:$B$50,ROWS(INPUTS!$B$42:$B$50)),"LARGER",INDEX(INPUTS!$A$42:$A$50,MATCH(AG_REQ!H121,INPUTS!$B$42:$B$50,1)+1))),IF(AG_REQ!H121&lt;=INDEX(INPUTS!$E$42:$E$50,1),INDEX(INPUTS!$D$42:$D$50,1),IF(AG_REQ!H121&gt;INDEX(INPUTS!$E$42:$E$50,ROWS(INPUTS!$E$42:$E$50)),"LARGER",INDEX(INPUTS!$D$42:$D$50,MATCH(AG_REQ!H121,INPUTS!$E$42:$E$50,1)+1)))))</f>
        <v/>
      </c>
      <c r="I121" s="4" t="str">
        <f aca="false">IF(TRIB!I121="","",IF(OR(ARCH!I121="",LEFT(ARCH!I121,3)="14x"),IF(AG_REQ!I121&lt;=INDEX(INPUTS!$B$42:$B$50,1),INDEX(INPUTS!$A$42:$A$50,1),IF(AG_REQ!I121&gt;INDEX(INPUTS!$B$42:$B$50,ROWS(INPUTS!$B$42:$B$50)),"LARGER",INDEX(INPUTS!$A$42:$A$50,MATCH(AG_REQ!I121,INPUTS!$B$42:$B$50,1)+1))),IF(AG_REQ!I121&lt;=INDEX(INPUTS!$E$42:$E$50,1),INDEX(INPUTS!$D$42:$D$50,1),IF(AG_REQ!I121&gt;INDEX(INPUTS!$E$42:$E$50,ROWS(INPUTS!$E$42:$E$50)),"LARGER",INDEX(INPUTS!$D$42:$D$50,MATCH(AG_REQ!I121,INPUTS!$E$42:$E$50,1)+1)))))</f>
        <v/>
      </c>
      <c r="J121" s="4" t="str">
        <f aca="false">IF(TRIB!J121="","",IF(OR(ARCH!J121="",LEFT(ARCH!J121,3)="14x"),IF(AG_REQ!J121&lt;=INDEX(INPUTS!$B$42:$B$50,1),INDEX(INPUTS!$A$42:$A$50,1),IF(AG_REQ!J121&gt;INDEX(INPUTS!$B$42:$B$50,ROWS(INPUTS!$B$42:$B$50)),"LARGER",INDEX(INPUTS!$A$42:$A$50,MATCH(AG_REQ!J121,INPUTS!$B$42:$B$50,1)+1))),IF(AG_REQ!J121&lt;=INDEX(INPUTS!$E$42:$E$50,1),INDEX(INPUTS!$D$42:$D$50,1),IF(AG_REQ!J121&gt;INDEX(INPUTS!$E$42:$E$50,ROWS(INPUTS!$E$42:$E$50)),"LARGER",INDEX(INPUTS!$D$42:$D$50,MATCH(AG_REQ!J121,INPUTS!$E$42:$E$50,1)+1)))))</f>
        <v>14x24</v>
      </c>
      <c r="K121" s="4" t="str">
        <f aca="false">IF(TRIB!K121="","",IF(OR(ARCH!K121="",LEFT(ARCH!K121,3)="14x"),IF(AG_REQ!K121&lt;=INDEX(INPUTS!$B$42:$B$50,1),INDEX(INPUTS!$A$42:$A$50,1),IF(AG_REQ!K121&gt;INDEX(INPUTS!$B$42:$B$50,ROWS(INPUTS!$B$42:$B$50)),"LARGER",INDEX(INPUTS!$A$42:$A$50,MATCH(AG_REQ!K121,INPUTS!$B$42:$B$50,1)+1))),IF(AG_REQ!K121&lt;=INDEX(INPUTS!$E$42:$E$50,1),INDEX(INPUTS!$D$42:$D$50,1),IF(AG_REQ!K121&gt;INDEX(INPUTS!$E$42:$E$50,ROWS(INPUTS!$E$42:$E$50)),"LARGER",INDEX(INPUTS!$D$42:$D$50,MATCH(AG_REQ!K121,INPUTS!$E$42:$E$50,1)+1)))))</f>
        <v/>
      </c>
      <c r="L121" s="4" t="str">
        <f aca="false">IF(TRIB!L121="","",IF(OR(ARCH!L121="",LEFT(ARCH!L121,3)="14x"),IF(AG_REQ!L121&lt;=INDEX(INPUTS!$B$42:$B$50,1),INDEX(INPUTS!$A$42:$A$50,1),IF(AG_REQ!L121&gt;INDEX(INPUTS!$B$42:$B$50,ROWS(INPUTS!$B$42:$B$50)),"LARGER",INDEX(INPUTS!$A$42:$A$50,MATCH(AG_REQ!L121,INPUTS!$B$42:$B$50,1)+1))),IF(AG_REQ!L121&lt;=INDEX(INPUTS!$E$42:$E$50,1),INDEX(INPUTS!$D$42:$D$50,1),IF(AG_REQ!L121&gt;INDEX(INPUTS!$E$42:$E$50,ROWS(INPUTS!$E$42:$E$50)),"LARGER",INDEX(INPUTS!$D$42:$D$50,MATCH(AG_REQ!L121,INPUTS!$E$42:$E$50,1)+1)))))</f>
        <v/>
      </c>
      <c r="M121" s="4" t="str">
        <f aca="false">IF(TRIB!M121="","",IF(OR(ARCH!M121="",LEFT(ARCH!M121,3)="14x"),IF(AG_REQ!M121&lt;=INDEX(INPUTS!$B$42:$B$50,1),INDEX(INPUTS!$A$42:$A$50,1),IF(AG_REQ!M121&gt;INDEX(INPUTS!$B$42:$B$50,ROWS(INPUTS!$B$42:$B$50)),"LARGER",INDEX(INPUTS!$A$42:$A$50,MATCH(AG_REQ!M121,INPUTS!$B$42:$B$50,1)+1))),IF(AG_REQ!M121&lt;=INDEX(INPUTS!$E$42:$E$50,1),INDEX(INPUTS!$D$42:$D$50,1),IF(AG_REQ!M121&gt;INDEX(INPUTS!$E$42:$E$50,ROWS(INPUTS!$E$42:$E$50)),"LARGER",INDEX(INPUTS!$D$42:$D$50,MATCH(AG_REQ!M121,INPUTS!$E$42:$E$50,1)+1)))))</f>
        <v/>
      </c>
      <c r="N121" s="4" t="str">
        <f aca="false">IF(TRIB!N121="","",IF(OR(ARCH!N121="",LEFT(ARCH!N121,3)="14x"),IF(AG_REQ!N121&lt;=INDEX(INPUTS!$B$42:$B$50,1),INDEX(INPUTS!$A$42:$A$50,1),IF(AG_REQ!N121&gt;INDEX(INPUTS!$B$42:$B$50,ROWS(INPUTS!$B$42:$B$50)),"LARGER",INDEX(INPUTS!$A$42:$A$50,MATCH(AG_REQ!N121,INPUTS!$B$42:$B$50,1)+1))),IF(AG_REQ!N121&lt;=INDEX(INPUTS!$E$42:$E$50,1),INDEX(INPUTS!$D$42:$D$50,1),IF(AG_REQ!N121&gt;INDEX(INPUTS!$E$42:$E$50,ROWS(INPUTS!$E$42:$E$50)),"LARGER",INDEX(INPUTS!$D$42:$D$50,MATCH(AG_REQ!N121,INPUTS!$E$42:$E$50,1)+1)))))</f>
        <v/>
      </c>
      <c r="O121" s="4" t="str">
        <f aca="false">IF(TRIB!O121="","",IF(OR(ARCH!O121="",LEFT(ARCH!O121,3)="14x"),IF(AG_REQ!O121&lt;=INDEX(INPUTS!$B$42:$B$50,1),INDEX(INPUTS!$A$42:$A$50,1),IF(AG_REQ!O121&gt;INDEX(INPUTS!$B$42:$B$50,ROWS(INPUTS!$B$42:$B$50)),"LARGER",INDEX(INPUTS!$A$42:$A$50,MATCH(AG_REQ!O121,INPUTS!$B$42:$B$50,1)+1))),IF(AG_REQ!O121&lt;=INDEX(INPUTS!$E$42:$E$50,1),INDEX(INPUTS!$D$42:$D$50,1),IF(AG_REQ!O121&gt;INDEX(INPUTS!$E$42:$E$50,ROWS(INPUTS!$E$42:$E$50)),"LARGER",INDEX(INPUTS!$D$42:$D$50,MATCH(AG_REQ!O121,INPUTS!$E$42:$E$50,1)+1)))))</f>
        <v/>
      </c>
      <c r="P121" s="4" t="str">
        <f aca="false">IF(TRIB!P121="","",IF(OR(ARCH!P121="",LEFT(ARCH!P121,3)="14x"),IF(AG_REQ!P121&lt;=INDEX(INPUTS!$B$42:$B$50,1),INDEX(INPUTS!$A$42:$A$50,1),IF(AG_REQ!P121&gt;INDEX(INPUTS!$B$42:$B$50,ROWS(INPUTS!$B$42:$B$50)),"LARGER",INDEX(INPUTS!$A$42:$A$50,MATCH(AG_REQ!P121,INPUTS!$B$42:$B$50,1)+1))),IF(AG_REQ!P121&lt;=INDEX(INPUTS!$E$42:$E$50,1),INDEX(INPUTS!$D$42:$D$50,1),IF(AG_REQ!P121&gt;INDEX(INPUTS!$E$42:$E$50,ROWS(INPUTS!$E$42:$E$50)),"LARGER",INDEX(INPUTS!$D$42:$D$50,MATCH(AG_REQ!P121,INPUTS!$E$42:$E$50,1)+1)))))</f>
        <v/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4" t="str">
        <f aca="false">IF(TRIB!E122="","",IF(OR(ARCH!E122="",LEFT(ARCH!E122,3)="14x"),IF(AG_REQ!E122&lt;=INDEX(INPUTS!$B$42:$B$50,1),INDEX(INPUTS!$A$42:$A$50,1),IF(AG_REQ!E122&gt;INDEX(INPUTS!$B$42:$B$50,ROWS(INPUTS!$B$42:$B$50)),"LARGER",INDEX(INPUTS!$A$42:$A$50,MATCH(AG_REQ!E122,INPUTS!$B$42:$B$50,1)+1))),IF(AG_REQ!E122&lt;=INDEX(INPUTS!$E$42:$E$50,1),INDEX(INPUTS!$D$42:$D$50,1),IF(AG_REQ!E122&gt;INDEX(INPUTS!$E$42:$E$50,ROWS(INPUTS!$E$42:$E$50)),"LARGER",INDEX(INPUTS!$D$42:$D$50,MATCH(AG_REQ!E122,INPUTS!$E$42:$E$50,1)+1)))))</f>
        <v/>
      </c>
      <c r="F122" s="4" t="str">
        <f aca="false">IF(TRIB!F122="","",IF(OR(ARCH!F122="",LEFT(ARCH!F122,3)="14x"),IF(AG_REQ!F122&lt;=INDEX(INPUTS!$B$42:$B$50,1),INDEX(INPUTS!$A$42:$A$50,1),IF(AG_REQ!F122&gt;INDEX(INPUTS!$B$42:$B$50,ROWS(INPUTS!$B$42:$B$50)),"LARGER",INDEX(INPUTS!$A$42:$A$50,MATCH(AG_REQ!F122,INPUTS!$B$42:$B$50,1)+1))),IF(AG_REQ!F122&lt;=INDEX(INPUTS!$E$42:$E$50,1),INDEX(INPUTS!$D$42:$D$50,1),IF(AG_REQ!F122&gt;INDEX(INPUTS!$E$42:$E$50,ROWS(INPUTS!$E$42:$E$50)),"LARGER",INDEX(INPUTS!$D$42:$D$50,MATCH(AG_REQ!F122,INPUTS!$E$42:$E$50,1)+1)))))</f>
        <v/>
      </c>
      <c r="G122" s="4" t="str">
        <f aca="false">IF(TRIB!G122="","",IF(OR(ARCH!G122="",LEFT(ARCH!G122,3)="14x"),IF(AG_REQ!G122&lt;=INDEX(INPUTS!$B$42:$B$50,1),INDEX(INPUTS!$A$42:$A$50,1),IF(AG_REQ!G122&gt;INDEX(INPUTS!$B$42:$B$50,ROWS(INPUTS!$B$42:$B$50)),"LARGER",INDEX(INPUTS!$A$42:$A$50,MATCH(AG_REQ!G122,INPUTS!$B$42:$B$50,1)+1))),IF(AG_REQ!G122&lt;=INDEX(INPUTS!$E$42:$E$50,1),INDEX(INPUTS!$D$42:$D$50,1),IF(AG_REQ!G122&gt;INDEX(INPUTS!$E$42:$E$50,ROWS(INPUTS!$E$42:$E$50)),"LARGER",INDEX(INPUTS!$D$42:$D$50,MATCH(AG_REQ!G122,INPUTS!$E$42:$E$50,1)+1)))))</f>
        <v/>
      </c>
      <c r="H122" s="4" t="str">
        <f aca="false">IF(TRIB!H122="","",IF(OR(ARCH!H122="",LEFT(ARCH!H122,3)="14x"),IF(AG_REQ!H122&lt;=INDEX(INPUTS!$B$42:$B$50,1),INDEX(INPUTS!$A$42:$A$50,1),IF(AG_REQ!H122&gt;INDEX(INPUTS!$B$42:$B$50,ROWS(INPUTS!$B$42:$B$50)),"LARGER",INDEX(INPUTS!$A$42:$A$50,MATCH(AG_REQ!H122,INPUTS!$B$42:$B$50,1)+1))),IF(AG_REQ!H122&lt;=INDEX(INPUTS!$E$42:$E$50,1),INDEX(INPUTS!$D$42:$D$50,1),IF(AG_REQ!H122&gt;INDEX(INPUTS!$E$42:$E$50,ROWS(INPUTS!$E$42:$E$50)),"LARGER",INDEX(INPUTS!$D$42:$D$50,MATCH(AG_REQ!H122,INPUTS!$E$42:$E$50,1)+1)))))</f>
        <v/>
      </c>
      <c r="I122" s="4" t="str">
        <f aca="false">IF(TRIB!I122="","",IF(OR(ARCH!I122="",LEFT(ARCH!I122,3)="14x"),IF(AG_REQ!I122&lt;=INDEX(INPUTS!$B$42:$B$50,1),INDEX(INPUTS!$A$42:$A$50,1),IF(AG_REQ!I122&gt;INDEX(INPUTS!$B$42:$B$50,ROWS(INPUTS!$B$42:$B$50)),"LARGER",INDEX(INPUTS!$A$42:$A$50,MATCH(AG_REQ!I122,INPUTS!$B$42:$B$50,1)+1))),IF(AG_REQ!I122&lt;=INDEX(INPUTS!$E$42:$E$50,1),INDEX(INPUTS!$D$42:$D$50,1),IF(AG_REQ!I122&gt;INDEX(INPUTS!$E$42:$E$50,ROWS(INPUTS!$E$42:$E$50)),"LARGER",INDEX(INPUTS!$D$42:$D$50,MATCH(AG_REQ!I122,INPUTS!$E$42:$E$50,1)+1)))))</f>
        <v/>
      </c>
      <c r="J122" s="4" t="str">
        <f aca="false">IF(TRIB!J122="","",IF(OR(ARCH!J122="",LEFT(ARCH!J122,3)="14x"),IF(AG_REQ!J122&lt;=INDEX(INPUTS!$B$42:$B$50,1),INDEX(INPUTS!$A$42:$A$50,1),IF(AG_REQ!J122&gt;INDEX(INPUTS!$B$42:$B$50,ROWS(INPUTS!$B$42:$B$50)),"LARGER",INDEX(INPUTS!$A$42:$A$50,MATCH(AG_REQ!J122,INPUTS!$B$42:$B$50,1)+1))),IF(AG_REQ!J122&lt;=INDEX(INPUTS!$E$42:$E$50,1),INDEX(INPUTS!$D$42:$D$50,1),IF(AG_REQ!J122&gt;INDEX(INPUTS!$E$42:$E$50,ROWS(INPUTS!$E$42:$E$50)),"LARGER",INDEX(INPUTS!$D$42:$D$50,MATCH(AG_REQ!J122,INPUTS!$E$42:$E$50,1)+1)))))</f>
        <v>14x24</v>
      </c>
      <c r="K122" s="4" t="str">
        <f aca="false">IF(TRIB!K122="","",IF(OR(ARCH!K122="",LEFT(ARCH!K122,3)="14x"),IF(AG_REQ!K122&lt;=INDEX(INPUTS!$B$42:$B$50,1),INDEX(INPUTS!$A$42:$A$50,1),IF(AG_REQ!K122&gt;INDEX(INPUTS!$B$42:$B$50,ROWS(INPUTS!$B$42:$B$50)),"LARGER",INDEX(INPUTS!$A$42:$A$50,MATCH(AG_REQ!K122,INPUTS!$B$42:$B$50,1)+1))),IF(AG_REQ!K122&lt;=INDEX(INPUTS!$E$42:$E$50,1),INDEX(INPUTS!$D$42:$D$50,1),IF(AG_REQ!K122&gt;INDEX(INPUTS!$E$42:$E$50,ROWS(INPUTS!$E$42:$E$50)),"LARGER",INDEX(INPUTS!$D$42:$D$50,MATCH(AG_REQ!K122,INPUTS!$E$42:$E$50,1)+1)))))</f>
        <v/>
      </c>
      <c r="L122" s="4" t="str">
        <f aca="false">IF(TRIB!L122="","",IF(OR(ARCH!L122="",LEFT(ARCH!L122,3)="14x"),IF(AG_REQ!L122&lt;=INDEX(INPUTS!$B$42:$B$50,1),INDEX(INPUTS!$A$42:$A$50,1),IF(AG_REQ!L122&gt;INDEX(INPUTS!$B$42:$B$50,ROWS(INPUTS!$B$42:$B$50)),"LARGER",INDEX(INPUTS!$A$42:$A$50,MATCH(AG_REQ!L122,INPUTS!$B$42:$B$50,1)+1))),IF(AG_REQ!L122&lt;=INDEX(INPUTS!$E$42:$E$50,1),INDEX(INPUTS!$D$42:$D$50,1),IF(AG_REQ!L122&gt;INDEX(INPUTS!$E$42:$E$50,ROWS(INPUTS!$E$42:$E$50)),"LARGER",INDEX(INPUTS!$D$42:$D$50,MATCH(AG_REQ!L122,INPUTS!$E$42:$E$50,1)+1)))))</f>
        <v/>
      </c>
      <c r="M122" s="4" t="str">
        <f aca="false">IF(TRIB!M122="","",IF(OR(ARCH!M122="",LEFT(ARCH!M122,3)="14x"),IF(AG_REQ!M122&lt;=INDEX(INPUTS!$B$42:$B$50,1),INDEX(INPUTS!$A$42:$A$50,1),IF(AG_REQ!M122&gt;INDEX(INPUTS!$B$42:$B$50,ROWS(INPUTS!$B$42:$B$50)),"LARGER",INDEX(INPUTS!$A$42:$A$50,MATCH(AG_REQ!M122,INPUTS!$B$42:$B$50,1)+1))),IF(AG_REQ!M122&lt;=INDEX(INPUTS!$E$42:$E$50,1),INDEX(INPUTS!$D$42:$D$50,1),IF(AG_REQ!M122&gt;INDEX(INPUTS!$E$42:$E$50,ROWS(INPUTS!$E$42:$E$50)),"LARGER",INDEX(INPUTS!$D$42:$D$50,MATCH(AG_REQ!M122,INPUTS!$E$42:$E$50,1)+1)))))</f>
        <v/>
      </c>
      <c r="N122" s="4" t="str">
        <f aca="false">IF(TRIB!N122="","",IF(OR(ARCH!N122="",LEFT(ARCH!N122,3)="14x"),IF(AG_REQ!N122&lt;=INDEX(INPUTS!$B$42:$B$50,1),INDEX(INPUTS!$A$42:$A$50,1),IF(AG_REQ!N122&gt;INDEX(INPUTS!$B$42:$B$50,ROWS(INPUTS!$B$42:$B$50)),"LARGER",INDEX(INPUTS!$A$42:$A$50,MATCH(AG_REQ!N122,INPUTS!$B$42:$B$50,1)+1))),IF(AG_REQ!N122&lt;=INDEX(INPUTS!$E$42:$E$50,1),INDEX(INPUTS!$D$42:$D$50,1),IF(AG_REQ!N122&gt;INDEX(INPUTS!$E$42:$E$50,ROWS(INPUTS!$E$42:$E$50)),"LARGER",INDEX(INPUTS!$D$42:$D$50,MATCH(AG_REQ!N122,INPUTS!$E$42:$E$50,1)+1)))))</f>
        <v/>
      </c>
      <c r="O122" s="4" t="str">
        <f aca="false">IF(TRIB!O122="","",IF(OR(ARCH!O122="",LEFT(ARCH!O122,3)="14x"),IF(AG_REQ!O122&lt;=INDEX(INPUTS!$B$42:$B$50,1),INDEX(INPUTS!$A$42:$A$50,1),IF(AG_REQ!O122&gt;INDEX(INPUTS!$B$42:$B$50,ROWS(INPUTS!$B$42:$B$50)),"LARGER",INDEX(INPUTS!$A$42:$A$50,MATCH(AG_REQ!O122,INPUTS!$B$42:$B$50,1)+1))),IF(AG_REQ!O122&lt;=INDEX(INPUTS!$E$42:$E$50,1),INDEX(INPUTS!$D$42:$D$50,1),IF(AG_REQ!O122&gt;INDEX(INPUTS!$E$42:$E$50,ROWS(INPUTS!$E$42:$E$50)),"LARGER",INDEX(INPUTS!$D$42:$D$50,MATCH(AG_REQ!O122,INPUTS!$E$42:$E$50,1)+1)))))</f>
        <v/>
      </c>
      <c r="P122" s="4" t="str">
        <f aca="false">IF(TRIB!P122="","",IF(OR(ARCH!P122="",LEFT(ARCH!P122,3)="14x"),IF(AG_REQ!P122&lt;=INDEX(INPUTS!$B$42:$B$50,1),INDEX(INPUTS!$A$42:$A$50,1),IF(AG_REQ!P122&gt;INDEX(INPUTS!$B$42:$B$50,ROWS(INPUTS!$B$42:$B$50)),"LARGER",INDEX(INPUTS!$A$42:$A$50,MATCH(AG_REQ!P122,INPUTS!$B$42:$B$50,1)+1))),IF(AG_REQ!P122&lt;=INDEX(INPUTS!$E$42:$E$50,1),INDEX(INPUTS!$D$42:$D$50,1),IF(AG_REQ!P122&gt;INDEX(INPUTS!$E$42:$E$50,ROWS(INPUTS!$E$42:$E$50)),"LARGER",INDEX(INPUTS!$D$42:$D$50,MATCH(AG_REQ!P122,INPUTS!$E$42:$E$50,1)+1)))))</f>
        <v/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4" t="str">
        <f aca="false">IF(TRIB!E123="","",IF(OR(ARCH!E123="",LEFT(ARCH!E123,3)="14x"),IF(AG_REQ!E123&lt;=INDEX(INPUTS!$B$42:$B$50,1),INDEX(INPUTS!$A$42:$A$50,1),IF(AG_REQ!E123&gt;INDEX(INPUTS!$B$42:$B$50,ROWS(INPUTS!$B$42:$B$50)),"LARGER",INDEX(INPUTS!$A$42:$A$50,MATCH(AG_REQ!E123,INPUTS!$B$42:$B$50,1)+1))),IF(AG_REQ!E123&lt;=INDEX(INPUTS!$E$42:$E$50,1),INDEX(INPUTS!$D$42:$D$50,1),IF(AG_REQ!E123&gt;INDEX(INPUTS!$E$42:$E$50,ROWS(INPUTS!$E$42:$E$50)),"LARGER",INDEX(INPUTS!$D$42:$D$50,MATCH(AG_REQ!E123,INPUTS!$E$42:$E$50,1)+1)))))</f>
        <v/>
      </c>
      <c r="F123" s="4" t="str">
        <f aca="false">IF(TRIB!F123="","",IF(OR(ARCH!F123="",LEFT(ARCH!F123,3)="14x"),IF(AG_REQ!F123&lt;=INDEX(INPUTS!$B$42:$B$50,1),INDEX(INPUTS!$A$42:$A$50,1),IF(AG_REQ!F123&gt;INDEX(INPUTS!$B$42:$B$50,ROWS(INPUTS!$B$42:$B$50)),"LARGER",INDEX(INPUTS!$A$42:$A$50,MATCH(AG_REQ!F123,INPUTS!$B$42:$B$50,1)+1))),IF(AG_REQ!F123&lt;=INDEX(INPUTS!$E$42:$E$50,1),INDEX(INPUTS!$D$42:$D$50,1),IF(AG_REQ!F123&gt;INDEX(INPUTS!$E$42:$E$50,ROWS(INPUTS!$E$42:$E$50)),"LARGER",INDEX(INPUTS!$D$42:$D$50,MATCH(AG_REQ!F123,INPUTS!$E$42:$E$50,1)+1)))))</f>
        <v/>
      </c>
      <c r="G123" s="4" t="str">
        <f aca="false">IF(TRIB!G123="","",IF(OR(ARCH!G123="",LEFT(ARCH!G123,3)="14x"),IF(AG_REQ!G123&lt;=INDEX(INPUTS!$B$42:$B$50,1),INDEX(INPUTS!$A$42:$A$50,1),IF(AG_REQ!G123&gt;INDEX(INPUTS!$B$42:$B$50,ROWS(INPUTS!$B$42:$B$50)),"LARGER",INDEX(INPUTS!$A$42:$A$50,MATCH(AG_REQ!G123,INPUTS!$B$42:$B$50,1)+1))),IF(AG_REQ!G123&lt;=INDEX(INPUTS!$E$42:$E$50,1),INDEX(INPUTS!$D$42:$D$50,1),IF(AG_REQ!G123&gt;INDEX(INPUTS!$E$42:$E$50,ROWS(INPUTS!$E$42:$E$50)),"LARGER",INDEX(INPUTS!$D$42:$D$50,MATCH(AG_REQ!G123,INPUTS!$E$42:$E$50,1)+1)))))</f>
        <v/>
      </c>
      <c r="H123" s="4" t="str">
        <f aca="false">IF(TRIB!H123="","",IF(OR(ARCH!H123="",LEFT(ARCH!H123,3)="14x"),IF(AG_REQ!H123&lt;=INDEX(INPUTS!$B$42:$B$50,1),INDEX(INPUTS!$A$42:$A$50,1),IF(AG_REQ!H123&gt;INDEX(INPUTS!$B$42:$B$50,ROWS(INPUTS!$B$42:$B$50)),"LARGER",INDEX(INPUTS!$A$42:$A$50,MATCH(AG_REQ!H123,INPUTS!$B$42:$B$50,1)+1))),IF(AG_REQ!H123&lt;=INDEX(INPUTS!$E$42:$E$50,1),INDEX(INPUTS!$D$42:$D$50,1),IF(AG_REQ!H123&gt;INDEX(INPUTS!$E$42:$E$50,ROWS(INPUTS!$E$42:$E$50)),"LARGER",INDEX(INPUTS!$D$42:$D$50,MATCH(AG_REQ!H123,INPUTS!$E$42:$E$50,1)+1)))))</f>
        <v/>
      </c>
      <c r="I123" s="4" t="str">
        <f aca="false">IF(TRIB!I123="","",IF(OR(ARCH!I123="",LEFT(ARCH!I123,3)="14x"),IF(AG_REQ!I123&lt;=INDEX(INPUTS!$B$42:$B$50,1),INDEX(INPUTS!$A$42:$A$50,1),IF(AG_REQ!I123&gt;INDEX(INPUTS!$B$42:$B$50,ROWS(INPUTS!$B$42:$B$50)),"LARGER",INDEX(INPUTS!$A$42:$A$50,MATCH(AG_REQ!I123,INPUTS!$B$42:$B$50,1)+1))),IF(AG_REQ!I123&lt;=INDEX(INPUTS!$E$42:$E$50,1),INDEX(INPUTS!$D$42:$D$50,1),IF(AG_REQ!I123&gt;INDEX(INPUTS!$E$42:$E$50,ROWS(INPUTS!$E$42:$E$50)),"LARGER",INDEX(INPUTS!$D$42:$D$50,MATCH(AG_REQ!I123,INPUTS!$E$42:$E$50,1)+1)))))</f>
        <v/>
      </c>
      <c r="J123" s="4" t="str">
        <f aca="false">IF(TRIB!J123="","",IF(OR(ARCH!J123="",LEFT(ARCH!J123,3)="14x"),IF(AG_REQ!J123&lt;=INDEX(INPUTS!$B$42:$B$50,1),INDEX(INPUTS!$A$42:$A$50,1),IF(AG_REQ!J123&gt;INDEX(INPUTS!$B$42:$B$50,ROWS(INPUTS!$B$42:$B$50)),"LARGER",INDEX(INPUTS!$A$42:$A$50,MATCH(AG_REQ!J123,INPUTS!$B$42:$B$50,1)+1))),IF(AG_REQ!J123&lt;=INDEX(INPUTS!$E$42:$E$50,1),INDEX(INPUTS!$D$42:$D$50,1),IF(AG_REQ!J123&gt;INDEX(INPUTS!$E$42:$E$50,ROWS(INPUTS!$E$42:$E$50)),"LARGER",INDEX(INPUTS!$D$42:$D$50,MATCH(AG_REQ!J123,INPUTS!$E$42:$E$50,1)+1)))))</f>
        <v>14x24</v>
      </c>
      <c r="K123" s="4" t="str">
        <f aca="false">IF(TRIB!K123="","",IF(OR(ARCH!K123="",LEFT(ARCH!K123,3)="14x"),IF(AG_REQ!K123&lt;=INDEX(INPUTS!$B$42:$B$50,1),INDEX(INPUTS!$A$42:$A$50,1),IF(AG_REQ!K123&gt;INDEX(INPUTS!$B$42:$B$50,ROWS(INPUTS!$B$42:$B$50)),"LARGER",INDEX(INPUTS!$A$42:$A$50,MATCH(AG_REQ!K123,INPUTS!$B$42:$B$50,1)+1))),IF(AG_REQ!K123&lt;=INDEX(INPUTS!$E$42:$E$50,1),INDEX(INPUTS!$D$42:$D$50,1),IF(AG_REQ!K123&gt;INDEX(INPUTS!$E$42:$E$50,ROWS(INPUTS!$E$42:$E$50)),"LARGER",INDEX(INPUTS!$D$42:$D$50,MATCH(AG_REQ!K123,INPUTS!$E$42:$E$50,1)+1)))))</f>
        <v/>
      </c>
      <c r="L123" s="4" t="str">
        <f aca="false">IF(TRIB!L123="","",IF(OR(ARCH!L123="",LEFT(ARCH!L123,3)="14x"),IF(AG_REQ!L123&lt;=INDEX(INPUTS!$B$42:$B$50,1),INDEX(INPUTS!$A$42:$A$50,1),IF(AG_REQ!L123&gt;INDEX(INPUTS!$B$42:$B$50,ROWS(INPUTS!$B$42:$B$50)),"LARGER",INDEX(INPUTS!$A$42:$A$50,MATCH(AG_REQ!L123,INPUTS!$B$42:$B$50,1)+1))),IF(AG_REQ!L123&lt;=INDEX(INPUTS!$E$42:$E$50,1),INDEX(INPUTS!$D$42:$D$50,1),IF(AG_REQ!L123&gt;INDEX(INPUTS!$E$42:$E$50,ROWS(INPUTS!$E$42:$E$50)),"LARGER",INDEX(INPUTS!$D$42:$D$50,MATCH(AG_REQ!L123,INPUTS!$E$42:$E$50,1)+1)))))</f>
        <v/>
      </c>
      <c r="M123" s="4" t="str">
        <f aca="false">IF(TRIB!M123="","",IF(OR(ARCH!M123="",LEFT(ARCH!M123,3)="14x"),IF(AG_REQ!M123&lt;=INDEX(INPUTS!$B$42:$B$50,1),INDEX(INPUTS!$A$42:$A$50,1),IF(AG_REQ!M123&gt;INDEX(INPUTS!$B$42:$B$50,ROWS(INPUTS!$B$42:$B$50)),"LARGER",INDEX(INPUTS!$A$42:$A$50,MATCH(AG_REQ!M123,INPUTS!$B$42:$B$50,1)+1))),IF(AG_REQ!M123&lt;=INDEX(INPUTS!$E$42:$E$50,1),INDEX(INPUTS!$D$42:$D$50,1),IF(AG_REQ!M123&gt;INDEX(INPUTS!$E$42:$E$50,ROWS(INPUTS!$E$42:$E$50)),"LARGER",INDEX(INPUTS!$D$42:$D$50,MATCH(AG_REQ!M123,INPUTS!$E$42:$E$50,1)+1)))))</f>
        <v/>
      </c>
      <c r="N123" s="4" t="str">
        <f aca="false">IF(TRIB!N123="","",IF(OR(ARCH!N123="",LEFT(ARCH!N123,3)="14x"),IF(AG_REQ!N123&lt;=INDEX(INPUTS!$B$42:$B$50,1),INDEX(INPUTS!$A$42:$A$50,1),IF(AG_REQ!N123&gt;INDEX(INPUTS!$B$42:$B$50,ROWS(INPUTS!$B$42:$B$50)),"LARGER",INDEX(INPUTS!$A$42:$A$50,MATCH(AG_REQ!N123,INPUTS!$B$42:$B$50,1)+1))),IF(AG_REQ!N123&lt;=INDEX(INPUTS!$E$42:$E$50,1),INDEX(INPUTS!$D$42:$D$50,1),IF(AG_REQ!N123&gt;INDEX(INPUTS!$E$42:$E$50,ROWS(INPUTS!$E$42:$E$50)),"LARGER",INDEX(INPUTS!$D$42:$D$50,MATCH(AG_REQ!N123,INPUTS!$E$42:$E$50,1)+1)))))</f>
        <v/>
      </c>
      <c r="O123" s="4" t="str">
        <f aca="false">IF(TRIB!O123="","",IF(OR(ARCH!O123="",LEFT(ARCH!O123,3)="14x"),IF(AG_REQ!O123&lt;=INDEX(INPUTS!$B$42:$B$50,1),INDEX(INPUTS!$A$42:$A$50,1),IF(AG_REQ!O123&gt;INDEX(INPUTS!$B$42:$B$50,ROWS(INPUTS!$B$42:$B$50)),"LARGER",INDEX(INPUTS!$A$42:$A$50,MATCH(AG_REQ!O123,INPUTS!$B$42:$B$50,1)+1))),IF(AG_REQ!O123&lt;=INDEX(INPUTS!$E$42:$E$50,1),INDEX(INPUTS!$D$42:$D$50,1),IF(AG_REQ!O123&gt;INDEX(INPUTS!$E$42:$E$50,ROWS(INPUTS!$E$42:$E$50)),"LARGER",INDEX(INPUTS!$D$42:$D$50,MATCH(AG_REQ!O123,INPUTS!$E$42:$E$50,1)+1)))))</f>
        <v/>
      </c>
      <c r="P123" s="4" t="str">
        <f aca="false">IF(TRIB!P123="","",IF(OR(ARCH!P123="",LEFT(ARCH!P123,3)="14x"),IF(AG_REQ!P123&lt;=INDEX(INPUTS!$B$42:$B$50,1),INDEX(INPUTS!$A$42:$A$50,1),IF(AG_REQ!P123&gt;INDEX(INPUTS!$B$42:$B$50,ROWS(INPUTS!$B$42:$B$50)),"LARGER",INDEX(INPUTS!$A$42:$A$50,MATCH(AG_REQ!P123,INPUTS!$B$42:$B$50,1)+1))),IF(AG_REQ!P123&lt;=INDEX(INPUTS!$E$42:$E$50,1),INDEX(INPUTS!$D$42:$D$50,1),IF(AG_REQ!P123&gt;INDEX(INPUTS!$E$42:$E$50,ROWS(INPUTS!$E$42:$E$50)),"LARGER",INDEX(INPUTS!$D$42:$D$50,MATCH(AG_REQ!P123,INPUTS!$E$42:$E$50,1)+1)))))</f>
        <v/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4" t="str">
        <f aca="false">IF(TRIB!E124="","",IF(OR(ARCH!E124="",LEFT(ARCH!E124,3)="14x"),IF(AG_REQ!E124&lt;=INDEX(INPUTS!$B$42:$B$50,1),INDEX(INPUTS!$A$42:$A$50,1),IF(AG_REQ!E124&gt;INDEX(INPUTS!$B$42:$B$50,ROWS(INPUTS!$B$42:$B$50)),"LARGER",INDEX(INPUTS!$A$42:$A$50,MATCH(AG_REQ!E124,INPUTS!$B$42:$B$50,1)+1))),IF(AG_REQ!E124&lt;=INDEX(INPUTS!$E$42:$E$50,1),INDEX(INPUTS!$D$42:$D$50,1),IF(AG_REQ!E124&gt;INDEX(INPUTS!$E$42:$E$50,ROWS(INPUTS!$E$42:$E$50)),"LARGER",INDEX(INPUTS!$D$42:$D$50,MATCH(AG_REQ!E124,INPUTS!$E$42:$E$50,1)+1)))))</f>
        <v/>
      </c>
      <c r="F124" s="4" t="str">
        <f aca="false">IF(TRIB!F124="","",IF(OR(ARCH!F124="",LEFT(ARCH!F124,3)="14x"),IF(AG_REQ!F124&lt;=INDEX(INPUTS!$B$42:$B$50,1),INDEX(INPUTS!$A$42:$A$50,1),IF(AG_REQ!F124&gt;INDEX(INPUTS!$B$42:$B$50,ROWS(INPUTS!$B$42:$B$50)),"LARGER",INDEX(INPUTS!$A$42:$A$50,MATCH(AG_REQ!F124,INPUTS!$B$42:$B$50,1)+1))),IF(AG_REQ!F124&lt;=INDEX(INPUTS!$E$42:$E$50,1),INDEX(INPUTS!$D$42:$D$50,1),IF(AG_REQ!F124&gt;INDEX(INPUTS!$E$42:$E$50,ROWS(INPUTS!$E$42:$E$50)),"LARGER",INDEX(INPUTS!$D$42:$D$50,MATCH(AG_REQ!F124,INPUTS!$E$42:$E$50,1)+1)))))</f>
        <v/>
      </c>
      <c r="G124" s="4" t="str">
        <f aca="false">IF(TRIB!G124="","",IF(OR(ARCH!G124="",LEFT(ARCH!G124,3)="14x"),IF(AG_REQ!G124&lt;=INDEX(INPUTS!$B$42:$B$50,1),INDEX(INPUTS!$A$42:$A$50,1),IF(AG_REQ!G124&gt;INDEX(INPUTS!$B$42:$B$50,ROWS(INPUTS!$B$42:$B$50)),"LARGER",INDEX(INPUTS!$A$42:$A$50,MATCH(AG_REQ!G124,INPUTS!$B$42:$B$50,1)+1))),IF(AG_REQ!G124&lt;=INDEX(INPUTS!$E$42:$E$50,1),INDEX(INPUTS!$D$42:$D$50,1),IF(AG_REQ!G124&gt;INDEX(INPUTS!$E$42:$E$50,ROWS(INPUTS!$E$42:$E$50)),"LARGER",INDEX(INPUTS!$D$42:$D$50,MATCH(AG_REQ!G124,INPUTS!$E$42:$E$50,1)+1)))))</f>
        <v/>
      </c>
      <c r="H124" s="4" t="str">
        <f aca="false">IF(TRIB!H124="","",IF(OR(ARCH!H124="",LEFT(ARCH!H124,3)="14x"),IF(AG_REQ!H124&lt;=INDEX(INPUTS!$B$42:$B$50,1),INDEX(INPUTS!$A$42:$A$50,1),IF(AG_REQ!H124&gt;INDEX(INPUTS!$B$42:$B$50,ROWS(INPUTS!$B$42:$B$50)),"LARGER",INDEX(INPUTS!$A$42:$A$50,MATCH(AG_REQ!H124,INPUTS!$B$42:$B$50,1)+1))),IF(AG_REQ!H124&lt;=INDEX(INPUTS!$E$42:$E$50,1),INDEX(INPUTS!$D$42:$D$50,1),IF(AG_REQ!H124&gt;INDEX(INPUTS!$E$42:$E$50,ROWS(INPUTS!$E$42:$E$50)),"LARGER",INDEX(INPUTS!$D$42:$D$50,MATCH(AG_REQ!H124,INPUTS!$E$42:$E$50,1)+1)))))</f>
        <v/>
      </c>
      <c r="I124" s="4" t="str">
        <f aca="false">IF(TRIB!I124="","",IF(OR(ARCH!I124="",LEFT(ARCH!I124,3)="14x"),IF(AG_REQ!I124&lt;=INDEX(INPUTS!$B$42:$B$50,1),INDEX(INPUTS!$A$42:$A$50,1),IF(AG_REQ!I124&gt;INDEX(INPUTS!$B$42:$B$50,ROWS(INPUTS!$B$42:$B$50)),"LARGER",INDEX(INPUTS!$A$42:$A$50,MATCH(AG_REQ!I124,INPUTS!$B$42:$B$50,1)+1))),IF(AG_REQ!I124&lt;=INDEX(INPUTS!$E$42:$E$50,1),INDEX(INPUTS!$D$42:$D$50,1),IF(AG_REQ!I124&gt;INDEX(INPUTS!$E$42:$E$50,ROWS(INPUTS!$E$42:$E$50)),"LARGER",INDEX(INPUTS!$D$42:$D$50,MATCH(AG_REQ!I124,INPUTS!$E$42:$E$50,1)+1)))))</f>
        <v/>
      </c>
      <c r="J124" s="4" t="str">
        <f aca="false">IF(TRIB!J124="","",IF(OR(ARCH!J124="",LEFT(ARCH!J124,3)="14x"),IF(AG_REQ!J124&lt;=INDEX(INPUTS!$B$42:$B$50,1),INDEX(INPUTS!$A$42:$A$50,1),IF(AG_REQ!J124&gt;INDEX(INPUTS!$B$42:$B$50,ROWS(INPUTS!$B$42:$B$50)),"LARGER",INDEX(INPUTS!$A$42:$A$50,MATCH(AG_REQ!J124,INPUTS!$B$42:$B$50,1)+1))),IF(AG_REQ!J124&lt;=INDEX(INPUTS!$E$42:$E$50,1),INDEX(INPUTS!$D$42:$D$50,1),IF(AG_REQ!J124&gt;INDEX(INPUTS!$E$42:$E$50,ROWS(INPUTS!$E$42:$E$50)),"LARGER",INDEX(INPUTS!$D$42:$D$50,MATCH(AG_REQ!J124,INPUTS!$E$42:$E$50,1)+1)))))</f>
        <v>14x24</v>
      </c>
      <c r="K124" s="4" t="str">
        <f aca="false">IF(TRIB!K124="","",IF(OR(ARCH!K124="",LEFT(ARCH!K124,3)="14x"),IF(AG_REQ!K124&lt;=INDEX(INPUTS!$B$42:$B$50,1),INDEX(INPUTS!$A$42:$A$50,1),IF(AG_REQ!K124&gt;INDEX(INPUTS!$B$42:$B$50,ROWS(INPUTS!$B$42:$B$50)),"LARGER",INDEX(INPUTS!$A$42:$A$50,MATCH(AG_REQ!K124,INPUTS!$B$42:$B$50,1)+1))),IF(AG_REQ!K124&lt;=INDEX(INPUTS!$E$42:$E$50,1),INDEX(INPUTS!$D$42:$D$50,1),IF(AG_REQ!K124&gt;INDEX(INPUTS!$E$42:$E$50,ROWS(INPUTS!$E$42:$E$50)),"LARGER",INDEX(INPUTS!$D$42:$D$50,MATCH(AG_REQ!K124,INPUTS!$E$42:$E$50,1)+1)))))</f>
        <v/>
      </c>
      <c r="L124" s="4" t="str">
        <f aca="false">IF(TRIB!L124="","",IF(OR(ARCH!L124="",LEFT(ARCH!L124,3)="14x"),IF(AG_REQ!L124&lt;=INDEX(INPUTS!$B$42:$B$50,1),INDEX(INPUTS!$A$42:$A$50,1),IF(AG_REQ!L124&gt;INDEX(INPUTS!$B$42:$B$50,ROWS(INPUTS!$B$42:$B$50)),"LARGER",INDEX(INPUTS!$A$42:$A$50,MATCH(AG_REQ!L124,INPUTS!$B$42:$B$50,1)+1))),IF(AG_REQ!L124&lt;=INDEX(INPUTS!$E$42:$E$50,1),INDEX(INPUTS!$D$42:$D$50,1),IF(AG_REQ!L124&gt;INDEX(INPUTS!$E$42:$E$50,ROWS(INPUTS!$E$42:$E$50)),"LARGER",INDEX(INPUTS!$D$42:$D$50,MATCH(AG_REQ!L124,INPUTS!$E$42:$E$50,1)+1)))))</f>
        <v/>
      </c>
      <c r="M124" s="4" t="str">
        <f aca="false">IF(TRIB!M124="","",IF(OR(ARCH!M124="",LEFT(ARCH!M124,3)="14x"),IF(AG_REQ!M124&lt;=INDEX(INPUTS!$B$42:$B$50,1),INDEX(INPUTS!$A$42:$A$50,1),IF(AG_REQ!M124&gt;INDEX(INPUTS!$B$42:$B$50,ROWS(INPUTS!$B$42:$B$50)),"LARGER",INDEX(INPUTS!$A$42:$A$50,MATCH(AG_REQ!M124,INPUTS!$B$42:$B$50,1)+1))),IF(AG_REQ!M124&lt;=INDEX(INPUTS!$E$42:$E$50,1),INDEX(INPUTS!$D$42:$D$50,1),IF(AG_REQ!M124&gt;INDEX(INPUTS!$E$42:$E$50,ROWS(INPUTS!$E$42:$E$50)),"LARGER",INDEX(INPUTS!$D$42:$D$50,MATCH(AG_REQ!M124,INPUTS!$E$42:$E$50,1)+1)))))</f>
        <v/>
      </c>
      <c r="N124" s="4" t="str">
        <f aca="false">IF(TRIB!N124="","",IF(OR(ARCH!N124="",LEFT(ARCH!N124,3)="14x"),IF(AG_REQ!N124&lt;=INDEX(INPUTS!$B$42:$B$50,1),INDEX(INPUTS!$A$42:$A$50,1),IF(AG_REQ!N124&gt;INDEX(INPUTS!$B$42:$B$50,ROWS(INPUTS!$B$42:$B$50)),"LARGER",INDEX(INPUTS!$A$42:$A$50,MATCH(AG_REQ!N124,INPUTS!$B$42:$B$50,1)+1))),IF(AG_REQ!N124&lt;=INDEX(INPUTS!$E$42:$E$50,1),INDEX(INPUTS!$D$42:$D$50,1),IF(AG_REQ!N124&gt;INDEX(INPUTS!$E$42:$E$50,ROWS(INPUTS!$E$42:$E$50)),"LARGER",INDEX(INPUTS!$D$42:$D$50,MATCH(AG_REQ!N124,INPUTS!$E$42:$E$50,1)+1)))))</f>
        <v/>
      </c>
      <c r="O124" s="4" t="str">
        <f aca="false">IF(TRIB!O124="","",IF(OR(ARCH!O124="",LEFT(ARCH!O124,3)="14x"),IF(AG_REQ!O124&lt;=INDEX(INPUTS!$B$42:$B$50,1),INDEX(INPUTS!$A$42:$A$50,1),IF(AG_REQ!O124&gt;INDEX(INPUTS!$B$42:$B$50,ROWS(INPUTS!$B$42:$B$50)),"LARGER",INDEX(INPUTS!$A$42:$A$50,MATCH(AG_REQ!O124,INPUTS!$B$42:$B$50,1)+1))),IF(AG_REQ!O124&lt;=INDEX(INPUTS!$E$42:$E$50,1),INDEX(INPUTS!$D$42:$D$50,1),IF(AG_REQ!O124&gt;INDEX(INPUTS!$E$42:$E$50,ROWS(INPUTS!$E$42:$E$50)),"LARGER",INDEX(INPUTS!$D$42:$D$50,MATCH(AG_REQ!O124,INPUTS!$E$42:$E$50,1)+1)))))</f>
        <v/>
      </c>
      <c r="P124" s="4" t="str">
        <f aca="false">IF(TRIB!P124="","",IF(OR(ARCH!P124="",LEFT(ARCH!P124,3)="14x"),IF(AG_REQ!P124&lt;=INDEX(INPUTS!$B$42:$B$50,1),INDEX(INPUTS!$A$42:$A$50,1),IF(AG_REQ!P124&gt;INDEX(INPUTS!$B$42:$B$50,ROWS(INPUTS!$B$42:$B$50)),"LARGER",INDEX(INPUTS!$A$42:$A$50,MATCH(AG_REQ!P124,INPUTS!$B$42:$B$50,1)+1))),IF(AG_REQ!P124&lt;=INDEX(INPUTS!$E$42:$E$50,1),INDEX(INPUTS!$D$42:$D$50,1),IF(AG_REQ!P124&gt;INDEX(INPUTS!$E$42:$E$50,ROWS(INPUTS!$E$42:$E$50)),"LARGER",INDEX(INPUTS!$D$42:$D$50,MATCH(AG_REQ!P124,INPUTS!$E$42:$E$50,1)+1)))))</f>
        <v/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4" t="str">
        <f aca="false">IF(TRIB!E125="","",IF(OR(ARCH!E125="",LEFT(ARCH!E125,3)="14x"),IF(AG_REQ!E125&lt;=INDEX(INPUTS!$B$42:$B$50,1),INDEX(INPUTS!$A$42:$A$50,1),IF(AG_REQ!E125&gt;INDEX(INPUTS!$B$42:$B$50,ROWS(INPUTS!$B$42:$B$50)),"LARGER",INDEX(INPUTS!$A$42:$A$50,MATCH(AG_REQ!E125,INPUTS!$B$42:$B$50,1)+1))),IF(AG_REQ!E125&lt;=INDEX(INPUTS!$E$42:$E$50,1),INDEX(INPUTS!$D$42:$D$50,1),IF(AG_REQ!E125&gt;INDEX(INPUTS!$E$42:$E$50,ROWS(INPUTS!$E$42:$E$50)),"LARGER",INDEX(INPUTS!$D$42:$D$50,MATCH(AG_REQ!E125,INPUTS!$E$42:$E$50,1)+1)))))</f>
        <v/>
      </c>
      <c r="F125" s="4" t="str">
        <f aca="false">IF(TRIB!F125="","",IF(OR(ARCH!F125="",LEFT(ARCH!F125,3)="14x"),IF(AG_REQ!F125&lt;=INDEX(INPUTS!$B$42:$B$50,1),INDEX(INPUTS!$A$42:$A$50,1),IF(AG_REQ!F125&gt;INDEX(INPUTS!$B$42:$B$50,ROWS(INPUTS!$B$42:$B$50)),"LARGER",INDEX(INPUTS!$A$42:$A$50,MATCH(AG_REQ!F125,INPUTS!$B$42:$B$50,1)+1))),IF(AG_REQ!F125&lt;=INDEX(INPUTS!$E$42:$E$50,1),INDEX(INPUTS!$D$42:$D$50,1),IF(AG_REQ!F125&gt;INDEX(INPUTS!$E$42:$E$50,ROWS(INPUTS!$E$42:$E$50)),"LARGER",INDEX(INPUTS!$D$42:$D$50,MATCH(AG_REQ!F125,INPUTS!$E$42:$E$50,1)+1)))))</f>
        <v/>
      </c>
      <c r="G125" s="4" t="str">
        <f aca="false">IF(TRIB!G125="","",IF(OR(ARCH!G125="",LEFT(ARCH!G125,3)="14x"),IF(AG_REQ!G125&lt;=INDEX(INPUTS!$B$42:$B$50,1),INDEX(INPUTS!$A$42:$A$50,1),IF(AG_REQ!G125&gt;INDEX(INPUTS!$B$42:$B$50,ROWS(INPUTS!$B$42:$B$50)),"LARGER",INDEX(INPUTS!$A$42:$A$50,MATCH(AG_REQ!G125,INPUTS!$B$42:$B$50,1)+1))),IF(AG_REQ!G125&lt;=INDEX(INPUTS!$E$42:$E$50,1),INDEX(INPUTS!$D$42:$D$50,1),IF(AG_REQ!G125&gt;INDEX(INPUTS!$E$42:$E$50,ROWS(INPUTS!$E$42:$E$50)),"LARGER",INDEX(INPUTS!$D$42:$D$50,MATCH(AG_REQ!G125,INPUTS!$E$42:$E$50,1)+1)))))</f>
        <v/>
      </c>
      <c r="H125" s="4" t="str">
        <f aca="false">IF(TRIB!H125="","",IF(OR(ARCH!H125="",LEFT(ARCH!H125,3)="14x"),IF(AG_REQ!H125&lt;=INDEX(INPUTS!$B$42:$B$50,1),INDEX(INPUTS!$A$42:$A$50,1),IF(AG_REQ!H125&gt;INDEX(INPUTS!$B$42:$B$50,ROWS(INPUTS!$B$42:$B$50)),"LARGER",INDEX(INPUTS!$A$42:$A$50,MATCH(AG_REQ!H125,INPUTS!$B$42:$B$50,1)+1))),IF(AG_REQ!H125&lt;=INDEX(INPUTS!$E$42:$E$50,1),INDEX(INPUTS!$D$42:$D$50,1),IF(AG_REQ!H125&gt;INDEX(INPUTS!$E$42:$E$50,ROWS(INPUTS!$E$42:$E$50)),"LARGER",INDEX(INPUTS!$D$42:$D$50,MATCH(AG_REQ!H125,INPUTS!$E$42:$E$50,1)+1)))))</f>
        <v/>
      </c>
      <c r="I125" s="4" t="str">
        <f aca="false">IF(TRIB!I125="","",IF(OR(ARCH!I125="",LEFT(ARCH!I125,3)="14x"),IF(AG_REQ!I125&lt;=INDEX(INPUTS!$B$42:$B$50,1),INDEX(INPUTS!$A$42:$A$50,1),IF(AG_REQ!I125&gt;INDEX(INPUTS!$B$42:$B$50,ROWS(INPUTS!$B$42:$B$50)),"LARGER",INDEX(INPUTS!$A$42:$A$50,MATCH(AG_REQ!I125,INPUTS!$B$42:$B$50,1)+1))),IF(AG_REQ!I125&lt;=INDEX(INPUTS!$E$42:$E$50,1),INDEX(INPUTS!$D$42:$D$50,1),IF(AG_REQ!I125&gt;INDEX(INPUTS!$E$42:$E$50,ROWS(INPUTS!$E$42:$E$50)),"LARGER",INDEX(INPUTS!$D$42:$D$50,MATCH(AG_REQ!I125,INPUTS!$E$42:$E$50,1)+1)))))</f>
        <v/>
      </c>
      <c r="J125" s="4" t="str">
        <f aca="false">IF(TRIB!J125="","",IF(OR(ARCH!J125="",LEFT(ARCH!J125,3)="14x"),IF(AG_REQ!J125&lt;=INDEX(INPUTS!$B$42:$B$50,1),INDEX(INPUTS!$A$42:$A$50,1),IF(AG_REQ!J125&gt;INDEX(INPUTS!$B$42:$B$50,ROWS(INPUTS!$B$42:$B$50)),"LARGER",INDEX(INPUTS!$A$42:$A$50,MATCH(AG_REQ!J125,INPUTS!$B$42:$B$50,1)+1))),IF(AG_REQ!J125&lt;=INDEX(INPUTS!$E$42:$E$50,1),INDEX(INPUTS!$D$42:$D$50,1),IF(AG_REQ!J125&gt;INDEX(INPUTS!$E$42:$E$50,ROWS(INPUTS!$E$42:$E$50)),"LARGER",INDEX(INPUTS!$D$42:$D$50,MATCH(AG_REQ!J125,INPUTS!$E$42:$E$50,1)+1)))))</f>
        <v>14x24</v>
      </c>
      <c r="K125" s="4" t="str">
        <f aca="false">IF(TRIB!K125="","",IF(OR(ARCH!K125="",LEFT(ARCH!K125,3)="14x"),IF(AG_REQ!K125&lt;=INDEX(INPUTS!$B$42:$B$50,1),INDEX(INPUTS!$A$42:$A$50,1),IF(AG_REQ!K125&gt;INDEX(INPUTS!$B$42:$B$50,ROWS(INPUTS!$B$42:$B$50)),"LARGER",INDEX(INPUTS!$A$42:$A$50,MATCH(AG_REQ!K125,INPUTS!$B$42:$B$50,1)+1))),IF(AG_REQ!K125&lt;=INDEX(INPUTS!$E$42:$E$50,1),INDEX(INPUTS!$D$42:$D$50,1),IF(AG_REQ!K125&gt;INDEX(INPUTS!$E$42:$E$50,ROWS(INPUTS!$E$42:$E$50)),"LARGER",INDEX(INPUTS!$D$42:$D$50,MATCH(AG_REQ!K125,INPUTS!$E$42:$E$50,1)+1)))))</f>
        <v/>
      </c>
      <c r="L125" s="4" t="str">
        <f aca="false">IF(TRIB!L125="","",IF(OR(ARCH!L125="",LEFT(ARCH!L125,3)="14x"),IF(AG_REQ!L125&lt;=INDEX(INPUTS!$B$42:$B$50,1),INDEX(INPUTS!$A$42:$A$50,1),IF(AG_REQ!L125&gt;INDEX(INPUTS!$B$42:$B$50,ROWS(INPUTS!$B$42:$B$50)),"LARGER",INDEX(INPUTS!$A$42:$A$50,MATCH(AG_REQ!L125,INPUTS!$B$42:$B$50,1)+1))),IF(AG_REQ!L125&lt;=INDEX(INPUTS!$E$42:$E$50,1),INDEX(INPUTS!$D$42:$D$50,1),IF(AG_REQ!L125&gt;INDEX(INPUTS!$E$42:$E$50,ROWS(INPUTS!$E$42:$E$50)),"LARGER",INDEX(INPUTS!$D$42:$D$50,MATCH(AG_REQ!L125,INPUTS!$E$42:$E$50,1)+1)))))</f>
        <v/>
      </c>
      <c r="M125" s="4" t="str">
        <f aca="false">IF(TRIB!M125="","",IF(OR(ARCH!M125="",LEFT(ARCH!M125,3)="14x"),IF(AG_REQ!M125&lt;=INDEX(INPUTS!$B$42:$B$50,1),INDEX(INPUTS!$A$42:$A$50,1),IF(AG_REQ!M125&gt;INDEX(INPUTS!$B$42:$B$50,ROWS(INPUTS!$B$42:$B$50)),"LARGER",INDEX(INPUTS!$A$42:$A$50,MATCH(AG_REQ!M125,INPUTS!$B$42:$B$50,1)+1))),IF(AG_REQ!M125&lt;=INDEX(INPUTS!$E$42:$E$50,1),INDEX(INPUTS!$D$42:$D$50,1),IF(AG_REQ!M125&gt;INDEX(INPUTS!$E$42:$E$50,ROWS(INPUTS!$E$42:$E$50)),"LARGER",INDEX(INPUTS!$D$42:$D$50,MATCH(AG_REQ!M125,INPUTS!$E$42:$E$50,1)+1)))))</f>
        <v/>
      </c>
      <c r="N125" s="4" t="str">
        <f aca="false">IF(TRIB!N125="","",IF(OR(ARCH!N125="",LEFT(ARCH!N125,3)="14x"),IF(AG_REQ!N125&lt;=INDEX(INPUTS!$B$42:$B$50,1),INDEX(INPUTS!$A$42:$A$50,1),IF(AG_REQ!N125&gt;INDEX(INPUTS!$B$42:$B$50,ROWS(INPUTS!$B$42:$B$50)),"LARGER",INDEX(INPUTS!$A$42:$A$50,MATCH(AG_REQ!N125,INPUTS!$B$42:$B$50,1)+1))),IF(AG_REQ!N125&lt;=INDEX(INPUTS!$E$42:$E$50,1),INDEX(INPUTS!$D$42:$D$50,1),IF(AG_REQ!N125&gt;INDEX(INPUTS!$E$42:$E$50,ROWS(INPUTS!$E$42:$E$50)),"LARGER",INDEX(INPUTS!$D$42:$D$50,MATCH(AG_REQ!N125,INPUTS!$E$42:$E$50,1)+1)))))</f>
        <v/>
      </c>
      <c r="O125" s="4" t="str">
        <f aca="false">IF(TRIB!O125="","",IF(OR(ARCH!O125="",LEFT(ARCH!O125,3)="14x"),IF(AG_REQ!O125&lt;=INDEX(INPUTS!$B$42:$B$50,1),INDEX(INPUTS!$A$42:$A$50,1),IF(AG_REQ!O125&gt;INDEX(INPUTS!$B$42:$B$50,ROWS(INPUTS!$B$42:$B$50)),"LARGER",INDEX(INPUTS!$A$42:$A$50,MATCH(AG_REQ!O125,INPUTS!$B$42:$B$50,1)+1))),IF(AG_REQ!O125&lt;=INDEX(INPUTS!$E$42:$E$50,1),INDEX(INPUTS!$D$42:$D$50,1),IF(AG_REQ!O125&gt;INDEX(INPUTS!$E$42:$E$50,ROWS(INPUTS!$E$42:$E$50)),"LARGER",INDEX(INPUTS!$D$42:$D$50,MATCH(AG_REQ!O125,INPUTS!$E$42:$E$50,1)+1)))))</f>
        <v/>
      </c>
      <c r="P125" s="4" t="str">
        <f aca="false">IF(TRIB!P125="","",IF(OR(ARCH!P125="",LEFT(ARCH!P125,3)="14x"),IF(AG_REQ!P125&lt;=INDEX(INPUTS!$B$42:$B$50,1),INDEX(INPUTS!$A$42:$A$50,1),IF(AG_REQ!P125&gt;INDEX(INPUTS!$B$42:$B$50,ROWS(INPUTS!$B$42:$B$50)),"LARGER",INDEX(INPUTS!$A$42:$A$50,MATCH(AG_REQ!P125,INPUTS!$B$42:$B$50,1)+1))),IF(AG_REQ!P125&lt;=INDEX(INPUTS!$E$42:$E$50,1),INDEX(INPUTS!$D$42:$D$50,1),IF(AG_REQ!P125&gt;INDEX(INPUTS!$E$42:$E$50,ROWS(INPUTS!$E$42:$E$50)),"LARGER",INDEX(INPUTS!$D$42:$D$50,MATCH(AG_REQ!P125,INPUTS!$E$42:$E$50,1)+1)))))</f>
        <v/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4" t="str">
        <f aca="false">IF(TRIB!E126="","",IF(OR(ARCH!E126="",LEFT(ARCH!E126,3)="14x"),IF(AG_REQ!E126&lt;=INDEX(INPUTS!$B$42:$B$50,1),INDEX(INPUTS!$A$42:$A$50,1),IF(AG_REQ!E126&gt;INDEX(INPUTS!$B$42:$B$50,ROWS(INPUTS!$B$42:$B$50)),"LARGER",INDEX(INPUTS!$A$42:$A$50,MATCH(AG_REQ!E126,INPUTS!$B$42:$B$50,1)+1))),IF(AG_REQ!E126&lt;=INDEX(INPUTS!$E$42:$E$50,1),INDEX(INPUTS!$D$42:$D$50,1),IF(AG_REQ!E126&gt;INDEX(INPUTS!$E$42:$E$50,ROWS(INPUTS!$E$42:$E$50)),"LARGER",INDEX(INPUTS!$D$42:$D$50,MATCH(AG_REQ!E126,INPUTS!$E$42:$E$50,1)+1)))))</f>
        <v/>
      </c>
      <c r="F126" s="4" t="str">
        <f aca="false">IF(TRIB!F126="","",IF(OR(ARCH!F126="",LEFT(ARCH!F126,3)="14x"),IF(AG_REQ!F126&lt;=INDEX(INPUTS!$B$42:$B$50,1),INDEX(INPUTS!$A$42:$A$50,1),IF(AG_REQ!F126&gt;INDEX(INPUTS!$B$42:$B$50,ROWS(INPUTS!$B$42:$B$50)),"LARGER",INDEX(INPUTS!$A$42:$A$50,MATCH(AG_REQ!F126,INPUTS!$B$42:$B$50,1)+1))),IF(AG_REQ!F126&lt;=INDEX(INPUTS!$E$42:$E$50,1),INDEX(INPUTS!$D$42:$D$50,1),IF(AG_REQ!F126&gt;INDEX(INPUTS!$E$42:$E$50,ROWS(INPUTS!$E$42:$E$50)),"LARGER",INDEX(INPUTS!$D$42:$D$50,MATCH(AG_REQ!F126,INPUTS!$E$42:$E$50,1)+1)))))</f>
        <v/>
      </c>
      <c r="G126" s="4" t="str">
        <f aca="false">IF(TRIB!G126="","",IF(OR(ARCH!G126="",LEFT(ARCH!G126,3)="14x"),IF(AG_REQ!G126&lt;=INDEX(INPUTS!$B$42:$B$50,1),INDEX(INPUTS!$A$42:$A$50,1),IF(AG_REQ!G126&gt;INDEX(INPUTS!$B$42:$B$50,ROWS(INPUTS!$B$42:$B$50)),"LARGER",INDEX(INPUTS!$A$42:$A$50,MATCH(AG_REQ!G126,INPUTS!$B$42:$B$50,1)+1))),IF(AG_REQ!G126&lt;=INDEX(INPUTS!$E$42:$E$50,1),INDEX(INPUTS!$D$42:$D$50,1),IF(AG_REQ!G126&gt;INDEX(INPUTS!$E$42:$E$50,ROWS(INPUTS!$E$42:$E$50)),"LARGER",INDEX(INPUTS!$D$42:$D$50,MATCH(AG_REQ!G126,INPUTS!$E$42:$E$50,1)+1)))))</f>
        <v/>
      </c>
      <c r="H126" s="4" t="str">
        <f aca="false">IF(TRIB!H126="","",IF(OR(ARCH!H126="",LEFT(ARCH!H126,3)="14x"),IF(AG_REQ!H126&lt;=INDEX(INPUTS!$B$42:$B$50,1),INDEX(INPUTS!$A$42:$A$50,1),IF(AG_REQ!H126&gt;INDEX(INPUTS!$B$42:$B$50,ROWS(INPUTS!$B$42:$B$50)),"LARGER",INDEX(INPUTS!$A$42:$A$50,MATCH(AG_REQ!H126,INPUTS!$B$42:$B$50,1)+1))),IF(AG_REQ!H126&lt;=INDEX(INPUTS!$E$42:$E$50,1),INDEX(INPUTS!$D$42:$D$50,1),IF(AG_REQ!H126&gt;INDEX(INPUTS!$E$42:$E$50,ROWS(INPUTS!$E$42:$E$50)),"LARGER",INDEX(INPUTS!$D$42:$D$50,MATCH(AG_REQ!H126,INPUTS!$E$42:$E$50,1)+1)))))</f>
        <v/>
      </c>
      <c r="I126" s="4" t="str">
        <f aca="false">IF(TRIB!I126="","",IF(OR(ARCH!I126="",LEFT(ARCH!I126,3)="14x"),IF(AG_REQ!I126&lt;=INDEX(INPUTS!$B$42:$B$50,1),INDEX(INPUTS!$A$42:$A$50,1),IF(AG_REQ!I126&gt;INDEX(INPUTS!$B$42:$B$50,ROWS(INPUTS!$B$42:$B$50)),"LARGER",INDEX(INPUTS!$A$42:$A$50,MATCH(AG_REQ!I126,INPUTS!$B$42:$B$50,1)+1))),IF(AG_REQ!I126&lt;=INDEX(INPUTS!$E$42:$E$50,1),INDEX(INPUTS!$D$42:$D$50,1),IF(AG_REQ!I126&gt;INDEX(INPUTS!$E$42:$E$50,ROWS(INPUTS!$E$42:$E$50)),"LARGER",INDEX(INPUTS!$D$42:$D$50,MATCH(AG_REQ!I126,INPUTS!$E$42:$E$50,1)+1)))))</f>
        <v/>
      </c>
      <c r="J126" s="4" t="str">
        <f aca="false">IF(TRIB!J126="","",IF(OR(ARCH!J126="",LEFT(ARCH!J126,3)="14x"),IF(AG_REQ!J126&lt;=INDEX(INPUTS!$B$42:$B$50,1),INDEX(INPUTS!$A$42:$A$50,1),IF(AG_REQ!J126&gt;INDEX(INPUTS!$B$42:$B$50,ROWS(INPUTS!$B$42:$B$50)),"LARGER",INDEX(INPUTS!$A$42:$A$50,MATCH(AG_REQ!J126,INPUTS!$B$42:$B$50,1)+1))),IF(AG_REQ!J126&lt;=INDEX(INPUTS!$E$42:$E$50,1),INDEX(INPUTS!$D$42:$D$50,1),IF(AG_REQ!J126&gt;INDEX(INPUTS!$E$42:$E$50,ROWS(INPUTS!$E$42:$E$50)),"LARGER",INDEX(INPUTS!$D$42:$D$50,MATCH(AG_REQ!J126,INPUTS!$E$42:$E$50,1)+1)))))</f>
        <v>14x24</v>
      </c>
      <c r="K126" s="4" t="str">
        <f aca="false">IF(TRIB!K126="","",IF(OR(ARCH!K126="",LEFT(ARCH!K126,3)="14x"),IF(AG_REQ!K126&lt;=INDEX(INPUTS!$B$42:$B$50,1),INDEX(INPUTS!$A$42:$A$50,1),IF(AG_REQ!K126&gt;INDEX(INPUTS!$B$42:$B$50,ROWS(INPUTS!$B$42:$B$50)),"LARGER",INDEX(INPUTS!$A$42:$A$50,MATCH(AG_REQ!K126,INPUTS!$B$42:$B$50,1)+1))),IF(AG_REQ!K126&lt;=INDEX(INPUTS!$E$42:$E$50,1),INDEX(INPUTS!$D$42:$D$50,1),IF(AG_REQ!K126&gt;INDEX(INPUTS!$E$42:$E$50,ROWS(INPUTS!$E$42:$E$50)),"LARGER",INDEX(INPUTS!$D$42:$D$50,MATCH(AG_REQ!K126,INPUTS!$E$42:$E$50,1)+1)))))</f>
        <v/>
      </c>
      <c r="L126" s="4" t="str">
        <f aca="false">IF(TRIB!L126="","",IF(OR(ARCH!L126="",LEFT(ARCH!L126,3)="14x"),IF(AG_REQ!L126&lt;=INDEX(INPUTS!$B$42:$B$50,1),INDEX(INPUTS!$A$42:$A$50,1),IF(AG_REQ!L126&gt;INDEX(INPUTS!$B$42:$B$50,ROWS(INPUTS!$B$42:$B$50)),"LARGER",INDEX(INPUTS!$A$42:$A$50,MATCH(AG_REQ!L126,INPUTS!$B$42:$B$50,1)+1))),IF(AG_REQ!L126&lt;=INDEX(INPUTS!$E$42:$E$50,1),INDEX(INPUTS!$D$42:$D$50,1),IF(AG_REQ!L126&gt;INDEX(INPUTS!$E$42:$E$50,ROWS(INPUTS!$E$42:$E$50)),"LARGER",INDEX(INPUTS!$D$42:$D$50,MATCH(AG_REQ!L126,INPUTS!$E$42:$E$50,1)+1)))))</f>
        <v/>
      </c>
      <c r="M126" s="4" t="str">
        <f aca="false">IF(TRIB!M126="","",IF(OR(ARCH!M126="",LEFT(ARCH!M126,3)="14x"),IF(AG_REQ!M126&lt;=INDEX(INPUTS!$B$42:$B$50,1),INDEX(INPUTS!$A$42:$A$50,1),IF(AG_REQ!M126&gt;INDEX(INPUTS!$B$42:$B$50,ROWS(INPUTS!$B$42:$B$50)),"LARGER",INDEX(INPUTS!$A$42:$A$50,MATCH(AG_REQ!M126,INPUTS!$B$42:$B$50,1)+1))),IF(AG_REQ!M126&lt;=INDEX(INPUTS!$E$42:$E$50,1),INDEX(INPUTS!$D$42:$D$50,1),IF(AG_REQ!M126&gt;INDEX(INPUTS!$E$42:$E$50,ROWS(INPUTS!$E$42:$E$50)),"LARGER",INDEX(INPUTS!$D$42:$D$50,MATCH(AG_REQ!M126,INPUTS!$E$42:$E$50,1)+1)))))</f>
        <v/>
      </c>
      <c r="N126" s="4" t="str">
        <f aca="false">IF(TRIB!N126="","",IF(OR(ARCH!N126="",LEFT(ARCH!N126,3)="14x"),IF(AG_REQ!N126&lt;=INDEX(INPUTS!$B$42:$B$50,1),INDEX(INPUTS!$A$42:$A$50,1),IF(AG_REQ!N126&gt;INDEX(INPUTS!$B$42:$B$50,ROWS(INPUTS!$B$42:$B$50)),"LARGER",INDEX(INPUTS!$A$42:$A$50,MATCH(AG_REQ!N126,INPUTS!$B$42:$B$50,1)+1))),IF(AG_REQ!N126&lt;=INDEX(INPUTS!$E$42:$E$50,1),INDEX(INPUTS!$D$42:$D$50,1),IF(AG_REQ!N126&gt;INDEX(INPUTS!$E$42:$E$50,ROWS(INPUTS!$E$42:$E$50)),"LARGER",INDEX(INPUTS!$D$42:$D$50,MATCH(AG_REQ!N126,INPUTS!$E$42:$E$50,1)+1)))))</f>
        <v/>
      </c>
      <c r="O126" s="4" t="str">
        <f aca="false">IF(TRIB!O126="","",IF(OR(ARCH!O126="",LEFT(ARCH!O126,3)="14x"),IF(AG_REQ!O126&lt;=INDEX(INPUTS!$B$42:$B$50,1),INDEX(INPUTS!$A$42:$A$50,1),IF(AG_REQ!O126&gt;INDEX(INPUTS!$B$42:$B$50,ROWS(INPUTS!$B$42:$B$50)),"LARGER",INDEX(INPUTS!$A$42:$A$50,MATCH(AG_REQ!O126,INPUTS!$B$42:$B$50,1)+1))),IF(AG_REQ!O126&lt;=INDEX(INPUTS!$E$42:$E$50,1),INDEX(INPUTS!$D$42:$D$50,1),IF(AG_REQ!O126&gt;INDEX(INPUTS!$E$42:$E$50,ROWS(INPUTS!$E$42:$E$50)),"LARGER",INDEX(INPUTS!$D$42:$D$50,MATCH(AG_REQ!O126,INPUTS!$E$42:$E$50,1)+1)))))</f>
        <v/>
      </c>
      <c r="P126" s="4" t="str">
        <f aca="false">IF(TRIB!P126="","",IF(OR(ARCH!P126="",LEFT(ARCH!P126,3)="14x"),IF(AG_REQ!P126&lt;=INDEX(INPUTS!$B$42:$B$50,1),INDEX(INPUTS!$A$42:$A$50,1),IF(AG_REQ!P126&gt;INDEX(INPUTS!$B$42:$B$50,ROWS(INPUTS!$B$42:$B$50)),"LARGER",INDEX(INPUTS!$A$42:$A$50,MATCH(AG_REQ!P126,INPUTS!$B$42:$B$50,1)+1))),IF(AG_REQ!P126&lt;=INDEX(INPUTS!$E$42:$E$50,1),INDEX(INPUTS!$D$42:$D$50,1),IF(AG_REQ!P126&gt;INDEX(INPUTS!$E$42:$E$50,ROWS(INPUTS!$E$42:$E$50)),"LARGER",INDEX(INPUTS!$D$42:$D$50,MATCH(AG_REQ!P126,INPUTS!$E$42:$E$50,1)+1)))))</f>
        <v/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4" t="str">
        <f aca="false">IF(TRIB!E127="","",IF(OR(ARCH!E127="",LEFT(ARCH!E127,3)="14x"),IF(AG_REQ!E127&lt;=INDEX(INPUTS!$B$42:$B$50,1),INDEX(INPUTS!$A$42:$A$50,1),IF(AG_REQ!E127&gt;INDEX(INPUTS!$B$42:$B$50,ROWS(INPUTS!$B$42:$B$50)),"LARGER",INDEX(INPUTS!$A$42:$A$50,MATCH(AG_REQ!E127,INPUTS!$B$42:$B$50,1)+1))),IF(AG_REQ!E127&lt;=INDEX(INPUTS!$E$42:$E$50,1),INDEX(INPUTS!$D$42:$D$50,1),IF(AG_REQ!E127&gt;INDEX(INPUTS!$E$42:$E$50,ROWS(INPUTS!$E$42:$E$50)),"LARGER",INDEX(INPUTS!$D$42:$D$50,MATCH(AG_REQ!E127,INPUTS!$E$42:$E$50,1)+1)))))</f>
        <v/>
      </c>
      <c r="F127" s="4" t="str">
        <f aca="false">IF(TRIB!F127="","",IF(OR(ARCH!F127="",LEFT(ARCH!F127,3)="14x"),IF(AG_REQ!F127&lt;=INDEX(INPUTS!$B$42:$B$50,1),INDEX(INPUTS!$A$42:$A$50,1),IF(AG_REQ!F127&gt;INDEX(INPUTS!$B$42:$B$50,ROWS(INPUTS!$B$42:$B$50)),"LARGER",INDEX(INPUTS!$A$42:$A$50,MATCH(AG_REQ!F127,INPUTS!$B$42:$B$50,1)+1))),IF(AG_REQ!F127&lt;=INDEX(INPUTS!$E$42:$E$50,1),INDEX(INPUTS!$D$42:$D$50,1),IF(AG_REQ!F127&gt;INDEX(INPUTS!$E$42:$E$50,ROWS(INPUTS!$E$42:$E$50)),"LARGER",INDEX(INPUTS!$D$42:$D$50,MATCH(AG_REQ!F127,INPUTS!$E$42:$E$50,1)+1)))))</f>
        <v/>
      </c>
      <c r="G127" s="4" t="str">
        <f aca="false">IF(TRIB!G127="","",IF(OR(ARCH!G127="",LEFT(ARCH!G127,3)="14x"),IF(AG_REQ!G127&lt;=INDEX(INPUTS!$B$42:$B$50,1),INDEX(INPUTS!$A$42:$A$50,1),IF(AG_REQ!G127&gt;INDEX(INPUTS!$B$42:$B$50,ROWS(INPUTS!$B$42:$B$50)),"LARGER",INDEX(INPUTS!$A$42:$A$50,MATCH(AG_REQ!G127,INPUTS!$B$42:$B$50,1)+1))),IF(AG_REQ!G127&lt;=INDEX(INPUTS!$E$42:$E$50,1),INDEX(INPUTS!$D$42:$D$50,1),IF(AG_REQ!G127&gt;INDEX(INPUTS!$E$42:$E$50,ROWS(INPUTS!$E$42:$E$50)),"LARGER",INDEX(INPUTS!$D$42:$D$50,MATCH(AG_REQ!G127,INPUTS!$E$42:$E$50,1)+1)))))</f>
        <v/>
      </c>
      <c r="H127" s="4" t="str">
        <f aca="false">IF(TRIB!H127="","",IF(OR(ARCH!H127="",LEFT(ARCH!H127,3)="14x"),IF(AG_REQ!H127&lt;=INDEX(INPUTS!$B$42:$B$50,1),INDEX(INPUTS!$A$42:$A$50,1),IF(AG_REQ!H127&gt;INDEX(INPUTS!$B$42:$B$50,ROWS(INPUTS!$B$42:$B$50)),"LARGER",INDEX(INPUTS!$A$42:$A$50,MATCH(AG_REQ!H127,INPUTS!$B$42:$B$50,1)+1))),IF(AG_REQ!H127&lt;=INDEX(INPUTS!$E$42:$E$50,1),INDEX(INPUTS!$D$42:$D$50,1),IF(AG_REQ!H127&gt;INDEX(INPUTS!$E$42:$E$50,ROWS(INPUTS!$E$42:$E$50)),"LARGER",INDEX(INPUTS!$D$42:$D$50,MATCH(AG_REQ!H127,INPUTS!$E$42:$E$50,1)+1)))))</f>
        <v/>
      </c>
      <c r="I127" s="4" t="str">
        <f aca="false">IF(TRIB!I127="","",IF(OR(ARCH!I127="",LEFT(ARCH!I127,3)="14x"),IF(AG_REQ!I127&lt;=INDEX(INPUTS!$B$42:$B$50,1),INDEX(INPUTS!$A$42:$A$50,1),IF(AG_REQ!I127&gt;INDEX(INPUTS!$B$42:$B$50,ROWS(INPUTS!$B$42:$B$50)),"LARGER",INDEX(INPUTS!$A$42:$A$50,MATCH(AG_REQ!I127,INPUTS!$B$42:$B$50,1)+1))),IF(AG_REQ!I127&lt;=INDEX(INPUTS!$E$42:$E$50,1),INDEX(INPUTS!$D$42:$D$50,1),IF(AG_REQ!I127&gt;INDEX(INPUTS!$E$42:$E$50,ROWS(INPUTS!$E$42:$E$50)),"LARGER",INDEX(INPUTS!$D$42:$D$50,MATCH(AG_REQ!I127,INPUTS!$E$42:$E$50,1)+1)))))</f>
        <v/>
      </c>
      <c r="J127" s="4" t="str">
        <f aca="false">IF(TRIB!J127="","",IF(OR(ARCH!J127="",LEFT(ARCH!J127,3)="14x"),IF(AG_REQ!J127&lt;=INDEX(INPUTS!$B$42:$B$50,1),INDEX(INPUTS!$A$42:$A$50,1),IF(AG_REQ!J127&gt;INDEX(INPUTS!$B$42:$B$50,ROWS(INPUTS!$B$42:$B$50)),"LARGER",INDEX(INPUTS!$A$42:$A$50,MATCH(AG_REQ!J127,INPUTS!$B$42:$B$50,1)+1))),IF(AG_REQ!J127&lt;=INDEX(INPUTS!$E$42:$E$50,1),INDEX(INPUTS!$D$42:$D$50,1),IF(AG_REQ!J127&gt;INDEX(INPUTS!$E$42:$E$50,ROWS(INPUTS!$E$42:$E$50)),"LARGER",INDEX(INPUTS!$D$42:$D$50,MATCH(AG_REQ!J127,INPUTS!$E$42:$E$50,1)+1)))))</f>
        <v>14x24</v>
      </c>
      <c r="K127" s="4" t="str">
        <f aca="false">IF(TRIB!K127="","",IF(OR(ARCH!K127="",LEFT(ARCH!K127,3)="14x"),IF(AG_REQ!K127&lt;=INDEX(INPUTS!$B$42:$B$50,1),INDEX(INPUTS!$A$42:$A$50,1),IF(AG_REQ!K127&gt;INDEX(INPUTS!$B$42:$B$50,ROWS(INPUTS!$B$42:$B$50)),"LARGER",INDEX(INPUTS!$A$42:$A$50,MATCH(AG_REQ!K127,INPUTS!$B$42:$B$50,1)+1))),IF(AG_REQ!K127&lt;=INDEX(INPUTS!$E$42:$E$50,1),INDEX(INPUTS!$D$42:$D$50,1),IF(AG_REQ!K127&gt;INDEX(INPUTS!$E$42:$E$50,ROWS(INPUTS!$E$42:$E$50)),"LARGER",INDEX(INPUTS!$D$42:$D$50,MATCH(AG_REQ!K127,INPUTS!$E$42:$E$50,1)+1)))))</f>
        <v/>
      </c>
      <c r="L127" s="4" t="str">
        <f aca="false">IF(TRIB!L127="","",IF(OR(ARCH!L127="",LEFT(ARCH!L127,3)="14x"),IF(AG_REQ!L127&lt;=INDEX(INPUTS!$B$42:$B$50,1),INDEX(INPUTS!$A$42:$A$50,1),IF(AG_REQ!L127&gt;INDEX(INPUTS!$B$42:$B$50,ROWS(INPUTS!$B$42:$B$50)),"LARGER",INDEX(INPUTS!$A$42:$A$50,MATCH(AG_REQ!L127,INPUTS!$B$42:$B$50,1)+1))),IF(AG_REQ!L127&lt;=INDEX(INPUTS!$E$42:$E$50,1),INDEX(INPUTS!$D$42:$D$50,1),IF(AG_REQ!L127&gt;INDEX(INPUTS!$E$42:$E$50,ROWS(INPUTS!$E$42:$E$50)),"LARGER",INDEX(INPUTS!$D$42:$D$50,MATCH(AG_REQ!L127,INPUTS!$E$42:$E$50,1)+1)))))</f>
        <v/>
      </c>
      <c r="M127" s="4" t="str">
        <f aca="false">IF(TRIB!M127="","",IF(OR(ARCH!M127="",LEFT(ARCH!M127,3)="14x"),IF(AG_REQ!M127&lt;=INDEX(INPUTS!$B$42:$B$50,1),INDEX(INPUTS!$A$42:$A$50,1),IF(AG_REQ!M127&gt;INDEX(INPUTS!$B$42:$B$50,ROWS(INPUTS!$B$42:$B$50)),"LARGER",INDEX(INPUTS!$A$42:$A$50,MATCH(AG_REQ!M127,INPUTS!$B$42:$B$50,1)+1))),IF(AG_REQ!M127&lt;=INDEX(INPUTS!$E$42:$E$50,1),INDEX(INPUTS!$D$42:$D$50,1),IF(AG_REQ!M127&gt;INDEX(INPUTS!$E$42:$E$50,ROWS(INPUTS!$E$42:$E$50)),"LARGER",INDEX(INPUTS!$D$42:$D$50,MATCH(AG_REQ!M127,INPUTS!$E$42:$E$50,1)+1)))))</f>
        <v/>
      </c>
      <c r="N127" s="4" t="str">
        <f aca="false">IF(TRIB!N127="","",IF(OR(ARCH!N127="",LEFT(ARCH!N127,3)="14x"),IF(AG_REQ!N127&lt;=INDEX(INPUTS!$B$42:$B$50,1),INDEX(INPUTS!$A$42:$A$50,1),IF(AG_REQ!N127&gt;INDEX(INPUTS!$B$42:$B$50,ROWS(INPUTS!$B$42:$B$50)),"LARGER",INDEX(INPUTS!$A$42:$A$50,MATCH(AG_REQ!N127,INPUTS!$B$42:$B$50,1)+1))),IF(AG_REQ!N127&lt;=INDEX(INPUTS!$E$42:$E$50,1),INDEX(INPUTS!$D$42:$D$50,1),IF(AG_REQ!N127&gt;INDEX(INPUTS!$E$42:$E$50,ROWS(INPUTS!$E$42:$E$50)),"LARGER",INDEX(INPUTS!$D$42:$D$50,MATCH(AG_REQ!N127,INPUTS!$E$42:$E$50,1)+1)))))</f>
        <v/>
      </c>
      <c r="O127" s="4" t="str">
        <f aca="false">IF(TRIB!O127="","",IF(OR(ARCH!O127="",LEFT(ARCH!O127,3)="14x"),IF(AG_REQ!O127&lt;=INDEX(INPUTS!$B$42:$B$50,1),INDEX(INPUTS!$A$42:$A$50,1),IF(AG_REQ!O127&gt;INDEX(INPUTS!$B$42:$B$50,ROWS(INPUTS!$B$42:$B$50)),"LARGER",INDEX(INPUTS!$A$42:$A$50,MATCH(AG_REQ!O127,INPUTS!$B$42:$B$50,1)+1))),IF(AG_REQ!O127&lt;=INDEX(INPUTS!$E$42:$E$50,1),INDEX(INPUTS!$D$42:$D$50,1),IF(AG_REQ!O127&gt;INDEX(INPUTS!$E$42:$E$50,ROWS(INPUTS!$E$42:$E$50)),"LARGER",INDEX(INPUTS!$D$42:$D$50,MATCH(AG_REQ!O127,INPUTS!$E$42:$E$50,1)+1)))))</f>
        <v/>
      </c>
      <c r="P127" s="4" t="str">
        <f aca="false">IF(TRIB!P127="","",IF(OR(ARCH!P127="",LEFT(ARCH!P127,3)="14x"),IF(AG_REQ!P127&lt;=INDEX(INPUTS!$B$42:$B$50,1),INDEX(INPUTS!$A$42:$A$50,1),IF(AG_REQ!P127&gt;INDEX(INPUTS!$B$42:$B$50,ROWS(INPUTS!$B$42:$B$50)),"LARGER",INDEX(INPUTS!$A$42:$A$50,MATCH(AG_REQ!P127,INPUTS!$B$42:$B$50,1)+1))),IF(AG_REQ!P127&lt;=INDEX(INPUTS!$E$42:$E$50,1),INDEX(INPUTS!$D$42:$D$50,1),IF(AG_REQ!P127&gt;INDEX(INPUTS!$E$42:$E$50,ROWS(INPUTS!$E$42:$E$50)),"LARGER",INDEX(INPUTS!$D$42:$D$50,MATCH(AG_REQ!P127,INPUTS!$E$42:$E$50,1)+1)))))</f>
        <v/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4" t="str">
        <f aca="false">IF(TRIB!E128="","",IF(OR(ARCH!E128="",LEFT(ARCH!E128,3)="14x"),IF(AG_REQ!E128&lt;=INDEX(INPUTS!$B$42:$B$50,1),INDEX(INPUTS!$A$42:$A$50,1),IF(AG_REQ!E128&gt;INDEX(INPUTS!$B$42:$B$50,ROWS(INPUTS!$B$42:$B$50)),"LARGER",INDEX(INPUTS!$A$42:$A$50,MATCH(AG_REQ!E128,INPUTS!$B$42:$B$50,1)+1))),IF(AG_REQ!E128&lt;=INDEX(INPUTS!$E$42:$E$50,1),INDEX(INPUTS!$D$42:$D$50,1),IF(AG_REQ!E128&gt;INDEX(INPUTS!$E$42:$E$50,ROWS(INPUTS!$E$42:$E$50)),"LARGER",INDEX(INPUTS!$D$42:$D$50,MATCH(AG_REQ!E128,INPUTS!$E$42:$E$50,1)+1)))))</f>
        <v/>
      </c>
      <c r="F128" s="4" t="str">
        <f aca="false">IF(TRIB!F128="","",IF(OR(ARCH!F128="",LEFT(ARCH!F128,3)="14x"),IF(AG_REQ!F128&lt;=INDEX(INPUTS!$B$42:$B$50,1),INDEX(INPUTS!$A$42:$A$50,1),IF(AG_REQ!F128&gt;INDEX(INPUTS!$B$42:$B$50,ROWS(INPUTS!$B$42:$B$50)),"LARGER",INDEX(INPUTS!$A$42:$A$50,MATCH(AG_REQ!F128,INPUTS!$B$42:$B$50,1)+1))),IF(AG_REQ!F128&lt;=INDEX(INPUTS!$E$42:$E$50,1),INDEX(INPUTS!$D$42:$D$50,1),IF(AG_REQ!F128&gt;INDEX(INPUTS!$E$42:$E$50,ROWS(INPUTS!$E$42:$E$50)),"LARGER",INDEX(INPUTS!$D$42:$D$50,MATCH(AG_REQ!F128,INPUTS!$E$42:$E$50,1)+1)))))</f>
        <v/>
      </c>
      <c r="G128" s="4" t="str">
        <f aca="false">IF(TRIB!G128="","",IF(OR(ARCH!G128="",LEFT(ARCH!G128,3)="14x"),IF(AG_REQ!G128&lt;=INDEX(INPUTS!$B$42:$B$50,1),INDEX(INPUTS!$A$42:$A$50,1),IF(AG_REQ!G128&gt;INDEX(INPUTS!$B$42:$B$50,ROWS(INPUTS!$B$42:$B$50)),"LARGER",INDEX(INPUTS!$A$42:$A$50,MATCH(AG_REQ!G128,INPUTS!$B$42:$B$50,1)+1))),IF(AG_REQ!G128&lt;=INDEX(INPUTS!$E$42:$E$50,1),INDEX(INPUTS!$D$42:$D$50,1),IF(AG_REQ!G128&gt;INDEX(INPUTS!$E$42:$E$50,ROWS(INPUTS!$E$42:$E$50)),"LARGER",INDEX(INPUTS!$D$42:$D$50,MATCH(AG_REQ!G128,INPUTS!$E$42:$E$50,1)+1)))))</f>
        <v/>
      </c>
      <c r="H128" s="4" t="str">
        <f aca="false">IF(TRIB!H128="","",IF(OR(ARCH!H128="",LEFT(ARCH!H128,3)="14x"),IF(AG_REQ!H128&lt;=INDEX(INPUTS!$B$42:$B$50,1),INDEX(INPUTS!$A$42:$A$50,1),IF(AG_REQ!H128&gt;INDEX(INPUTS!$B$42:$B$50,ROWS(INPUTS!$B$42:$B$50)),"LARGER",INDEX(INPUTS!$A$42:$A$50,MATCH(AG_REQ!H128,INPUTS!$B$42:$B$50,1)+1))),IF(AG_REQ!H128&lt;=INDEX(INPUTS!$E$42:$E$50,1),INDEX(INPUTS!$D$42:$D$50,1),IF(AG_REQ!H128&gt;INDEX(INPUTS!$E$42:$E$50,ROWS(INPUTS!$E$42:$E$50)),"LARGER",INDEX(INPUTS!$D$42:$D$50,MATCH(AG_REQ!H128,INPUTS!$E$42:$E$50,1)+1)))))</f>
        <v/>
      </c>
      <c r="I128" s="4" t="str">
        <f aca="false">IF(TRIB!I128="","",IF(OR(ARCH!I128="",LEFT(ARCH!I128,3)="14x"),IF(AG_REQ!I128&lt;=INDEX(INPUTS!$B$42:$B$50,1),INDEX(INPUTS!$A$42:$A$50,1),IF(AG_REQ!I128&gt;INDEX(INPUTS!$B$42:$B$50,ROWS(INPUTS!$B$42:$B$50)),"LARGER",INDEX(INPUTS!$A$42:$A$50,MATCH(AG_REQ!I128,INPUTS!$B$42:$B$50,1)+1))),IF(AG_REQ!I128&lt;=INDEX(INPUTS!$E$42:$E$50,1),INDEX(INPUTS!$D$42:$D$50,1),IF(AG_REQ!I128&gt;INDEX(INPUTS!$E$42:$E$50,ROWS(INPUTS!$E$42:$E$50)),"LARGER",INDEX(INPUTS!$D$42:$D$50,MATCH(AG_REQ!I128,INPUTS!$E$42:$E$50,1)+1)))))</f>
        <v/>
      </c>
      <c r="J128" s="4" t="str">
        <f aca="false">IF(TRIB!J128="","",IF(OR(ARCH!J128="",LEFT(ARCH!J128,3)="14x"),IF(AG_REQ!J128&lt;=INDEX(INPUTS!$B$42:$B$50,1),INDEX(INPUTS!$A$42:$A$50,1),IF(AG_REQ!J128&gt;INDEX(INPUTS!$B$42:$B$50,ROWS(INPUTS!$B$42:$B$50)),"LARGER",INDEX(INPUTS!$A$42:$A$50,MATCH(AG_REQ!J128,INPUTS!$B$42:$B$50,1)+1))),IF(AG_REQ!J128&lt;=INDEX(INPUTS!$E$42:$E$50,1),INDEX(INPUTS!$D$42:$D$50,1),IF(AG_REQ!J128&gt;INDEX(INPUTS!$E$42:$E$50,ROWS(INPUTS!$E$42:$E$50)),"LARGER",INDEX(INPUTS!$D$42:$D$50,MATCH(AG_REQ!J128,INPUTS!$E$42:$E$50,1)+1)))))</f>
        <v>14x24</v>
      </c>
      <c r="K128" s="4" t="str">
        <f aca="false">IF(TRIB!K128="","",IF(OR(ARCH!K128="",LEFT(ARCH!K128,3)="14x"),IF(AG_REQ!K128&lt;=INDEX(INPUTS!$B$42:$B$50,1),INDEX(INPUTS!$A$42:$A$50,1),IF(AG_REQ!K128&gt;INDEX(INPUTS!$B$42:$B$50,ROWS(INPUTS!$B$42:$B$50)),"LARGER",INDEX(INPUTS!$A$42:$A$50,MATCH(AG_REQ!K128,INPUTS!$B$42:$B$50,1)+1))),IF(AG_REQ!K128&lt;=INDEX(INPUTS!$E$42:$E$50,1),INDEX(INPUTS!$D$42:$D$50,1),IF(AG_REQ!K128&gt;INDEX(INPUTS!$E$42:$E$50,ROWS(INPUTS!$E$42:$E$50)),"LARGER",INDEX(INPUTS!$D$42:$D$50,MATCH(AG_REQ!K128,INPUTS!$E$42:$E$50,1)+1)))))</f>
        <v/>
      </c>
      <c r="L128" s="4" t="str">
        <f aca="false">IF(TRIB!L128="","",IF(OR(ARCH!L128="",LEFT(ARCH!L128,3)="14x"),IF(AG_REQ!L128&lt;=INDEX(INPUTS!$B$42:$B$50,1),INDEX(INPUTS!$A$42:$A$50,1),IF(AG_REQ!L128&gt;INDEX(INPUTS!$B$42:$B$50,ROWS(INPUTS!$B$42:$B$50)),"LARGER",INDEX(INPUTS!$A$42:$A$50,MATCH(AG_REQ!L128,INPUTS!$B$42:$B$50,1)+1))),IF(AG_REQ!L128&lt;=INDEX(INPUTS!$E$42:$E$50,1),INDEX(INPUTS!$D$42:$D$50,1),IF(AG_REQ!L128&gt;INDEX(INPUTS!$E$42:$E$50,ROWS(INPUTS!$E$42:$E$50)),"LARGER",INDEX(INPUTS!$D$42:$D$50,MATCH(AG_REQ!L128,INPUTS!$E$42:$E$50,1)+1)))))</f>
        <v/>
      </c>
      <c r="M128" s="4" t="str">
        <f aca="false">IF(TRIB!M128="","",IF(OR(ARCH!M128="",LEFT(ARCH!M128,3)="14x"),IF(AG_REQ!M128&lt;=INDEX(INPUTS!$B$42:$B$50,1),INDEX(INPUTS!$A$42:$A$50,1),IF(AG_REQ!M128&gt;INDEX(INPUTS!$B$42:$B$50,ROWS(INPUTS!$B$42:$B$50)),"LARGER",INDEX(INPUTS!$A$42:$A$50,MATCH(AG_REQ!M128,INPUTS!$B$42:$B$50,1)+1))),IF(AG_REQ!M128&lt;=INDEX(INPUTS!$E$42:$E$50,1),INDEX(INPUTS!$D$42:$D$50,1),IF(AG_REQ!M128&gt;INDEX(INPUTS!$E$42:$E$50,ROWS(INPUTS!$E$42:$E$50)),"LARGER",INDEX(INPUTS!$D$42:$D$50,MATCH(AG_REQ!M128,INPUTS!$E$42:$E$50,1)+1)))))</f>
        <v/>
      </c>
      <c r="N128" s="4" t="str">
        <f aca="false">IF(TRIB!N128="","",IF(OR(ARCH!N128="",LEFT(ARCH!N128,3)="14x"),IF(AG_REQ!N128&lt;=INDEX(INPUTS!$B$42:$B$50,1),INDEX(INPUTS!$A$42:$A$50,1),IF(AG_REQ!N128&gt;INDEX(INPUTS!$B$42:$B$50,ROWS(INPUTS!$B$42:$B$50)),"LARGER",INDEX(INPUTS!$A$42:$A$50,MATCH(AG_REQ!N128,INPUTS!$B$42:$B$50,1)+1))),IF(AG_REQ!N128&lt;=INDEX(INPUTS!$E$42:$E$50,1),INDEX(INPUTS!$D$42:$D$50,1),IF(AG_REQ!N128&gt;INDEX(INPUTS!$E$42:$E$50,ROWS(INPUTS!$E$42:$E$50)),"LARGER",INDEX(INPUTS!$D$42:$D$50,MATCH(AG_REQ!N128,INPUTS!$E$42:$E$50,1)+1)))))</f>
        <v/>
      </c>
      <c r="O128" s="4" t="str">
        <f aca="false">IF(TRIB!O128="","",IF(OR(ARCH!O128="",LEFT(ARCH!O128,3)="14x"),IF(AG_REQ!O128&lt;=INDEX(INPUTS!$B$42:$B$50,1),INDEX(INPUTS!$A$42:$A$50,1),IF(AG_REQ!O128&gt;INDEX(INPUTS!$B$42:$B$50,ROWS(INPUTS!$B$42:$B$50)),"LARGER",INDEX(INPUTS!$A$42:$A$50,MATCH(AG_REQ!O128,INPUTS!$B$42:$B$50,1)+1))),IF(AG_REQ!O128&lt;=INDEX(INPUTS!$E$42:$E$50,1),INDEX(INPUTS!$D$42:$D$50,1),IF(AG_REQ!O128&gt;INDEX(INPUTS!$E$42:$E$50,ROWS(INPUTS!$E$42:$E$50)),"LARGER",INDEX(INPUTS!$D$42:$D$50,MATCH(AG_REQ!O128,INPUTS!$E$42:$E$50,1)+1)))))</f>
        <v/>
      </c>
      <c r="P128" s="4" t="str">
        <f aca="false">IF(TRIB!P128="","",IF(OR(ARCH!P128="",LEFT(ARCH!P128,3)="14x"),IF(AG_REQ!P128&lt;=INDEX(INPUTS!$B$42:$B$50,1),INDEX(INPUTS!$A$42:$A$50,1),IF(AG_REQ!P128&gt;INDEX(INPUTS!$B$42:$B$50,ROWS(INPUTS!$B$42:$B$50)),"LARGER",INDEX(INPUTS!$A$42:$A$50,MATCH(AG_REQ!P128,INPUTS!$B$42:$B$50,1)+1))),IF(AG_REQ!P128&lt;=INDEX(INPUTS!$E$42:$E$50,1),INDEX(INPUTS!$D$42:$D$50,1),IF(AG_REQ!P128&gt;INDEX(INPUTS!$E$42:$E$50,ROWS(INPUTS!$E$42:$E$50)),"LARGER",INDEX(INPUTS!$D$42:$D$50,MATCH(AG_REQ!P128,INPUTS!$E$42:$E$50,1)+1)))))</f>
        <v/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4" t="str">
        <f aca="false">IF(TRIB!E129="","",IF(OR(ARCH!E129="",LEFT(ARCH!E129,3)="14x"),IF(AG_REQ!E129&lt;=INDEX(INPUTS!$B$42:$B$50,1),INDEX(INPUTS!$A$42:$A$50,1),IF(AG_REQ!E129&gt;INDEX(INPUTS!$B$42:$B$50,ROWS(INPUTS!$B$42:$B$50)),"LARGER",INDEX(INPUTS!$A$42:$A$50,MATCH(AG_REQ!E129,INPUTS!$B$42:$B$50,1)+1))),IF(AG_REQ!E129&lt;=INDEX(INPUTS!$E$42:$E$50,1),INDEX(INPUTS!$D$42:$D$50,1),IF(AG_REQ!E129&gt;INDEX(INPUTS!$E$42:$E$50,ROWS(INPUTS!$E$42:$E$50)),"LARGER",INDEX(INPUTS!$D$42:$D$50,MATCH(AG_REQ!E129,INPUTS!$E$42:$E$50,1)+1)))))</f>
        <v/>
      </c>
      <c r="F129" s="4" t="str">
        <f aca="false">IF(TRIB!F129="","",IF(OR(ARCH!F129="",LEFT(ARCH!F129,3)="14x"),IF(AG_REQ!F129&lt;=INDEX(INPUTS!$B$42:$B$50,1),INDEX(INPUTS!$A$42:$A$50,1),IF(AG_REQ!F129&gt;INDEX(INPUTS!$B$42:$B$50,ROWS(INPUTS!$B$42:$B$50)),"LARGER",INDEX(INPUTS!$A$42:$A$50,MATCH(AG_REQ!F129,INPUTS!$B$42:$B$50,1)+1))),IF(AG_REQ!F129&lt;=INDEX(INPUTS!$E$42:$E$50,1),INDEX(INPUTS!$D$42:$D$50,1),IF(AG_REQ!F129&gt;INDEX(INPUTS!$E$42:$E$50,ROWS(INPUTS!$E$42:$E$50)),"LARGER",INDEX(INPUTS!$D$42:$D$50,MATCH(AG_REQ!F129,INPUTS!$E$42:$E$50,1)+1)))))</f>
        <v/>
      </c>
      <c r="G129" s="4" t="str">
        <f aca="false">IF(TRIB!G129="","",IF(OR(ARCH!G129="",LEFT(ARCH!G129,3)="14x"),IF(AG_REQ!G129&lt;=INDEX(INPUTS!$B$42:$B$50,1),INDEX(INPUTS!$A$42:$A$50,1),IF(AG_REQ!G129&gt;INDEX(INPUTS!$B$42:$B$50,ROWS(INPUTS!$B$42:$B$50)),"LARGER",INDEX(INPUTS!$A$42:$A$50,MATCH(AG_REQ!G129,INPUTS!$B$42:$B$50,1)+1))),IF(AG_REQ!G129&lt;=INDEX(INPUTS!$E$42:$E$50,1),INDEX(INPUTS!$D$42:$D$50,1),IF(AG_REQ!G129&gt;INDEX(INPUTS!$E$42:$E$50,ROWS(INPUTS!$E$42:$E$50)),"LARGER",INDEX(INPUTS!$D$42:$D$50,MATCH(AG_REQ!G129,INPUTS!$E$42:$E$50,1)+1)))))</f>
        <v/>
      </c>
      <c r="H129" s="4" t="str">
        <f aca="false">IF(TRIB!H129="","",IF(OR(ARCH!H129="",LEFT(ARCH!H129,3)="14x"),IF(AG_REQ!H129&lt;=INDEX(INPUTS!$B$42:$B$50,1),INDEX(INPUTS!$A$42:$A$50,1),IF(AG_REQ!H129&gt;INDEX(INPUTS!$B$42:$B$50,ROWS(INPUTS!$B$42:$B$50)),"LARGER",INDEX(INPUTS!$A$42:$A$50,MATCH(AG_REQ!H129,INPUTS!$B$42:$B$50,1)+1))),IF(AG_REQ!H129&lt;=INDEX(INPUTS!$E$42:$E$50,1),INDEX(INPUTS!$D$42:$D$50,1),IF(AG_REQ!H129&gt;INDEX(INPUTS!$E$42:$E$50,ROWS(INPUTS!$E$42:$E$50)),"LARGER",INDEX(INPUTS!$D$42:$D$50,MATCH(AG_REQ!H129,INPUTS!$E$42:$E$50,1)+1)))))</f>
        <v/>
      </c>
      <c r="I129" s="4" t="str">
        <f aca="false">IF(TRIB!I129="","",IF(OR(ARCH!I129="",LEFT(ARCH!I129,3)="14x"),IF(AG_REQ!I129&lt;=INDEX(INPUTS!$B$42:$B$50,1),INDEX(INPUTS!$A$42:$A$50,1),IF(AG_REQ!I129&gt;INDEX(INPUTS!$B$42:$B$50,ROWS(INPUTS!$B$42:$B$50)),"LARGER",INDEX(INPUTS!$A$42:$A$50,MATCH(AG_REQ!I129,INPUTS!$B$42:$B$50,1)+1))),IF(AG_REQ!I129&lt;=INDEX(INPUTS!$E$42:$E$50,1),INDEX(INPUTS!$D$42:$D$50,1),IF(AG_REQ!I129&gt;INDEX(INPUTS!$E$42:$E$50,ROWS(INPUTS!$E$42:$E$50)),"LARGER",INDEX(INPUTS!$D$42:$D$50,MATCH(AG_REQ!I129,INPUTS!$E$42:$E$50,1)+1)))))</f>
        <v/>
      </c>
      <c r="J129" s="4" t="str">
        <f aca="false">IF(TRIB!J129="","",IF(OR(ARCH!J129="",LEFT(ARCH!J129,3)="14x"),IF(AG_REQ!J129&lt;=INDEX(INPUTS!$B$42:$B$50,1),INDEX(INPUTS!$A$42:$A$50,1),IF(AG_REQ!J129&gt;INDEX(INPUTS!$B$42:$B$50,ROWS(INPUTS!$B$42:$B$50)),"LARGER",INDEX(INPUTS!$A$42:$A$50,MATCH(AG_REQ!J129,INPUTS!$B$42:$B$50,1)+1))),IF(AG_REQ!J129&lt;=INDEX(INPUTS!$E$42:$E$50,1),INDEX(INPUTS!$D$42:$D$50,1),IF(AG_REQ!J129&gt;INDEX(INPUTS!$E$42:$E$50,ROWS(INPUTS!$E$42:$E$50)),"LARGER",INDEX(INPUTS!$D$42:$D$50,MATCH(AG_REQ!J129,INPUTS!$E$42:$E$50,1)+1)))))</f>
        <v>14x24</v>
      </c>
      <c r="K129" s="4" t="str">
        <f aca="false">IF(TRIB!K129="","",IF(OR(ARCH!K129="",LEFT(ARCH!K129,3)="14x"),IF(AG_REQ!K129&lt;=INDEX(INPUTS!$B$42:$B$50,1),INDEX(INPUTS!$A$42:$A$50,1),IF(AG_REQ!K129&gt;INDEX(INPUTS!$B$42:$B$50,ROWS(INPUTS!$B$42:$B$50)),"LARGER",INDEX(INPUTS!$A$42:$A$50,MATCH(AG_REQ!K129,INPUTS!$B$42:$B$50,1)+1))),IF(AG_REQ!K129&lt;=INDEX(INPUTS!$E$42:$E$50,1),INDEX(INPUTS!$D$42:$D$50,1),IF(AG_REQ!K129&gt;INDEX(INPUTS!$E$42:$E$50,ROWS(INPUTS!$E$42:$E$50)),"LARGER",INDEX(INPUTS!$D$42:$D$50,MATCH(AG_REQ!K129,INPUTS!$E$42:$E$50,1)+1)))))</f>
        <v/>
      </c>
      <c r="L129" s="4" t="str">
        <f aca="false">IF(TRIB!L129="","",IF(OR(ARCH!L129="",LEFT(ARCH!L129,3)="14x"),IF(AG_REQ!L129&lt;=INDEX(INPUTS!$B$42:$B$50,1),INDEX(INPUTS!$A$42:$A$50,1),IF(AG_REQ!L129&gt;INDEX(INPUTS!$B$42:$B$50,ROWS(INPUTS!$B$42:$B$50)),"LARGER",INDEX(INPUTS!$A$42:$A$50,MATCH(AG_REQ!L129,INPUTS!$B$42:$B$50,1)+1))),IF(AG_REQ!L129&lt;=INDEX(INPUTS!$E$42:$E$50,1),INDEX(INPUTS!$D$42:$D$50,1),IF(AG_REQ!L129&gt;INDEX(INPUTS!$E$42:$E$50,ROWS(INPUTS!$E$42:$E$50)),"LARGER",INDEX(INPUTS!$D$42:$D$50,MATCH(AG_REQ!L129,INPUTS!$E$42:$E$50,1)+1)))))</f>
        <v/>
      </c>
      <c r="M129" s="4" t="str">
        <f aca="false">IF(TRIB!M129="","",IF(OR(ARCH!M129="",LEFT(ARCH!M129,3)="14x"),IF(AG_REQ!M129&lt;=INDEX(INPUTS!$B$42:$B$50,1),INDEX(INPUTS!$A$42:$A$50,1),IF(AG_REQ!M129&gt;INDEX(INPUTS!$B$42:$B$50,ROWS(INPUTS!$B$42:$B$50)),"LARGER",INDEX(INPUTS!$A$42:$A$50,MATCH(AG_REQ!M129,INPUTS!$B$42:$B$50,1)+1))),IF(AG_REQ!M129&lt;=INDEX(INPUTS!$E$42:$E$50,1),INDEX(INPUTS!$D$42:$D$50,1),IF(AG_REQ!M129&gt;INDEX(INPUTS!$E$42:$E$50,ROWS(INPUTS!$E$42:$E$50)),"LARGER",INDEX(INPUTS!$D$42:$D$50,MATCH(AG_REQ!M129,INPUTS!$E$42:$E$50,1)+1)))))</f>
        <v/>
      </c>
      <c r="N129" s="4" t="str">
        <f aca="false">IF(TRIB!N129="","",IF(OR(ARCH!N129="",LEFT(ARCH!N129,3)="14x"),IF(AG_REQ!N129&lt;=INDEX(INPUTS!$B$42:$B$50,1),INDEX(INPUTS!$A$42:$A$50,1),IF(AG_REQ!N129&gt;INDEX(INPUTS!$B$42:$B$50,ROWS(INPUTS!$B$42:$B$50)),"LARGER",INDEX(INPUTS!$A$42:$A$50,MATCH(AG_REQ!N129,INPUTS!$B$42:$B$50,1)+1))),IF(AG_REQ!N129&lt;=INDEX(INPUTS!$E$42:$E$50,1),INDEX(INPUTS!$D$42:$D$50,1),IF(AG_REQ!N129&gt;INDEX(INPUTS!$E$42:$E$50,ROWS(INPUTS!$E$42:$E$50)),"LARGER",INDEX(INPUTS!$D$42:$D$50,MATCH(AG_REQ!N129,INPUTS!$E$42:$E$50,1)+1)))))</f>
        <v/>
      </c>
      <c r="O129" s="4" t="str">
        <f aca="false">IF(TRIB!O129="","",IF(OR(ARCH!O129="",LEFT(ARCH!O129,3)="14x"),IF(AG_REQ!O129&lt;=INDEX(INPUTS!$B$42:$B$50,1),INDEX(INPUTS!$A$42:$A$50,1),IF(AG_REQ!O129&gt;INDEX(INPUTS!$B$42:$B$50,ROWS(INPUTS!$B$42:$B$50)),"LARGER",INDEX(INPUTS!$A$42:$A$50,MATCH(AG_REQ!O129,INPUTS!$B$42:$B$50,1)+1))),IF(AG_REQ!O129&lt;=INDEX(INPUTS!$E$42:$E$50,1),INDEX(INPUTS!$D$42:$D$50,1),IF(AG_REQ!O129&gt;INDEX(INPUTS!$E$42:$E$50,ROWS(INPUTS!$E$42:$E$50)),"LARGER",INDEX(INPUTS!$D$42:$D$50,MATCH(AG_REQ!O129,INPUTS!$E$42:$E$50,1)+1)))))</f>
        <v/>
      </c>
      <c r="P129" s="4" t="str">
        <f aca="false">IF(TRIB!P129="","",IF(OR(ARCH!P129="",LEFT(ARCH!P129,3)="14x"),IF(AG_REQ!P129&lt;=INDEX(INPUTS!$B$42:$B$50,1),INDEX(INPUTS!$A$42:$A$50,1),IF(AG_REQ!P129&gt;INDEX(INPUTS!$B$42:$B$50,ROWS(INPUTS!$B$42:$B$50)),"LARGER",INDEX(INPUTS!$A$42:$A$50,MATCH(AG_REQ!P129,INPUTS!$B$42:$B$50,1)+1))),IF(AG_REQ!P129&lt;=INDEX(INPUTS!$E$42:$E$50,1),INDEX(INPUTS!$D$42:$D$50,1),IF(AG_REQ!P129&gt;INDEX(INPUTS!$E$42:$E$50,ROWS(INPUTS!$E$42:$E$50)),"LARGER",INDEX(INPUTS!$D$42:$D$50,MATCH(AG_REQ!P129,INPUTS!$E$42:$E$50,1)+1)))))</f>
        <v/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4" t="str">
        <f aca="false">IF(TRIB!E130="","",IF(OR(ARCH!E130="",LEFT(ARCH!E130,3)="14x"),IF(AG_REQ!E130&lt;=INDEX(INPUTS!$B$42:$B$50,1),INDEX(INPUTS!$A$42:$A$50,1),IF(AG_REQ!E130&gt;INDEX(INPUTS!$B$42:$B$50,ROWS(INPUTS!$B$42:$B$50)),"LARGER",INDEX(INPUTS!$A$42:$A$50,MATCH(AG_REQ!E130,INPUTS!$B$42:$B$50,1)+1))),IF(AG_REQ!E130&lt;=INDEX(INPUTS!$E$42:$E$50,1),INDEX(INPUTS!$D$42:$D$50,1),IF(AG_REQ!E130&gt;INDEX(INPUTS!$E$42:$E$50,ROWS(INPUTS!$E$42:$E$50)),"LARGER",INDEX(INPUTS!$D$42:$D$50,MATCH(AG_REQ!E130,INPUTS!$E$42:$E$50,1)+1)))))</f>
        <v/>
      </c>
      <c r="F130" s="4" t="str">
        <f aca="false">IF(TRIB!F130="","",IF(OR(ARCH!F130="",LEFT(ARCH!F130,3)="14x"),IF(AG_REQ!F130&lt;=INDEX(INPUTS!$B$42:$B$50,1),INDEX(INPUTS!$A$42:$A$50,1),IF(AG_REQ!F130&gt;INDEX(INPUTS!$B$42:$B$50,ROWS(INPUTS!$B$42:$B$50)),"LARGER",INDEX(INPUTS!$A$42:$A$50,MATCH(AG_REQ!F130,INPUTS!$B$42:$B$50,1)+1))),IF(AG_REQ!F130&lt;=INDEX(INPUTS!$E$42:$E$50,1),INDEX(INPUTS!$D$42:$D$50,1),IF(AG_REQ!F130&gt;INDEX(INPUTS!$E$42:$E$50,ROWS(INPUTS!$E$42:$E$50)),"LARGER",INDEX(INPUTS!$D$42:$D$50,MATCH(AG_REQ!F130,INPUTS!$E$42:$E$50,1)+1)))))</f>
        <v/>
      </c>
      <c r="G130" s="4" t="str">
        <f aca="false">IF(TRIB!G130="","",IF(OR(ARCH!G130="",LEFT(ARCH!G130,3)="14x"),IF(AG_REQ!G130&lt;=INDEX(INPUTS!$B$42:$B$50,1),INDEX(INPUTS!$A$42:$A$50,1),IF(AG_REQ!G130&gt;INDEX(INPUTS!$B$42:$B$50,ROWS(INPUTS!$B$42:$B$50)),"LARGER",INDEX(INPUTS!$A$42:$A$50,MATCH(AG_REQ!G130,INPUTS!$B$42:$B$50,1)+1))),IF(AG_REQ!G130&lt;=INDEX(INPUTS!$E$42:$E$50,1),INDEX(INPUTS!$D$42:$D$50,1),IF(AG_REQ!G130&gt;INDEX(INPUTS!$E$42:$E$50,ROWS(INPUTS!$E$42:$E$50)),"LARGER",INDEX(INPUTS!$D$42:$D$50,MATCH(AG_REQ!G130,INPUTS!$E$42:$E$50,1)+1)))))</f>
        <v/>
      </c>
      <c r="H130" s="4" t="str">
        <f aca="false">IF(TRIB!H130="","",IF(OR(ARCH!H130="",LEFT(ARCH!H130,3)="14x"),IF(AG_REQ!H130&lt;=INDEX(INPUTS!$B$42:$B$50,1),INDEX(INPUTS!$A$42:$A$50,1),IF(AG_REQ!H130&gt;INDEX(INPUTS!$B$42:$B$50,ROWS(INPUTS!$B$42:$B$50)),"LARGER",INDEX(INPUTS!$A$42:$A$50,MATCH(AG_REQ!H130,INPUTS!$B$42:$B$50,1)+1))),IF(AG_REQ!H130&lt;=INDEX(INPUTS!$E$42:$E$50,1),INDEX(INPUTS!$D$42:$D$50,1),IF(AG_REQ!H130&gt;INDEX(INPUTS!$E$42:$E$50,ROWS(INPUTS!$E$42:$E$50)),"LARGER",INDEX(INPUTS!$D$42:$D$50,MATCH(AG_REQ!H130,INPUTS!$E$42:$E$50,1)+1)))))</f>
        <v/>
      </c>
      <c r="I130" s="4" t="str">
        <f aca="false">IF(TRIB!I130="","",IF(OR(ARCH!I130="",LEFT(ARCH!I130,3)="14x"),IF(AG_REQ!I130&lt;=INDEX(INPUTS!$B$42:$B$50,1),INDEX(INPUTS!$A$42:$A$50,1),IF(AG_REQ!I130&gt;INDEX(INPUTS!$B$42:$B$50,ROWS(INPUTS!$B$42:$B$50)),"LARGER",INDEX(INPUTS!$A$42:$A$50,MATCH(AG_REQ!I130,INPUTS!$B$42:$B$50,1)+1))),IF(AG_REQ!I130&lt;=INDEX(INPUTS!$E$42:$E$50,1),INDEX(INPUTS!$D$42:$D$50,1),IF(AG_REQ!I130&gt;INDEX(INPUTS!$E$42:$E$50,ROWS(INPUTS!$E$42:$E$50)),"LARGER",INDEX(INPUTS!$D$42:$D$50,MATCH(AG_REQ!I130,INPUTS!$E$42:$E$50,1)+1)))))</f>
        <v/>
      </c>
      <c r="J130" s="4" t="str">
        <f aca="false">IF(TRIB!J130="","",IF(OR(ARCH!J130="",LEFT(ARCH!J130,3)="14x"),IF(AG_REQ!J130&lt;=INDEX(INPUTS!$B$42:$B$50,1),INDEX(INPUTS!$A$42:$A$50,1),IF(AG_REQ!J130&gt;INDEX(INPUTS!$B$42:$B$50,ROWS(INPUTS!$B$42:$B$50)),"LARGER",INDEX(INPUTS!$A$42:$A$50,MATCH(AG_REQ!J130,INPUTS!$B$42:$B$50,1)+1))),IF(AG_REQ!J130&lt;=INDEX(INPUTS!$E$42:$E$50,1),INDEX(INPUTS!$D$42:$D$50,1),IF(AG_REQ!J130&gt;INDEX(INPUTS!$E$42:$E$50,ROWS(INPUTS!$E$42:$E$50)),"LARGER",INDEX(INPUTS!$D$42:$D$50,MATCH(AG_REQ!J130,INPUTS!$E$42:$E$50,1)+1)))))</f>
        <v>14x24</v>
      </c>
      <c r="K130" s="4" t="str">
        <f aca="false">IF(TRIB!K130="","",IF(OR(ARCH!K130="",LEFT(ARCH!K130,3)="14x"),IF(AG_REQ!K130&lt;=INDEX(INPUTS!$B$42:$B$50,1),INDEX(INPUTS!$A$42:$A$50,1),IF(AG_REQ!K130&gt;INDEX(INPUTS!$B$42:$B$50,ROWS(INPUTS!$B$42:$B$50)),"LARGER",INDEX(INPUTS!$A$42:$A$50,MATCH(AG_REQ!K130,INPUTS!$B$42:$B$50,1)+1))),IF(AG_REQ!K130&lt;=INDEX(INPUTS!$E$42:$E$50,1),INDEX(INPUTS!$D$42:$D$50,1),IF(AG_REQ!K130&gt;INDEX(INPUTS!$E$42:$E$50,ROWS(INPUTS!$E$42:$E$50)),"LARGER",INDEX(INPUTS!$D$42:$D$50,MATCH(AG_REQ!K130,INPUTS!$E$42:$E$50,1)+1)))))</f>
        <v/>
      </c>
      <c r="L130" s="4" t="str">
        <f aca="false">IF(TRIB!L130="","",IF(OR(ARCH!L130="",LEFT(ARCH!L130,3)="14x"),IF(AG_REQ!L130&lt;=INDEX(INPUTS!$B$42:$B$50,1),INDEX(INPUTS!$A$42:$A$50,1),IF(AG_REQ!L130&gt;INDEX(INPUTS!$B$42:$B$50,ROWS(INPUTS!$B$42:$B$50)),"LARGER",INDEX(INPUTS!$A$42:$A$50,MATCH(AG_REQ!L130,INPUTS!$B$42:$B$50,1)+1))),IF(AG_REQ!L130&lt;=INDEX(INPUTS!$E$42:$E$50,1),INDEX(INPUTS!$D$42:$D$50,1),IF(AG_REQ!L130&gt;INDEX(INPUTS!$E$42:$E$50,ROWS(INPUTS!$E$42:$E$50)),"LARGER",INDEX(INPUTS!$D$42:$D$50,MATCH(AG_REQ!L130,INPUTS!$E$42:$E$50,1)+1)))))</f>
        <v/>
      </c>
      <c r="M130" s="4" t="str">
        <f aca="false">IF(TRIB!M130="","",IF(OR(ARCH!M130="",LEFT(ARCH!M130,3)="14x"),IF(AG_REQ!M130&lt;=INDEX(INPUTS!$B$42:$B$50,1),INDEX(INPUTS!$A$42:$A$50,1),IF(AG_REQ!M130&gt;INDEX(INPUTS!$B$42:$B$50,ROWS(INPUTS!$B$42:$B$50)),"LARGER",INDEX(INPUTS!$A$42:$A$50,MATCH(AG_REQ!M130,INPUTS!$B$42:$B$50,1)+1))),IF(AG_REQ!M130&lt;=INDEX(INPUTS!$E$42:$E$50,1),INDEX(INPUTS!$D$42:$D$50,1),IF(AG_REQ!M130&gt;INDEX(INPUTS!$E$42:$E$50,ROWS(INPUTS!$E$42:$E$50)),"LARGER",INDEX(INPUTS!$D$42:$D$50,MATCH(AG_REQ!M130,INPUTS!$E$42:$E$50,1)+1)))))</f>
        <v/>
      </c>
      <c r="N130" s="4" t="str">
        <f aca="false">IF(TRIB!N130="","",IF(OR(ARCH!N130="",LEFT(ARCH!N130,3)="14x"),IF(AG_REQ!N130&lt;=INDEX(INPUTS!$B$42:$B$50,1),INDEX(INPUTS!$A$42:$A$50,1),IF(AG_REQ!N130&gt;INDEX(INPUTS!$B$42:$B$50,ROWS(INPUTS!$B$42:$B$50)),"LARGER",INDEX(INPUTS!$A$42:$A$50,MATCH(AG_REQ!N130,INPUTS!$B$42:$B$50,1)+1))),IF(AG_REQ!N130&lt;=INDEX(INPUTS!$E$42:$E$50,1),INDEX(INPUTS!$D$42:$D$50,1),IF(AG_REQ!N130&gt;INDEX(INPUTS!$E$42:$E$50,ROWS(INPUTS!$E$42:$E$50)),"LARGER",INDEX(INPUTS!$D$42:$D$50,MATCH(AG_REQ!N130,INPUTS!$E$42:$E$50,1)+1)))))</f>
        <v/>
      </c>
      <c r="O130" s="4" t="str">
        <f aca="false">IF(TRIB!O130="","",IF(OR(ARCH!O130="",LEFT(ARCH!O130,3)="14x"),IF(AG_REQ!O130&lt;=INDEX(INPUTS!$B$42:$B$50,1),INDEX(INPUTS!$A$42:$A$50,1),IF(AG_REQ!O130&gt;INDEX(INPUTS!$B$42:$B$50,ROWS(INPUTS!$B$42:$B$50)),"LARGER",INDEX(INPUTS!$A$42:$A$50,MATCH(AG_REQ!O130,INPUTS!$B$42:$B$50,1)+1))),IF(AG_REQ!O130&lt;=INDEX(INPUTS!$E$42:$E$50,1),INDEX(INPUTS!$D$42:$D$50,1),IF(AG_REQ!O130&gt;INDEX(INPUTS!$E$42:$E$50,ROWS(INPUTS!$E$42:$E$50)),"LARGER",INDEX(INPUTS!$D$42:$D$50,MATCH(AG_REQ!O130,INPUTS!$E$42:$E$50,1)+1)))))</f>
        <v/>
      </c>
      <c r="P130" s="4" t="str">
        <f aca="false">IF(TRIB!P130="","",IF(OR(ARCH!P130="",LEFT(ARCH!P130,3)="14x"),IF(AG_REQ!P130&lt;=INDEX(INPUTS!$B$42:$B$50,1),INDEX(INPUTS!$A$42:$A$50,1),IF(AG_REQ!P130&gt;INDEX(INPUTS!$B$42:$B$50,ROWS(INPUTS!$B$42:$B$50)),"LARGER",INDEX(INPUTS!$A$42:$A$50,MATCH(AG_REQ!P130,INPUTS!$B$42:$B$50,1)+1))),IF(AG_REQ!P130&lt;=INDEX(INPUTS!$E$42:$E$50,1),INDEX(INPUTS!$D$42:$D$50,1),IF(AG_REQ!P130&gt;INDEX(INPUTS!$E$42:$E$50,ROWS(INPUTS!$E$42:$E$50)),"LARGER",INDEX(INPUTS!$D$42:$D$50,MATCH(AG_REQ!P130,INPUTS!$E$42:$E$50,1)+1)))))</f>
        <v/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4" t="str">
        <f aca="false">IF(TRIB!E131="","",IF(OR(ARCH!E131="",LEFT(ARCH!E131,3)="14x"),IF(AG_REQ!E131&lt;=INDEX(INPUTS!$B$42:$B$50,1),INDEX(INPUTS!$A$42:$A$50,1),IF(AG_REQ!E131&gt;INDEX(INPUTS!$B$42:$B$50,ROWS(INPUTS!$B$42:$B$50)),"LARGER",INDEX(INPUTS!$A$42:$A$50,MATCH(AG_REQ!E131,INPUTS!$B$42:$B$50,1)+1))),IF(AG_REQ!E131&lt;=INDEX(INPUTS!$E$42:$E$50,1),INDEX(INPUTS!$D$42:$D$50,1),IF(AG_REQ!E131&gt;INDEX(INPUTS!$E$42:$E$50,ROWS(INPUTS!$E$42:$E$50)),"LARGER",INDEX(INPUTS!$D$42:$D$50,MATCH(AG_REQ!E131,INPUTS!$E$42:$E$50,1)+1)))))</f>
        <v/>
      </c>
      <c r="F131" s="4" t="str">
        <f aca="false">IF(TRIB!F131="","",IF(OR(ARCH!F131="",LEFT(ARCH!F131,3)="14x"),IF(AG_REQ!F131&lt;=INDEX(INPUTS!$B$42:$B$50,1),INDEX(INPUTS!$A$42:$A$50,1),IF(AG_REQ!F131&gt;INDEX(INPUTS!$B$42:$B$50,ROWS(INPUTS!$B$42:$B$50)),"LARGER",INDEX(INPUTS!$A$42:$A$50,MATCH(AG_REQ!F131,INPUTS!$B$42:$B$50,1)+1))),IF(AG_REQ!F131&lt;=INDEX(INPUTS!$E$42:$E$50,1),INDEX(INPUTS!$D$42:$D$50,1),IF(AG_REQ!F131&gt;INDEX(INPUTS!$E$42:$E$50,ROWS(INPUTS!$E$42:$E$50)),"LARGER",INDEX(INPUTS!$D$42:$D$50,MATCH(AG_REQ!F131,INPUTS!$E$42:$E$50,1)+1)))))</f>
        <v/>
      </c>
      <c r="G131" s="4" t="str">
        <f aca="false">IF(TRIB!G131="","",IF(OR(ARCH!G131="",LEFT(ARCH!G131,3)="14x"),IF(AG_REQ!G131&lt;=INDEX(INPUTS!$B$42:$B$50,1),INDEX(INPUTS!$A$42:$A$50,1),IF(AG_REQ!G131&gt;INDEX(INPUTS!$B$42:$B$50,ROWS(INPUTS!$B$42:$B$50)),"LARGER",INDEX(INPUTS!$A$42:$A$50,MATCH(AG_REQ!G131,INPUTS!$B$42:$B$50,1)+1))),IF(AG_REQ!G131&lt;=INDEX(INPUTS!$E$42:$E$50,1),INDEX(INPUTS!$D$42:$D$50,1),IF(AG_REQ!G131&gt;INDEX(INPUTS!$E$42:$E$50,ROWS(INPUTS!$E$42:$E$50)),"LARGER",INDEX(INPUTS!$D$42:$D$50,MATCH(AG_REQ!G131,INPUTS!$E$42:$E$50,1)+1)))))</f>
        <v/>
      </c>
      <c r="H131" s="4" t="str">
        <f aca="false">IF(TRIB!H131="","",IF(OR(ARCH!H131="",LEFT(ARCH!H131,3)="14x"),IF(AG_REQ!H131&lt;=INDEX(INPUTS!$B$42:$B$50,1),INDEX(INPUTS!$A$42:$A$50,1),IF(AG_REQ!H131&gt;INDEX(INPUTS!$B$42:$B$50,ROWS(INPUTS!$B$42:$B$50)),"LARGER",INDEX(INPUTS!$A$42:$A$50,MATCH(AG_REQ!H131,INPUTS!$B$42:$B$50,1)+1))),IF(AG_REQ!H131&lt;=INDEX(INPUTS!$E$42:$E$50,1),INDEX(INPUTS!$D$42:$D$50,1),IF(AG_REQ!H131&gt;INDEX(INPUTS!$E$42:$E$50,ROWS(INPUTS!$E$42:$E$50)),"LARGER",INDEX(INPUTS!$D$42:$D$50,MATCH(AG_REQ!H131,INPUTS!$E$42:$E$50,1)+1)))))</f>
        <v/>
      </c>
      <c r="I131" s="4" t="str">
        <f aca="false">IF(TRIB!I131="","",IF(OR(ARCH!I131="",LEFT(ARCH!I131,3)="14x"),IF(AG_REQ!I131&lt;=INDEX(INPUTS!$B$42:$B$50,1),INDEX(INPUTS!$A$42:$A$50,1),IF(AG_REQ!I131&gt;INDEX(INPUTS!$B$42:$B$50,ROWS(INPUTS!$B$42:$B$50)),"LARGER",INDEX(INPUTS!$A$42:$A$50,MATCH(AG_REQ!I131,INPUTS!$B$42:$B$50,1)+1))),IF(AG_REQ!I131&lt;=INDEX(INPUTS!$E$42:$E$50,1),INDEX(INPUTS!$D$42:$D$50,1),IF(AG_REQ!I131&gt;INDEX(INPUTS!$E$42:$E$50,ROWS(INPUTS!$E$42:$E$50)),"LARGER",INDEX(INPUTS!$D$42:$D$50,MATCH(AG_REQ!I131,INPUTS!$E$42:$E$50,1)+1)))))</f>
        <v/>
      </c>
      <c r="J131" s="4" t="str">
        <f aca="false">IF(TRIB!J131="","",IF(OR(ARCH!J131="",LEFT(ARCH!J131,3)="14x"),IF(AG_REQ!J131&lt;=INDEX(INPUTS!$B$42:$B$50,1),INDEX(INPUTS!$A$42:$A$50,1),IF(AG_REQ!J131&gt;INDEX(INPUTS!$B$42:$B$50,ROWS(INPUTS!$B$42:$B$50)),"LARGER",INDEX(INPUTS!$A$42:$A$50,MATCH(AG_REQ!J131,INPUTS!$B$42:$B$50,1)+1))),IF(AG_REQ!J131&lt;=INDEX(INPUTS!$E$42:$E$50,1),INDEX(INPUTS!$D$42:$D$50,1),IF(AG_REQ!J131&gt;INDEX(INPUTS!$E$42:$E$50,ROWS(INPUTS!$E$42:$E$50)),"LARGER",INDEX(INPUTS!$D$42:$D$50,MATCH(AG_REQ!J131,INPUTS!$E$42:$E$50,1)+1)))))</f>
        <v>14x24</v>
      </c>
      <c r="K131" s="4" t="str">
        <f aca="false">IF(TRIB!K131="","",IF(OR(ARCH!K131="",LEFT(ARCH!K131,3)="14x"),IF(AG_REQ!K131&lt;=INDEX(INPUTS!$B$42:$B$50,1),INDEX(INPUTS!$A$42:$A$50,1),IF(AG_REQ!K131&gt;INDEX(INPUTS!$B$42:$B$50,ROWS(INPUTS!$B$42:$B$50)),"LARGER",INDEX(INPUTS!$A$42:$A$50,MATCH(AG_REQ!K131,INPUTS!$B$42:$B$50,1)+1))),IF(AG_REQ!K131&lt;=INDEX(INPUTS!$E$42:$E$50,1),INDEX(INPUTS!$D$42:$D$50,1),IF(AG_REQ!K131&gt;INDEX(INPUTS!$E$42:$E$50,ROWS(INPUTS!$E$42:$E$50)),"LARGER",INDEX(INPUTS!$D$42:$D$50,MATCH(AG_REQ!K131,INPUTS!$E$42:$E$50,1)+1)))))</f>
        <v/>
      </c>
      <c r="L131" s="4" t="str">
        <f aca="false">IF(TRIB!L131="","",IF(OR(ARCH!L131="",LEFT(ARCH!L131,3)="14x"),IF(AG_REQ!L131&lt;=INDEX(INPUTS!$B$42:$B$50,1),INDEX(INPUTS!$A$42:$A$50,1),IF(AG_REQ!L131&gt;INDEX(INPUTS!$B$42:$B$50,ROWS(INPUTS!$B$42:$B$50)),"LARGER",INDEX(INPUTS!$A$42:$A$50,MATCH(AG_REQ!L131,INPUTS!$B$42:$B$50,1)+1))),IF(AG_REQ!L131&lt;=INDEX(INPUTS!$E$42:$E$50,1),INDEX(INPUTS!$D$42:$D$50,1),IF(AG_REQ!L131&gt;INDEX(INPUTS!$E$42:$E$50,ROWS(INPUTS!$E$42:$E$50)),"LARGER",INDEX(INPUTS!$D$42:$D$50,MATCH(AG_REQ!L131,INPUTS!$E$42:$E$50,1)+1)))))</f>
        <v/>
      </c>
      <c r="M131" s="4" t="str">
        <f aca="false">IF(TRIB!M131="","",IF(OR(ARCH!M131="",LEFT(ARCH!M131,3)="14x"),IF(AG_REQ!M131&lt;=INDEX(INPUTS!$B$42:$B$50,1),INDEX(INPUTS!$A$42:$A$50,1),IF(AG_REQ!M131&gt;INDEX(INPUTS!$B$42:$B$50,ROWS(INPUTS!$B$42:$B$50)),"LARGER",INDEX(INPUTS!$A$42:$A$50,MATCH(AG_REQ!M131,INPUTS!$B$42:$B$50,1)+1))),IF(AG_REQ!M131&lt;=INDEX(INPUTS!$E$42:$E$50,1),INDEX(INPUTS!$D$42:$D$50,1),IF(AG_REQ!M131&gt;INDEX(INPUTS!$E$42:$E$50,ROWS(INPUTS!$E$42:$E$50)),"LARGER",INDEX(INPUTS!$D$42:$D$50,MATCH(AG_REQ!M131,INPUTS!$E$42:$E$50,1)+1)))))</f>
        <v/>
      </c>
      <c r="N131" s="4" t="str">
        <f aca="false">IF(TRIB!N131="","",IF(OR(ARCH!N131="",LEFT(ARCH!N131,3)="14x"),IF(AG_REQ!N131&lt;=INDEX(INPUTS!$B$42:$B$50,1),INDEX(INPUTS!$A$42:$A$50,1),IF(AG_REQ!N131&gt;INDEX(INPUTS!$B$42:$B$50,ROWS(INPUTS!$B$42:$B$50)),"LARGER",INDEX(INPUTS!$A$42:$A$50,MATCH(AG_REQ!N131,INPUTS!$B$42:$B$50,1)+1))),IF(AG_REQ!N131&lt;=INDEX(INPUTS!$E$42:$E$50,1),INDEX(INPUTS!$D$42:$D$50,1),IF(AG_REQ!N131&gt;INDEX(INPUTS!$E$42:$E$50,ROWS(INPUTS!$E$42:$E$50)),"LARGER",INDEX(INPUTS!$D$42:$D$50,MATCH(AG_REQ!N131,INPUTS!$E$42:$E$50,1)+1)))))</f>
        <v/>
      </c>
      <c r="O131" s="4" t="str">
        <f aca="false">IF(TRIB!O131="","",IF(OR(ARCH!O131="",LEFT(ARCH!O131,3)="14x"),IF(AG_REQ!O131&lt;=INDEX(INPUTS!$B$42:$B$50,1),INDEX(INPUTS!$A$42:$A$50,1),IF(AG_REQ!O131&gt;INDEX(INPUTS!$B$42:$B$50,ROWS(INPUTS!$B$42:$B$50)),"LARGER",INDEX(INPUTS!$A$42:$A$50,MATCH(AG_REQ!O131,INPUTS!$B$42:$B$50,1)+1))),IF(AG_REQ!O131&lt;=INDEX(INPUTS!$E$42:$E$50,1),INDEX(INPUTS!$D$42:$D$50,1),IF(AG_REQ!O131&gt;INDEX(INPUTS!$E$42:$E$50,ROWS(INPUTS!$E$42:$E$50)),"LARGER",INDEX(INPUTS!$D$42:$D$50,MATCH(AG_REQ!O131,INPUTS!$E$42:$E$50,1)+1)))))</f>
        <v/>
      </c>
      <c r="P131" s="4" t="str">
        <f aca="false">IF(TRIB!P131="","",IF(OR(ARCH!P131="",LEFT(ARCH!P131,3)="14x"),IF(AG_REQ!P131&lt;=INDEX(INPUTS!$B$42:$B$50,1),INDEX(INPUTS!$A$42:$A$50,1),IF(AG_REQ!P131&gt;INDEX(INPUTS!$B$42:$B$50,ROWS(INPUTS!$B$42:$B$50)),"LARGER",INDEX(INPUTS!$A$42:$A$50,MATCH(AG_REQ!P131,INPUTS!$B$42:$B$50,1)+1))),IF(AG_REQ!P131&lt;=INDEX(INPUTS!$E$42:$E$50,1),INDEX(INPUTS!$D$42:$D$50,1),IF(AG_REQ!P131&gt;INDEX(INPUTS!$E$42:$E$50,ROWS(INPUTS!$E$42:$E$50)),"LARGER",INDEX(INPUTS!$D$42:$D$50,MATCH(AG_REQ!P131,INPUTS!$E$42:$E$50,1)+1)))))</f>
        <v/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4" t="str">
        <f aca="false">IF(TRIB!E132="","",IF(OR(ARCH!E132="",LEFT(ARCH!E132,3)="14x"),IF(AG_REQ!E132&lt;=INDEX(INPUTS!$B$42:$B$50,1),INDEX(INPUTS!$A$42:$A$50,1),IF(AG_REQ!E132&gt;INDEX(INPUTS!$B$42:$B$50,ROWS(INPUTS!$B$42:$B$50)),"LARGER",INDEX(INPUTS!$A$42:$A$50,MATCH(AG_REQ!E132,INPUTS!$B$42:$B$50,1)+1))),IF(AG_REQ!E132&lt;=INDEX(INPUTS!$E$42:$E$50,1),INDEX(INPUTS!$D$42:$D$50,1),IF(AG_REQ!E132&gt;INDEX(INPUTS!$E$42:$E$50,ROWS(INPUTS!$E$42:$E$50)),"LARGER",INDEX(INPUTS!$D$42:$D$50,MATCH(AG_REQ!E132,INPUTS!$E$42:$E$50,1)+1)))))</f>
        <v/>
      </c>
      <c r="F132" s="4" t="str">
        <f aca="false">IF(TRIB!F132="","",IF(OR(ARCH!F132="",LEFT(ARCH!F132,3)="14x"),IF(AG_REQ!F132&lt;=INDEX(INPUTS!$B$42:$B$50,1),INDEX(INPUTS!$A$42:$A$50,1),IF(AG_REQ!F132&gt;INDEX(INPUTS!$B$42:$B$50,ROWS(INPUTS!$B$42:$B$50)),"LARGER",INDEX(INPUTS!$A$42:$A$50,MATCH(AG_REQ!F132,INPUTS!$B$42:$B$50,1)+1))),IF(AG_REQ!F132&lt;=INDEX(INPUTS!$E$42:$E$50,1),INDEX(INPUTS!$D$42:$D$50,1),IF(AG_REQ!F132&gt;INDEX(INPUTS!$E$42:$E$50,ROWS(INPUTS!$E$42:$E$50)),"LARGER",INDEX(INPUTS!$D$42:$D$50,MATCH(AG_REQ!F132,INPUTS!$E$42:$E$50,1)+1)))))</f>
        <v/>
      </c>
      <c r="G132" s="4" t="str">
        <f aca="false">IF(TRIB!G132="","",IF(OR(ARCH!G132="",LEFT(ARCH!G132,3)="14x"),IF(AG_REQ!G132&lt;=INDEX(INPUTS!$B$42:$B$50,1),INDEX(INPUTS!$A$42:$A$50,1),IF(AG_REQ!G132&gt;INDEX(INPUTS!$B$42:$B$50,ROWS(INPUTS!$B$42:$B$50)),"LARGER",INDEX(INPUTS!$A$42:$A$50,MATCH(AG_REQ!G132,INPUTS!$B$42:$B$50,1)+1))),IF(AG_REQ!G132&lt;=INDEX(INPUTS!$E$42:$E$50,1),INDEX(INPUTS!$D$42:$D$50,1),IF(AG_REQ!G132&gt;INDEX(INPUTS!$E$42:$E$50,ROWS(INPUTS!$E$42:$E$50)),"LARGER",INDEX(INPUTS!$D$42:$D$50,MATCH(AG_REQ!G132,INPUTS!$E$42:$E$50,1)+1)))))</f>
        <v/>
      </c>
      <c r="H132" s="4" t="str">
        <f aca="false">IF(TRIB!H132="","",IF(OR(ARCH!H132="",LEFT(ARCH!H132,3)="14x"),IF(AG_REQ!H132&lt;=INDEX(INPUTS!$B$42:$B$50,1),INDEX(INPUTS!$A$42:$A$50,1),IF(AG_REQ!H132&gt;INDEX(INPUTS!$B$42:$B$50,ROWS(INPUTS!$B$42:$B$50)),"LARGER",INDEX(INPUTS!$A$42:$A$50,MATCH(AG_REQ!H132,INPUTS!$B$42:$B$50,1)+1))),IF(AG_REQ!H132&lt;=INDEX(INPUTS!$E$42:$E$50,1),INDEX(INPUTS!$D$42:$D$50,1),IF(AG_REQ!H132&gt;INDEX(INPUTS!$E$42:$E$50,ROWS(INPUTS!$E$42:$E$50)),"LARGER",INDEX(INPUTS!$D$42:$D$50,MATCH(AG_REQ!H132,INPUTS!$E$42:$E$50,1)+1)))))</f>
        <v/>
      </c>
      <c r="I132" s="4" t="str">
        <f aca="false">IF(TRIB!I132="","",IF(OR(ARCH!I132="",LEFT(ARCH!I132,3)="14x"),IF(AG_REQ!I132&lt;=INDEX(INPUTS!$B$42:$B$50,1),INDEX(INPUTS!$A$42:$A$50,1),IF(AG_REQ!I132&gt;INDEX(INPUTS!$B$42:$B$50,ROWS(INPUTS!$B$42:$B$50)),"LARGER",INDEX(INPUTS!$A$42:$A$50,MATCH(AG_REQ!I132,INPUTS!$B$42:$B$50,1)+1))),IF(AG_REQ!I132&lt;=INDEX(INPUTS!$E$42:$E$50,1),INDEX(INPUTS!$D$42:$D$50,1),IF(AG_REQ!I132&gt;INDEX(INPUTS!$E$42:$E$50,ROWS(INPUTS!$E$42:$E$50)),"LARGER",INDEX(INPUTS!$D$42:$D$50,MATCH(AG_REQ!I132,INPUTS!$E$42:$E$50,1)+1)))))</f>
        <v/>
      </c>
      <c r="J132" s="4" t="str">
        <f aca="false">IF(TRIB!J132="","",IF(OR(ARCH!J132="",LEFT(ARCH!J132,3)="14x"),IF(AG_REQ!J132&lt;=INDEX(INPUTS!$B$42:$B$50,1),INDEX(INPUTS!$A$42:$A$50,1),IF(AG_REQ!J132&gt;INDEX(INPUTS!$B$42:$B$50,ROWS(INPUTS!$B$42:$B$50)),"LARGER",INDEX(INPUTS!$A$42:$A$50,MATCH(AG_REQ!J132,INPUTS!$B$42:$B$50,1)+1))),IF(AG_REQ!J132&lt;=INDEX(INPUTS!$E$42:$E$50,1),INDEX(INPUTS!$D$42:$D$50,1),IF(AG_REQ!J132&gt;INDEX(INPUTS!$E$42:$E$50,ROWS(INPUTS!$E$42:$E$50)),"LARGER",INDEX(INPUTS!$D$42:$D$50,MATCH(AG_REQ!J132,INPUTS!$E$42:$E$50,1)+1)))))</f>
        <v>14x24</v>
      </c>
      <c r="K132" s="4" t="str">
        <f aca="false">IF(TRIB!K132="","",IF(OR(ARCH!K132="",LEFT(ARCH!K132,3)="14x"),IF(AG_REQ!K132&lt;=INDEX(INPUTS!$B$42:$B$50,1),INDEX(INPUTS!$A$42:$A$50,1),IF(AG_REQ!K132&gt;INDEX(INPUTS!$B$42:$B$50,ROWS(INPUTS!$B$42:$B$50)),"LARGER",INDEX(INPUTS!$A$42:$A$50,MATCH(AG_REQ!K132,INPUTS!$B$42:$B$50,1)+1))),IF(AG_REQ!K132&lt;=INDEX(INPUTS!$E$42:$E$50,1),INDEX(INPUTS!$D$42:$D$50,1),IF(AG_REQ!K132&gt;INDEX(INPUTS!$E$42:$E$50,ROWS(INPUTS!$E$42:$E$50)),"LARGER",INDEX(INPUTS!$D$42:$D$50,MATCH(AG_REQ!K132,INPUTS!$E$42:$E$50,1)+1)))))</f>
        <v/>
      </c>
      <c r="L132" s="4" t="str">
        <f aca="false">IF(TRIB!L132="","",IF(OR(ARCH!L132="",LEFT(ARCH!L132,3)="14x"),IF(AG_REQ!L132&lt;=INDEX(INPUTS!$B$42:$B$50,1),INDEX(INPUTS!$A$42:$A$50,1),IF(AG_REQ!L132&gt;INDEX(INPUTS!$B$42:$B$50,ROWS(INPUTS!$B$42:$B$50)),"LARGER",INDEX(INPUTS!$A$42:$A$50,MATCH(AG_REQ!L132,INPUTS!$B$42:$B$50,1)+1))),IF(AG_REQ!L132&lt;=INDEX(INPUTS!$E$42:$E$50,1),INDEX(INPUTS!$D$42:$D$50,1),IF(AG_REQ!L132&gt;INDEX(INPUTS!$E$42:$E$50,ROWS(INPUTS!$E$42:$E$50)),"LARGER",INDEX(INPUTS!$D$42:$D$50,MATCH(AG_REQ!L132,INPUTS!$E$42:$E$50,1)+1)))))</f>
        <v/>
      </c>
      <c r="M132" s="4" t="str">
        <f aca="false">IF(TRIB!M132="","",IF(OR(ARCH!M132="",LEFT(ARCH!M132,3)="14x"),IF(AG_REQ!M132&lt;=INDEX(INPUTS!$B$42:$B$50,1),INDEX(INPUTS!$A$42:$A$50,1),IF(AG_REQ!M132&gt;INDEX(INPUTS!$B$42:$B$50,ROWS(INPUTS!$B$42:$B$50)),"LARGER",INDEX(INPUTS!$A$42:$A$50,MATCH(AG_REQ!M132,INPUTS!$B$42:$B$50,1)+1))),IF(AG_REQ!M132&lt;=INDEX(INPUTS!$E$42:$E$50,1),INDEX(INPUTS!$D$42:$D$50,1),IF(AG_REQ!M132&gt;INDEX(INPUTS!$E$42:$E$50,ROWS(INPUTS!$E$42:$E$50)),"LARGER",INDEX(INPUTS!$D$42:$D$50,MATCH(AG_REQ!M132,INPUTS!$E$42:$E$50,1)+1)))))</f>
        <v/>
      </c>
      <c r="N132" s="4" t="str">
        <f aca="false">IF(TRIB!N132="","",IF(OR(ARCH!N132="",LEFT(ARCH!N132,3)="14x"),IF(AG_REQ!N132&lt;=INDEX(INPUTS!$B$42:$B$50,1),INDEX(INPUTS!$A$42:$A$50,1),IF(AG_REQ!N132&gt;INDEX(INPUTS!$B$42:$B$50,ROWS(INPUTS!$B$42:$B$50)),"LARGER",INDEX(INPUTS!$A$42:$A$50,MATCH(AG_REQ!N132,INPUTS!$B$42:$B$50,1)+1))),IF(AG_REQ!N132&lt;=INDEX(INPUTS!$E$42:$E$50,1),INDEX(INPUTS!$D$42:$D$50,1),IF(AG_REQ!N132&gt;INDEX(INPUTS!$E$42:$E$50,ROWS(INPUTS!$E$42:$E$50)),"LARGER",INDEX(INPUTS!$D$42:$D$50,MATCH(AG_REQ!N132,INPUTS!$E$42:$E$50,1)+1)))))</f>
        <v/>
      </c>
      <c r="O132" s="4" t="str">
        <f aca="false">IF(TRIB!O132="","",IF(OR(ARCH!O132="",LEFT(ARCH!O132,3)="14x"),IF(AG_REQ!O132&lt;=INDEX(INPUTS!$B$42:$B$50,1),INDEX(INPUTS!$A$42:$A$50,1),IF(AG_REQ!O132&gt;INDEX(INPUTS!$B$42:$B$50,ROWS(INPUTS!$B$42:$B$50)),"LARGER",INDEX(INPUTS!$A$42:$A$50,MATCH(AG_REQ!O132,INPUTS!$B$42:$B$50,1)+1))),IF(AG_REQ!O132&lt;=INDEX(INPUTS!$E$42:$E$50,1),INDEX(INPUTS!$D$42:$D$50,1),IF(AG_REQ!O132&gt;INDEX(INPUTS!$E$42:$E$50,ROWS(INPUTS!$E$42:$E$50)),"LARGER",INDEX(INPUTS!$D$42:$D$50,MATCH(AG_REQ!O132,INPUTS!$E$42:$E$50,1)+1)))))</f>
        <v/>
      </c>
      <c r="P132" s="4" t="str">
        <f aca="false">IF(TRIB!P132="","",IF(OR(ARCH!P132="",LEFT(ARCH!P132,3)="14x"),IF(AG_REQ!P132&lt;=INDEX(INPUTS!$B$42:$B$50,1),INDEX(INPUTS!$A$42:$A$50,1),IF(AG_REQ!P132&gt;INDEX(INPUTS!$B$42:$B$50,ROWS(INPUTS!$B$42:$B$50)),"LARGER",INDEX(INPUTS!$A$42:$A$50,MATCH(AG_REQ!P132,INPUTS!$B$42:$B$50,1)+1))),IF(AG_REQ!P132&lt;=INDEX(INPUTS!$E$42:$E$50,1),INDEX(INPUTS!$D$42:$D$50,1),IF(AG_REQ!P132&gt;INDEX(INPUTS!$E$42:$E$50,ROWS(INPUTS!$E$42:$E$50)),"LARGER",INDEX(INPUTS!$D$42:$D$50,MATCH(AG_REQ!P132,INPUTS!$E$42:$E$50,1)+1)))))</f>
        <v/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4" t="str">
        <f aca="false">IF(TRIB!E133="","",IF(OR(ARCH!E133="",LEFT(ARCH!E133,3)="14x"),IF(AG_REQ!E133&lt;=INDEX(INPUTS!$B$42:$B$50,1),INDEX(INPUTS!$A$42:$A$50,1),IF(AG_REQ!E133&gt;INDEX(INPUTS!$B$42:$B$50,ROWS(INPUTS!$B$42:$B$50)),"LARGER",INDEX(INPUTS!$A$42:$A$50,MATCH(AG_REQ!E133,INPUTS!$B$42:$B$50,1)+1))),IF(AG_REQ!E133&lt;=INDEX(INPUTS!$E$42:$E$50,1),INDEX(INPUTS!$D$42:$D$50,1),IF(AG_REQ!E133&gt;INDEX(INPUTS!$E$42:$E$50,ROWS(INPUTS!$E$42:$E$50)),"LARGER",INDEX(INPUTS!$D$42:$D$50,MATCH(AG_REQ!E133,INPUTS!$E$42:$E$50,1)+1)))))</f>
        <v/>
      </c>
      <c r="F133" s="4" t="str">
        <f aca="false">IF(TRIB!F133="","",IF(OR(ARCH!F133="",LEFT(ARCH!F133,3)="14x"),IF(AG_REQ!F133&lt;=INDEX(INPUTS!$B$42:$B$50,1),INDEX(INPUTS!$A$42:$A$50,1),IF(AG_REQ!F133&gt;INDEX(INPUTS!$B$42:$B$50,ROWS(INPUTS!$B$42:$B$50)),"LARGER",INDEX(INPUTS!$A$42:$A$50,MATCH(AG_REQ!F133,INPUTS!$B$42:$B$50,1)+1))),IF(AG_REQ!F133&lt;=INDEX(INPUTS!$E$42:$E$50,1),INDEX(INPUTS!$D$42:$D$50,1),IF(AG_REQ!F133&gt;INDEX(INPUTS!$E$42:$E$50,ROWS(INPUTS!$E$42:$E$50)),"LARGER",INDEX(INPUTS!$D$42:$D$50,MATCH(AG_REQ!F133,INPUTS!$E$42:$E$50,1)+1)))))</f>
        <v/>
      </c>
      <c r="G133" s="4" t="str">
        <f aca="false">IF(TRIB!G133="","",IF(OR(ARCH!G133="",LEFT(ARCH!G133,3)="14x"),IF(AG_REQ!G133&lt;=INDEX(INPUTS!$B$42:$B$50,1),INDEX(INPUTS!$A$42:$A$50,1),IF(AG_REQ!G133&gt;INDEX(INPUTS!$B$42:$B$50,ROWS(INPUTS!$B$42:$B$50)),"LARGER",INDEX(INPUTS!$A$42:$A$50,MATCH(AG_REQ!G133,INPUTS!$B$42:$B$50,1)+1))),IF(AG_REQ!G133&lt;=INDEX(INPUTS!$E$42:$E$50,1),INDEX(INPUTS!$D$42:$D$50,1),IF(AG_REQ!G133&gt;INDEX(INPUTS!$E$42:$E$50,ROWS(INPUTS!$E$42:$E$50)),"LARGER",INDEX(INPUTS!$D$42:$D$50,MATCH(AG_REQ!G133,INPUTS!$E$42:$E$50,1)+1)))))</f>
        <v/>
      </c>
      <c r="H133" s="4" t="str">
        <f aca="false">IF(TRIB!H133="","",IF(OR(ARCH!H133="",LEFT(ARCH!H133,3)="14x"),IF(AG_REQ!H133&lt;=INDEX(INPUTS!$B$42:$B$50,1),INDEX(INPUTS!$A$42:$A$50,1),IF(AG_REQ!H133&gt;INDEX(INPUTS!$B$42:$B$50,ROWS(INPUTS!$B$42:$B$50)),"LARGER",INDEX(INPUTS!$A$42:$A$50,MATCH(AG_REQ!H133,INPUTS!$B$42:$B$50,1)+1))),IF(AG_REQ!H133&lt;=INDEX(INPUTS!$E$42:$E$50,1),INDEX(INPUTS!$D$42:$D$50,1),IF(AG_REQ!H133&gt;INDEX(INPUTS!$E$42:$E$50,ROWS(INPUTS!$E$42:$E$50)),"LARGER",INDEX(INPUTS!$D$42:$D$50,MATCH(AG_REQ!H133,INPUTS!$E$42:$E$50,1)+1)))))</f>
        <v/>
      </c>
      <c r="I133" s="4" t="str">
        <f aca="false">IF(TRIB!I133="","",IF(OR(ARCH!I133="",LEFT(ARCH!I133,3)="14x"),IF(AG_REQ!I133&lt;=INDEX(INPUTS!$B$42:$B$50,1),INDEX(INPUTS!$A$42:$A$50,1),IF(AG_REQ!I133&gt;INDEX(INPUTS!$B$42:$B$50,ROWS(INPUTS!$B$42:$B$50)),"LARGER",INDEX(INPUTS!$A$42:$A$50,MATCH(AG_REQ!I133,INPUTS!$B$42:$B$50,1)+1))),IF(AG_REQ!I133&lt;=INDEX(INPUTS!$E$42:$E$50,1),INDEX(INPUTS!$D$42:$D$50,1),IF(AG_REQ!I133&gt;INDEX(INPUTS!$E$42:$E$50,ROWS(INPUTS!$E$42:$E$50)),"LARGER",INDEX(INPUTS!$D$42:$D$50,MATCH(AG_REQ!I133,INPUTS!$E$42:$E$50,1)+1)))))</f>
        <v>14x24</v>
      </c>
      <c r="J133" s="4" t="str">
        <f aca="false">IF(TRIB!J133="","",IF(OR(ARCH!J133="",LEFT(ARCH!J133,3)="14x"),IF(AG_REQ!J133&lt;=INDEX(INPUTS!$B$42:$B$50,1),INDEX(INPUTS!$A$42:$A$50,1),IF(AG_REQ!J133&gt;INDEX(INPUTS!$B$42:$B$50,ROWS(INPUTS!$B$42:$B$50)),"LARGER",INDEX(INPUTS!$A$42:$A$50,MATCH(AG_REQ!J133,INPUTS!$B$42:$B$50,1)+1))),IF(AG_REQ!J133&lt;=INDEX(INPUTS!$E$42:$E$50,1),INDEX(INPUTS!$D$42:$D$50,1),IF(AG_REQ!J133&gt;INDEX(INPUTS!$E$42:$E$50,ROWS(INPUTS!$E$42:$E$50)),"LARGER",INDEX(INPUTS!$D$42:$D$50,MATCH(AG_REQ!J133,INPUTS!$E$42:$E$50,1)+1)))))</f>
        <v/>
      </c>
      <c r="K133" s="4" t="str">
        <f aca="false">IF(TRIB!K133="","",IF(OR(ARCH!K133="",LEFT(ARCH!K133,3)="14x"),IF(AG_REQ!K133&lt;=INDEX(INPUTS!$B$42:$B$50,1),INDEX(INPUTS!$A$42:$A$50,1),IF(AG_REQ!K133&gt;INDEX(INPUTS!$B$42:$B$50,ROWS(INPUTS!$B$42:$B$50)),"LARGER",INDEX(INPUTS!$A$42:$A$50,MATCH(AG_REQ!K133,INPUTS!$B$42:$B$50,1)+1))),IF(AG_REQ!K133&lt;=INDEX(INPUTS!$E$42:$E$50,1),INDEX(INPUTS!$D$42:$D$50,1),IF(AG_REQ!K133&gt;INDEX(INPUTS!$E$42:$E$50,ROWS(INPUTS!$E$42:$E$50)),"LARGER",INDEX(INPUTS!$D$42:$D$50,MATCH(AG_REQ!K133,INPUTS!$E$42:$E$50,1)+1)))))</f>
        <v/>
      </c>
      <c r="L133" s="4" t="str">
        <f aca="false">IF(TRIB!L133="","",IF(OR(ARCH!L133="",LEFT(ARCH!L133,3)="14x"),IF(AG_REQ!L133&lt;=INDEX(INPUTS!$B$42:$B$50,1),INDEX(INPUTS!$A$42:$A$50,1),IF(AG_REQ!L133&gt;INDEX(INPUTS!$B$42:$B$50,ROWS(INPUTS!$B$42:$B$50)),"LARGER",INDEX(INPUTS!$A$42:$A$50,MATCH(AG_REQ!L133,INPUTS!$B$42:$B$50,1)+1))),IF(AG_REQ!L133&lt;=INDEX(INPUTS!$E$42:$E$50,1),INDEX(INPUTS!$D$42:$D$50,1),IF(AG_REQ!L133&gt;INDEX(INPUTS!$E$42:$E$50,ROWS(INPUTS!$E$42:$E$50)),"LARGER",INDEX(INPUTS!$D$42:$D$50,MATCH(AG_REQ!L133,INPUTS!$E$42:$E$50,1)+1)))))</f>
        <v/>
      </c>
      <c r="M133" s="4" t="str">
        <f aca="false">IF(TRIB!M133="","",IF(OR(ARCH!M133="",LEFT(ARCH!M133,3)="14x"),IF(AG_REQ!M133&lt;=INDEX(INPUTS!$B$42:$B$50,1),INDEX(INPUTS!$A$42:$A$50,1),IF(AG_REQ!M133&gt;INDEX(INPUTS!$B$42:$B$50,ROWS(INPUTS!$B$42:$B$50)),"LARGER",INDEX(INPUTS!$A$42:$A$50,MATCH(AG_REQ!M133,INPUTS!$B$42:$B$50,1)+1))),IF(AG_REQ!M133&lt;=INDEX(INPUTS!$E$42:$E$50,1),INDEX(INPUTS!$D$42:$D$50,1),IF(AG_REQ!M133&gt;INDEX(INPUTS!$E$42:$E$50,ROWS(INPUTS!$E$42:$E$50)),"LARGER",INDEX(INPUTS!$D$42:$D$50,MATCH(AG_REQ!M133,INPUTS!$E$42:$E$50,1)+1)))))</f>
        <v/>
      </c>
      <c r="N133" s="4" t="str">
        <f aca="false">IF(TRIB!N133="","",IF(OR(ARCH!N133="",LEFT(ARCH!N133,3)="14x"),IF(AG_REQ!N133&lt;=INDEX(INPUTS!$B$42:$B$50,1),INDEX(INPUTS!$A$42:$A$50,1),IF(AG_REQ!N133&gt;INDEX(INPUTS!$B$42:$B$50,ROWS(INPUTS!$B$42:$B$50)),"LARGER",INDEX(INPUTS!$A$42:$A$50,MATCH(AG_REQ!N133,INPUTS!$B$42:$B$50,1)+1))),IF(AG_REQ!N133&lt;=INDEX(INPUTS!$E$42:$E$50,1),INDEX(INPUTS!$D$42:$D$50,1),IF(AG_REQ!N133&gt;INDEX(INPUTS!$E$42:$E$50,ROWS(INPUTS!$E$42:$E$50)),"LARGER",INDEX(INPUTS!$D$42:$D$50,MATCH(AG_REQ!N133,INPUTS!$E$42:$E$50,1)+1)))))</f>
        <v/>
      </c>
      <c r="O133" s="4" t="str">
        <f aca="false">IF(TRIB!O133="","",IF(OR(ARCH!O133="",LEFT(ARCH!O133,3)="14x"),IF(AG_REQ!O133&lt;=INDEX(INPUTS!$B$42:$B$50,1),INDEX(INPUTS!$A$42:$A$50,1),IF(AG_REQ!O133&gt;INDEX(INPUTS!$B$42:$B$50,ROWS(INPUTS!$B$42:$B$50)),"LARGER",INDEX(INPUTS!$A$42:$A$50,MATCH(AG_REQ!O133,INPUTS!$B$42:$B$50,1)+1))),IF(AG_REQ!O133&lt;=INDEX(INPUTS!$E$42:$E$50,1),INDEX(INPUTS!$D$42:$D$50,1),IF(AG_REQ!O133&gt;INDEX(INPUTS!$E$42:$E$50,ROWS(INPUTS!$E$42:$E$50)),"LARGER",INDEX(INPUTS!$D$42:$D$50,MATCH(AG_REQ!O133,INPUTS!$E$42:$E$50,1)+1)))))</f>
        <v/>
      </c>
      <c r="P133" s="4" t="str">
        <f aca="false">IF(TRIB!P133="","",IF(OR(ARCH!P133="",LEFT(ARCH!P133,3)="14x"),IF(AG_REQ!P133&lt;=INDEX(INPUTS!$B$42:$B$50,1),INDEX(INPUTS!$A$42:$A$50,1),IF(AG_REQ!P133&gt;INDEX(INPUTS!$B$42:$B$50,ROWS(INPUTS!$B$42:$B$50)),"LARGER",INDEX(INPUTS!$A$42:$A$50,MATCH(AG_REQ!P133,INPUTS!$B$42:$B$50,1)+1))),IF(AG_REQ!P133&lt;=INDEX(INPUTS!$E$42:$E$50,1),INDEX(INPUTS!$D$42:$D$50,1),IF(AG_REQ!P133&gt;INDEX(INPUTS!$E$42:$E$50,ROWS(INPUTS!$E$42:$E$50)),"LARGER",INDEX(INPUTS!$D$42:$D$50,MATCH(AG_REQ!P133,INPUTS!$E$42:$E$50,1)+1)))))</f>
        <v/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4" t="str">
        <f aca="false">IF(TRIB!E134="","",IF(OR(ARCH!E134="",LEFT(ARCH!E134,3)="14x"),IF(AG_REQ!E134&lt;=INDEX(INPUTS!$B$42:$B$50,1),INDEX(INPUTS!$A$42:$A$50,1),IF(AG_REQ!E134&gt;INDEX(INPUTS!$B$42:$B$50,ROWS(INPUTS!$B$42:$B$50)),"LARGER",INDEX(INPUTS!$A$42:$A$50,MATCH(AG_REQ!E134,INPUTS!$B$42:$B$50,1)+1))),IF(AG_REQ!E134&lt;=INDEX(INPUTS!$E$42:$E$50,1),INDEX(INPUTS!$D$42:$D$50,1),IF(AG_REQ!E134&gt;INDEX(INPUTS!$E$42:$E$50,ROWS(INPUTS!$E$42:$E$50)),"LARGER",INDEX(INPUTS!$D$42:$D$50,MATCH(AG_REQ!E134,INPUTS!$E$42:$E$50,1)+1)))))</f>
        <v/>
      </c>
      <c r="F134" s="4" t="str">
        <f aca="false">IF(TRIB!F134="","",IF(OR(ARCH!F134="",LEFT(ARCH!F134,3)="14x"),IF(AG_REQ!F134&lt;=INDEX(INPUTS!$B$42:$B$50,1),INDEX(INPUTS!$A$42:$A$50,1),IF(AG_REQ!F134&gt;INDEX(INPUTS!$B$42:$B$50,ROWS(INPUTS!$B$42:$B$50)),"LARGER",INDEX(INPUTS!$A$42:$A$50,MATCH(AG_REQ!F134,INPUTS!$B$42:$B$50,1)+1))),IF(AG_REQ!F134&lt;=INDEX(INPUTS!$E$42:$E$50,1),INDEX(INPUTS!$D$42:$D$50,1),IF(AG_REQ!F134&gt;INDEX(INPUTS!$E$42:$E$50,ROWS(INPUTS!$E$42:$E$50)),"LARGER",INDEX(INPUTS!$D$42:$D$50,MATCH(AG_REQ!F134,INPUTS!$E$42:$E$50,1)+1)))))</f>
        <v/>
      </c>
      <c r="G134" s="4" t="str">
        <f aca="false">IF(TRIB!G134="","",IF(OR(ARCH!G134="",LEFT(ARCH!G134,3)="14x"),IF(AG_REQ!G134&lt;=INDEX(INPUTS!$B$42:$B$50,1),INDEX(INPUTS!$A$42:$A$50,1),IF(AG_REQ!G134&gt;INDEX(INPUTS!$B$42:$B$50,ROWS(INPUTS!$B$42:$B$50)),"LARGER",INDEX(INPUTS!$A$42:$A$50,MATCH(AG_REQ!G134,INPUTS!$B$42:$B$50,1)+1))),IF(AG_REQ!G134&lt;=INDEX(INPUTS!$E$42:$E$50,1),INDEX(INPUTS!$D$42:$D$50,1),IF(AG_REQ!G134&gt;INDEX(INPUTS!$E$42:$E$50,ROWS(INPUTS!$E$42:$E$50)),"LARGER",INDEX(INPUTS!$D$42:$D$50,MATCH(AG_REQ!G134,INPUTS!$E$42:$E$50,1)+1)))))</f>
        <v/>
      </c>
      <c r="H134" s="4" t="str">
        <f aca="false">IF(TRIB!H134="","",IF(OR(ARCH!H134="",LEFT(ARCH!H134,3)="14x"),IF(AG_REQ!H134&lt;=INDEX(INPUTS!$B$42:$B$50,1),INDEX(INPUTS!$A$42:$A$50,1),IF(AG_REQ!H134&gt;INDEX(INPUTS!$B$42:$B$50,ROWS(INPUTS!$B$42:$B$50)),"LARGER",INDEX(INPUTS!$A$42:$A$50,MATCH(AG_REQ!H134,INPUTS!$B$42:$B$50,1)+1))),IF(AG_REQ!H134&lt;=INDEX(INPUTS!$E$42:$E$50,1),INDEX(INPUTS!$D$42:$D$50,1),IF(AG_REQ!H134&gt;INDEX(INPUTS!$E$42:$E$50,ROWS(INPUTS!$E$42:$E$50)),"LARGER",INDEX(INPUTS!$D$42:$D$50,MATCH(AG_REQ!H134,INPUTS!$E$42:$E$50,1)+1)))))</f>
        <v/>
      </c>
      <c r="I134" s="4" t="str">
        <f aca="false">IF(TRIB!I134="","",IF(OR(ARCH!I134="",LEFT(ARCH!I134,3)="14x"),IF(AG_REQ!I134&lt;=INDEX(INPUTS!$B$42:$B$50,1),INDEX(INPUTS!$A$42:$A$50,1),IF(AG_REQ!I134&gt;INDEX(INPUTS!$B$42:$B$50,ROWS(INPUTS!$B$42:$B$50)),"LARGER",INDEX(INPUTS!$A$42:$A$50,MATCH(AG_REQ!I134,INPUTS!$B$42:$B$50,1)+1))),IF(AG_REQ!I134&lt;=INDEX(INPUTS!$E$42:$E$50,1),INDEX(INPUTS!$D$42:$D$50,1),IF(AG_REQ!I134&gt;INDEX(INPUTS!$E$42:$E$50,ROWS(INPUTS!$E$42:$E$50)),"LARGER",INDEX(INPUTS!$D$42:$D$50,MATCH(AG_REQ!I134,INPUTS!$E$42:$E$50,1)+1)))))</f>
        <v>14x24</v>
      </c>
      <c r="J134" s="4" t="str">
        <f aca="false">IF(TRIB!J134="","",IF(OR(ARCH!J134="",LEFT(ARCH!J134,3)="14x"),IF(AG_REQ!J134&lt;=INDEX(INPUTS!$B$42:$B$50,1),INDEX(INPUTS!$A$42:$A$50,1),IF(AG_REQ!J134&gt;INDEX(INPUTS!$B$42:$B$50,ROWS(INPUTS!$B$42:$B$50)),"LARGER",INDEX(INPUTS!$A$42:$A$50,MATCH(AG_REQ!J134,INPUTS!$B$42:$B$50,1)+1))),IF(AG_REQ!J134&lt;=INDEX(INPUTS!$E$42:$E$50,1),INDEX(INPUTS!$D$42:$D$50,1),IF(AG_REQ!J134&gt;INDEX(INPUTS!$E$42:$E$50,ROWS(INPUTS!$E$42:$E$50)),"LARGER",INDEX(INPUTS!$D$42:$D$50,MATCH(AG_REQ!J134,INPUTS!$E$42:$E$50,1)+1)))))</f>
        <v/>
      </c>
      <c r="K134" s="4" t="str">
        <f aca="false">IF(TRIB!K134="","",IF(OR(ARCH!K134="",LEFT(ARCH!K134,3)="14x"),IF(AG_REQ!K134&lt;=INDEX(INPUTS!$B$42:$B$50,1),INDEX(INPUTS!$A$42:$A$50,1),IF(AG_REQ!K134&gt;INDEX(INPUTS!$B$42:$B$50,ROWS(INPUTS!$B$42:$B$50)),"LARGER",INDEX(INPUTS!$A$42:$A$50,MATCH(AG_REQ!K134,INPUTS!$B$42:$B$50,1)+1))),IF(AG_REQ!K134&lt;=INDEX(INPUTS!$E$42:$E$50,1),INDEX(INPUTS!$D$42:$D$50,1),IF(AG_REQ!K134&gt;INDEX(INPUTS!$E$42:$E$50,ROWS(INPUTS!$E$42:$E$50)),"LARGER",INDEX(INPUTS!$D$42:$D$50,MATCH(AG_REQ!K134,INPUTS!$E$42:$E$50,1)+1)))))</f>
        <v/>
      </c>
      <c r="L134" s="4" t="str">
        <f aca="false">IF(TRIB!L134="","",IF(OR(ARCH!L134="",LEFT(ARCH!L134,3)="14x"),IF(AG_REQ!L134&lt;=INDEX(INPUTS!$B$42:$B$50,1),INDEX(INPUTS!$A$42:$A$50,1),IF(AG_REQ!L134&gt;INDEX(INPUTS!$B$42:$B$50,ROWS(INPUTS!$B$42:$B$50)),"LARGER",INDEX(INPUTS!$A$42:$A$50,MATCH(AG_REQ!L134,INPUTS!$B$42:$B$50,1)+1))),IF(AG_REQ!L134&lt;=INDEX(INPUTS!$E$42:$E$50,1),INDEX(INPUTS!$D$42:$D$50,1),IF(AG_REQ!L134&gt;INDEX(INPUTS!$E$42:$E$50,ROWS(INPUTS!$E$42:$E$50)),"LARGER",INDEX(INPUTS!$D$42:$D$50,MATCH(AG_REQ!L134,INPUTS!$E$42:$E$50,1)+1)))))</f>
        <v/>
      </c>
      <c r="M134" s="4" t="str">
        <f aca="false">IF(TRIB!M134="","",IF(OR(ARCH!M134="",LEFT(ARCH!M134,3)="14x"),IF(AG_REQ!M134&lt;=INDEX(INPUTS!$B$42:$B$50,1),INDEX(INPUTS!$A$42:$A$50,1),IF(AG_REQ!M134&gt;INDEX(INPUTS!$B$42:$B$50,ROWS(INPUTS!$B$42:$B$50)),"LARGER",INDEX(INPUTS!$A$42:$A$50,MATCH(AG_REQ!M134,INPUTS!$B$42:$B$50,1)+1))),IF(AG_REQ!M134&lt;=INDEX(INPUTS!$E$42:$E$50,1),INDEX(INPUTS!$D$42:$D$50,1),IF(AG_REQ!M134&gt;INDEX(INPUTS!$E$42:$E$50,ROWS(INPUTS!$E$42:$E$50)),"LARGER",INDEX(INPUTS!$D$42:$D$50,MATCH(AG_REQ!M134,INPUTS!$E$42:$E$50,1)+1)))))</f>
        <v/>
      </c>
      <c r="N134" s="4" t="str">
        <f aca="false">IF(TRIB!N134="","",IF(OR(ARCH!N134="",LEFT(ARCH!N134,3)="14x"),IF(AG_REQ!N134&lt;=INDEX(INPUTS!$B$42:$B$50,1),INDEX(INPUTS!$A$42:$A$50,1),IF(AG_REQ!N134&gt;INDEX(INPUTS!$B$42:$B$50,ROWS(INPUTS!$B$42:$B$50)),"LARGER",INDEX(INPUTS!$A$42:$A$50,MATCH(AG_REQ!N134,INPUTS!$B$42:$B$50,1)+1))),IF(AG_REQ!N134&lt;=INDEX(INPUTS!$E$42:$E$50,1),INDEX(INPUTS!$D$42:$D$50,1),IF(AG_REQ!N134&gt;INDEX(INPUTS!$E$42:$E$50,ROWS(INPUTS!$E$42:$E$50)),"LARGER",INDEX(INPUTS!$D$42:$D$50,MATCH(AG_REQ!N134,INPUTS!$E$42:$E$50,1)+1)))))</f>
        <v/>
      </c>
      <c r="O134" s="4" t="str">
        <f aca="false">IF(TRIB!O134="","",IF(OR(ARCH!O134="",LEFT(ARCH!O134,3)="14x"),IF(AG_REQ!O134&lt;=INDEX(INPUTS!$B$42:$B$50,1),INDEX(INPUTS!$A$42:$A$50,1),IF(AG_REQ!O134&gt;INDEX(INPUTS!$B$42:$B$50,ROWS(INPUTS!$B$42:$B$50)),"LARGER",INDEX(INPUTS!$A$42:$A$50,MATCH(AG_REQ!O134,INPUTS!$B$42:$B$50,1)+1))),IF(AG_REQ!O134&lt;=INDEX(INPUTS!$E$42:$E$50,1),INDEX(INPUTS!$D$42:$D$50,1),IF(AG_REQ!O134&gt;INDEX(INPUTS!$E$42:$E$50,ROWS(INPUTS!$E$42:$E$50)),"LARGER",INDEX(INPUTS!$D$42:$D$50,MATCH(AG_REQ!O134,INPUTS!$E$42:$E$50,1)+1)))))</f>
        <v/>
      </c>
      <c r="P134" s="4" t="str">
        <f aca="false">IF(TRIB!P134="","",IF(OR(ARCH!P134="",LEFT(ARCH!P134,3)="14x"),IF(AG_REQ!P134&lt;=INDEX(INPUTS!$B$42:$B$50,1),INDEX(INPUTS!$A$42:$A$50,1),IF(AG_REQ!P134&gt;INDEX(INPUTS!$B$42:$B$50,ROWS(INPUTS!$B$42:$B$50)),"LARGER",INDEX(INPUTS!$A$42:$A$50,MATCH(AG_REQ!P134,INPUTS!$B$42:$B$50,1)+1))),IF(AG_REQ!P134&lt;=INDEX(INPUTS!$E$42:$E$50,1),INDEX(INPUTS!$D$42:$D$50,1),IF(AG_REQ!P134&gt;INDEX(INPUTS!$E$42:$E$50,ROWS(INPUTS!$E$42:$E$50)),"LARGER",INDEX(INPUTS!$D$42:$D$50,MATCH(AG_REQ!P134,INPUTS!$E$42:$E$50,1)+1)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8"/>
    <col collapsed="false" customWidth="true" hidden="false" outlineLevel="0" max="16" min="5" style="0" width="9"/>
  </cols>
  <sheetData>
    <row r="1" customFormat="false" ht="15" hidden="false" customHeight="false" outlineLevel="0" collapsed="false">
      <c r="A1" s="7" t="s">
        <v>98</v>
      </c>
      <c r="B1" s="7" t="s">
        <v>122</v>
      </c>
      <c r="C1" s="7" t="s">
        <v>123</v>
      </c>
      <c r="D1" s="7" t="s">
        <v>99</v>
      </c>
      <c r="E1" s="7" t="s">
        <v>43</v>
      </c>
      <c r="F1" s="7" t="s">
        <v>44</v>
      </c>
      <c r="G1" s="7" t="s">
        <v>51</v>
      </c>
      <c r="H1" s="7" t="s">
        <v>55</v>
      </c>
      <c r="I1" s="7" t="s">
        <v>58</v>
      </c>
      <c r="J1" s="7" t="s">
        <v>59</v>
      </c>
      <c r="K1" s="7" t="s">
        <v>60</v>
      </c>
      <c r="L1" s="7" t="s">
        <v>62</v>
      </c>
      <c r="M1" s="7" t="s">
        <v>63</v>
      </c>
      <c r="N1" s="7" t="s">
        <v>64</v>
      </c>
      <c r="O1" s="7" t="s">
        <v>66</v>
      </c>
      <c r="P1" s="7" t="s">
        <v>67</v>
      </c>
      <c r="R1" s="2" t="s">
        <v>273</v>
      </c>
    </row>
    <row r="2" customFormat="false" ht="15" hidden="false" customHeight="false" outlineLevel="0" collapsed="false">
      <c r="A2" s="11" t="str">
        <f aca="false">TRIB!A2</f>
        <v>C1</v>
      </c>
      <c r="B2" s="14" t="n">
        <f aca="false">TRIB!B2</f>
        <v>283.700520638876</v>
      </c>
      <c r="C2" s="14" t="n">
        <f aca="false">TRIB!C2</f>
        <v>569.166970355175</v>
      </c>
      <c r="D2" s="11" t="str">
        <f aca="false">TRIB!D2</f>
        <v>A</v>
      </c>
      <c r="E2" s="4" t="str">
        <f aca="false">IF(RHO_ARCH!E2="","",IF(RHO_ARCH!E2&gt;INPUTS!$B$10,"NG",IF(RHO_ARCH!E2&gt;INPUTS!$B$9,"HEAVY","OK")))</f>
        <v/>
      </c>
      <c r="F2" s="4" t="str">
        <f aca="false">IF(RHO_ARCH!F2="","",IF(RHO_ARCH!F2&gt;INPUTS!$B$10,"NG",IF(RHO_ARCH!F2&gt;INPUTS!$B$9,"HEAVY","OK")))</f>
        <v>OK</v>
      </c>
      <c r="G2" s="4" t="str">
        <f aca="false">IF(RHO_ARCH!G2="","",IF(RHO_ARCH!G2&gt;INPUTS!$B$10,"NG",IF(RHO_ARCH!G2&gt;INPUTS!$B$9,"HEAVY","OK")))</f>
        <v>OK</v>
      </c>
      <c r="H2" s="4" t="str">
        <f aca="false">IF(RHO_ARCH!H2="","",IF(RHO_ARCH!H2&gt;INPUTS!$B$10,"NG",IF(RHO_ARCH!H2&gt;INPUTS!$B$9,"HEAVY","OK")))</f>
        <v>OK</v>
      </c>
      <c r="I2" s="4" t="str">
        <f aca="false">IF(RHO_ARCH!I2="","",IF(RHO_ARCH!I2&gt;INPUTS!$B$10,"NG",IF(RHO_ARCH!I2&gt;INPUTS!$B$9,"HEAVY","OK")))</f>
        <v>OK</v>
      </c>
      <c r="J2" s="4" t="str">
        <f aca="false">IF(RHO_ARCH!J2="","",IF(RHO_ARCH!J2&gt;INPUTS!$B$10,"NG",IF(RHO_ARCH!J2&gt;INPUTS!$B$9,"HEAVY","OK")))</f>
        <v>OK</v>
      </c>
      <c r="K2" s="4" t="str">
        <f aca="false">IF(RHO_ARCH!K2="","",IF(RHO_ARCH!K2&gt;INPUTS!$B$10,"NG",IF(RHO_ARCH!K2&gt;INPUTS!$B$9,"HEAVY","OK")))</f>
        <v>OK</v>
      </c>
      <c r="L2" s="4" t="str">
        <f aca="false">IF(RHO_ARCH!L2="","",IF(RHO_ARCH!L2&gt;INPUTS!$B$10,"NG",IF(RHO_ARCH!L2&gt;INPUTS!$B$9,"HEAVY","OK")))</f>
        <v>OK</v>
      </c>
      <c r="M2" s="4" t="str">
        <f aca="false">IF(RHO_ARCH!M2="","",IF(RHO_ARCH!M2&gt;INPUTS!$B$10,"NG",IF(RHO_ARCH!M2&gt;INPUTS!$B$9,"HEAVY","OK")))</f>
        <v>OK</v>
      </c>
      <c r="N2" s="4" t="str">
        <f aca="false">IF(RHO_ARCH!N2="","",IF(RHO_ARCH!N2&gt;INPUTS!$B$10,"NG",IF(RHO_ARCH!N2&gt;INPUTS!$B$9,"HEAVY","OK")))</f>
        <v>OK</v>
      </c>
      <c r="O2" s="4" t="str">
        <f aca="false">IF(RHO_ARCH!O2="","",IF(RHO_ARCH!O2&gt;INPUTS!$B$10,"NG",IF(RHO_ARCH!O2&gt;INPUTS!$B$9,"HEAVY","OK")))</f>
        <v>OK</v>
      </c>
      <c r="P2" s="4" t="str">
        <f aca="false">IF(RHO_ARCH!P2="","",IF(RHO_ARCH!P2&gt;INPUTS!$B$10,"NG",IF(RHO_ARCH!P2&gt;INPUTS!$B$9,"HEAVY","OK")))</f>
        <v>OK</v>
      </c>
    </row>
    <row r="3" customFormat="false" ht="15" hidden="false" customHeight="false" outlineLevel="0" collapsed="false">
      <c r="A3" s="11" t="str">
        <f aca="false">TRIB!A3</f>
        <v>C2</v>
      </c>
      <c r="B3" s="14" t="n">
        <f aca="false">TRIB!B3</f>
        <v>283.569135676749</v>
      </c>
      <c r="C3" s="14" t="n">
        <f aca="false">TRIB!C3</f>
        <v>554.064361928097</v>
      </c>
      <c r="D3" s="11" t="str">
        <f aca="false">TRIB!D3</f>
        <v>A</v>
      </c>
      <c r="E3" s="4" t="str">
        <f aca="false">IF(RHO_ARCH!E3="","",IF(RHO_ARCH!E3&gt;INPUTS!$B$10,"NG",IF(RHO_ARCH!E3&gt;INPUTS!$B$9,"HEAVY","OK")))</f>
        <v/>
      </c>
      <c r="F3" s="4" t="str">
        <f aca="false">IF(RHO_ARCH!F3="","",IF(RHO_ARCH!F3&gt;INPUTS!$B$10,"NG",IF(RHO_ARCH!F3&gt;INPUTS!$B$9,"HEAVY","OK")))</f>
        <v/>
      </c>
      <c r="G3" s="4" t="str">
        <f aca="false">IF(RHO_ARCH!G3="","",IF(RHO_ARCH!G3&gt;INPUTS!$B$10,"NG",IF(RHO_ARCH!G3&gt;INPUTS!$B$9,"HEAVY","OK")))</f>
        <v>OK</v>
      </c>
      <c r="H3" s="4" t="str">
        <f aca="false">IF(RHO_ARCH!H3="","",IF(RHO_ARCH!H3&gt;INPUTS!$B$10,"NG",IF(RHO_ARCH!H3&gt;INPUTS!$B$9,"HEAVY","OK")))</f>
        <v>OK</v>
      </c>
      <c r="I3" s="4" t="str">
        <f aca="false">IF(RHO_ARCH!I3="","",IF(RHO_ARCH!I3&gt;INPUTS!$B$10,"NG",IF(RHO_ARCH!I3&gt;INPUTS!$B$9,"HEAVY","OK")))</f>
        <v>OK</v>
      </c>
      <c r="J3" s="4" t="str">
        <f aca="false">IF(RHO_ARCH!J3="","",IF(RHO_ARCH!J3&gt;INPUTS!$B$10,"NG",IF(RHO_ARCH!J3&gt;INPUTS!$B$9,"HEAVY","OK")))</f>
        <v>OK</v>
      </c>
      <c r="K3" s="4" t="str">
        <f aca="false">IF(RHO_ARCH!K3="","",IF(RHO_ARCH!K3&gt;INPUTS!$B$10,"NG",IF(RHO_ARCH!K3&gt;INPUTS!$B$9,"HEAVY","OK")))</f>
        <v>OK</v>
      </c>
      <c r="L3" s="4" t="str">
        <f aca="false">IF(RHO_ARCH!L3="","",IF(RHO_ARCH!L3&gt;INPUTS!$B$10,"NG",IF(RHO_ARCH!L3&gt;INPUTS!$B$9,"HEAVY","OK")))</f>
        <v>OK</v>
      </c>
      <c r="M3" s="4" t="str">
        <f aca="false">IF(RHO_ARCH!M3="","",IF(RHO_ARCH!M3&gt;INPUTS!$B$10,"NG",IF(RHO_ARCH!M3&gt;INPUTS!$B$9,"HEAVY","OK")))</f>
        <v>OK</v>
      </c>
      <c r="N3" s="4" t="str">
        <f aca="false">IF(RHO_ARCH!N3="","",IF(RHO_ARCH!N3&gt;INPUTS!$B$10,"NG",IF(RHO_ARCH!N3&gt;INPUTS!$B$9,"HEAVY","OK")))</f>
        <v>OK</v>
      </c>
      <c r="O3" s="4" t="str">
        <f aca="false">IF(RHO_ARCH!O3="","",IF(RHO_ARCH!O3&gt;INPUTS!$B$10,"NG",IF(RHO_ARCH!O3&gt;INPUTS!$B$9,"HEAVY","OK")))</f>
        <v>OK</v>
      </c>
      <c r="P3" s="4" t="str">
        <f aca="false">IF(RHO_ARCH!P3="","",IF(RHO_ARCH!P3&gt;INPUTS!$B$10,"NG",IF(RHO_ARCH!P3&gt;INPUTS!$B$9,"HEAVY","OK")))</f>
        <v>OK</v>
      </c>
    </row>
    <row r="4" customFormat="false" ht="15" hidden="false" customHeight="false" outlineLevel="0" collapsed="false">
      <c r="A4" s="11" t="str">
        <f aca="false">TRIB!A4</f>
        <v>C3</v>
      </c>
      <c r="B4" s="14" t="n">
        <f aca="false">TRIB!B4</f>
        <v>302.327357601837</v>
      </c>
      <c r="C4" s="14" t="n">
        <f aca="false">TRIB!C4</f>
        <v>538.834725681955</v>
      </c>
      <c r="D4" s="11" t="str">
        <f aca="false">TRIB!D4</f>
        <v>A</v>
      </c>
      <c r="E4" s="4" t="str">
        <f aca="false">IF(RHO_ARCH!E4="","",IF(RHO_ARCH!E4&gt;INPUTS!$B$10,"NG",IF(RHO_ARCH!E4&gt;INPUTS!$B$9,"HEAVY","OK")))</f>
        <v/>
      </c>
      <c r="F4" s="4" t="str">
        <f aca="false">IF(RHO_ARCH!F4="","",IF(RHO_ARCH!F4&gt;INPUTS!$B$10,"NG",IF(RHO_ARCH!F4&gt;INPUTS!$B$9,"HEAVY","OK")))</f>
        <v>OK</v>
      </c>
      <c r="G4" s="4" t="str">
        <f aca="false">IF(RHO_ARCH!G4="","",IF(RHO_ARCH!G4&gt;INPUTS!$B$10,"NG",IF(RHO_ARCH!G4&gt;INPUTS!$B$9,"HEAVY","OK")))</f>
        <v>OK</v>
      </c>
      <c r="H4" s="4" t="str">
        <f aca="false">IF(RHO_ARCH!H4="","",IF(RHO_ARCH!H4&gt;INPUTS!$B$10,"NG",IF(RHO_ARCH!H4&gt;INPUTS!$B$9,"HEAVY","OK")))</f>
        <v>OK</v>
      </c>
      <c r="I4" s="4" t="str">
        <f aca="false">IF(RHO_ARCH!I4="","",IF(RHO_ARCH!I4&gt;INPUTS!$B$10,"NG",IF(RHO_ARCH!I4&gt;INPUTS!$B$9,"HEAVY","OK")))</f>
        <v>OK</v>
      </c>
      <c r="J4" s="4" t="str">
        <f aca="false">IF(RHO_ARCH!J4="","",IF(RHO_ARCH!J4&gt;INPUTS!$B$10,"NG",IF(RHO_ARCH!J4&gt;INPUTS!$B$9,"HEAVY","OK")))</f>
        <v>OK</v>
      </c>
      <c r="K4" s="4" t="str">
        <f aca="false">IF(RHO_ARCH!K4="","",IF(RHO_ARCH!K4&gt;INPUTS!$B$10,"NG",IF(RHO_ARCH!K4&gt;INPUTS!$B$9,"HEAVY","OK")))</f>
        <v>OK</v>
      </c>
      <c r="L4" s="4" t="str">
        <f aca="false">IF(RHO_ARCH!L4="","",IF(RHO_ARCH!L4&gt;INPUTS!$B$10,"NG",IF(RHO_ARCH!L4&gt;INPUTS!$B$9,"HEAVY","OK")))</f>
        <v>OK</v>
      </c>
      <c r="M4" s="4" t="str">
        <f aca="false">IF(RHO_ARCH!M4="","",IF(RHO_ARCH!M4&gt;INPUTS!$B$10,"NG",IF(RHO_ARCH!M4&gt;INPUTS!$B$9,"HEAVY","OK")))</f>
        <v>OK</v>
      </c>
      <c r="N4" s="4" t="str">
        <f aca="false">IF(RHO_ARCH!N4="","",IF(RHO_ARCH!N4&gt;INPUTS!$B$10,"NG",IF(RHO_ARCH!N4&gt;INPUTS!$B$9,"HEAVY","OK")))</f>
        <v>OK</v>
      </c>
      <c r="O4" s="4" t="str">
        <f aca="false">IF(RHO_ARCH!O4="","",IF(RHO_ARCH!O4&gt;INPUTS!$B$10,"NG",IF(RHO_ARCH!O4&gt;INPUTS!$B$9,"HEAVY","OK")))</f>
        <v>OK</v>
      </c>
      <c r="P4" s="4" t="str">
        <f aca="false">IF(RHO_ARCH!P4="","",IF(RHO_ARCH!P4&gt;INPUTS!$B$10,"NG",IF(RHO_ARCH!P4&gt;INPUTS!$B$9,"HEAVY","OK")))</f>
        <v>OK</v>
      </c>
    </row>
    <row r="5" customFormat="false" ht="15" hidden="false" customHeight="false" outlineLevel="0" collapsed="false">
      <c r="A5" s="11" t="str">
        <f aca="false">TRIB!A5</f>
        <v>C4</v>
      </c>
      <c r="B5" s="14" t="n">
        <f aca="false">TRIB!B5</f>
        <v>301.530201266095</v>
      </c>
      <c r="C5" s="14" t="n">
        <f aca="false">TRIB!C5</f>
        <v>560.062271860155</v>
      </c>
      <c r="D5" s="11" t="str">
        <f aca="false">TRIB!D5</f>
        <v>A</v>
      </c>
      <c r="E5" s="4" t="str">
        <f aca="false">IF(RHO_ARCH!E5="","",IF(RHO_ARCH!E5&gt;INPUTS!$B$10,"NG",IF(RHO_ARCH!E5&gt;INPUTS!$B$9,"HEAVY","OK")))</f>
        <v/>
      </c>
      <c r="F5" s="4" t="str">
        <f aca="false">IF(RHO_ARCH!F5="","",IF(RHO_ARCH!F5&gt;INPUTS!$B$10,"NG",IF(RHO_ARCH!F5&gt;INPUTS!$B$9,"HEAVY","OK")))</f>
        <v>OK</v>
      </c>
      <c r="G5" s="4" t="str">
        <f aca="false">IF(RHO_ARCH!G5="","",IF(RHO_ARCH!G5&gt;INPUTS!$B$10,"NG",IF(RHO_ARCH!G5&gt;INPUTS!$B$9,"HEAVY","OK")))</f>
        <v>OK</v>
      </c>
      <c r="H5" s="4" t="str">
        <f aca="false">IF(RHO_ARCH!H5="","",IF(RHO_ARCH!H5&gt;INPUTS!$B$10,"NG",IF(RHO_ARCH!H5&gt;INPUTS!$B$9,"HEAVY","OK")))</f>
        <v>OK</v>
      </c>
      <c r="I5" s="4" t="str">
        <f aca="false">IF(RHO_ARCH!I5="","",IF(RHO_ARCH!I5&gt;INPUTS!$B$10,"NG",IF(RHO_ARCH!I5&gt;INPUTS!$B$9,"HEAVY","OK")))</f>
        <v>OK</v>
      </c>
      <c r="J5" s="4" t="str">
        <f aca="false">IF(RHO_ARCH!J5="","",IF(RHO_ARCH!J5&gt;INPUTS!$B$10,"NG",IF(RHO_ARCH!J5&gt;INPUTS!$B$9,"HEAVY","OK")))</f>
        <v>OK</v>
      </c>
      <c r="K5" s="4" t="str">
        <f aca="false">IF(RHO_ARCH!K5="","",IF(RHO_ARCH!K5&gt;INPUTS!$B$10,"NG",IF(RHO_ARCH!K5&gt;INPUTS!$B$9,"HEAVY","OK")))</f>
        <v>OK</v>
      </c>
      <c r="L5" s="4" t="str">
        <f aca="false">IF(RHO_ARCH!L5="","",IF(RHO_ARCH!L5&gt;INPUTS!$B$10,"NG",IF(RHO_ARCH!L5&gt;INPUTS!$B$9,"HEAVY","OK")))</f>
        <v>OK</v>
      </c>
      <c r="M5" s="4" t="str">
        <f aca="false">IF(RHO_ARCH!M5="","",IF(RHO_ARCH!M5&gt;INPUTS!$B$10,"NG",IF(RHO_ARCH!M5&gt;INPUTS!$B$9,"HEAVY","OK")))</f>
        <v>OK</v>
      </c>
      <c r="N5" s="4" t="str">
        <f aca="false">IF(RHO_ARCH!N5="","",IF(RHO_ARCH!N5&gt;INPUTS!$B$10,"NG",IF(RHO_ARCH!N5&gt;INPUTS!$B$9,"HEAVY","OK")))</f>
        <v>OK</v>
      </c>
      <c r="O5" s="4" t="str">
        <f aca="false">IF(RHO_ARCH!O5="","",IF(RHO_ARCH!O5&gt;INPUTS!$B$10,"NG",IF(RHO_ARCH!O5&gt;INPUTS!$B$9,"HEAVY","OK")))</f>
        <v>OK</v>
      </c>
      <c r="P5" s="4" t="str">
        <f aca="false">IF(RHO_ARCH!P5="","",IF(RHO_ARCH!P5&gt;INPUTS!$B$10,"NG",IF(RHO_ARCH!P5&gt;INPUTS!$B$9,"HEAVY","OK")))</f>
        <v>OK</v>
      </c>
    </row>
    <row r="6" customFormat="false" ht="15" hidden="false" customHeight="false" outlineLevel="0" collapsed="false">
      <c r="A6" s="11" t="str">
        <f aca="false">TRIB!A6</f>
        <v>C5</v>
      </c>
      <c r="B6" s="14" t="n">
        <f aca="false">TRIB!B6</f>
        <v>311.639417739706</v>
      </c>
      <c r="C6" s="14" t="n">
        <f aca="false">TRIB!C6</f>
        <v>569.166970355175</v>
      </c>
      <c r="D6" s="11" t="str">
        <f aca="false">TRIB!D6</f>
        <v>A</v>
      </c>
      <c r="E6" s="4" t="str">
        <f aca="false">IF(RHO_ARCH!E6="","",IF(RHO_ARCH!E6&gt;INPUTS!$B$10,"NG",IF(RHO_ARCH!E6&gt;INPUTS!$B$9,"HEAVY","OK")))</f>
        <v/>
      </c>
      <c r="F6" s="4" t="str">
        <f aca="false">IF(RHO_ARCH!F6="","",IF(RHO_ARCH!F6&gt;INPUTS!$B$10,"NG",IF(RHO_ARCH!F6&gt;INPUTS!$B$9,"HEAVY","OK")))</f>
        <v>OK</v>
      </c>
      <c r="G6" s="4" t="str">
        <f aca="false">IF(RHO_ARCH!G6="","",IF(RHO_ARCH!G6&gt;INPUTS!$B$10,"NG",IF(RHO_ARCH!G6&gt;INPUTS!$B$9,"HEAVY","OK")))</f>
        <v>OK</v>
      </c>
      <c r="H6" s="4" t="str">
        <f aca="false">IF(RHO_ARCH!H6="","",IF(RHO_ARCH!H6&gt;INPUTS!$B$10,"NG",IF(RHO_ARCH!H6&gt;INPUTS!$B$9,"HEAVY","OK")))</f>
        <v>OK</v>
      </c>
      <c r="I6" s="4" t="str">
        <f aca="false">IF(RHO_ARCH!I6="","",IF(RHO_ARCH!I6&gt;INPUTS!$B$10,"NG",IF(RHO_ARCH!I6&gt;INPUTS!$B$9,"HEAVY","OK")))</f>
        <v>OK</v>
      </c>
      <c r="J6" s="4" t="str">
        <f aca="false">IF(RHO_ARCH!J6="","",IF(RHO_ARCH!J6&gt;INPUTS!$B$10,"NG",IF(RHO_ARCH!J6&gt;INPUTS!$B$9,"HEAVY","OK")))</f>
        <v>OK</v>
      </c>
      <c r="K6" s="4" t="str">
        <f aca="false">IF(RHO_ARCH!K6="","",IF(RHO_ARCH!K6&gt;INPUTS!$B$10,"NG",IF(RHO_ARCH!K6&gt;INPUTS!$B$9,"HEAVY","OK")))</f>
        <v>OK</v>
      </c>
      <c r="L6" s="4" t="str">
        <f aca="false">IF(RHO_ARCH!L6="","",IF(RHO_ARCH!L6&gt;INPUTS!$B$10,"NG",IF(RHO_ARCH!L6&gt;INPUTS!$B$9,"HEAVY","OK")))</f>
        <v>OK</v>
      </c>
      <c r="M6" s="4" t="str">
        <f aca="false">IF(RHO_ARCH!M6="","",IF(RHO_ARCH!M6&gt;INPUTS!$B$10,"NG",IF(RHO_ARCH!M6&gt;INPUTS!$B$9,"HEAVY","OK")))</f>
        <v>OK</v>
      </c>
      <c r="N6" s="4" t="str">
        <f aca="false">IF(RHO_ARCH!N6="","",IF(RHO_ARCH!N6&gt;INPUTS!$B$10,"NG",IF(RHO_ARCH!N6&gt;INPUTS!$B$9,"HEAVY","OK")))</f>
        <v>OK</v>
      </c>
      <c r="O6" s="4" t="str">
        <f aca="false">IF(RHO_ARCH!O6="","",IF(RHO_ARCH!O6&gt;INPUTS!$B$10,"NG",IF(RHO_ARCH!O6&gt;INPUTS!$B$9,"HEAVY","OK")))</f>
        <v>OK</v>
      </c>
      <c r="P6" s="4" t="str">
        <f aca="false">IF(RHO_ARCH!P6="","",IF(RHO_ARCH!P6&gt;INPUTS!$B$10,"NG",IF(RHO_ARCH!P6&gt;INPUTS!$B$9,"HEAVY","OK")))</f>
        <v>OK</v>
      </c>
    </row>
    <row r="7" customFormat="false" ht="15" hidden="false" customHeight="false" outlineLevel="0" collapsed="false">
      <c r="A7" s="11" t="str">
        <f aca="false">TRIB!A7</f>
        <v>C6</v>
      </c>
      <c r="B7" s="14" t="n">
        <f aca="false">TRIB!B7</f>
        <v>313.932954037243</v>
      </c>
      <c r="C7" s="14" t="n">
        <f aca="false">TRIB!C7</f>
        <v>553.648859599293</v>
      </c>
      <c r="D7" s="11" t="str">
        <f aca="false">TRIB!D7</f>
        <v>A</v>
      </c>
      <c r="E7" s="4" t="str">
        <f aca="false">IF(RHO_ARCH!E7="","",IF(RHO_ARCH!E7&gt;INPUTS!$B$10,"NG",IF(RHO_ARCH!E7&gt;INPUTS!$B$9,"HEAVY","OK")))</f>
        <v/>
      </c>
      <c r="F7" s="4" t="str">
        <f aca="false">IF(RHO_ARCH!F7="","",IF(RHO_ARCH!F7&gt;INPUTS!$B$10,"NG",IF(RHO_ARCH!F7&gt;INPUTS!$B$9,"HEAVY","OK")))</f>
        <v>OK</v>
      </c>
      <c r="G7" s="4" t="str">
        <f aca="false">IF(RHO_ARCH!G7="","",IF(RHO_ARCH!G7&gt;INPUTS!$B$10,"NG",IF(RHO_ARCH!G7&gt;INPUTS!$B$9,"HEAVY","OK")))</f>
        <v>OK</v>
      </c>
      <c r="H7" s="4" t="str">
        <f aca="false">IF(RHO_ARCH!H7="","",IF(RHO_ARCH!H7&gt;INPUTS!$B$10,"NG",IF(RHO_ARCH!H7&gt;INPUTS!$B$9,"HEAVY","OK")))</f>
        <v>OK</v>
      </c>
      <c r="I7" s="4" t="str">
        <f aca="false">IF(RHO_ARCH!I7="","",IF(RHO_ARCH!I7&gt;INPUTS!$B$10,"NG",IF(RHO_ARCH!I7&gt;INPUTS!$B$9,"HEAVY","OK")))</f>
        <v>OK</v>
      </c>
      <c r="J7" s="4" t="str">
        <f aca="false">IF(RHO_ARCH!J7="","",IF(RHO_ARCH!J7&gt;INPUTS!$B$10,"NG",IF(RHO_ARCH!J7&gt;INPUTS!$B$9,"HEAVY","OK")))</f>
        <v>OK</v>
      </c>
      <c r="K7" s="4" t="str">
        <f aca="false">IF(RHO_ARCH!K7="","",IF(RHO_ARCH!K7&gt;INPUTS!$B$10,"NG",IF(RHO_ARCH!K7&gt;INPUTS!$B$9,"HEAVY","OK")))</f>
        <v>OK</v>
      </c>
      <c r="L7" s="4" t="str">
        <f aca="false">IF(RHO_ARCH!L7="","",IF(RHO_ARCH!L7&gt;INPUTS!$B$10,"NG",IF(RHO_ARCH!L7&gt;INPUTS!$B$9,"HEAVY","OK")))</f>
        <v>OK</v>
      </c>
      <c r="M7" s="4" t="str">
        <f aca="false">IF(RHO_ARCH!M7="","",IF(RHO_ARCH!M7&gt;INPUTS!$B$10,"NG",IF(RHO_ARCH!M7&gt;INPUTS!$B$9,"HEAVY","OK")))</f>
        <v>OK</v>
      </c>
      <c r="N7" s="4" t="str">
        <f aca="false">IF(RHO_ARCH!N7="","",IF(RHO_ARCH!N7&gt;INPUTS!$B$10,"NG",IF(RHO_ARCH!N7&gt;INPUTS!$B$9,"HEAVY","OK")))</f>
        <v>OK</v>
      </c>
      <c r="O7" s="4" t="str">
        <f aca="false">IF(RHO_ARCH!O7="","",IF(RHO_ARCH!O7&gt;INPUTS!$B$10,"NG",IF(RHO_ARCH!O7&gt;INPUTS!$B$9,"HEAVY","OK")))</f>
        <v>OK</v>
      </c>
      <c r="P7" s="4" t="str">
        <f aca="false">IF(RHO_ARCH!P7="","",IF(RHO_ARCH!P7&gt;INPUTS!$B$10,"NG",IF(RHO_ARCH!P7&gt;INPUTS!$B$9,"HEAVY","OK")))</f>
        <v>OK</v>
      </c>
    </row>
    <row r="8" customFormat="false" ht="15" hidden="false" customHeight="false" outlineLevel="0" collapsed="false">
      <c r="A8" s="11" t="str">
        <f aca="false">TRIB!A8</f>
        <v>C7</v>
      </c>
      <c r="B8" s="14" t="n">
        <f aca="false">TRIB!B8</f>
        <v>336.335092340588</v>
      </c>
      <c r="C8" s="14" t="n">
        <f aca="false">TRIB!C8</f>
        <v>514.662637876091</v>
      </c>
      <c r="D8" s="11" t="str">
        <f aca="false">TRIB!D8</f>
        <v>A</v>
      </c>
      <c r="E8" s="4" t="str">
        <f aca="false">IF(RHO_ARCH!E8="","",IF(RHO_ARCH!E8&gt;INPUTS!$B$10,"NG",IF(RHO_ARCH!E8&gt;INPUTS!$B$9,"HEAVY","OK")))</f>
        <v/>
      </c>
      <c r="F8" s="4" t="str">
        <f aca="false">IF(RHO_ARCH!F8="","",IF(RHO_ARCH!F8&gt;INPUTS!$B$10,"NG",IF(RHO_ARCH!F8&gt;INPUTS!$B$9,"HEAVY","OK")))</f>
        <v>OK</v>
      </c>
      <c r="G8" s="4" t="str">
        <f aca="false">IF(RHO_ARCH!G8="","",IF(RHO_ARCH!G8&gt;INPUTS!$B$10,"NG",IF(RHO_ARCH!G8&gt;INPUTS!$B$9,"HEAVY","OK")))</f>
        <v>OK</v>
      </c>
      <c r="H8" s="4" t="str">
        <f aca="false">IF(RHO_ARCH!H8="","",IF(RHO_ARCH!H8&gt;INPUTS!$B$10,"NG",IF(RHO_ARCH!H8&gt;INPUTS!$B$9,"HEAVY","OK")))</f>
        <v>OK</v>
      </c>
      <c r="I8" s="4" t="str">
        <f aca="false">IF(RHO_ARCH!I8="","",IF(RHO_ARCH!I8&gt;INPUTS!$B$10,"NG",IF(RHO_ARCH!I8&gt;INPUTS!$B$9,"HEAVY","OK")))</f>
        <v>OK</v>
      </c>
      <c r="J8" s="4" t="str">
        <f aca="false">IF(RHO_ARCH!J8="","",IF(RHO_ARCH!J8&gt;INPUTS!$B$10,"NG",IF(RHO_ARCH!J8&gt;INPUTS!$B$9,"HEAVY","OK")))</f>
        <v>OK</v>
      </c>
      <c r="K8" s="4" t="str">
        <f aca="false">IF(RHO_ARCH!K8="","",IF(RHO_ARCH!K8&gt;INPUTS!$B$10,"NG",IF(RHO_ARCH!K8&gt;INPUTS!$B$9,"HEAVY","OK")))</f>
        <v>OK</v>
      </c>
      <c r="L8" s="4" t="str">
        <f aca="false">IF(RHO_ARCH!L8="","",IF(RHO_ARCH!L8&gt;INPUTS!$B$10,"NG",IF(RHO_ARCH!L8&gt;INPUTS!$B$9,"HEAVY","OK")))</f>
        <v>OK</v>
      </c>
      <c r="M8" s="4" t="str">
        <f aca="false">IF(RHO_ARCH!M8="","",IF(RHO_ARCH!M8&gt;INPUTS!$B$10,"NG",IF(RHO_ARCH!M8&gt;INPUTS!$B$9,"HEAVY","OK")))</f>
        <v>OK</v>
      </c>
      <c r="N8" s="4" t="str">
        <f aca="false">IF(RHO_ARCH!N8="","",IF(RHO_ARCH!N8&gt;INPUTS!$B$10,"NG",IF(RHO_ARCH!N8&gt;INPUTS!$B$9,"HEAVY","OK")))</f>
        <v>OK</v>
      </c>
      <c r="O8" s="4" t="str">
        <f aca="false">IF(RHO_ARCH!O8="","",IF(RHO_ARCH!O8&gt;INPUTS!$B$10,"NG",IF(RHO_ARCH!O8&gt;INPUTS!$B$9,"HEAVY","OK")))</f>
        <v>OK</v>
      </c>
      <c r="P8" s="4" t="str">
        <f aca="false">IF(RHO_ARCH!P8="","",IF(RHO_ARCH!P8&gt;INPUTS!$B$10,"NG",IF(RHO_ARCH!P8&gt;INPUTS!$B$9,"HEAVY","OK")))</f>
        <v>OK</v>
      </c>
    </row>
    <row r="9" customFormat="false" ht="15" hidden="false" customHeight="false" outlineLevel="0" collapsed="false">
      <c r="A9" s="11" t="str">
        <f aca="false">TRIB!A9</f>
        <v>C8</v>
      </c>
      <c r="B9" s="14" t="n">
        <f aca="false">TRIB!B9</f>
        <v>346.652085376436</v>
      </c>
      <c r="C9" s="14" t="n">
        <f aca="false">TRIB!C9</f>
        <v>529.372238235893</v>
      </c>
      <c r="D9" s="11" t="str">
        <f aca="false">TRIB!D9</f>
        <v>A</v>
      </c>
      <c r="E9" s="4" t="str">
        <f aca="false">IF(RHO_ARCH!E9="","",IF(RHO_ARCH!E9&gt;INPUTS!$B$10,"NG",IF(RHO_ARCH!E9&gt;INPUTS!$B$9,"HEAVY","OK")))</f>
        <v/>
      </c>
      <c r="F9" s="4" t="str">
        <f aca="false">IF(RHO_ARCH!F9="","",IF(RHO_ARCH!F9&gt;INPUTS!$B$10,"NG",IF(RHO_ARCH!F9&gt;INPUTS!$B$9,"HEAVY","OK")))</f>
        <v>OK</v>
      </c>
      <c r="G9" s="4" t="str">
        <f aca="false">IF(RHO_ARCH!G9="","",IF(RHO_ARCH!G9&gt;INPUTS!$B$10,"NG",IF(RHO_ARCH!G9&gt;INPUTS!$B$9,"HEAVY","OK")))</f>
        <v>OK</v>
      </c>
      <c r="H9" s="4" t="str">
        <f aca="false">IF(RHO_ARCH!H9="","",IF(RHO_ARCH!H9&gt;INPUTS!$B$10,"NG",IF(RHO_ARCH!H9&gt;INPUTS!$B$9,"HEAVY","OK")))</f>
        <v>OK</v>
      </c>
      <c r="I9" s="4" t="str">
        <f aca="false">IF(RHO_ARCH!I9="","",IF(RHO_ARCH!I9&gt;INPUTS!$B$10,"NG",IF(RHO_ARCH!I9&gt;INPUTS!$B$9,"HEAVY","OK")))</f>
        <v>OK</v>
      </c>
      <c r="J9" s="4" t="str">
        <f aca="false">IF(RHO_ARCH!J9="","",IF(RHO_ARCH!J9&gt;INPUTS!$B$10,"NG",IF(RHO_ARCH!J9&gt;INPUTS!$B$9,"HEAVY","OK")))</f>
        <v>OK</v>
      </c>
      <c r="K9" s="4" t="str">
        <f aca="false">IF(RHO_ARCH!K9="","",IF(RHO_ARCH!K9&gt;INPUTS!$B$10,"NG",IF(RHO_ARCH!K9&gt;INPUTS!$B$9,"HEAVY","OK")))</f>
        <v>OK</v>
      </c>
      <c r="L9" s="4" t="str">
        <f aca="false">IF(RHO_ARCH!L9="","",IF(RHO_ARCH!L9&gt;INPUTS!$B$10,"NG",IF(RHO_ARCH!L9&gt;INPUTS!$B$9,"HEAVY","OK")))</f>
        <v>OK</v>
      </c>
      <c r="M9" s="4" t="str">
        <f aca="false">IF(RHO_ARCH!M9="","",IF(RHO_ARCH!M9&gt;INPUTS!$B$10,"NG",IF(RHO_ARCH!M9&gt;INPUTS!$B$9,"HEAVY","OK")))</f>
        <v>OK</v>
      </c>
      <c r="N9" s="4" t="str">
        <f aca="false">IF(RHO_ARCH!N9="","",IF(RHO_ARCH!N9&gt;INPUTS!$B$10,"NG",IF(RHO_ARCH!N9&gt;INPUTS!$B$9,"HEAVY","OK")))</f>
        <v>OK</v>
      </c>
      <c r="O9" s="4" t="str">
        <f aca="false">IF(RHO_ARCH!O9="","",IF(RHO_ARCH!O9&gt;INPUTS!$B$10,"NG",IF(RHO_ARCH!O9&gt;INPUTS!$B$9,"HEAVY","OK")))</f>
        <v>OK</v>
      </c>
      <c r="P9" s="4" t="str">
        <f aca="false">IF(RHO_ARCH!P9="","",IF(RHO_ARCH!P9&gt;INPUTS!$B$10,"NG",IF(RHO_ARCH!P9&gt;INPUTS!$B$9,"HEAVY","OK")))</f>
        <v>OK</v>
      </c>
    </row>
    <row r="10" customFormat="false" ht="15" hidden="false" customHeight="false" outlineLevel="0" collapsed="false">
      <c r="A10" s="11" t="str">
        <f aca="false">TRIB!A10</f>
        <v>C9</v>
      </c>
      <c r="B10" s="14" t="n">
        <f aca="false">TRIB!B10</f>
        <v>356.108116505892</v>
      </c>
      <c r="C10" s="14" t="n">
        <f aca="false">TRIB!C10</f>
        <v>546.093045043377</v>
      </c>
      <c r="D10" s="11" t="str">
        <f aca="false">TRIB!D10</f>
        <v>A</v>
      </c>
      <c r="E10" s="4" t="str">
        <f aca="false">IF(RHO_ARCH!E10="","",IF(RHO_ARCH!E10&gt;INPUTS!$B$10,"NG",IF(RHO_ARCH!E10&gt;INPUTS!$B$9,"HEAVY","OK")))</f>
        <v/>
      </c>
      <c r="F10" s="4" t="str">
        <f aca="false">IF(RHO_ARCH!F10="","",IF(RHO_ARCH!F10&gt;INPUTS!$B$10,"NG",IF(RHO_ARCH!F10&gt;INPUTS!$B$9,"HEAVY","OK")))</f>
        <v>OK</v>
      </c>
      <c r="G10" s="4" t="str">
        <f aca="false">IF(RHO_ARCH!G10="","",IF(RHO_ARCH!G10&gt;INPUTS!$B$10,"NG",IF(RHO_ARCH!G10&gt;INPUTS!$B$9,"HEAVY","OK")))</f>
        <v>OK</v>
      </c>
      <c r="H10" s="4" t="str">
        <f aca="false">IF(RHO_ARCH!H10="","",IF(RHO_ARCH!H10&gt;INPUTS!$B$10,"NG",IF(RHO_ARCH!H10&gt;INPUTS!$B$9,"HEAVY","OK")))</f>
        <v>OK</v>
      </c>
      <c r="I10" s="4" t="str">
        <f aca="false">IF(RHO_ARCH!I10="","",IF(RHO_ARCH!I10&gt;INPUTS!$B$10,"NG",IF(RHO_ARCH!I10&gt;INPUTS!$B$9,"HEAVY","OK")))</f>
        <v>OK</v>
      </c>
      <c r="J10" s="4" t="str">
        <f aca="false">IF(RHO_ARCH!J10="","",IF(RHO_ARCH!J10&gt;INPUTS!$B$10,"NG",IF(RHO_ARCH!J10&gt;INPUTS!$B$9,"HEAVY","OK")))</f>
        <v>OK</v>
      </c>
      <c r="K10" s="4" t="str">
        <f aca="false">IF(RHO_ARCH!K10="","",IF(RHO_ARCH!K10&gt;INPUTS!$B$10,"NG",IF(RHO_ARCH!K10&gt;INPUTS!$B$9,"HEAVY","OK")))</f>
        <v>OK</v>
      </c>
      <c r="L10" s="4" t="str">
        <f aca="false">IF(RHO_ARCH!L10="","",IF(RHO_ARCH!L10&gt;INPUTS!$B$10,"NG",IF(RHO_ARCH!L10&gt;INPUTS!$B$9,"HEAVY","OK")))</f>
        <v>OK</v>
      </c>
      <c r="M10" s="4" t="str">
        <f aca="false">IF(RHO_ARCH!M10="","",IF(RHO_ARCH!M10&gt;INPUTS!$B$10,"NG",IF(RHO_ARCH!M10&gt;INPUTS!$B$9,"HEAVY","OK")))</f>
        <v>OK</v>
      </c>
      <c r="N10" s="4" t="str">
        <f aca="false">IF(RHO_ARCH!N10="","",IF(RHO_ARCH!N10&gt;INPUTS!$B$10,"NG",IF(RHO_ARCH!N10&gt;INPUTS!$B$9,"HEAVY","OK")))</f>
        <v>OK</v>
      </c>
      <c r="O10" s="4" t="str">
        <f aca="false">IF(RHO_ARCH!O10="","",IF(RHO_ARCH!O10&gt;INPUTS!$B$10,"NG",IF(RHO_ARCH!O10&gt;INPUTS!$B$9,"HEAVY","OK")))</f>
        <v>OK</v>
      </c>
      <c r="P10" s="4" t="str">
        <f aca="false">IF(RHO_ARCH!P10="","",IF(RHO_ARCH!P10&gt;INPUTS!$B$10,"NG",IF(RHO_ARCH!P10&gt;INPUTS!$B$9,"HEAVY","OK")))</f>
        <v>OK</v>
      </c>
    </row>
    <row r="11" customFormat="false" ht="15" hidden="false" customHeight="false" outlineLevel="0" collapsed="false">
      <c r="A11" s="11" t="str">
        <f aca="false">TRIB!A11</f>
        <v>C10</v>
      </c>
      <c r="B11" s="14" t="n">
        <f aca="false">TRIB!B11</f>
        <v>357.425956292715</v>
      </c>
      <c r="C11" s="14" t="n">
        <f aca="false">TRIB!C11</f>
        <v>500.438492419326</v>
      </c>
      <c r="D11" s="11" t="str">
        <f aca="false">TRIB!D11</f>
        <v>A</v>
      </c>
      <c r="E11" s="4" t="str">
        <f aca="false">IF(RHO_ARCH!E11="","",IF(RHO_ARCH!E11&gt;INPUTS!$B$10,"NG",IF(RHO_ARCH!E11&gt;INPUTS!$B$9,"HEAVY","OK")))</f>
        <v/>
      </c>
      <c r="F11" s="4" t="str">
        <f aca="false">IF(RHO_ARCH!F11="","",IF(RHO_ARCH!F11&gt;INPUTS!$B$10,"NG",IF(RHO_ARCH!F11&gt;INPUTS!$B$9,"HEAVY","OK")))</f>
        <v>OK</v>
      </c>
      <c r="G11" s="4" t="str">
        <f aca="false">IF(RHO_ARCH!G11="","",IF(RHO_ARCH!G11&gt;INPUTS!$B$10,"NG",IF(RHO_ARCH!G11&gt;INPUTS!$B$9,"HEAVY","OK")))</f>
        <v>OK</v>
      </c>
      <c r="H11" s="4" t="str">
        <f aca="false">IF(RHO_ARCH!H11="","",IF(RHO_ARCH!H11&gt;INPUTS!$B$10,"NG",IF(RHO_ARCH!H11&gt;INPUTS!$B$9,"HEAVY","OK")))</f>
        <v>OK</v>
      </c>
      <c r="I11" s="4" t="str">
        <f aca="false">IF(RHO_ARCH!I11="","",IF(RHO_ARCH!I11&gt;INPUTS!$B$10,"NG",IF(RHO_ARCH!I11&gt;INPUTS!$B$9,"HEAVY","OK")))</f>
        <v>OK</v>
      </c>
      <c r="J11" s="4" t="str">
        <f aca="false">IF(RHO_ARCH!J11="","",IF(RHO_ARCH!J11&gt;INPUTS!$B$10,"NG",IF(RHO_ARCH!J11&gt;INPUTS!$B$9,"HEAVY","OK")))</f>
        <v>OK</v>
      </c>
      <c r="K11" s="4" t="str">
        <f aca="false">IF(RHO_ARCH!K11="","",IF(RHO_ARCH!K11&gt;INPUTS!$B$10,"NG",IF(RHO_ARCH!K11&gt;INPUTS!$B$9,"HEAVY","OK")))</f>
        <v>OK</v>
      </c>
      <c r="L11" s="4" t="str">
        <f aca="false">IF(RHO_ARCH!L11="","",IF(RHO_ARCH!L11&gt;INPUTS!$B$10,"NG",IF(RHO_ARCH!L11&gt;INPUTS!$B$9,"HEAVY","OK")))</f>
        <v>OK</v>
      </c>
      <c r="M11" s="4" t="str">
        <f aca="false">IF(RHO_ARCH!M11="","",IF(RHO_ARCH!M11&gt;INPUTS!$B$10,"NG",IF(RHO_ARCH!M11&gt;INPUTS!$B$9,"HEAVY","OK")))</f>
        <v>OK</v>
      </c>
      <c r="N11" s="4" t="str">
        <f aca="false">IF(RHO_ARCH!N11="","",IF(RHO_ARCH!N11&gt;INPUTS!$B$10,"NG",IF(RHO_ARCH!N11&gt;INPUTS!$B$9,"HEAVY","OK")))</f>
        <v>OK</v>
      </c>
      <c r="O11" s="4" t="str">
        <f aca="false">IF(RHO_ARCH!O11="","",IF(RHO_ARCH!O11&gt;INPUTS!$B$10,"NG",IF(RHO_ARCH!O11&gt;INPUTS!$B$9,"HEAVY","OK")))</f>
        <v>OK</v>
      </c>
      <c r="P11" s="4" t="str">
        <f aca="false">IF(RHO_ARCH!P11="","",IF(RHO_ARCH!P11&gt;INPUTS!$B$10,"NG",IF(RHO_ARCH!P11&gt;INPUTS!$B$9,"HEAVY","OK")))</f>
        <v>OK</v>
      </c>
    </row>
    <row r="12" customFormat="false" ht="15" hidden="false" customHeight="false" outlineLevel="0" collapsed="false">
      <c r="A12" s="11" t="str">
        <f aca="false">TRIB!A12</f>
        <v>C11</v>
      </c>
      <c r="B12" s="14" t="n">
        <f aca="false">TRIB!B12</f>
        <v>363.126755392121</v>
      </c>
      <c r="C12" s="14" t="n">
        <f aca="false">TRIB!C12</f>
        <v>569.166970355174</v>
      </c>
      <c r="D12" s="11" t="str">
        <f aca="false">TRIB!D12</f>
        <v>A</v>
      </c>
      <c r="E12" s="4" t="str">
        <f aca="false">IF(RHO_ARCH!E12="","",IF(RHO_ARCH!E12&gt;INPUTS!$B$10,"NG",IF(RHO_ARCH!E12&gt;INPUTS!$B$9,"HEAVY","OK")))</f>
        <v/>
      </c>
      <c r="F12" s="4" t="str">
        <f aca="false">IF(RHO_ARCH!F12="","",IF(RHO_ARCH!F12&gt;INPUTS!$B$10,"NG",IF(RHO_ARCH!F12&gt;INPUTS!$B$9,"HEAVY","OK")))</f>
        <v>OK</v>
      </c>
      <c r="G12" s="4" t="str">
        <f aca="false">IF(RHO_ARCH!G12="","",IF(RHO_ARCH!G12&gt;INPUTS!$B$10,"NG",IF(RHO_ARCH!G12&gt;INPUTS!$B$9,"HEAVY","OK")))</f>
        <v>OK</v>
      </c>
      <c r="H12" s="4" t="str">
        <f aca="false">IF(RHO_ARCH!H12="","",IF(RHO_ARCH!H12&gt;INPUTS!$B$10,"NG",IF(RHO_ARCH!H12&gt;INPUTS!$B$9,"HEAVY","OK")))</f>
        <v>OK</v>
      </c>
      <c r="I12" s="4" t="str">
        <f aca="false">IF(RHO_ARCH!I12="","",IF(RHO_ARCH!I12&gt;INPUTS!$B$10,"NG",IF(RHO_ARCH!I12&gt;INPUTS!$B$9,"HEAVY","OK")))</f>
        <v>OK</v>
      </c>
      <c r="J12" s="4" t="str">
        <f aca="false">IF(RHO_ARCH!J12="","",IF(RHO_ARCH!J12&gt;INPUTS!$B$10,"NG",IF(RHO_ARCH!J12&gt;INPUTS!$B$9,"HEAVY","OK")))</f>
        <v>OK</v>
      </c>
      <c r="K12" s="4" t="str">
        <f aca="false">IF(RHO_ARCH!K12="","",IF(RHO_ARCH!K12&gt;INPUTS!$B$10,"NG",IF(RHO_ARCH!K12&gt;INPUTS!$B$9,"HEAVY","OK")))</f>
        <v>OK</v>
      </c>
      <c r="L12" s="4" t="str">
        <f aca="false">IF(RHO_ARCH!L12="","",IF(RHO_ARCH!L12&gt;INPUTS!$B$10,"NG",IF(RHO_ARCH!L12&gt;INPUTS!$B$9,"HEAVY","OK")))</f>
        <v>OK</v>
      </c>
      <c r="M12" s="4" t="str">
        <f aca="false">IF(RHO_ARCH!M12="","",IF(RHO_ARCH!M12&gt;INPUTS!$B$10,"NG",IF(RHO_ARCH!M12&gt;INPUTS!$B$9,"HEAVY","OK")))</f>
        <v>OK</v>
      </c>
      <c r="N12" s="4" t="str">
        <f aca="false">IF(RHO_ARCH!N12="","",IF(RHO_ARCH!N12&gt;INPUTS!$B$10,"NG",IF(RHO_ARCH!N12&gt;INPUTS!$B$9,"HEAVY","OK")))</f>
        <v>OK</v>
      </c>
      <c r="O12" s="4" t="str">
        <f aca="false">IF(RHO_ARCH!O12="","",IF(RHO_ARCH!O12&gt;INPUTS!$B$10,"NG",IF(RHO_ARCH!O12&gt;INPUTS!$B$9,"HEAVY","OK")))</f>
        <v>OK</v>
      </c>
      <c r="P12" s="4" t="str">
        <f aca="false">IF(RHO_ARCH!P12="","",IF(RHO_ARCH!P12&gt;INPUTS!$B$10,"NG",IF(RHO_ARCH!P12&gt;INPUTS!$B$9,"HEAVY","OK")))</f>
        <v>OK</v>
      </c>
    </row>
    <row r="13" customFormat="false" ht="15" hidden="false" customHeight="false" outlineLevel="0" collapsed="false">
      <c r="A13" s="11" t="str">
        <f aca="false">TRIB!A13</f>
        <v>C12</v>
      </c>
      <c r="B13" s="14" t="n">
        <f aca="false">TRIB!B13</f>
        <v>366.752767471686</v>
      </c>
      <c r="C13" s="14" t="n">
        <f aca="false">TRIB!C13</f>
        <v>517.319297596602</v>
      </c>
      <c r="D13" s="11" t="str">
        <f aca="false">TRIB!D13</f>
        <v>A</v>
      </c>
      <c r="E13" s="4" t="str">
        <f aca="false">IF(RHO_ARCH!E13="","",IF(RHO_ARCH!E13&gt;INPUTS!$B$10,"NG",IF(RHO_ARCH!E13&gt;INPUTS!$B$9,"HEAVY","OK")))</f>
        <v/>
      </c>
      <c r="F13" s="4" t="str">
        <f aca="false">IF(RHO_ARCH!F13="","",IF(RHO_ARCH!F13&gt;INPUTS!$B$10,"NG",IF(RHO_ARCH!F13&gt;INPUTS!$B$9,"HEAVY","OK")))</f>
        <v>OK</v>
      </c>
      <c r="G13" s="4" t="str">
        <f aca="false">IF(RHO_ARCH!G13="","",IF(RHO_ARCH!G13&gt;INPUTS!$B$10,"NG",IF(RHO_ARCH!G13&gt;INPUTS!$B$9,"HEAVY","OK")))</f>
        <v>OK</v>
      </c>
      <c r="H13" s="4" t="str">
        <f aca="false">IF(RHO_ARCH!H13="","",IF(RHO_ARCH!H13&gt;INPUTS!$B$10,"NG",IF(RHO_ARCH!H13&gt;INPUTS!$B$9,"HEAVY","OK")))</f>
        <v>OK</v>
      </c>
      <c r="I13" s="4" t="str">
        <f aca="false">IF(RHO_ARCH!I13="","",IF(RHO_ARCH!I13&gt;INPUTS!$B$10,"NG",IF(RHO_ARCH!I13&gt;INPUTS!$B$9,"HEAVY","OK")))</f>
        <v>OK</v>
      </c>
      <c r="J13" s="4" t="str">
        <f aca="false">IF(RHO_ARCH!J13="","",IF(RHO_ARCH!J13&gt;INPUTS!$B$10,"NG",IF(RHO_ARCH!J13&gt;INPUTS!$B$9,"HEAVY","OK")))</f>
        <v>OK</v>
      </c>
      <c r="K13" s="4" t="str">
        <f aca="false">IF(RHO_ARCH!K13="","",IF(RHO_ARCH!K13&gt;INPUTS!$B$10,"NG",IF(RHO_ARCH!K13&gt;INPUTS!$B$9,"HEAVY","OK")))</f>
        <v>OK</v>
      </c>
      <c r="L13" s="4" t="str">
        <f aca="false">IF(RHO_ARCH!L13="","",IF(RHO_ARCH!L13&gt;INPUTS!$B$10,"NG",IF(RHO_ARCH!L13&gt;INPUTS!$B$9,"HEAVY","OK")))</f>
        <v>OK</v>
      </c>
      <c r="M13" s="4" t="str">
        <f aca="false">IF(RHO_ARCH!M13="","",IF(RHO_ARCH!M13&gt;INPUTS!$B$10,"NG",IF(RHO_ARCH!M13&gt;INPUTS!$B$9,"HEAVY","OK")))</f>
        <v>OK</v>
      </c>
      <c r="N13" s="4" t="str">
        <f aca="false">IF(RHO_ARCH!N13="","",IF(RHO_ARCH!N13&gt;INPUTS!$B$10,"NG",IF(RHO_ARCH!N13&gt;INPUTS!$B$9,"HEAVY","OK")))</f>
        <v>OK</v>
      </c>
      <c r="O13" s="4" t="str">
        <f aca="false">IF(RHO_ARCH!O13="","",IF(RHO_ARCH!O13&gt;INPUTS!$B$10,"NG",IF(RHO_ARCH!O13&gt;INPUTS!$B$9,"HEAVY","OK")))</f>
        <v>OK</v>
      </c>
      <c r="P13" s="4" t="str">
        <f aca="false">IF(RHO_ARCH!P13="","",IF(RHO_ARCH!P13&gt;INPUTS!$B$10,"NG",IF(RHO_ARCH!P13&gt;INPUTS!$B$9,"HEAVY","OK")))</f>
        <v>OK</v>
      </c>
    </row>
    <row r="14" customFormat="false" ht="15" hidden="false" customHeight="false" outlineLevel="0" collapsed="false">
      <c r="A14" s="11" t="str">
        <f aca="false">TRIB!A14</f>
        <v>C13</v>
      </c>
      <c r="B14" s="14" t="n">
        <f aca="false">TRIB!B14</f>
        <v>369.207302537249</v>
      </c>
      <c r="C14" s="14" t="n">
        <f aca="false">TRIB!C14</f>
        <v>565.39678569998</v>
      </c>
      <c r="D14" s="11" t="str">
        <f aca="false">TRIB!D14</f>
        <v>A</v>
      </c>
      <c r="E14" s="4" t="str">
        <f aca="false">IF(RHO_ARCH!E14="","",IF(RHO_ARCH!E14&gt;INPUTS!$B$10,"NG",IF(RHO_ARCH!E14&gt;INPUTS!$B$9,"HEAVY","OK")))</f>
        <v/>
      </c>
      <c r="F14" s="4" t="str">
        <f aca="false">IF(RHO_ARCH!F14="","",IF(RHO_ARCH!F14&gt;INPUTS!$B$10,"NG",IF(RHO_ARCH!F14&gt;INPUTS!$B$9,"HEAVY","OK")))</f>
        <v>OK</v>
      </c>
      <c r="G14" s="4" t="str">
        <f aca="false">IF(RHO_ARCH!G14="","",IF(RHO_ARCH!G14&gt;INPUTS!$B$10,"NG",IF(RHO_ARCH!G14&gt;INPUTS!$B$9,"HEAVY","OK")))</f>
        <v>OK</v>
      </c>
      <c r="H14" s="4" t="str">
        <f aca="false">IF(RHO_ARCH!H14="","",IF(RHO_ARCH!H14&gt;INPUTS!$B$10,"NG",IF(RHO_ARCH!H14&gt;INPUTS!$B$9,"HEAVY","OK")))</f>
        <v>OK</v>
      </c>
      <c r="I14" s="4" t="str">
        <f aca="false">IF(RHO_ARCH!I14="","",IF(RHO_ARCH!I14&gt;INPUTS!$B$10,"NG",IF(RHO_ARCH!I14&gt;INPUTS!$B$9,"HEAVY","OK")))</f>
        <v>OK</v>
      </c>
      <c r="J14" s="4" t="str">
        <f aca="false">IF(RHO_ARCH!J14="","",IF(RHO_ARCH!J14&gt;INPUTS!$B$10,"NG",IF(RHO_ARCH!J14&gt;INPUTS!$B$9,"HEAVY","OK")))</f>
        <v>OK</v>
      </c>
      <c r="K14" s="4" t="str">
        <f aca="false">IF(RHO_ARCH!K14="","",IF(RHO_ARCH!K14&gt;INPUTS!$B$10,"NG",IF(RHO_ARCH!K14&gt;INPUTS!$B$9,"HEAVY","OK")))</f>
        <v>OK</v>
      </c>
      <c r="L14" s="4" t="str">
        <f aca="false">IF(RHO_ARCH!L14="","",IF(RHO_ARCH!L14&gt;INPUTS!$B$10,"NG",IF(RHO_ARCH!L14&gt;INPUTS!$B$9,"HEAVY","OK")))</f>
        <v>OK</v>
      </c>
      <c r="M14" s="4" t="str">
        <f aca="false">IF(RHO_ARCH!M14="","",IF(RHO_ARCH!M14&gt;INPUTS!$B$10,"NG",IF(RHO_ARCH!M14&gt;INPUTS!$B$9,"HEAVY","OK")))</f>
        <v>OK</v>
      </c>
      <c r="N14" s="4" t="str">
        <f aca="false">IF(RHO_ARCH!N14="","",IF(RHO_ARCH!N14&gt;INPUTS!$B$10,"NG",IF(RHO_ARCH!N14&gt;INPUTS!$B$9,"HEAVY","OK")))</f>
        <v>OK</v>
      </c>
      <c r="O14" s="4" t="str">
        <f aca="false">IF(RHO_ARCH!O14="","",IF(RHO_ARCH!O14&gt;INPUTS!$B$10,"NG",IF(RHO_ARCH!O14&gt;INPUTS!$B$9,"HEAVY","OK")))</f>
        <v>OK</v>
      </c>
      <c r="P14" s="4" t="str">
        <f aca="false">IF(RHO_ARCH!P14="","",IF(RHO_ARCH!P14&gt;INPUTS!$B$10,"NG",IF(RHO_ARCH!P14&gt;INPUTS!$B$9,"HEAVY","OK")))</f>
        <v>OK</v>
      </c>
    </row>
    <row r="15" customFormat="false" ht="15" hidden="false" customHeight="false" outlineLevel="0" collapsed="false">
      <c r="A15" s="11" t="str">
        <f aca="false">TRIB!A15</f>
        <v>C14</v>
      </c>
      <c r="B15" s="14" t="n">
        <f aca="false">TRIB!B15</f>
        <v>379.786724399702</v>
      </c>
      <c r="C15" s="14" t="n">
        <f aca="false">TRIB!C15</f>
        <v>488.140412810069</v>
      </c>
      <c r="D15" s="11" t="str">
        <f aca="false">TRIB!D15</f>
        <v>A</v>
      </c>
      <c r="E15" s="4" t="str">
        <f aca="false">IF(RHO_ARCH!E15="","",IF(RHO_ARCH!E15&gt;INPUTS!$B$10,"NG",IF(RHO_ARCH!E15&gt;INPUTS!$B$9,"HEAVY","OK")))</f>
        <v/>
      </c>
      <c r="F15" s="4" t="str">
        <f aca="false">IF(RHO_ARCH!F15="","",IF(RHO_ARCH!F15&gt;INPUTS!$B$10,"NG",IF(RHO_ARCH!F15&gt;INPUTS!$B$9,"HEAVY","OK")))</f>
        <v>OK</v>
      </c>
      <c r="G15" s="4" t="str">
        <f aca="false">IF(RHO_ARCH!G15="","",IF(RHO_ARCH!G15&gt;INPUTS!$B$10,"NG",IF(RHO_ARCH!G15&gt;INPUTS!$B$9,"HEAVY","OK")))</f>
        <v>OK</v>
      </c>
      <c r="H15" s="4" t="str">
        <f aca="false">IF(RHO_ARCH!H15="","",IF(RHO_ARCH!H15&gt;INPUTS!$B$10,"NG",IF(RHO_ARCH!H15&gt;INPUTS!$B$9,"HEAVY","OK")))</f>
        <v>OK</v>
      </c>
      <c r="I15" s="4" t="str">
        <f aca="false">IF(RHO_ARCH!I15="","",IF(RHO_ARCH!I15&gt;INPUTS!$B$10,"NG",IF(RHO_ARCH!I15&gt;INPUTS!$B$9,"HEAVY","OK")))</f>
        <v>OK</v>
      </c>
      <c r="J15" s="4" t="str">
        <f aca="false">IF(RHO_ARCH!J15="","",IF(RHO_ARCH!J15&gt;INPUTS!$B$10,"NG",IF(RHO_ARCH!J15&gt;INPUTS!$B$9,"HEAVY","OK")))</f>
        <v>OK</v>
      </c>
      <c r="K15" s="4" t="str">
        <f aca="false">IF(RHO_ARCH!K15="","",IF(RHO_ARCH!K15&gt;INPUTS!$B$10,"NG",IF(RHO_ARCH!K15&gt;INPUTS!$B$9,"HEAVY","OK")))</f>
        <v>OK</v>
      </c>
      <c r="L15" s="4" t="str">
        <f aca="false">IF(RHO_ARCH!L15="","",IF(RHO_ARCH!L15&gt;INPUTS!$B$10,"NG",IF(RHO_ARCH!L15&gt;INPUTS!$B$9,"HEAVY","OK")))</f>
        <v>OK</v>
      </c>
      <c r="M15" s="4" t="str">
        <f aca="false">IF(RHO_ARCH!M15="","",IF(RHO_ARCH!M15&gt;INPUTS!$B$10,"NG",IF(RHO_ARCH!M15&gt;INPUTS!$B$9,"HEAVY","OK")))</f>
        <v>OK</v>
      </c>
      <c r="N15" s="4" t="str">
        <f aca="false">IF(RHO_ARCH!N15="","",IF(RHO_ARCH!N15&gt;INPUTS!$B$10,"NG",IF(RHO_ARCH!N15&gt;INPUTS!$B$9,"HEAVY","OK")))</f>
        <v>OK</v>
      </c>
      <c r="O15" s="4" t="str">
        <f aca="false">IF(RHO_ARCH!O15="","",IF(RHO_ARCH!O15&gt;INPUTS!$B$10,"NG",IF(RHO_ARCH!O15&gt;INPUTS!$B$9,"HEAVY","OK")))</f>
        <v>OK</v>
      </c>
      <c r="P15" s="4" t="str">
        <f aca="false">IF(RHO_ARCH!P15="","",IF(RHO_ARCH!P15&gt;INPUTS!$B$10,"NG",IF(RHO_ARCH!P15&gt;INPUTS!$B$9,"HEAVY","OK")))</f>
        <v>OK</v>
      </c>
    </row>
    <row r="16" customFormat="false" ht="15" hidden="false" customHeight="false" outlineLevel="0" collapsed="false">
      <c r="A16" s="11" t="str">
        <f aca="false">TRIB!A16</f>
        <v>C15</v>
      </c>
      <c r="B16" s="14" t="n">
        <f aca="false">TRIB!B16</f>
        <v>386.330742976847</v>
      </c>
      <c r="C16" s="14" t="n">
        <f aca="false">TRIB!C16</f>
        <v>500.060834953388</v>
      </c>
      <c r="D16" s="11" t="str">
        <f aca="false">TRIB!D16</f>
        <v>A</v>
      </c>
      <c r="E16" s="4" t="str">
        <f aca="false">IF(RHO_ARCH!E16="","",IF(RHO_ARCH!E16&gt;INPUTS!$B$10,"NG",IF(RHO_ARCH!E16&gt;INPUTS!$B$9,"HEAVY","OK")))</f>
        <v/>
      </c>
      <c r="F16" s="4" t="str">
        <f aca="false">IF(RHO_ARCH!F16="","",IF(RHO_ARCH!F16&gt;INPUTS!$B$10,"NG",IF(RHO_ARCH!F16&gt;INPUTS!$B$9,"HEAVY","OK")))</f>
        <v>OK</v>
      </c>
      <c r="G16" s="4" t="str">
        <f aca="false">IF(RHO_ARCH!G16="","",IF(RHO_ARCH!G16&gt;INPUTS!$B$10,"NG",IF(RHO_ARCH!G16&gt;INPUTS!$B$9,"HEAVY","OK")))</f>
        <v>OK</v>
      </c>
      <c r="H16" s="4" t="str">
        <f aca="false">IF(RHO_ARCH!H16="","",IF(RHO_ARCH!H16&gt;INPUTS!$B$10,"NG",IF(RHO_ARCH!H16&gt;INPUTS!$B$9,"HEAVY","OK")))</f>
        <v>OK</v>
      </c>
      <c r="I16" s="4" t="str">
        <f aca="false">IF(RHO_ARCH!I16="","",IF(RHO_ARCH!I16&gt;INPUTS!$B$10,"NG",IF(RHO_ARCH!I16&gt;INPUTS!$B$9,"HEAVY","OK")))</f>
        <v>OK</v>
      </c>
      <c r="J16" s="4" t="str">
        <f aca="false">IF(RHO_ARCH!J16="","",IF(RHO_ARCH!J16&gt;INPUTS!$B$10,"NG",IF(RHO_ARCH!J16&gt;INPUTS!$B$9,"HEAVY","OK")))</f>
        <v>OK</v>
      </c>
      <c r="K16" s="4" t="str">
        <f aca="false">IF(RHO_ARCH!K16="","",IF(RHO_ARCH!K16&gt;INPUTS!$B$10,"NG",IF(RHO_ARCH!K16&gt;INPUTS!$B$9,"HEAVY","OK")))</f>
        <v>OK</v>
      </c>
      <c r="L16" s="4" t="str">
        <f aca="false">IF(RHO_ARCH!L16="","",IF(RHO_ARCH!L16&gt;INPUTS!$B$10,"NG",IF(RHO_ARCH!L16&gt;INPUTS!$B$9,"HEAVY","OK")))</f>
        <v>OK</v>
      </c>
      <c r="M16" s="4" t="str">
        <f aca="false">IF(RHO_ARCH!M16="","",IF(RHO_ARCH!M16&gt;INPUTS!$B$10,"NG",IF(RHO_ARCH!M16&gt;INPUTS!$B$9,"HEAVY","OK")))</f>
        <v>OK</v>
      </c>
      <c r="N16" s="4" t="str">
        <f aca="false">IF(RHO_ARCH!N16="","",IF(RHO_ARCH!N16&gt;INPUTS!$B$10,"NG",IF(RHO_ARCH!N16&gt;INPUTS!$B$9,"HEAVY","OK")))</f>
        <v>OK</v>
      </c>
      <c r="O16" s="4" t="str">
        <f aca="false">IF(RHO_ARCH!O16="","",IF(RHO_ARCH!O16&gt;INPUTS!$B$10,"NG",IF(RHO_ARCH!O16&gt;INPUTS!$B$9,"HEAVY","OK")))</f>
        <v>OK</v>
      </c>
      <c r="P16" s="4" t="str">
        <f aca="false">IF(RHO_ARCH!P16="","",IF(RHO_ARCH!P16&gt;INPUTS!$B$10,"NG",IF(RHO_ARCH!P16&gt;INPUTS!$B$9,"HEAVY","OK")))</f>
        <v>OK</v>
      </c>
    </row>
    <row r="17" customFormat="false" ht="15" hidden="false" customHeight="false" outlineLevel="0" collapsed="false">
      <c r="A17" s="11" t="str">
        <f aca="false">TRIB!A17</f>
        <v>C16</v>
      </c>
      <c r="B17" s="14" t="n">
        <f aca="false">TRIB!B17</f>
        <v>391.081899120041</v>
      </c>
      <c r="C17" s="14" t="n">
        <f aca="false">TRIB!C17</f>
        <v>483.592898305903</v>
      </c>
      <c r="D17" s="11" t="str">
        <f aca="false">TRIB!D17</f>
        <v>A</v>
      </c>
      <c r="E17" s="4" t="str">
        <f aca="false">IF(RHO_ARCH!E17="","",IF(RHO_ARCH!E17&gt;INPUTS!$B$10,"NG",IF(RHO_ARCH!E17&gt;INPUTS!$B$9,"HEAVY","OK")))</f>
        <v/>
      </c>
      <c r="F17" s="4" t="str">
        <f aca="false">IF(RHO_ARCH!F17="","",IF(RHO_ARCH!F17&gt;INPUTS!$B$10,"NG",IF(RHO_ARCH!F17&gt;INPUTS!$B$9,"HEAVY","OK")))</f>
        <v>OK</v>
      </c>
      <c r="G17" s="4" t="str">
        <f aca="false">IF(RHO_ARCH!G17="","",IF(RHO_ARCH!G17&gt;INPUTS!$B$10,"NG",IF(RHO_ARCH!G17&gt;INPUTS!$B$9,"HEAVY","OK")))</f>
        <v>OK</v>
      </c>
      <c r="H17" s="4" t="str">
        <f aca="false">IF(RHO_ARCH!H17="","",IF(RHO_ARCH!H17&gt;INPUTS!$B$10,"NG",IF(RHO_ARCH!H17&gt;INPUTS!$B$9,"HEAVY","OK")))</f>
        <v>OK</v>
      </c>
      <c r="I17" s="4" t="str">
        <f aca="false">IF(RHO_ARCH!I17="","",IF(RHO_ARCH!I17&gt;INPUTS!$B$10,"NG",IF(RHO_ARCH!I17&gt;INPUTS!$B$9,"HEAVY","OK")))</f>
        <v>OK</v>
      </c>
      <c r="J17" s="4" t="str">
        <f aca="false">IF(RHO_ARCH!J17="","",IF(RHO_ARCH!J17&gt;INPUTS!$B$10,"NG",IF(RHO_ARCH!J17&gt;INPUTS!$B$9,"HEAVY","OK")))</f>
        <v>OK</v>
      </c>
      <c r="K17" s="4" t="str">
        <f aca="false">IF(RHO_ARCH!K17="","",IF(RHO_ARCH!K17&gt;INPUTS!$B$10,"NG",IF(RHO_ARCH!K17&gt;INPUTS!$B$9,"HEAVY","OK")))</f>
        <v>OK</v>
      </c>
      <c r="L17" s="4" t="str">
        <f aca="false">IF(RHO_ARCH!L17="","",IF(RHO_ARCH!L17&gt;INPUTS!$B$10,"NG",IF(RHO_ARCH!L17&gt;INPUTS!$B$9,"HEAVY","OK")))</f>
        <v>OK</v>
      </c>
      <c r="M17" s="4" t="str">
        <f aca="false">IF(RHO_ARCH!M17="","",IF(RHO_ARCH!M17&gt;INPUTS!$B$10,"NG",IF(RHO_ARCH!M17&gt;INPUTS!$B$9,"HEAVY","OK")))</f>
        <v>OK</v>
      </c>
      <c r="N17" s="4" t="str">
        <f aca="false">IF(RHO_ARCH!N17="","",IF(RHO_ARCH!N17&gt;INPUTS!$B$10,"NG",IF(RHO_ARCH!N17&gt;INPUTS!$B$9,"HEAVY","OK")))</f>
        <v>OK</v>
      </c>
      <c r="O17" s="4" t="str">
        <f aca="false">IF(RHO_ARCH!O17="","",IF(RHO_ARCH!O17&gt;INPUTS!$B$10,"NG",IF(RHO_ARCH!O17&gt;INPUTS!$B$9,"HEAVY","OK")))</f>
        <v>OK</v>
      </c>
      <c r="P17" s="4" t="str">
        <f aca="false">IF(RHO_ARCH!P17="","",IF(RHO_ARCH!P17&gt;INPUTS!$B$10,"NG",IF(RHO_ARCH!P17&gt;INPUTS!$B$9,"HEAVY","OK")))</f>
        <v>OK</v>
      </c>
    </row>
    <row r="18" customFormat="false" ht="15" hidden="false" customHeight="false" outlineLevel="0" collapsed="false">
      <c r="A18" s="11" t="str">
        <f aca="false">TRIB!A18</f>
        <v>C17</v>
      </c>
      <c r="B18" s="14" t="n">
        <f aca="false">TRIB!B18</f>
        <v>398.967170608449</v>
      </c>
      <c r="C18" s="14" t="n">
        <f aca="false">TRIB!C18</f>
        <v>501.197239212386</v>
      </c>
      <c r="D18" s="11" t="str">
        <f aca="false">TRIB!D18</f>
        <v>A</v>
      </c>
      <c r="E18" s="4" t="str">
        <f aca="false">IF(RHO_ARCH!E18="","",IF(RHO_ARCH!E18&gt;INPUTS!$B$10,"NG",IF(RHO_ARCH!E18&gt;INPUTS!$B$9,"HEAVY","OK")))</f>
        <v/>
      </c>
      <c r="F18" s="4" t="str">
        <f aca="false">IF(RHO_ARCH!F18="","",IF(RHO_ARCH!F18&gt;INPUTS!$B$10,"NG",IF(RHO_ARCH!F18&gt;INPUTS!$B$9,"HEAVY","OK")))</f>
        <v>OK</v>
      </c>
      <c r="G18" s="4" t="str">
        <f aca="false">IF(RHO_ARCH!G18="","",IF(RHO_ARCH!G18&gt;INPUTS!$B$10,"NG",IF(RHO_ARCH!G18&gt;INPUTS!$B$9,"HEAVY","OK")))</f>
        <v>OK</v>
      </c>
      <c r="H18" s="4" t="str">
        <f aca="false">IF(RHO_ARCH!H18="","",IF(RHO_ARCH!H18&gt;INPUTS!$B$10,"NG",IF(RHO_ARCH!H18&gt;INPUTS!$B$9,"HEAVY","OK")))</f>
        <v>OK</v>
      </c>
      <c r="I18" s="4" t="str">
        <f aca="false">IF(RHO_ARCH!I18="","",IF(RHO_ARCH!I18&gt;INPUTS!$B$10,"NG",IF(RHO_ARCH!I18&gt;INPUTS!$B$9,"HEAVY","OK")))</f>
        <v>OK</v>
      </c>
      <c r="J18" s="4" t="str">
        <f aca="false">IF(RHO_ARCH!J18="","",IF(RHO_ARCH!J18&gt;INPUTS!$B$10,"NG",IF(RHO_ARCH!J18&gt;INPUTS!$B$9,"HEAVY","OK")))</f>
        <v>OK</v>
      </c>
      <c r="K18" s="4" t="str">
        <f aca="false">IF(RHO_ARCH!K18="","",IF(RHO_ARCH!K18&gt;INPUTS!$B$10,"NG",IF(RHO_ARCH!K18&gt;INPUTS!$B$9,"HEAVY","OK")))</f>
        <v>OK</v>
      </c>
      <c r="L18" s="4" t="str">
        <f aca="false">IF(RHO_ARCH!L18="","",IF(RHO_ARCH!L18&gt;INPUTS!$B$10,"NG",IF(RHO_ARCH!L18&gt;INPUTS!$B$9,"HEAVY","OK")))</f>
        <v>OK</v>
      </c>
      <c r="M18" s="4" t="str">
        <f aca="false">IF(RHO_ARCH!M18="","",IF(RHO_ARCH!M18&gt;INPUTS!$B$10,"NG",IF(RHO_ARCH!M18&gt;INPUTS!$B$9,"HEAVY","OK")))</f>
        <v>OK</v>
      </c>
      <c r="N18" s="4" t="str">
        <f aca="false">IF(RHO_ARCH!N18="","",IF(RHO_ARCH!N18&gt;INPUTS!$B$10,"NG",IF(RHO_ARCH!N18&gt;INPUTS!$B$9,"HEAVY","OK")))</f>
        <v>OK</v>
      </c>
      <c r="O18" s="4" t="str">
        <f aca="false">IF(RHO_ARCH!O18="","",IF(RHO_ARCH!O18&gt;INPUTS!$B$10,"NG",IF(RHO_ARCH!O18&gt;INPUTS!$B$9,"HEAVY","OK")))</f>
        <v>OK</v>
      </c>
      <c r="P18" s="4" t="str">
        <f aca="false">IF(RHO_ARCH!P18="","",IF(RHO_ARCH!P18&gt;INPUTS!$B$10,"NG",IF(RHO_ARCH!P18&gt;INPUTS!$B$9,"HEAVY","OK")))</f>
        <v>OK</v>
      </c>
    </row>
    <row r="19" customFormat="false" ht="15" hidden="false" customHeight="false" outlineLevel="0" collapsed="false">
      <c r="A19" s="11" t="str">
        <f aca="false">TRIB!A19</f>
        <v>C18</v>
      </c>
      <c r="B19" s="14" t="n">
        <f aca="false">TRIB!B19</f>
        <v>403.378362240773</v>
      </c>
      <c r="C19" s="14" t="n">
        <f aca="false">TRIB!C19</f>
        <v>519.696519141971</v>
      </c>
      <c r="D19" s="11" t="str">
        <f aca="false">TRIB!D19</f>
        <v>A</v>
      </c>
      <c r="E19" s="4" t="str">
        <f aca="false">IF(RHO_ARCH!E19="","",IF(RHO_ARCH!E19&gt;INPUTS!$B$10,"NG",IF(RHO_ARCH!E19&gt;INPUTS!$B$9,"HEAVY","OK")))</f>
        <v/>
      </c>
      <c r="F19" s="4" t="str">
        <f aca="false">IF(RHO_ARCH!F19="","",IF(RHO_ARCH!F19&gt;INPUTS!$B$10,"NG",IF(RHO_ARCH!F19&gt;INPUTS!$B$9,"HEAVY","OK")))</f>
        <v>OK</v>
      </c>
      <c r="G19" s="4" t="str">
        <f aca="false">IF(RHO_ARCH!G19="","",IF(RHO_ARCH!G19&gt;INPUTS!$B$10,"NG",IF(RHO_ARCH!G19&gt;INPUTS!$B$9,"HEAVY","OK")))</f>
        <v>OK</v>
      </c>
      <c r="H19" s="4" t="str">
        <f aca="false">IF(RHO_ARCH!H19="","",IF(RHO_ARCH!H19&gt;INPUTS!$B$10,"NG",IF(RHO_ARCH!H19&gt;INPUTS!$B$9,"HEAVY","OK")))</f>
        <v>OK</v>
      </c>
      <c r="I19" s="4" t="str">
        <f aca="false">IF(RHO_ARCH!I19="","",IF(RHO_ARCH!I19&gt;INPUTS!$B$10,"NG",IF(RHO_ARCH!I19&gt;INPUTS!$B$9,"HEAVY","OK")))</f>
        <v>OK</v>
      </c>
      <c r="J19" s="4" t="str">
        <f aca="false">IF(RHO_ARCH!J19="","",IF(RHO_ARCH!J19&gt;INPUTS!$B$10,"NG",IF(RHO_ARCH!J19&gt;INPUTS!$B$9,"HEAVY","OK")))</f>
        <v>OK</v>
      </c>
      <c r="K19" s="4" t="str">
        <f aca="false">IF(RHO_ARCH!K19="","",IF(RHO_ARCH!K19&gt;INPUTS!$B$10,"NG",IF(RHO_ARCH!K19&gt;INPUTS!$B$9,"HEAVY","OK")))</f>
        <v>OK</v>
      </c>
      <c r="L19" s="4" t="str">
        <f aca="false">IF(RHO_ARCH!L19="","",IF(RHO_ARCH!L19&gt;INPUTS!$B$10,"NG",IF(RHO_ARCH!L19&gt;INPUTS!$B$9,"HEAVY","OK")))</f>
        <v>OK</v>
      </c>
      <c r="M19" s="4" t="str">
        <f aca="false">IF(RHO_ARCH!M19="","",IF(RHO_ARCH!M19&gt;INPUTS!$B$10,"NG",IF(RHO_ARCH!M19&gt;INPUTS!$B$9,"HEAVY","OK")))</f>
        <v>OK</v>
      </c>
      <c r="N19" s="4" t="str">
        <f aca="false">IF(RHO_ARCH!N19="","",IF(RHO_ARCH!N19&gt;INPUTS!$B$10,"NG",IF(RHO_ARCH!N19&gt;INPUTS!$B$9,"HEAVY","OK")))</f>
        <v>OK</v>
      </c>
      <c r="O19" s="4" t="str">
        <f aca="false">IF(RHO_ARCH!O19="","",IF(RHO_ARCH!O19&gt;INPUTS!$B$10,"NG",IF(RHO_ARCH!O19&gt;INPUTS!$B$9,"HEAVY","OK")))</f>
        <v>OK</v>
      </c>
      <c r="P19" s="4" t="str">
        <f aca="false">IF(RHO_ARCH!P19="","",IF(RHO_ARCH!P19&gt;INPUTS!$B$10,"NG",IF(RHO_ARCH!P19&gt;INPUTS!$B$9,"HEAVY","OK")))</f>
        <v>OK</v>
      </c>
    </row>
    <row r="20" customFormat="false" ht="15" hidden="false" customHeight="false" outlineLevel="0" collapsed="false">
      <c r="A20" s="11" t="str">
        <f aca="false">TRIB!A20</f>
        <v>C19</v>
      </c>
      <c r="B20" s="14" t="n">
        <f aca="false">TRIB!B20</f>
        <v>403.562103449705</v>
      </c>
      <c r="C20" s="14" t="n">
        <f aca="false">TRIB!C20</f>
        <v>550.923874342351</v>
      </c>
      <c r="D20" s="11" t="str">
        <f aca="false">TRIB!D20</f>
        <v>A</v>
      </c>
      <c r="E20" s="4" t="str">
        <f aca="false">IF(RHO_ARCH!E20="","",IF(RHO_ARCH!E20&gt;INPUTS!$B$10,"NG",IF(RHO_ARCH!E20&gt;INPUTS!$B$9,"HEAVY","OK")))</f>
        <v/>
      </c>
      <c r="F20" s="4" t="str">
        <f aca="false">IF(RHO_ARCH!F20="","",IF(RHO_ARCH!F20&gt;INPUTS!$B$10,"NG",IF(RHO_ARCH!F20&gt;INPUTS!$B$9,"HEAVY","OK")))</f>
        <v>OK</v>
      </c>
      <c r="G20" s="4" t="str">
        <f aca="false">IF(RHO_ARCH!G20="","",IF(RHO_ARCH!G20&gt;INPUTS!$B$10,"NG",IF(RHO_ARCH!G20&gt;INPUTS!$B$9,"HEAVY","OK")))</f>
        <v>OK</v>
      </c>
      <c r="H20" s="4" t="str">
        <f aca="false">IF(RHO_ARCH!H20="","",IF(RHO_ARCH!H20&gt;INPUTS!$B$10,"NG",IF(RHO_ARCH!H20&gt;INPUTS!$B$9,"HEAVY","OK")))</f>
        <v>OK</v>
      </c>
      <c r="I20" s="4" t="str">
        <f aca="false">IF(RHO_ARCH!I20="","",IF(RHO_ARCH!I20&gt;INPUTS!$B$10,"NG",IF(RHO_ARCH!I20&gt;INPUTS!$B$9,"HEAVY","OK")))</f>
        <v>OK</v>
      </c>
      <c r="J20" s="4" t="str">
        <f aca="false">IF(RHO_ARCH!J20="","",IF(RHO_ARCH!J20&gt;INPUTS!$B$10,"NG",IF(RHO_ARCH!J20&gt;INPUTS!$B$9,"HEAVY","OK")))</f>
        <v>OK</v>
      </c>
      <c r="K20" s="4" t="str">
        <f aca="false">IF(RHO_ARCH!K20="","",IF(RHO_ARCH!K20&gt;INPUTS!$B$10,"NG",IF(RHO_ARCH!K20&gt;INPUTS!$B$9,"HEAVY","OK")))</f>
        <v>OK</v>
      </c>
      <c r="L20" s="4" t="str">
        <f aca="false">IF(RHO_ARCH!L20="","",IF(RHO_ARCH!L20&gt;INPUTS!$B$10,"NG",IF(RHO_ARCH!L20&gt;INPUTS!$B$9,"HEAVY","OK")))</f>
        <v>OK</v>
      </c>
      <c r="M20" s="4" t="str">
        <f aca="false">IF(RHO_ARCH!M20="","",IF(RHO_ARCH!M20&gt;INPUTS!$B$10,"NG",IF(RHO_ARCH!M20&gt;INPUTS!$B$9,"HEAVY","OK")))</f>
        <v>OK</v>
      </c>
      <c r="N20" s="4" t="str">
        <f aca="false">IF(RHO_ARCH!N20="","",IF(RHO_ARCH!N20&gt;INPUTS!$B$10,"NG",IF(RHO_ARCH!N20&gt;INPUTS!$B$9,"HEAVY","OK")))</f>
        <v>OK</v>
      </c>
      <c r="O20" s="4" t="str">
        <f aca="false">IF(RHO_ARCH!O20="","",IF(RHO_ARCH!O20&gt;INPUTS!$B$10,"NG",IF(RHO_ARCH!O20&gt;INPUTS!$B$9,"HEAVY","OK")))</f>
        <v>OK</v>
      </c>
      <c r="P20" s="4" t="str">
        <f aca="false">IF(RHO_ARCH!P20="","",IF(RHO_ARCH!P20&gt;INPUTS!$B$10,"NG",IF(RHO_ARCH!P20&gt;INPUTS!$B$9,"HEAVY","OK")))</f>
        <v>OK</v>
      </c>
    </row>
    <row r="21" customFormat="false" ht="15" hidden="false" customHeight="false" outlineLevel="0" collapsed="false">
      <c r="A21" s="11" t="str">
        <f aca="false">TRIB!A21</f>
        <v>C20</v>
      </c>
      <c r="B21" s="14" t="n">
        <f aca="false">TRIB!B21</f>
        <v>413.15488516594</v>
      </c>
      <c r="C21" s="14" t="n">
        <f aca="false">TRIB!C21</f>
        <v>540.713613547328</v>
      </c>
      <c r="D21" s="11" t="str">
        <f aca="false">TRIB!D21</f>
        <v>A</v>
      </c>
      <c r="E21" s="4" t="str">
        <f aca="false">IF(RHO_ARCH!E21="","",IF(RHO_ARCH!E21&gt;INPUTS!$B$10,"NG",IF(RHO_ARCH!E21&gt;INPUTS!$B$9,"HEAVY","OK")))</f>
        <v/>
      </c>
      <c r="F21" s="4" t="str">
        <f aca="false">IF(RHO_ARCH!F21="","",IF(RHO_ARCH!F21&gt;INPUTS!$B$10,"NG",IF(RHO_ARCH!F21&gt;INPUTS!$B$9,"HEAVY","OK")))</f>
        <v>OK</v>
      </c>
      <c r="G21" s="4" t="str">
        <f aca="false">IF(RHO_ARCH!G21="","",IF(RHO_ARCH!G21&gt;INPUTS!$B$10,"NG",IF(RHO_ARCH!G21&gt;INPUTS!$B$9,"HEAVY","OK")))</f>
        <v>OK</v>
      </c>
      <c r="H21" s="4" t="str">
        <f aca="false">IF(RHO_ARCH!H21="","",IF(RHO_ARCH!H21&gt;INPUTS!$B$10,"NG",IF(RHO_ARCH!H21&gt;INPUTS!$B$9,"HEAVY","OK")))</f>
        <v>OK</v>
      </c>
      <c r="I21" s="4" t="str">
        <f aca="false">IF(RHO_ARCH!I21="","",IF(RHO_ARCH!I21&gt;INPUTS!$B$10,"NG",IF(RHO_ARCH!I21&gt;INPUTS!$B$9,"HEAVY","OK")))</f>
        <v>OK</v>
      </c>
      <c r="J21" s="4" t="str">
        <f aca="false">IF(RHO_ARCH!J21="","",IF(RHO_ARCH!J21&gt;INPUTS!$B$10,"NG",IF(RHO_ARCH!J21&gt;INPUTS!$B$9,"HEAVY","OK")))</f>
        <v>OK</v>
      </c>
      <c r="K21" s="4" t="str">
        <f aca="false">IF(RHO_ARCH!K21="","",IF(RHO_ARCH!K21&gt;INPUTS!$B$10,"NG",IF(RHO_ARCH!K21&gt;INPUTS!$B$9,"HEAVY","OK")))</f>
        <v>OK</v>
      </c>
      <c r="L21" s="4" t="str">
        <f aca="false">IF(RHO_ARCH!L21="","",IF(RHO_ARCH!L21&gt;INPUTS!$B$10,"NG",IF(RHO_ARCH!L21&gt;INPUTS!$B$9,"HEAVY","OK")))</f>
        <v>OK</v>
      </c>
      <c r="M21" s="4" t="str">
        <f aca="false">IF(RHO_ARCH!M21="","",IF(RHO_ARCH!M21&gt;INPUTS!$B$10,"NG",IF(RHO_ARCH!M21&gt;INPUTS!$B$9,"HEAVY","OK")))</f>
        <v>OK</v>
      </c>
      <c r="N21" s="4" t="str">
        <f aca="false">IF(RHO_ARCH!N21="","",IF(RHO_ARCH!N21&gt;INPUTS!$B$10,"NG",IF(RHO_ARCH!N21&gt;INPUTS!$B$9,"HEAVY","OK")))</f>
        <v>OK</v>
      </c>
      <c r="O21" s="4" t="str">
        <f aca="false">IF(RHO_ARCH!O21="","",IF(RHO_ARCH!O21&gt;INPUTS!$B$10,"NG",IF(RHO_ARCH!O21&gt;INPUTS!$B$9,"HEAVY","OK")))</f>
        <v>OK</v>
      </c>
      <c r="P21" s="4" t="str">
        <f aca="false">IF(RHO_ARCH!P21="","",IF(RHO_ARCH!P21&gt;INPUTS!$B$10,"NG",IF(RHO_ARCH!P21&gt;INPUTS!$B$9,"HEAVY","OK")))</f>
        <v>OK</v>
      </c>
    </row>
    <row r="22" customFormat="false" ht="15" hidden="false" customHeight="false" outlineLevel="0" collapsed="false">
      <c r="A22" s="11" t="str">
        <f aca="false">TRIB!A22</f>
        <v>C21</v>
      </c>
      <c r="B22" s="14" t="n">
        <f aca="false">TRIB!B22</f>
        <v>415.101289599471</v>
      </c>
      <c r="C22" s="14" t="n">
        <f aca="false">TRIB!C22</f>
        <v>475.247274199036</v>
      </c>
      <c r="D22" s="11" t="str">
        <f aca="false">TRIB!D22</f>
        <v>A</v>
      </c>
      <c r="E22" s="4" t="str">
        <f aca="false">IF(RHO_ARCH!E22="","",IF(RHO_ARCH!E22&gt;INPUTS!$B$10,"NG",IF(RHO_ARCH!E22&gt;INPUTS!$B$9,"HEAVY","OK")))</f>
        <v/>
      </c>
      <c r="F22" s="4" t="str">
        <f aca="false">IF(RHO_ARCH!F22="","",IF(RHO_ARCH!F22&gt;INPUTS!$B$10,"NG",IF(RHO_ARCH!F22&gt;INPUTS!$B$9,"HEAVY","OK")))</f>
        <v>OK</v>
      </c>
      <c r="G22" s="4" t="str">
        <f aca="false">IF(RHO_ARCH!G22="","",IF(RHO_ARCH!G22&gt;INPUTS!$B$10,"NG",IF(RHO_ARCH!G22&gt;INPUTS!$B$9,"HEAVY","OK")))</f>
        <v>OK</v>
      </c>
      <c r="H22" s="4" t="str">
        <f aca="false">IF(RHO_ARCH!H22="","",IF(RHO_ARCH!H22&gt;INPUTS!$B$10,"NG",IF(RHO_ARCH!H22&gt;INPUTS!$B$9,"HEAVY","OK")))</f>
        <v>OK</v>
      </c>
      <c r="I22" s="4" t="str">
        <f aca="false">IF(RHO_ARCH!I22="","",IF(RHO_ARCH!I22&gt;INPUTS!$B$10,"NG",IF(RHO_ARCH!I22&gt;INPUTS!$B$9,"HEAVY","OK")))</f>
        <v>OK</v>
      </c>
      <c r="J22" s="4" t="str">
        <f aca="false">IF(RHO_ARCH!J22="","",IF(RHO_ARCH!J22&gt;INPUTS!$B$10,"NG",IF(RHO_ARCH!J22&gt;INPUTS!$B$9,"HEAVY","OK")))</f>
        <v>OK</v>
      </c>
      <c r="K22" s="4" t="str">
        <f aca="false">IF(RHO_ARCH!K22="","",IF(RHO_ARCH!K22&gt;INPUTS!$B$10,"NG",IF(RHO_ARCH!K22&gt;INPUTS!$B$9,"HEAVY","OK")))</f>
        <v>OK</v>
      </c>
      <c r="L22" s="4" t="str">
        <f aca="false">IF(RHO_ARCH!L22="","",IF(RHO_ARCH!L22&gt;INPUTS!$B$10,"NG",IF(RHO_ARCH!L22&gt;INPUTS!$B$9,"HEAVY","OK")))</f>
        <v>OK</v>
      </c>
      <c r="M22" s="4" t="str">
        <f aca="false">IF(RHO_ARCH!M22="","",IF(RHO_ARCH!M22&gt;INPUTS!$B$10,"NG",IF(RHO_ARCH!M22&gt;INPUTS!$B$9,"HEAVY","OK")))</f>
        <v>OK</v>
      </c>
      <c r="N22" s="4" t="str">
        <f aca="false">IF(RHO_ARCH!N22="","",IF(RHO_ARCH!N22&gt;INPUTS!$B$10,"NG",IF(RHO_ARCH!N22&gt;INPUTS!$B$9,"HEAVY","OK")))</f>
        <v>OK</v>
      </c>
      <c r="O22" s="4" t="str">
        <f aca="false">IF(RHO_ARCH!O22="","",IF(RHO_ARCH!O22&gt;INPUTS!$B$10,"NG",IF(RHO_ARCH!O22&gt;INPUTS!$B$9,"HEAVY","OK")))</f>
        <v>OK</v>
      </c>
      <c r="P22" s="4" t="str">
        <f aca="false">IF(RHO_ARCH!P22="","",IF(RHO_ARCH!P22&gt;INPUTS!$B$10,"NG",IF(RHO_ARCH!P22&gt;INPUTS!$B$9,"HEAVY","OK")))</f>
        <v>OK</v>
      </c>
    </row>
    <row r="23" customFormat="false" ht="15" hidden="false" customHeight="false" outlineLevel="0" collapsed="false">
      <c r="A23" s="11" t="str">
        <f aca="false">TRIB!A23</f>
        <v>C22</v>
      </c>
      <c r="B23" s="14" t="n">
        <f aca="false">TRIB!B23</f>
        <v>421.569071360984</v>
      </c>
      <c r="C23" s="14" t="n">
        <f aca="false">TRIB!C23</f>
        <v>491.719219426679</v>
      </c>
      <c r="D23" s="11" t="str">
        <f aca="false">TRIB!D23</f>
        <v>A</v>
      </c>
      <c r="E23" s="4" t="str">
        <f aca="false">IF(RHO_ARCH!E23="","",IF(RHO_ARCH!E23&gt;INPUTS!$B$10,"NG",IF(RHO_ARCH!E23&gt;INPUTS!$B$9,"HEAVY","OK")))</f>
        <v/>
      </c>
      <c r="F23" s="4" t="str">
        <f aca="false">IF(RHO_ARCH!F23="","",IF(RHO_ARCH!F23&gt;INPUTS!$B$10,"NG",IF(RHO_ARCH!F23&gt;INPUTS!$B$9,"HEAVY","OK")))</f>
        <v>OK</v>
      </c>
      <c r="G23" s="4" t="str">
        <f aca="false">IF(RHO_ARCH!G23="","",IF(RHO_ARCH!G23&gt;INPUTS!$B$10,"NG",IF(RHO_ARCH!G23&gt;INPUTS!$B$9,"HEAVY","OK")))</f>
        <v>OK</v>
      </c>
      <c r="H23" s="4" t="str">
        <f aca="false">IF(RHO_ARCH!H23="","",IF(RHO_ARCH!H23&gt;INPUTS!$B$10,"NG",IF(RHO_ARCH!H23&gt;INPUTS!$B$9,"HEAVY","OK")))</f>
        <v>OK</v>
      </c>
      <c r="I23" s="4" t="str">
        <f aca="false">IF(RHO_ARCH!I23="","",IF(RHO_ARCH!I23&gt;INPUTS!$B$10,"NG",IF(RHO_ARCH!I23&gt;INPUTS!$B$9,"HEAVY","OK")))</f>
        <v>OK</v>
      </c>
      <c r="J23" s="4" t="str">
        <f aca="false">IF(RHO_ARCH!J23="","",IF(RHO_ARCH!J23&gt;INPUTS!$B$10,"NG",IF(RHO_ARCH!J23&gt;INPUTS!$B$9,"HEAVY","OK")))</f>
        <v>OK</v>
      </c>
      <c r="K23" s="4" t="str">
        <f aca="false">IF(RHO_ARCH!K23="","",IF(RHO_ARCH!K23&gt;INPUTS!$B$10,"NG",IF(RHO_ARCH!K23&gt;INPUTS!$B$9,"HEAVY","OK")))</f>
        <v>OK</v>
      </c>
      <c r="L23" s="4" t="str">
        <f aca="false">IF(RHO_ARCH!L23="","",IF(RHO_ARCH!L23&gt;INPUTS!$B$10,"NG",IF(RHO_ARCH!L23&gt;INPUTS!$B$9,"HEAVY","OK")))</f>
        <v>OK</v>
      </c>
      <c r="M23" s="4" t="str">
        <f aca="false">IF(RHO_ARCH!M23="","",IF(RHO_ARCH!M23&gt;INPUTS!$B$10,"NG",IF(RHO_ARCH!M23&gt;INPUTS!$B$9,"HEAVY","OK")))</f>
        <v>OK</v>
      </c>
      <c r="N23" s="4" t="str">
        <f aca="false">IF(RHO_ARCH!N23="","",IF(RHO_ARCH!N23&gt;INPUTS!$B$10,"NG",IF(RHO_ARCH!N23&gt;INPUTS!$B$9,"HEAVY","OK")))</f>
        <v>OK</v>
      </c>
      <c r="O23" s="4" t="str">
        <f aca="false">IF(RHO_ARCH!O23="","",IF(RHO_ARCH!O23&gt;INPUTS!$B$10,"NG",IF(RHO_ARCH!O23&gt;INPUTS!$B$9,"HEAVY","OK")))</f>
        <v>OK</v>
      </c>
      <c r="P23" s="4" t="str">
        <f aca="false">IF(RHO_ARCH!P23="","",IF(RHO_ARCH!P23&gt;INPUTS!$B$10,"NG",IF(RHO_ARCH!P23&gt;INPUTS!$B$9,"HEAVY","OK")))</f>
        <v>OK</v>
      </c>
    </row>
    <row r="24" customFormat="false" ht="15" hidden="false" customHeight="false" outlineLevel="0" collapsed="false">
      <c r="A24" s="11" t="str">
        <f aca="false">TRIB!A24</f>
        <v>C23</v>
      </c>
      <c r="B24" s="14" t="n">
        <f aca="false">TRIB!B24</f>
        <v>429.699526458131</v>
      </c>
      <c r="C24" s="14" t="n">
        <f aca="false">TRIB!C24</f>
        <v>509.042394133207</v>
      </c>
      <c r="D24" s="11" t="str">
        <f aca="false">TRIB!D24</f>
        <v>A</v>
      </c>
      <c r="E24" s="4" t="str">
        <f aca="false">IF(RHO_ARCH!E24="","",IF(RHO_ARCH!E24&gt;INPUTS!$B$10,"NG",IF(RHO_ARCH!E24&gt;INPUTS!$B$9,"HEAVY","OK")))</f>
        <v/>
      </c>
      <c r="F24" s="4" t="str">
        <f aca="false">IF(RHO_ARCH!F24="","",IF(RHO_ARCH!F24&gt;INPUTS!$B$10,"NG",IF(RHO_ARCH!F24&gt;INPUTS!$B$9,"HEAVY","OK")))</f>
        <v>OK</v>
      </c>
      <c r="G24" s="4" t="str">
        <f aca="false">IF(RHO_ARCH!G24="","",IF(RHO_ARCH!G24&gt;INPUTS!$B$10,"NG",IF(RHO_ARCH!G24&gt;INPUTS!$B$9,"HEAVY","OK")))</f>
        <v>OK</v>
      </c>
      <c r="H24" s="4" t="str">
        <f aca="false">IF(RHO_ARCH!H24="","",IF(RHO_ARCH!H24&gt;INPUTS!$B$10,"NG",IF(RHO_ARCH!H24&gt;INPUTS!$B$9,"HEAVY","OK")))</f>
        <v>OK</v>
      </c>
      <c r="I24" s="4" t="str">
        <f aca="false">IF(RHO_ARCH!I24="","",IF(RHO_ARCH!I24&gt;INPUTS!$B$10,"NG",IF(RHO_ARCH!I24&gt;INPUTS!$B$9,"HEAVY","OK")))</f>
        <v>OK</v>
      </c>
      <c r="J24" s="4" t="str">
        <f aca="false">IF(RHO_ARCH!J24="","",IF(RHO_ARCH!J24&gt;INPUTS!$B$10,"NG",IF(RHO_ARCH!J24&gt;INPUTS!$B$9,"HEAVY","OK")))</f>
        <v>OK</v>
      </c>
      <c r="K24" s="4" t="str">
        <f aca="false">IF(RHO_ARCH!K24="","",IF(RHO_ARCH!K24&gt;INPUTS!$B$10,"NG",IF(RHO_ARCH!K24&gt;INPUTS!$B$9,"HEAVY","OK")))</f>
        <v>OK</v>
      </c>
      <c r="L24" s="4" t="str">
        <f aca="false">IF(RHO_ARCH!L24="","",IF(RHO_ARCH!L24&gt;INPUTS!$B$10,"NG",IF(RHO_ARCH!L24&gt;INPUTS!$B$9,"HEAVY","OK")))</f>
        <v>OK</v>
      </c>
      <c r="M24" s="4" t="str">
        <f aca="false">IF(RHO_ARCH!M24="","",IF(RHO_ARCH!M24&gt;INPUTS!$B$10,"NG",IF(RHO_ARCH!M24&gt;INPUTS!$B$9,"HEAVY","OK")))</f>
        <v>OK</v>
      </c>
      <c r="N24" s="4" t="str">
        <f aca="false">IF(RHO_ARCH!N24="","",IF(RHO_ARCH!N24&gt;INPUTS!$B$10,"NG",IF(RHO_ARCH!N24&gt;INPUTS!$B$9,"HEAVY","OK")))</f>
        <v>OK</v>
      </c>
      <c r="O24" s="4" t="str">
        <f aca="false">IF(RHO_ARCH!O24="","",IF(RHO_ARCH!O24&gt;INPUTS!$B$10,"NG",IF(RHO_ARCH!O24&gt;INPUTS!$B$9,"HEAVY","OK")))</f>
        <v>OK</v>
      </c>
      <c r="P24" s="4" t="str">
        <f aca="false">IF(RHO_ARCH!P24="","",IF(RHO_ARCH!P24&gt;INPUTS!$B$10,"NG",IF(RHO_ARCH!P24&gt;INPUTS!$B$9,"HEAVY","OK")))</f>
        <v>OK</v>
      </c>
    </row>
    <row r="25" customFormat="false" ht="15" hidden="false" customHeight="false" outlineLevel="0" collapsed="false">
      <c r="A25" s="11" t="str">
        <f aca="false">TRIB!A25</f>
        <v>C24</v>
      </c>
      <c r="B25" s="14" t="n">
        <f aca="false">TRIB!B25</f>
        <v>434.30381475572</v>
      </c>
      <c r="C25" s="14" t="n">
        <f aca="false">TRIB!C25</f>
        <v>520.776281527092</v>
      </c>
      <c r="D25" s="11" t="str">
        <f aca="false">TRIB!D25</f>
        <v>A</v>
      </c>
      <c r="E25" s="4" t="str">
        <f aca="false">IF(RHO_ARCH!E25="","",IF(RHO_ARCH!E25&gt;INPUTS!$B$10,"NG",IF(RHO_ARCH!E25&gt;INPUTS!$B$9,"HEAVY","OK")))</f>
        <v/>
      </c>
      <c r="F25" s="4" t="str">
        <f aca="false">IF(RHO_ARCH!F25="","",IF(RHO_ARCH!F25&gt;INPUTS!$B$10,"NG",IF(RHO_ARCH!F25&gt;INPUTS!$B$9,"HEAVY","OK")))</f>
        <v>OK</v>
      </c>
      <c r="G25" s="4" t="str">
        <f aca="false">IF(RHO_ARCH!G25="","",IF(RHO_ARCH!G25&gt;INPUTS!$B$10,"NG",IF(RHO_ARCH!G25&gt;INPUTS!$B$9,"HEAVY","OK")))</f>
        <v>OK</v>
      </c>
      <c r="H25" s="4" t="str">
        <f aca="false">IF(RHO_ARCH!H25="","",IF(RHO_ARCH!H25&gt;INPUTS!$B$10,"NG",IF(RHO_ARCH!H25&gt;INPUTS!$B$9,"HEAVY","OK")))</f>
        <v>OK</v>
      </c>
      <c r="I25" s="4" t="str">
        <f aca="false">IF(RHO_ARCH!I25="","",IF(RHO_ARCH!I25&gt;INPUTS!$B$10,"NG",IF(RHO_ARCH!I25&gt;INPUTS!$B$9,"HEAVY","OK")))</f>
        <v>OK</v>
      </c>
      <c r="J25" s="4" t="str">
        <f aca="false">IF(RHO_ARCH!J25="","",IF(RHO_ARCH!J25&gt;INPUTS!$B$10,"NG",IF(RHO_ARCH!J25&gt;INPUTS!$B$9,"HEAVY","OK")))</f>
        <v>OK</v>
      </c>
      <c r="K25" s="4" t="str">
        <f aca="false">IF(RHO_ARCH!K25="","",IF(RHO_ARCH!K25&gt;INPUTS!$B$10,"NG",IF(RHO_ARCH!K25&gt;INPUTS!$B$9,"HEAVY","OK")))</f>
        <v>OK</v>
      </c>
      <c r="L25" s="4" t="str">
        <f aca="false">IF(RHO_ARCH!L25="","",IF(RHO_ARCH!L25&gt;INPUTS!$B$10,"NG",IF(RHO_ARCH!L25&gt;INPUTS!$B$9,"HEAVY","OK")))</f>
        <v>OK</v>
      </c>
      <c r="M25" s="4" t="str">
        <f aca="false">IF(RHO_ARCH!M25="","",IF(RHO_ARCH!M25&gt;INPUTS!$B$10,"NG",IF(RHO_ARCH!M25&gt;INPUTS!$B$9,"HEAVY","OK")))</f>
        <v>OK</v>
      </c>
      <c r="N25" s="4" t="str">
        <f aca="false">IF(RHO_ARCH!N25="","",IF(RHO_ARCH!N25&gt;INPUTS!$B$10,"NG",IF(RHO_ARCH!N25&gt;INPUTS!$B$9,"HEAVY","OK")))</f>
        <v>OK</v>
      </c>
      <c r="O25" s="4" t="str">
        <f aca="false">IF(RHO_ARCH!O25="","",IF(RHO_ARCH!O25&gt;INPUTS!$B$10,"NG",IF(RHO_ARCH!O25&gt;INPUTS!$B$9,"HEAVY","OK")))</f>
        <v>OK</v>
      </c>
      <c r="P25" s="4" t="str">
        <f aca="false">IF(RHO_ARCH!P25="","",IF(RHO_ARCH!P25&gt;INPUTS!$B$10,"NG",IF(RHO_ARCH!P25&gt;INPUTS!$B$9,"HEAVY","OK")))</f>
        <v>OK</v>
      </c>
    </row>
    <row r="26" customFormat="false" ht="15" hidden="false" customHeight="false" outlineLevel="0" collapsed="false">
      <c r="A26" s="11" t="str">
        <f aca="false">TRIB!A26</f>
        <v>C25</v>
      </c>
      <c r="B26" s="14" t="n">
        <f aca="false">TRIB!B26</f>
        <v>439.112650026245</v>
      </c>
      <c r="C26" s="14" t="n">
        <f aca="false">TRIB!C26</f>
        <v>466.886855256388</v>
      </c>
      <c r="D26" s="11" t="str">
        <f aca="false">TRIB!D26</f>
        <v>A</v>
      </c>
      <c r="E26" s="4" t="str">
        <f aca="false">IF(RHO_ARCH!E26="","",IF(RHO_ARCH!E26&gt;INPUTS!$B$10,"NG",IF(RHO_ARCH!E26&gt;INPUTS!$B$9,"HEAVY","OK")))</f>
        <v/>
      </c>
      <c r="F26" s="4" t="str">
        <f aca="false">IF(RHO_ARCH!F26="","",IF(RHO_ARCH!F26&gt;INPUTS!$B$10,"NG",IF(RHO_ARCH!F26&gt;INPUTS!$B$9,"HEAVY","OK")))</f>
        <v>OK</v>
      </c>
      <c r="G26" s="4" t="str">
        <f aca="false">IF(RHO_ARCH!G26="","",IF(RHO_ARCH!G26&gt;INPUTS!$B$10,"NG",IF(RHO_ARCH!G26&gt;INPUTS!$B$9,"HEAVY","OK")))</f>
        <v>OK</v>
      </c>
      <c r="H26" s="4" t="str">
        <f aca="false">IF(RHO_ARCH!H26="","",IF(RHO_ARCH!H26&gt;INPUTS!$B$10,"NG",IF(RHO_ARCH!H26&gt;INPUTS!$B$9,"HEAVY","OK")))</f>
        <v>OK</v>
      </c>
      <c r="I26" s="4" t="str">
        <f aca="false">IF(RHO_ARCH!I26="","",IF(RHO_ARCH!I26&gt;INPUTS!$B$10,"NG",IF(RHO_ARCH!I26&gt;INPUTS!$B$9,"HEAVY","OK")))</f>
        <v>OK</v>
      </c>
      <c r="J26" s="4" t="str">
        <f aca="false">IF(RHO_ARCH!J26="","",IF(RHO_ARCH!J26&gt;INPUTS!$B$10,"NG",IF(RHO_ARCH!J26&gt;INPUTS!$B$9,"HEAVY","OK")))</f>
        <v>OK</v>
      </c>
      <c r="K26" s="4" t="str">
        <f aca="false">IF(RHO_ARCH!K26="","",IF(RHO_ARCH!K26&gt;INPUTS!$B$10,"NG",IF(RHO_ARCH!K26&gt;INPUTS!$B$9,"HEAVY","OK")))</f>
        <v>OK</v>
      </c>
      <c r="L26" s="4" t="str">
        <f aca="false">IF(RHO_ARCH!L26="","",IF(RHO_ARCH!L26&gt;INPUTS!$B$10,"NG",IF(RHO_ARCH!L26&gt;INPUTS!$B$9,"HEAVY","OK")))</f>
        <v>OK</v>
      </c>
      <c r="M26" s="4" t="str">
        <f aca="false">IF(RHO_ARCH!M26="","",IF(RHO_ARCH!M26&gt;INPUTS!$B$10,"NG",IF(RHO_ARCH!M26&gt;INPUTS!$B$9,"HEAVY","OK")))</f>
        <v>OK</v>
      </c>
      <c r="N26" s="4" t="str">
        <f aca="false">IF(RHO_ARCH!N26="","",IF(RHO_ARCH!N26&gt;INPUTS!$B$10,"NG",IF(RHO_ARCH!N26&gt;INPUTS!$B$9,"HEAVY","OK")))</f>
        <v>OK</v>
      </c>
      <c r="O26" s="4" t="str">
        <f aca="false">IF(RHO_ARCH!O26="","",IF(RHO_ARCH!O26&gt;INPUTS!$B$10,"NG",IF(RHO_ARCH!O26&gt;INPUTS!$B$9,"HEAVY","OK")))</f>
        <v>OK</v>
      </c>
      <c r="P26" s="4" t="str">
        <f aca="false">IF(RHO_ARCH!P26="","",IF(RHO_ARCH!P26&gt;INPUTS!$B$10,"NG",IF(RHO_ARCH!P26&gt;INPUTS!$B$9,"HEAVY","OK")))</f>
        <v>OK</v>
      </c>
    </row>
    <row r="27" customFormat="false" ht="15" hidden="false" customHeight="false" outlineLevel="0" collapsed="false">
      <c r="A27" s="11" t="str">
        <f aca="false">TRIB!A27</f>
        <v>C26</v>
      </c>
      <c r="B27" s="14" t="n">
        <f aca="false">TRIB!B27</f>
        <v>439.610822630543</v>
      </c>
      <c r="C27" s="14" t="n">
        <f aca="false">TRIB!C27</f>
        <v>536.314206597045</v>
      </c>
      <c r="D27" s="11" t="str">
        <f aca="false">TRIB!D27</f>
        <v>A</v>
      </c>
      <c r="E27" s="4" t="str">
        <f aca="false">IF(RHO_ARCH!E27="","",IF(RHO_ARCH!E27&gt;INPUTS!$B$10,"NG",IF(RHO_ARCH!E27&gt;INPUTS!$B$9,"HEAVY","OK")))</f>
        <v/>
      </c>
      <c r="F27" s="4" t="str">
        <f aca="false">IF(RHO_ARCH!F27="","",IF(RHO_ARCH!F27&gt;INPUTS!$B$10,"NG",IF(RHO_ARCH!F27&gt;INPUTS!$B$9,"HEAVY","OK")))</f>
        <v>OK</v>
      </c>
      <c r="G27" s="4" t="str">
        <f aca="false">IF(RHO_ARCH!G27="","",IF(RHO_ARCH!G27&gt;INPUTS!$B$10,"NG",IF(RHO_ARCH!G27&gt;INPUTS!$B$9,"HEAVY","OK")))</f>
        <v>OK</v>
      </c>
      <c r="H27" s="4" t="str">
        <f aca="false">IF(RHO_ARCH!H27="","",IF(RHO_ARCH!H27&gt;INPUTS!$B$10,"NG",IF(RHO_ARCH!H27&gt;INPUTS!$B$9,"HEAVY","OK")))</f>
        <v>OK</v>
      </c>
      <c r="I27" s="4" t="str">
        <f aca="false">IF(RHO_ARCH!I27="","",IF(RHO_ARCH!I27&gt;INPUTS!$B$10,"NG",IF(RHO_ARCH!I27&gt;INPUTS!$B$9,"HEAVY","OK")))</f>
        <v>OK</v>
      </c>
      <c r="J27" s="4" t="str">
        <f aca="false">IF(RHO_ARCH!J27="","",IF(RHO_ARCH!J27&gt;INPUTS!$B$10,"NG",IF(RHO_ARCH!J27&gt;INPUTS!$B$9,"HEAVY","OK")))</f>
        <v>OK</v>
      </c>
      <c r="K27" s="4" t="str">
        <f aca="false">IF(RHO_ARCH!K27="","",IF(RHO_ARCH!K27&gt;INPUTS!$B$10,"NG",IF(RHO_ARCH!K27&gt;INPUTS!$B$9,"HEAVY","OK")))</f>
        <v>OK</v>
      </c>
      <c r="L27" s="4" t="str">
        <f aca="false">IF(RHO_ARCH!L27="","",IF(RHO_ARCH!L27&gt;INPUTS!$B$10,"NG",IF(RHO_ARCH!L27&gt;INPUTS!$B$9,"HEAVY","OK")))</f>
        <v>OK</v>
      </c>
      <c r="M27" s="4" t="str">
        <f aca="false">IF(RHO_ARCH!M27="","",IF(RHO_ARCH!M27&gt;INPUTS!$B$10,"NG",IF(RHO_ARCH!M27&gt;INPUTS!$B$9,"HEAVY","OK")))</f>
        <v>OK</v>
      </c>
      <c r="N27" s="4" t="str">
        <f aca="false">IF(RHO_ARCH!N27="","",IF(RHO_ARCH!N27&gt;INPUTS!$B$10,"NG",IF(RHO_ARCH!N27&gt;INPUTS!$B$9,"HEAVY","OK")))</f>
        <v>OK</v>
      </c>
      <c r="O27" s="4" t="str">
        <f aca="false">IF(RHO_ARCH!O27="","",IF(RHO_ARCH!O27&gt;INPUTS!$B$10,"NG",IF(RHO_ARCH!O27&gt;INPUTS!$B$9,"HEAVY","OK")))</f>
        <v>OK</v>
      </c>
      <c r="P27" s="4" t="str">
        <f aca="false">IF(RHO_ARCH!P27="","",IF(RHO_ARCH!P27&gt;INPUTS!$B$10,"NG",IF(RHO_ARCH!P27&gt;INPUTS!$B$9,"HEAVY","OK")))</f>
        <v>OK</v>
      </c>
    </row>
    <row r="28" customFormat="false" ht="15" hidden="false" customHeight="false" outlineLevel="0" collapsed="false">
      <c r="A28" s="11" t="str">
        <f aca="false">TRIB!A28</f>
        <v>C27</v>
      </c>
      <c r="B28" s="14" t="n">
        <f aca="false">TRIB!B28</f>
        <v>442.901948096155</v>
      </c>
      <c r="C28" s="14" t="n">
        <f aca="false">TRIB!C28</f>
        <v>505.266721245976</v>
      </c>
      <c r="D28" s="11" t="str">
        <f aca="false">TRIB!D28</f>
        <v>A</v>
      </c>
      <c r="E28" s="4" t="str">
        <f aca="false">IF(RHO_ARCH!E28="","",IF(RHO_ARCH!E28&gt;INPUTS!$B$10,"NG",IF(RHO_ARCH!E28&gt;INPUTS!$B$9,"HEAVY","OK")))</f>
        <v/>
      </c>
      <c r="F28" s="4" t="str">
        <f aca="false">IF(RHO_ARCH!F28="","",IF(RHO_ARCH!F28&gt;INPUTS!$B$10,"NG",IF(RHO_ARCH!F28&gt;INPUTS!$B$9,"HEAVY","OK")))</f>
        <v>OK</v>
      </c>
      <c r="G28" s="4" t="str">
        <f aca="false">IF(RHO_ARCH!G28="","",IF(RHO_ARCH!G28&gt;INPUTS!$B$10,"NG",IF(RHO_ARCH!G28&gt;INPUTS!$B$9,"HEAVY","OK")))</f>
        <v>OK</v>
      </c>
      <c r="H28" s="4" t="str">
        <f aca="false">IF(RHO_ARCH!H28="","",IF(RHO_ARCH!H28&gt;INPUTS!$B$10,"NG",IF(RHO_ARCH!H28&gt;INPUTS!$B$9,"HEAVY","OK")))</f>
        <v>OK</v>
      </c>
      <c r="I28" s="4" t="str">
        <f aca="false">IF(RHO_ARCH!I28="","",IF(RHO_ARCH!I28&gt;INPUTS!$B$10,"NG",IF(RHO_ARCH!I28&gt;INPUTS!$B$9,"HEAVY","OK")))</f>
        <v>OK</v>
      </c>
      <c r="J28" s="4" t="str">
        <f aca="false">IF(RHO_ARCH!J28="","",IF(RHO_ARCH!J28&gt;INPUTS!$B$10,"NG",IF(RHO_ARCH!J28&gt;INPUTS!$B$9,"HEAVY","OK")))</f>
        <v>OK</v>
      </c>
      <c r="K28" s="4" t="str">
        <f aca="false">IF(RHO_ARCH!K28="","",IF(RHO_ARCH!K28&gt;INPUTS!$B$10,"NG",IF(RHO_ARCH!K28&gt;INPUTS!$B$9,"HEAVY","OK")))</f>
        <v>OK</v>
      </c>
      <c r="L28" s="4" t="str">
        <f aca="false">IF(RHO_ARCH!L28="","",IF(RHO_ARCH!L28&gt;INPUTS!$B$10,"NG",IF(RHO_ARCH!L28&gt;INPUTS!$B$9,"HEAVY","OK")))</f>
        <v>OK</v>
      </c>
      <c r="M28" s="4" t="str">
        <f aca="false">IF(RHO_ARCH!M28="","",IF(RHO_ARCH!M28&gt;INPUTS!$B$10,"NG",IF(RHO_ARCH!M28&gt;INPUTS!$B$9,"HEAVY","OK")))</f>
        <v>OK</v>
      </c>
      <c r="N28" s="4" t="str">
        <f aca="false">IF(RHO_ARCH!N28="","",IF(RHO_ARCH!N28&gt;INPUTS!$B$10,"NG",IF(RHO_ARCH!N28&gt;INPUTS!$B$9,"HEAVY","OK")))</f>
        <v>OK</v>
      </c>
      <c r="O28" s="4" t="str">
        <f aca="false">IF(RHO_ARCH!O28="","",IF(RHO_ARCH!O28&gt;INPUTS!$B$10,"NG",IF(RHO_ARCH!O28&gt;INPUTS!$B$9,"HEAVY","OK")))</f>
        <v>OK</v>
      </c>
      <c r="P28" s="4" t="str">
        <f aca="false">IF(RHO_ARCH!P28="","",IF(RHO_ARCH!P28&gt;INPUTS!$B$10,"NG",IF(RHO_ARCH!P28&gt;INPUTS!$B$9,"HEAVY","OK")))</f>
        <v>OK</v>
      </c>
    </row>
    <row r="29" customFormat="false" ht="15" hidden="false" customHeight="false" outlineLevel="0" collapsed="false">
      <c r="A29" s="11" t="str">
        <f aca="false">TRIB!A29</f>
        <v>C28</v>
      </c>
      <c r="B29" s="14" t="n">
        <f aca="false">TRIB!B29</f>
        <v>444.003746627616</v>
      </c>
      <c r="C29" s="14" t="n">
        <f aca="false">TRIB!C29</f>
        <v>485.347183980339</v>
      </c>
      <c r="D29" s="11" t="str">
        <f aca="false">TRIB!D29</f>
        <v>A</v>
      </c>
      <c r="E29" s="4" t="str">
        <f aca="false">IF(RHO_ARCH!E29="","",IF(RHO_ARCH!E29&gt;INPUTS!$B$10,"NG",IF(RHO_ARCH!E29&gt;INPUTS!$B$9,"HEAVY","OK")))</f>
        <v/>
      </c>
      <c r="F29" s="4" t="str">
        <f aca="false">IF(RHO_ARCH!F29="","",IF(RHO_ARCH!F29&gt;INPUTS!$B$10,"NG",IF(RHO_ARCH!F29&gt;INPUTS!$B$9,"HEAVY","OK")))</f>
        <v>OK</v>
      </c>
      <c r="G29" s="4" t="str">
        <f aca="false">IF(RHO_ARCH!G29="","",IF(RHO_ARCH!G29&gt;INPUTS!$B$10,"NG",IF(RHO_ARCH!G29&gt;INPUTS!$B$9,"HEAVY","OK")))</f>
        <v>OK</v>
      </c>
      <c r="H29" s="4" t="str">
        <f aca="false">IF(RHO_ARCH!H29="","",IF(RHO_ARCH!H29&gt;INPUTS!$B$10,"NG",IF(RHO_ARCH!H29&gt;INPUTS!$B$9,"HEAVY","OK")))</f>
        <v>OK</v>
      </c>
      <c r="I29" s="4" t="str">
        <f aca="false">IF(RHO_ARCH!I29="","",IF(RHO_ARCH!I29&gt;INPUTS!$B$10,"NG",IF(RHO_ARCH!I29&gt;INPUTS!$B$9,"HEAVY","OK")))</f>
        <v>OK</v>
      </c>
      <c r="J29" s="4" t="str">
        <f aca="false">IF(RHO_ARCH!J29="","",IF(RHO_ARCH!J29&gt;INPUTS!$B$10,"NG",IF(RHO_ARCH!J29&gt;INPUTS!$B$9,"HEAVY","OK")))</f>
        <v>OK</v>
      </c>
      <c r="K29" s="4" t="str">
        <f aca="false">IF(RHO_ARCH!K29="","",IF(RHO_ARCH!K29&gt;INPUTS!$B$10,"NG",IF(RHO_ARCH!K29&gt;INPUTS!$B$9,"HEAVY","OK")))</f>
        <v>OK</v>
      </c>
      <c r="L29" s="4" t="str">
        <f aca="false">IF(RHO_ARCH!L29="","",IF(RHO_ARCH!L29&gt;INPUTS!$B$10,"NG",IF(RHO_ARCH!L29&gt;INPUTS!$B$9,"HEAVY","OK")))</f>
        <v>OK</v>
      </c>
      <c r="M29" s="4" t="str">
        <f aca="false">IF(RHO_ARCH!M29="","",IF(RHO_ARCH!M29&gt;INPUTS!$B$10,"NG",IF(RHO_ARCH!M29&gt;INPUTS!$B$9,"HEAVY","OK")))</f>
        <v>OK</v>
      </c>
      <c r="N29" s="4" t="str">
        <f aca="false">IF(RHO_ARCH!N29="","",IF(RHO_ARCH!N29&gt;INPUTS!$B$10,"NG",IF(RHO_ARCH!N29&gt;INPUTS!$B$9,"HEAVY","OK")))</f>
        <v>OK</v>
      </c>
      <c r="O29" s="4" t="str">
        <f aca="false">IF(RHO_ARCH!O29="","",IF(RHO_ARCH!O29&gt;INPUTS!$B$10,"NG",IF(RHO_ARCH!O29&gt;INPUTS!$B$9,"HEAVY","OK")))</f>
        <v>OK</v>
      </c>
      <c r="P29" s="4" t="str">
        <f aca="false">IF(RHO_ARCH!P29="","",IF(RHO_ARCH!P29&gt;INPUTS!$B$10,"NG",IF(RHO_ARCH!P29&gt;INPUTS!$B$9,"HEAVY","OK")))</f>
        <v>OK</v>
      </c>
    </row>
    <row r="30" customFormat="false" ht="15" hidden="false" customHeight="false" outlineLevel="0" collapsed="false">
      <c r="A30" s="11" t="str">
        <f aca="false">TRIB!A30</f>
        <v>C29</v>
      </c>
      <c r="B30" s="14" t="n">
        <f aca="false">TRIB!B30</f>
        <v>447.500290923169</v>
      </c>
      <c r="C30" s="14" t="n">
        <f aca="false">TRIB!C30</f>
        <v>517.032284223865</v>
      </c>
      <c r="D30" s="11" t="str">
        <f aca="false">TRIB!D30</f>
        <v>A</v>
      </c>
      <c r="E30" s="4" t="str">
        <f aca="false">IF(RHO_ARCH!E30="","",IF(RHO_ARCH!E30&gt;INPUTS!$B$10,"NG",IF(RHO_ARCH!E30&gt;INPUTS!$B$9,"HEAVY","OK")))</f>
        <v/>
      </c>
      <c r="F30" s="4" t="str">
        <f aca="false">IF(RHO_ARCH!F30="","",IF(RHO_ARCH!F30&gt;INPUTS!$B$10,"NG",IF(RHO_ARCH!F30&gt;INPUTS!$B$9,"HEAVY","OK")))</f>
        <v>OK</v>
      </c>
      <c r="G30" s="4" t="str">
        <f aca="false">IF(RHO_ARCH!G30="","",IF(RHO_ARCH!G30&gt;INPUTS!$B$10,"NG",IF(RHO_ARCH!G30&gt;INPUTS!$B$9,"HEAVY","OK")))</f>
        <v>OK</v>
      </c>
      <c r="H30" s="4" t="str">
        <f aca="false">IF(RHO_ARCH!H30="","",IF(RHO_ARCH!H30&gt;INPUTS!$B$10,"NG",IF(RHO_ARCH!H30&gt;INPUTS!$B$9,"HEAVY","OK")))</f>
        <v>OK</v>
      </c>
      <c r="I30" s="4" t="str">
        <f aca="false">IF(RHO_ARCH!I30="","",IF(RHO_ARCH!I30&gt;INPUTS!$B$10,"NG",IF(RHO_ARCH!I30&gt;INPUTS!$B$9,"HEAVY","OK")))</f>
        <v>OK</v>
      </c>
      <c r="J30" s="4" t="str">
        <f aca="false">IF(RHO_ARCH!J30="","",IF(RHO_ARCH!J30&gt;INPUTS!$B$10,"NG",IF(RHO_ARCH!J30&gt;INPUTS!$B$9,"HEAVY","OK")))</f>
        <v>OK</v>
      </c>
      <c r="K30" s="4" t="str">
        <f aca="false">IF(RHO_ARCH!K30="","",IF(RHO_ARCH!K30&gt;INPUTS!$B$10,"NG",IF(RHO_ARCH!K30&gt;INPUTS!$B$9,"HEAVY","OK")))</f>
        <v>OK</v>
      </c>
      <c r="L30" s="4" t="str">
        <f aca="false">IF(RHO_ARCH!L30="","",IF(RHO_ARCH!L30&gt;INPUTS!$B$10,"NG",IF(RHO_ARCH!L30&gt;INPUTS!$B$9,"HEAVY","OK")))</f>
        <v>OK</v>
      </c>
      <c r="M30" s="4" t="str">
        <f aca="false">IF(RHO_ARCH!M30="","",IF(RHO_ARCH!M30&gt;INPUTS!$B$10,"NG",IF(RHO_ARCH!M30&gt;INPUTS!$B$9,"HEAVY","OK")))</f>
        <v>OK</v>
      </c>
      <c r="N30" s="4" t="str">
        <f aca="false">IF(RHO_ARCH!N30="","",IF(RHO_ARCH!N30&gt;INPUTS!$B$10,"NG",IF(RHO_ARCH!N30&gt;INPUTS!$B$9,"HEAVY","OK")))</f>
        <v>OK</v>
      </c>
      <c r="O30" s="4" t="str">
        <f aca="false">IF(RHO_ARCH!O30="","",IF(RHO_ARCH!O30&gt;INPUTS!$B$10,"NG",IF(RHO_ARCH!O30&gt;INPUTS!$B$9,"HEAVY","OK")))</f>
        <v>OK</v>
      </c>
      <c r="P30" s="4" t="str">
        <f aca="false">IF(RHO_ARCH!P30="","",IF(RHO_ARCH!P30&gt;INPUTS!$B$10,"NG",IF(RHO_ARCH!P30&gt;INPUTS!$B$9,"HEAVY","OK")))</f>
        <v>OK</v>
      </c>
    </row>
    <row r="31" customFormat="false" ht="15" hidden="false" customHeight="false" outlineLevel="0" collapsed="false">
      <c r="A31" s="11" t="str">
        <f aca="false">TRIB!A31</f>
        <v>C30</v>
      </c>
      <c r="B31" s="14" t="n">
        <f aca="false">TRIB!B31</f>
        <v>450.729807652345</v>
      </c>
      <c r="C31" s="14" t="n">
        <f aca="false">TRIB!C31</f>
        <v>532.560776417186</v>
      </c>
      <c r="D31" s="11" t="str">
        <f aca="false">TRIB!D31</f>
        <v>A</v>
      </c>
      <c r="E31" s="4" t="str">
        <f aca="false">IF(RHO_ARCH!E31="","",IF(RHO_ARCH!E31&gt;INPUTS!$B$10,"NG",IF(RHO_ARCH!E31&gt;INPUTS!$B$9,"HEAVY","OK")))</f>
        <v/>
      </c>
      <c r="F31" s="4" t="str">
        <f aca="false">IF(RHO_ARCH!F31="","",IF(RHO_ARCH!F31&gt;INPUTS!$B$10,"NG",IF(RHO_ARCH!F31&gt;INPUTS!$B$9,"HEAVY","OK")))</f>
        <v>OK</v>
      </c>
      <c r="G31" s="4" t="str">
        <f aca="false">IF(RHO_ARCH!G31="","",IF(RHO_ARCH!G31&gt;INPUTS!$B$10,"NG",IF(RHO_ARCH!G31&gt;INPUTS!$B$9,"HEAVY","OK")))</f>
        <v>OK</v>
      </c>
      <c r="H31" s="4" t="str">
        <f aca="false">IF(RHO_ARCH!H31="","",IF(RHO_ARCH!H31&gt;INPUTS!$B$10,"NG",IF(RHO_ARCH!H31&gt;INPUTS!$B$9,"HEAVY","OK")))</f>
        <v>OK</v>
      </c>
      <c r="I31" s="4" t="str">
        <f aca="false">IF(RHO_ARCH!I31="","",IF(RHO_ARCH!I31&gt;INPUTS!$B$10,"NG",IF(RHO_ARCH!I31&gt;INPUTS!$B$9,"HEAVY","OK")))</f>
        <v>OK</v>
      </c>
      <c r="J31" s="4" t="str">
        <f aca="false">IF(RHO_ARCH!J31="","",IF(RHO_ARCH!J31&gt;INPUTS!$B$10,"NG",IF(RHO_ARCH!J31&gt;INPUTS!$B$9,"HEAVY","OK")))</f>
        <v>OK</v>
      </c>
      <c r="K31" s="4" t="str">
        <f aca="false">IF(RHO_ARCH!K31="","",IF(RHO_ARCH!K31&gt;INPUTS!$B$10,"NG",IF(RHO_ARCH!K31&gt;INPUTS!$B$9,"HEAVY","OK")))</f>
        <v>OK</v>
      </c>
      <c r="L31" s="4" t="str">
        <f aca="false">IF(RHO_ARCH!L31="","",IF(RHO_ARCH!L31&gt;INPUTS!$B$10,"NG",IF(RHO_ARCH!L31&gt;INPUTS!$B$9,"HEAVY","OK")))</f>
        <v>OK</v>
      </c>
      <c r="M31" s="4" t="str">
        <f aca="false">IF(RHO_ARCH!M31="","",IF(RHO_ARCH!M31&gt;INPUTS!$B$10,"NG",IF(RHO_ARCH!M31&gt;INPUTS!$B$9,"HEAVY","OK")))</f>
        <v>OK</v>
      </c>
      <c r="N31" s="4" t="str">
        <f aca="false">IF(RHO_ARCH!N31="","",IF(RHO_ARCH!N31&gt;INPUTS!$B$10,"NG",IF(RHO_ARCH!N31&gt;INPUTS!$B$9,"HEAVY","OK")))</f>
        <v>OK</v>
      </c>
      <c r="O31" s="4" t="str">
        <f aca="false">IF(RHO_ARCH!O31="","",IF(RHO_ARCH!O31&gt;INPUTS!$B$10,"NG",IF(RHO_ARCH!O31&gt;INPUTS!$B$9,"HEAVY","OK")))</f>
        <v>OK</v>
      </c>
      <c r="P31" s="4" t="str">
        <f aca="false">IF(RHO_ARCH!P31="","",IF(RHO_ARCH!P31&gt;INPUTS!$B$10,"NG",IF(RHO_ARCH!P31&gt;INPUTS!$B$9,"HEAVY","OK")))</f>
        <v>OK</v>
      </c>
    </row>
    <row r="32" customFormat="false" ht="15" hidden="false" customHeight="false" outlineLevel="0" collapsed="false">
      <c r="A32" s="11" t="str">
        <f aca="false">TRIB!A32</f>
        <v>C31</v>
      </c>
      <c r="B32" s="14" t="n">
        <f aca="false">TRIB!B32</f>
        <v>464.091976654075</v>
      </c>
      <c r="C32" s="14" t="n">
        <f aca="false">TRIB!C32</f>
        <v>462.190351092403</v>
      </c>
      <c r="D32" s="11" t="str">
        <f aca="false">TRIB!D32</f>
        <v>A</v>
      </c>
      <c r="E32" s="4" t="str">
        <f aca="false">IF(RHO_ARCH!E32="","",IF(RHO_ARCH!E32&gt;INPUTS!$B$10,"NG",IF(RHO_ARCH!E32&gt;INPUTS!$B$9,"HEAVY","OK")))</f>
        <v/>
      </c>
      <c r="F32" s="4" t="str">
        <f aca="false">IF(RHO_ARCH!F32="","",IF(RHO_ARCH!F32&gt;INPUTS!$B$10,"NG",IF(RHO_ARCH!F32&gt;INPUTS!$B$9,"HEAVY","OK")))</f>
        <v>OK</v>
      </c>
      <c r="G32" s="4" t="str">
        <f aca="false">IF(RHO_ARCH!G32="","",IF(RHO_ARCH!G32&gt;INPUTS!$B$10,"NG",IF(RHO_ARCH!G32&gt;INPUTS!$B$9,"HEAVY","OK")))</f>
        <v>OK</v>
      </c>
      <c r="H32" s="4" t="str">
        <f aca="false">IF(RHO_ARCH!H32="","",IF(RHO_ARCH!H32&gt;INPUTS!$B$10,"NG",IF(RHO_ARCH!H32&gt;INPUTS!$B$9,"HEAVY","OK")))</f>
        <v>OK</v>
      </c>
      <c r="I32" s="4" t="str">
        <f aca="false">IF(RHO_ARCH!I32="","",IF(RHO_ARCH!I32&gt;INPUTS!$B$10,"NG",IF(RHO_ARCH!I32&gt;INPUTS!$B$9,"HEAVY","OK")))</f>
        <v>OK</v>
      </c>
      <c r="J32" s="4" t="str">
        <f aca="false">IF(RHO_ARCH!J32="","",IF(RHO_ARCH!J32&gt;INPUTS!$B$10,"NG",IF(RHO_ARCH!J32&gt;INPUTS!$B$9,"HEAVY","OK")))</f>
        <v>OK</v>
      </c>
      <c r="K32" s="4" t="str">
        <f aca="false">IF(RHO_ARCH!K32="","",IF(RHO_ARCH!K32&gt;INPUTS!$B$10,"NG",IF(RHO_ARCH!K32&gt;INPUTS!$B$9,"HEAVY","OK")))</f>
        <v>OK</v>
      </c>
      <c r="L32" s="4" t="str">
        <f aca="false">IF(RHO_ARCH!L32="","",IF(RHO_ARCH!L32&gt;INPUTS!$B$10,"NG",IF(RHO_ARCH!L32&gt;INPUTS!$B$9,"HEAVY","OK")))</f>
        <v>OK</v>
      </c>
      <c r="M32" s="4" t="str">
        <f aca="false">IF(RHO_ARCH!M32="","",IF(RHO_ARCH!M32&gt;INPUTS!$B$10,"NG",IF(RHO_ARCH!M32&gt;INPUTS!$B$9,"HEAVY","OK")))</f>
        <v>OK</v>
      </c>
      <c r="N32" s="4" t="str">
        <f aca="false">IF(RHO_ARCH!N32="","",IF(RHO_ARCH!N32&gt;INPUTS!$B$10,"NG",IF(RHO_ARCH!N32&gt;INPUTS!$B$9,"HEAVY","OK")))</f>
        <v>OK</v>
      </c>
      <c r="O32" s="4" t="str">
        <f aca="false">IF(RHO_ARCH!O32="","",IF(RHO_ARCH!O32&gt;INPUTS!$B$10,"NG",IF(RHO_ARCH!O32&gt;INPUTS!$B$9,"HEAVY","OK")))</f>
        <v>OK</v>
      </c>
      <c r="P32" s="4" t="str">
        <f aca="false">IF(RHO_ARCH!P32="","",IF(RHO_ARCH!P32&gt;INPUTS!$B$10,"NG",IF(RHO_ARCH!P32&gt;INPUTS!$B$9,"HEAVY","OK")))</f>
        <v>OK</v>
      </c>
    </row>
    <row r="33" customFormat="false" ht="15" hidden="false" customHeight="false" outlineLevel="0" collapsed="false">
      <c r="A33" s="11" t="str">
        <f aca="false">TRIB!A33</f>
        <v>C32</v>
      </c>
      <c r="B33" s="14" t="n">
        <f aca="false">TRIB!B33</f>
        <v>468.133374393292</v>
      </c>
      <c r="C33" s="14" t="n">
        <f aca="false">TRIB!C33</f>
        <v>479.181381941061</v>
      </c>
      <c r="D33" s="11" t="str">
        <f aca="false">TRIB!D33</f>
        <v>A</v>
      </c>
      <c r="E33" s="4" t="str">
        <f aca="false">IF(RHO_ARCH!E33="","",IF(RHO_ARCH!E33&gt;INPUTS!$B$10,"NG",IF(RHO_ARCH!E33&gt;INPUTS!$B$9,"HEAVY","OK")))</f>
        <v/>
      </c>
      <c r="F33" s="4" t="str">
        <f aca="false">IF(RHO_ARCH!F33="","",IF(RHO_ARCH!F33&gt;INPUTS!$B$10,"NG",IF(RHO_ARCH!F33&gt;INPUTS!$B$9,"HEAVY","OK")))</f>
        <v>OK</v>
      </c>
      <c r="G33" s="4" t="str">
        <f aca="false">IF(RHO_ARCH!G33="","",IF(RHO_ARCH!G33&gt;INPUTS!$B$10,"NG",IF(RHO_ARCH!G33&gt;INPUTS!$B$9,"HEAVY","OK")))</f>
        <v>OK</v>
      </c>
      <c r="H33" s="4" t="str">
        <f aca="false">IF(RHO_ARCH!H33="","",IF(RHO_ARCH!H33&gt;INPUTS!$B$10,"NG",IF(RHO_ARCH!H33&gt;INPUTS!$B$9,"HEAVY","OK")))</f>
        <v>OK</v>
      </c>
      <c r="I33" s="4" t="str">
        <f aca="false">IF(RHO_ARCH!I33="","",IF(RHO_ARCH!I33&gt;INPUTS!$B$10,"NG",IF(RHO_ARCH!I33&gt;INPUTS!$B$9,"HEAVY","OK")))</f>
        <v>OK</v>
      </c>
      <c r="J33" s="4" t="str">
        <f aca="false">IF(RHO_ARCH!J33="","",IF(RHO_ARCH!J33&gt;INPUTS!$B$10,"NG",IF(RHO_ARCH!J33&gt;INPUTS!$B$9,"HEAVY","OK")))</f>
        <v>OK</v>
      </c>
      <c r="K33" s="4" t="str">
        <f aca="false">IF(RHO_ARCH!K33="","",IF(RHO_ARCH!K33&gt;INPUTS!$B$10,"NG",IF(RHO_ARCH!K33&gt;INPUTS!$B$9,"HEAVY","OK")))</f>
        <v>OK</v>
      </c>
      <c r="L33" s="4" t="str">
        <f aca="false">IF(RHO_ARCH!L33="","",IF(RHO_ARCH!L33&gt;INPUTS!$B$10,"NG",IF(RHO_ARCH!L33&gt;INPUTS!$B$9,"HEAVY","OK")))</f>
        <v>OK</v>
      </c>
      <c r="M33" s="4" t="str">
        <f aca="false">IF(RHO_ARCH!M33="","",IF(RHO_ARCH!M33&gt;INPUTS!$B$10,"NG",IF(RHO_ARCH!M33&gt;INPUTS!$B$9,"HEAVY","OK")))</f>
        <v>OK</v>
      </c>
      <c r="N33" s="4" t="str">
        <f aca="false">IF(RHO_ARCH!N33="","",IF(RHO_ARCH!N33&gt;INPUTS!$B$10,"NG",IF(RHO_ARCH!N33&gt;INPUTS!$B$9,"HEAVY","OK")))</f>
        <v>OK</v>
      </c>
      <c r="O33" s="4" t="str">
        <f aca="false">IF(RHO_ARCH!O33="","",IF(RHO_ARCH!O33&gt;INPUTS!$B$10,"NG",IF(RHO_ARCH!O33&gt;INPUTS!$B$9,"HEAVY","OK")))</f>
        <v>OK</v>
      </c>
      <c r="P33" s="4" t="str">
        <f aca="false">IF(RHO_ARCH!P33="","",IF(RHO_ARCH!P33&gt;INPUTS!$B$10,"NG",IF(RHO_ARCH!P33&gt;INPUTS!$B$9,"HEAVY","OK")))</f>
        <v>OK</v>
      </c>
    </row>
    <row r="34" customFormat="false" ht="15" hidden="false" customHeight="false" outlineLevel="0" collapsed="false">
      <c r="A34" s="11" t="str">
        <f aca="false">TRIB!A34</f>
        <v>C33</v>
      </c>
      <c r="B34" s="14" t="n">
        <f aca="false">TRIB!B34</f>
        <v>489.064813258663</v>
      </c>
      <c r="C34" s="14" t="n">
        <f aca="false">TRIB!C34</f>
        <v>457.476430215064</v>
      </c>
      <c r="D34" s="11" t="str">
        <f aca="false">TRIB!D34</f>
        <v>A</v>
      </c>
      <c r="E34" s="4" t="str">
        <f aca="false">IF(RHO_ARCH!E34="","",IF(RHO_ARCH!E34&gt;INPUTS!$B$10,"NG",IF(RHO_ARCH!E34&gt;INPUTS!$B$9,"HEAVY","OK")))</f>
        <v/>
      </c>
      <c r="F34" s="4" t="str">
        <f aca="false">IF(RHO_ARCH!F34="","",IF(RHO_ARCH!F34&gt;INPUTS!$B$10,"NG",IF(RHO_ARCH!F34&gt;INPUTS!$B$9,"HEAVY","OK")))</f>
        <v>OK</v>
      </c>
      <c r="G34" s="4" t="str">
        <f aca="false">IF(RHO_ARCH!G34="","",IF(RHO_ARCH!G34&gt;INPUTS!$B$10,"NG",IF(RHO_ARCH!G34&gt;INPUTS!$B$9,"HEAVY","OK")))</f>
        <v>OK</v>
      </c>
      <c r="H34" s="4" t="str">
        <f aca="false">IF(RHO_ARCH!H34="","",IF(RHO_ARCH!H34&gt;INPUTS!$B$10,"NG",IF(RHO_ARCH!H34&gt;INPUTS!$B$9,"HEAVY","OK")))</f>
        <v>OK</v>
      </c>
      <c r="I34" s="4" t="str">
        <f aca="false">IF(RHO_ARCH!I34="","",IF(RHO_ARCH!I34&gt;INPUTS!$B$10,"NG",IF(RHO_ARCH!I34&gt;INPUTS!$B$9,"HEAVY","OK")))</f>
        <v>OK</v>
      </c>
      <c r="J34" s="4" t="str">
        <f aca="false">IF(RHO_ARCH!J34="","",IF(RHO_ARCH!J34&gt;INPUTS!$B$10,"NG",IF(RHO_ARCH!J34&gt;INPUTS!$B$9,"HEAVY","OK")))</f>
        <v>OK</v>
      </c>
      <c r="K34" s="4" t="str">
        <f aca="false">IF(RHO_ARCH!K34="","",IF(RHO_ARCH!K34&gt;INPUTS!$B$10,"NG",IF(RHO_ARCH!K34&gt;INPUTS!$B$9,"HEAVY","OK")))</f>
        <v>OK</v>
      </c>
      <c r="L34" s="4" t="str">
        <f aca="false">IF(RHO_ARCH!L34="","",IF(RHO_ARCH!L34&gt;INPUTS!$B$10,"NG",IF(RHO_ARCH!L34&gt;INPUTS!$B$9,"HEAVY","OK")))</f>
        <v>OK</v>
      </c>
      <c r="M34" s="4" t="str">
        <f aca="false">IF(RHO_ARCH!M34="","",IF(RHO_ARCH!M34&gt;INPUTS!$B$10,"NG",IF(RHO_ARCH!M34&gt;INPUTS!$B$9,"HEAVY","OK")))</f>
        <v>OK</v>
      </c>
      <c r="N34" s="4" t="str">
        <f aca="false">IF(RHO_ARCH!N34="","",IF(RHO_ARCH!N34&gt;INPUTS!$B$10,"NG",IF(RHO_ARCH!N34&gt;INPUTS!$B$9,"HEAVY","OK")))</f>
        <v>OK</v>
      </c>
      <c r="O34" s="4" t="str">
        <f aca="false">IF(RHO_ARCH!O34="","",IF(RHO_ARCH!O34&gt;INPUTS!$B$10,"NG",IF(RHO_ARCH!O34&gt;INPUTS!$B$9,"HEAVY","OK")))</f>
        <v>OK</v>
      </c>
      <c r="P34" s="4" t="str">
        <f aca="false">IF(RHO_ARCH!P34="","",IF(RHO_ARCH!P34&gt;INPUTS!$B$10,"NG",IF(RHO_ARCH!P34&gt;INPUTS!$B$9,"HEAVY","OK")))</f>
        <v>OK</v>
      </c>
    </row>
    <row r="35" customFormat="false" ht="15" hidden="false" customHeight="false" outlineLevel="0" collapsed="false">
      <c r="A35" s="11" t="str">
        <f aca="false">TRIB!A35</f>
        <v>C34</v>
      </c>
      <c r="B35" s="14" t="n">
        <f aca="false">TRIB!B35</f>
        <v>490.930720265349</v>
      </c>
      <c r="C35" s="14" t="n">
        <f aca="false">TRIB!C35</f>
        <v>476.67578860481</v>
      </c>
      <c r="D35" s="11" t="str">
        <f aca="false">TRIB!D35</f>
        <v>A</v>
      </c>
      <c r="E35" s="4" t="str">
        <f aca="false">IF(RHO_ARCH!E35="","",IF(RHO_ARCH!E35&gt;INPUTS!$B$10,"NG",IF(RHO_ARCH!E35&gt;INPUTS!$B$9,"HEAVY","OK")))</f>
        <v/>
      </c>
      <c r="F35" s="4" t="str">
        <f aca="false">IF(RHO_ARCH!F35="","",IF(RHO_ARCH!F35&gt;INPUTS!$B$10,"NG",IF(RHO_ARCH!F35&gt;INPUTS!$B$9,"HEAVY","OK")))</f>
        <v/>
      </c>
      <c r="G35" s="4" t="str">
        <f aca="false">IF(RHO_ARCH!G35="","",IF(RHO_ARCH!G35&gt;INPUTS!$B$10,"NG",IF(RHO_ARCH!G35&gt;INPUTS!$B$9,"HEAVY","OK")))</f>
        <v>OK</v>
      </c>
      <c r="H35" s="4" t="str">
        <f aca="false">IF(RHO_ARCH!H35="","",IF(RHO_ARCH!H35&gt;INPUTS!$B$10,"NG",IF(RHO_ARCH!H35&gt;INPUTS!$B$9,"HEAVY","OK")))</f>
        <v>OK</v>
      </c>
      <c r="I35" s="4" t="str">
        <f aca="false">IF(RHO_ARCH!I35="","",IF(RHO_ARCH!I35&gt;INPUTS!$B$10,"NG",IF(RHO_ARCH!I35&gt;INPUTS!$B$9,"HEAVY","OK")))</f>
        <v>OK</v>
      </c>
      <c r="J35" s="4" t="str">
        <f aca="false">IF(RHO_ARCH!J35="","",IF(RHO_ARCH!J35&gt;INPUTS!$B$10,"NG",IF(RHO_ARCH!J35&gt;INPUTS!$B$9,"HEAVY","OK")))</f>
        <v>OK</v>
      </c>
      <c r="K35" s="4" t="str">
        <f aca="false">IF(RHO_ARCH!K35="","",IF(RHO_ARCH!K35&gt;INPUTS!$B$10,"NG",IF(RHO_ARCH!K35&gt;INPUTS!$B$9,"HEAVY","OK")))</f>
        <v>OK</v>
      </c>
      <c r="L35" s="4" t="str">
        <f aca="false">IF(RHO_ARCH!L35="","",IF(RHO_ARCH!L35&gt;INPUTS!$B$10,"NG",IF(RHO_ARCH!L35&gt;INPUTS!$B$9,"HEAVY","OK")))</f>
        <v>OK</v>
      </c>
      <c r="M35" s="4" t="str">
        <f aca="false">IF(RHO_ARCH!M35="","",IF(RHO_ARCH!M35&gt;INPUTS!$B$10,"NG",IF(RHO_ARCH!M35&gt;INPUTS!$B$9,"HEAVY","OK")))</f>
        <v>OK</v>
      </c>
      <c r="N35" s="4" t="str">
        <f aca="false">IF(RHO_ARCH!N35="","",IF(RHO_ARCH!N35&gt;INPUTS!$B$10,"NG",IF(RHO_ARCH!N35&gt;INPUTS!$B$9,"HEAVY","OK")))</f>
        <v>OK</v>
      </c>
      <c r="O35" s="4" t="str">
        <f aca="false">IF(RHO_ARCH!O35="","",IF(RHO_ARCH!O35&gt;INPUTS!$B$10,"NG",IF(RHO_ARCH!O35&gt;INPUTS!$B$9,"HEAVY","OK")))</f>
        <v>OK</v>
      </c>
      <c r="P35" s="4" t="str">
        <f aca="false">IF(RHO_ARCH!P35="","",IF(RHO_ARCH!P35&gt;INPUTS!$B$10,"NG",IF(RHO_ARCH!P35&gt;INPUTS!$B$9,"HEAVY","OK")))</f>
        <v>OK</v>
      </c>
    </row>
    <row r="36" customFormat="false" ht="15" hidden="false" customHeight="false" outlineLevel="0" collapsed="false">
      <c r="A36" s="11" t="str">
        <f aca="false">TRIB!A36</f>
        <v>C35</v>
      </c>
      <c r="B36" s="14" t="n">
        <f aca="false">TRIB!B36</f>
        <v>496.475747191993</v>
      </c>
      <c r="C36" s="14" t="n">
        <f aca="false">TRIB!C36</f>
        <v>499.586718623376</v>
      </c>
      <c r="D36" s="11" t="str">
        <f aca="false">TRIB!D36</f>
        <v>A</v>
      </c>
      <c r="E36" s="4" t="str">
        <f aca="false">IF(RHO_ARCH!E36="","",IF(RHO_ARCH!E36&gt;INPUTS!$B$10,"NG",IF(RHO_ARCH!E36&gt;INPUTS!$B$9,"HEAVY","OK")))</f>
        <v/>
      </c>
      <c r="F36" s="4" t="str">
        <f aca="false">IF(RHO_ARCH!F36="","",IF(RHO_ARCH!F36&gt;INPUTS!$B$10,"NG",IF(RHO_ARCH!F36&gt;INPUTS!$B$9,"HEAVY","OK")))</f>
        <v>OK</v>
      </c>
      <c r="G36" s="4" t="str">
        <f aca="false">IF(RHO_ARCH!G36="","",IF(RHO_ARCH!G36&gt;INPUTS!$B$10,"NG",IF(RHO_ARCH!G36&gt;INPUTS!$B$9,"HEAVY","OK")))</f>
        <v>OK</v>
      </c>
      <c r="H36" s="4" t="str">
        <f aca="false">IF(RHO_ARCH!H36="","",IF(RHO_ARCH!H36&gt;INPUTS!$B$10,"NG",IF(RHO_ARCH!H36&gt;INPUTS!$B$9,"HEAVY","OK")))</f>
        <v>OK</v>
      </c>
      <c r="I36" s="4" t="str">
        <f aca="false">IF(RHO_ARCH!I36="","",IF(RHO_ARCH!I36&gt;INPUTS!$B$10,"NG",IF(RHO_ARCH!I36&gt;INPUTS!$B$9,"HEAVY","OK")))</f>
        <v>OK</v>
      </c>
      <c r="J36" s="4" t="str">
        <f aca="false">IF(RHO_ARCH!J36="","",IF(RHO_ARCH!J36&gt;INPUTS!$B$10,"NG",IF(RHO_ARCH!J36&gt;INPUTS!$B$9,"HEAVY","OK")))</f>
        <v>OK</v>
      </c>
      <c r="K36" s="4" t="str">
        <f aca="false">IF(RHO_ARCH!K36="","",IF(RHO_ARCH!K36&gt;INPUTS!$B$10,"NG",IF(RHO_ARCH!K36&gt;INPUTS!$B$9,"HEAVY","OK")))</f>
        <v>OK</v>
      </c>
      <c r="L36" s="4" t="str">
        <f aca="false">IF(RHO_ARCH!L36="","",IF(RHO_ARCH!L36&gt;INPUTS!$B$10,"NG",IF(RHO_ARCH!L36&gt;INPUTS!$B$9,"HEAVY","OK")))</f>
        <v>OK</v>
      </c>
      <c r="M36" s="4" t="str">
        <f aca="false">IF(RHO_ARCH!M36="","",IF(RHO_ARCH!M36&gt;INPUTS!$B$10,"NG",IF(RHO_ARCH!M36&gt;INPUTS!$B$9,"HEAVY","OK")))</f>
        <v>OK</v>
      </c>
      <c r="N36" s="4" t="str">
        <f aca="false">IF(RHO_ARCH!N36="","",IF(RHO_ARCH!N36&gt;INPUTS!$B$10,"NG",IF(RHO_ARCH!N36&gt;INPUTS!$B$9,"HEAVY","OK")))</f>
        <v>OK</v>
      </c>
      <c r="O36" s="4" t="str">
        <f aca="false">IF(RHO_ARCH!O36="","",IF(RHO_ARCH!O36&gt;INPUTS!$B$10,"NG",IF(RHO_ARCH!O36&gt;INPUTS!$B$9,"HEAVY","OK")))</f>
        <v>OK</v>
      </c>
      <c r="P36" s="4" t="str">
        <f aca="false">IF(RHO_ARCH!P36="","",IF(RHO_ARCH!P36&gt;INPUTS!$B$10,"NG",IF(RHO_ARCH!P36&gt;INPUTS!$B$9,"HEAVY","OK")))</f>
        <v>OK</v>
      </c>
    </row>
    <row r="37" customFormat="false" ht="15" hidden="false" customHeight="false" outlineLevel="0" collapsed="false">
      <c r="A37" s="11" t="str">
        <f aca="false">TRIB!A37</f>
        <v>C36</v>
      </c>
      <c r="B37" s="14" t="n">
        <f aca="false">TRIB!B37</f>
        <v>498.867599731709</v>
      </c>
      <c r="C37" s="14" t="n">
        <f aca="false">TRIB!C37</f>
        <v>523.199104377706</v>
      </c>
      <c r="D37" s="11" t="str">
        <f aca="false">TRIB!D37</f>
        <v>A</v>
      </c>
      <c r="E37" s="4" t="str">
        <f aca="false">IF(RHO_ARCH!E37="","",IF(RHO_ARCH!E37&gt;INPUTS!$B$10,"NG",IF(RHO_ARCH!E37&gt;INPUTS!$B$9,"HEAVY","OK")))</f>
        <v/>
      </c>
      <c r="F37" s="4" t="str">
        <f aca="false">IF(RHO_ARCH!F37="","",IF(RHO_ARCH!F37&gt;INPUTS!$B$10,"NG",IF(RHO_ARCH!F37&gt;INPUTS!$B$9,"HEAVY","OK")))</f>
        <v>OK</v>
      </c>
      <c r="G37" s="4" t="str">
        <f aca="false">IF(RHO_ARCH!G37="","",IF(RHO_ARCH!G37&gt;INPUTS!$B$10,"NG",IF(RHO_ARCH!G37&gt;INPUTS!$B$9,"HEAVY","OK")))</f>
        <v>OK</v>
      </c>
      <c r="H37" s="4" t="str">
        <f aca="false">IF(RHO_ARCH!H37="","",IF(RHO_ARCH!H37&gt;INPUTS!$B$10,"NG",IF(RHO_ARCH!H37&gt;INPUTS!$B$9,"HEAVY","OK")))</f>
        <v>OK</v>
      </c>
      <c r="I37" s="4" t="str">
        <f aca="false">IF(RHO_ARCH!I37="","",IF(RHO_ARCH!I37&gt;INPUTS!$B$10,"NG",IF(RHO_ARCH!I37&gt;INPUTS!$B$9,"HEAVY","OK")))</f>
        <v>OK</v>
      </c>
      <c r="J37" s="4" t="str">
        <f aca="false">IF(RHO_ARCH!J37="","",IF(RHO_ARCH!J37&gt;INPUTS!$B$10,"NG",IF(RHO_ARCH!J37&gt;INPUTS!$B$9,"HEAVY","OK")))</f>
        <v>OK</v>
      </c>
      <c r="K37" s="4" t="str">
        <f aca="false">IF(RHO_ARCH!K37="","",IF(RHO_ARCH!K37&gt;INPUTS!$B$10,"NG",IF(RHO_ARCH!K37&gt;INPUTS!$B$9,"HEAVY","OK")))</f>
        <v>OK</v>
      </c>
      <c r="L37" s="4" t="str">
        <f aca="false">IF(RHO_ARCH!L37="","",IF(RHO_ARCH!L37&gt;INPUTS!$B$10,"NG",IF(RHO_ARCH!L37&gt;INPUTS!$B$9,"HEAVY","OK")))</f>
        <v>OK</v>
      </c>
      <c r="M37" s="4" t="str">
        <f aca="false">IF(RHO_ARCH!M37="","",IF(RHO_ARCH!M37&gt;INPUTS!$B$10,"NG",IF(RHO_ARCH!M37&gt;INPUTS!$B$9,"HEAVY","OK")))</f>
        <v>OK</v>
      </c>
      <c r="N37" s="4" t="str">
        <f aca="false">IF(RHO_ARCH!N37="","",IF(RHO_ARCH!N37&gt;INPUTS!$B$10,"NG",IF(RHO_ARCH!N37&gt;INPUTS!$B$9,"HEAVY","OK")))</f>
        <v>OK</v>
      </c>
      <c r="O37" s="4" t="str">
        <f aca="false">IF(RHO_ARCH!O37="","",IF(RHO_ARCH!O37&gt;INPUTS!$B$10,"NG",IF(RHO_ARCH!O37&gt;INPUTS!$B$9,"HEAVY","OK")))</f>
        <v>OK</v>
      </c>
      <c r="P37" s="4" t="str">
        <f aca="false">IF(RHO_ARCH!P37="","",IF(RHO_ARCH!P37&gt;INPUTS!$B$10,"NG",IF(RHO_ARCH!P37&gt;INPUTS!$B$9,"HEAVY","OK")))</f>
        <v>OK</v>
      </c>
    </row>
    <row r="38" customFormat="false" ht="15" hidden="false" customHeight="false" outlineLevel="0" collapsed="false">
      <c r="A38" s="11" t="str">
        <f aca="false">TRIB!A38</f>
        <v>C37</v>
      </c>
      <c r="B38" s="14" t="n">
        <f aca="false">TRIB!B38</f>
        <v>501.100007090652</v>
      </c>
      <c r="C38" s="14" t="n">
        <f aca="false">TRIB!C38</f>
        <v>455.784984527775</v>
      </c>
      <c r="D38" s="11" t="str">
        <f aca="false">TRIB!D38</f>
        <v>A</v>
      </c>
      <c r="E38" s="4" t="str">
        <f aca="false">IF(RHO_ARCH!E38="","",IF(RHO_ARCH!E38&gt;INPUTS!$B$10,"NG",IF(RHO_ARCH!E38&gt;INPUTS!$B$9,"HEAVY","OK")))</f>
        <v/>
      </c>
      <c r="F38" s="4" t="str">
        <f aca="false">IF(RHO_ARCH!F38="","",IF(RHO_ARCH!F38&gt;INPUTS!$B$10,"NG",IF(RHO_ARCH!F38&gt;INPUTS!$B$9,"HEAVY","OK")))</f>
        <v>OK</v>
      </c>
      <c r="G38" s="4" t="str">
        <f aca="false">IF(RHO_ARCH!G38="","",IF(RHO_ARCH!G38&gt;INPUTS!$B$10,"NG",IF(RHO_ARCH!G38&gt;INPUTS!$B$9,"HEAVY","OK")))</f>
        <v>OK</v>
      </c>
      <c r="H38" s="4" t="str">
        <f aca="false">IF(RHO_ARCH!H38="","",IF(RHO_ARCH!H38&gt;INPUTS!$B$10,"NG",IF(RHO_ARCH!H38&gt;INPUTS!$B$9,"HEAVY","OK")))</f>
        <v>OK</v>
      </c>
      <c r="I38" s="4" t="str">
        <f aca="false">IF(RHO_ARCH!I38="","",IF(RHO_ARCH!I38&gt;INPUTS!$B$10,"NG",IF(RHO_ARCH!I38&gt;INPUTS!$B$9,"HEAVY","OK")))</f>
        <v>OK</v>
      </c>
      <c r="J38" s="4" t="str">
        <f aca="false">IF(RHO_ARCH!J38="","",IF(RHO_ARCH!J38&gt;INPUTS!$B$10,"NG",IF(RHO_ARCH!J38&gt;INPUTS!$B$9,"HEAVY","OK")))</f>
        <v>OK</v>
      </c>
      <c r="K38" s="4" t="str">
        <f aca="false">IF(RHO_ARCH!K38="","",IF(RHO_ARCH!K38&gt;INPUTS!$B$10,"NG",IF(RHO_ARCH!K38&gt;INPUTS!$B$9,"HEAVY","OK")))</f>
        <v>OK</v>
      </c>
      <c r="L38" s="4" t="str">
        <f aca="false">IF(RHO_ARCH!L38="","",IF(RHO_ARCH!L38&gt;INPUTS!$B$10,"NG",IF(RHO_ARCH!L38&gt;INPUTS!$B$9,"HEAVY","OK")))</f>
        <v>OK</v>
      </c>
      <c r="M38" s="4" t="str">
        <f aca="false">IF(RHO_ARCH!M38="","",IF(RHO_ARCH!M38&gt;INPUTS!$B$10,"NG",IF(RHO_ARCH!M38&gt;INPUTS!$B$9,"HEAVY","OK")))</f>
        <v>OK</v>
      </c>
      <c r="N38" s="4" t="str">
        <f aca="false">IF(RHO_ARCH!N38="","",IF(RHO_ARCH!N38&gt;INPUTS!$B$10,"NG",IF(RHO_ARCH!N38&gt;INPUTS!$B$9,"HEAVY","OK")))</f>
        <v>OK</v>
      </c>
      <c r="O38" s="4" t="str">
        <f aca="false">IF(RHO_ARCH!O38="","",IF(RHO_ARCH!O38&gt;INPUTS!$B$10,"NG",IF(RHO_ARCH!O38&gt;INPUTS!$B$9,"HEAVY","OK")))</f>
        <v>OK</v>
      </c>
      <c r="P38" s="4" t="str">
        <f aca="false">IF(RHO_ARCH!P38="","",IF(RHO_ARCH!P38&gt;INPUTS!$B$10,"NG",IF(RHO_ARCH!P38&gt;INPUTS!$B$9,"HEAVY","OK")))</f>
        <v>OK</v>
      </c>
    </row>
    <row r="39" customFormat="false" ht="15" hidden="false" customHeight="false" outlineLevel="0" collapsed="false">
      <c r="A39" s="11" t="str">
        <f aca="false">TRIB!A39</f>
        <v>C38</v>
      </c>
      <c r="B39" s="14" t="n">
        <f aca="false">TRIB!B39</f>
        <v>501.912797574455</v>
      </c>
      <c r="C39" s="14" t="n">
        <f aca="false">TRIB!C39</f>
        <v>469.059694401306</v>
      </c>
      <c r="D39" s="11" t="str">
        <f aca="false">TRIB!D39</f>
        <v>A</v>
      </c>
      <c r="E39" s="4" t="str">
        <f aca="false">IF(RHO_ARCH!E39="","",IF(RHO_ARCH!E39&gt;INPUTS!$B$10,"NG",IF(RHO_ARCH!E39&gt;INPUTS!$B$9,"HEAVY","OK")))</f>
        <v/>
      </c>
      <c r="F39" s="4" t="str">
        <f aca="false">IF(RHO_ARCH!F39="","",IF(RHO_ARCH!F39&gt;INPUTS!$B$10,"NG",IF(RHO_ARCH!F39&gt;INPUTS!$B$9,"HEAVY","OK")))</f>
        <v>OK</v>
      </c>
      <c r="G39" s="4" t="str">
        <f aca="false">IF(RHO_ARCH!G39="","",IF(RHO_ARCH!G39&gt;INPUTS!$B$10,"NG",IF(RHO_ARCH!G39&gt;INPUTS!$B$9,"HEAVY","OK")))</f>
        <v>OK</v>
      </c>
      <c r="H39" s="4" t="str">
        <f aca="false">IF(RHO_ARCH!H39="","",IF(RHO_ARCH!H39&gt;INPUTS!$B$10,"NG",IF(RHO_ARCH!H39&gt;INPUTS!$B$9,"HEAVY","OK")))</f>
        <v>OK</v>
      </c>
      <c r="I39" s="4" t="str">
        <f aca="false">IF(RHO_ARCH!I39="","",IF(RHO_ARCH!I39&gt;INPUTS!$B$10,"NG",IF(RHO_ARCH!I39&gt;INPUTS!$B$9,"HEAVY","OK")))</f>
        <v>OK</v>
      </c>
      <c r="J39" s="4" t="str">
        <f aca="false">IF(RHO_ARCH!J39="","",IF(RHO_ARCH!J39&gt;INPUTS!$B$10,"NG",IF(RHO_ARCH!J39&gt;INPUTS!$B$9,"HEAVY","OK")))</f>
        <v>OK</v>
      </c>
      <c r="K39" s="4" t="str">
        <f aca="false">IF(RHO_ARCH!K39="","",IF(RHO_ARCH!K39&gt;INPUTS!$B$10,"NG",IF(RHO_ARCH!K39&gt;INPUTS!$B$9,"HEAVY","OK")))</f>
        <v>OK</v>
      </c>
      <c r="L39" s="4" t="str">
        <f aca="false">IF(RHO_ARCH!L39="","",IF(RHO_ARCH!L39&gt;INPUTS!$B$10,"NG",IF(RHO_ARCH!L39&gt;INPUTS!$B$9,"HEAVY","OK")))</f>
        <v>OK</v>
      </c>
      <c r="M39" s="4" t="str">
        <f aca="false">IF(RHO_ARCH!M39="","",IF(RHO_ARCH!M39&gt;INPUTS!$B$10,"NG",IF(RHO_ARCH!M39&gt;INPUTS!$B$9,"HEAVY","OK")))</f>
        <v>OK</v>
      </c>
      <c r="N39" s="4" t="str">
        <f aca="false">IF(RHO_ARCH!N39="","",IF(RHO_ARCH!N39&gt;INPUTS!$B$10,"NG",IF(RHO_ARCH!N39&gt;INPUTS!$B$9,"HEAVY","OK")))</f>
        <v>OK</v>
      </c>
      <c r="O39" s="4" t="str">
        <f aca="false">IF(RHO_ARCH!O39="","",IF(RHO_ARCH!O39&gt;INPUTS!$B$10,"NG",IF(RHO_ARCH!O39&gt;INPUTS!$B$9,"HEAVY","OK")))</f>
        <v>OK</v>
      </c>
      <c r="P39" s="4" t="str">
        <f aca="false">IF(RHO_ARCH!P39="","",IF(RHO_ARCH!P39&gt;INPUTS!$B$10,"NG",IF(RHO_ARCH!P39&gt;INPUTS!$B$9,"HEAVY","OK")))</f>
        <v>OK</v>
      </c>
    </row>
    <row r="40" customFormat="false" ht="15" hidden="false" customHeight="false" outlineLevel="0" collapsed="false">
      <c r="A40" s="11" t="str">
        <f aca="false">TRIB!A40</f>
        <v>C39</v>
      </c>
      <c r="B40" s="14" t="n">
        <f aca="false">TRIB!B40</f>
        <v>512.945975726731</v>
      </c>
      <c r="C40" s="14" t="n">
        <f aca="false">TRIB!C40</f>
        <v>551.273309501714</v>
      </c>
      <c r="D40" s="11" t="str">
        <f aca="false">TRIB!D40</f>
        <v>A</v>
      </c>
      <c r="E40" s="4" t="str">
        <f aca="false">IF(RHO_ARCH!E40="","",IF(RHO_ARCH!E40&gt;INPUTS!$B$10,"NG",IF(RHO_ARCH!E40&gt;INPUTS!$B$9,"HEAVY","OK")))</f>
        <v/>
      </c>
      <c r="F40" s="4" t="str">
        <f aca="false">IF(RHO_ARCH!F40="","",IF(RHO_ARCH!F40&gt;INPUTS!$B$10,"NG",IF(RHO_ARCH!F40&gt;INPUTS!$B$9,"HEAVY","OK")))</f>
        <v>OK</v>
      </c>
      <c r="G40" s="4" t="str">
        <f aca="false">IF(RHO_ARCH!G40="","",IF(RHO_ARCH!G40&gt;INPUTS!$B$10,"NG",IF(RHO_ARCH!G40&gt;INPUTS!$B$9,"HEAVY","OK")))</f>
        <v>OK</v>
      </c>
      <c r="H40" s="4" t="str">
        <f aca="false">IF(RHO_ARCH!H40="","",IF(RHO_ARCH!H40&gt;INPUTS!$B$10,"NG",IF(RHO_ARCH!H40&gt;INPUTS!$B$9,"HEAVY","OK")))</f>
        <v>OK</v>
      </c>
      <c r="I40" s="4" t="str">
        <f aca="false">IF(RHO_ARCH!I40="","",IF(RHO_ARCH!I40&gt;INPUTS!$B$10,"NG",IF(RHO_ARCH!I40&gt;INPUTS!$B$9,"HEAVY","OK")))</f>
        <v>OK</v>
      </c>
      <c r="J40" s="4" t="str">
        <f aca="false">IF(RHO_ARCH!J40="","",IF(RHO_ARCH!J40&gt;INPUTS!$B$10,"NG",IF(RHO_ARCH!J40&gt;INPUTS!$B$9,"HEAVY","OK")))</f>
        <v>OK</v>
      </c>
      <c r="K40" s="4" t="str">
        <f aca="false">IF(RHO_ARCH!K40="","",IF(RHO_ARCH!K40&gt;INPUTS!$B$10,"NG",IF(RHO_ARCH!K40&gt;INPUTS!$B$9,"HEAVY","OK")))</f>
        <v>OK</v>
      </c>
      <c r="L40" s="4" t="str">
        <f aca="false">IF(RHO_ARCH!L40="","",IF(RHO_ARCH!L40&gt;INPUTS!$B$10,"NG",IF(RHO_ARCH!L40&gt;INPUTS!$B$9,"HEAVY","OK")))</f>
        <v>OK</v>
      </c>
      <c r="M40" s="4" t="str">
        <f aca="false">IF(RHO_ARCH!M40="","",IF(RHO_ARCH!M40&gt;INPUTS!$B$10,"NG",IF(RHO_ARCH!M40&gt;INPUTS!$B$9,"HEAVY","OK")))</f>
        <v>OK</v>
      </c>
      <c r="N40" s="4" t="str">
        <f aca="false">IF(RHO_ARCH!N40="","",IF(RHO_ARCH!N40&gt;INPUTS!$B$10,"NG",IF(RHO_ARCH!N40&gt;INPUTS!$B$9,"HEAVY","OK")))</f>
        <v>OK</v>
      </c>
      <c r="O40" s="4" t="str">
        <f aca="false">IF(RHO_ARCH!O40="","",IF(RHO_ARCH!O40&gt;INPUTS!$B$10,"NG",IF(RHO_ARCH!O40&gt;INPUTS!$B$9,"HEAVY","OK")))</f>
        <v>OK</v>
      </c>
      <c r="P40" s="4" t="str">
        <f aca="false">IF(RHO_ARCH!P40="","",IF(RHO_ARCH!P40&gt;INPUTS!$B$10,"NG",IF(RHO_ARCH!P40&gt;INPUTS!$B$9,"HEAVY","OK")))</f>
        <v>OK</v>
      </c>
    </row>
    <row r="41" customFormat="false" ht="15" hidden="false" customHeight="false" outlineLevel="0" collapsed="false">
      <c r="A41" s="11" t="str">
        <f aca="false">TRIB!A41</f>
        <v>C40</v>
      </c>
      <c r="B41" s="14" t="n">
        <f aca="false">TRIB!B41</f>
        <v>512.945975726731</v>
      </c>
      <c r="C41" s="14" t="n">
        <f aca="false">TRIB!C41</f>
        <v>565.465344378737</v>
      </c>
      <c r="D41" s="11" t="str">
        <f aca="false">TRIB!D41</f>
        <v>A</v>
      </c>
      <c r="E41" s="4" t="str">
        <f aca="false">IF(RHO_ARCH!E41="","",IF(RHO_ARCH!E41&gt;INPUTS!$B$10,"NG",IF(RHO_ARCH!E41&gt;INPUTS!$B$9,"HEAVY","OK")))</f>
        <v/>
      </c>
      <c r="F41" s="4" t="str">
        <f aca="false">IF(RHO_ARCH!F41="","",IF(RHO_ARCH!F41&gt;INPUTS!$B$10,"NG",IF(RHO_ARCH!F41&gt;INPUTS!$B$9,"HEAVY","OK")))</f>
        <v>OK</v>
      </c>
      <c r="G41" s="4" t="str">
        <f aca="false">IF(RHO_ARCH!G41="","",IF(RHO_ARCH!G41&gt;INPUTS!$B$10,"NG",IF(RHO_ARCH!G41&gt;INPUTS!$B$9,"HEAVY","OK")))</f>
        <v>OK</v>
      </c>
      <c r="H41" s="4" t="str">
        <f aca="false">IF(RHO_ARCH!H41="","",IF(RHO_ARCH!H41&gt;INPUTS!$B$10,"NG",IF(RHO_ARCH!H41&gt;INPUTS!$B$9,"HEAVY","OK")))</f>
        <v>OK</v>
      </c>
      <c r="I41" s="4" t="str">
        <f aca="false">IF(RHO_ARCH!I41="","",IF(RHO_ARCH!I41&gt;INPUTS!$B$10,"NG",IF(RHO_ARCH!I41&gt;INPUTS!$B$9,"HEAVY","OK")))</f>
        <v>OK</v>
      </c>
      <c r="J41" s="4" t="str">
        <f aca="false">IF(RHO_ARCH!J41="","",IF(RHO_ARCH!J41&gt;INPUTS!$B$10,"NG",IF(RHO_ARCH!J41&gt;INPUTS!$B$9,"HEAVY","OK")))</f>
        <v>OK</v>
      </c>
      <c r="K41" s="4" t="str">
        <f aca="false">IF(RHO_ARCH!K41="","",IF(RHO_ARCH!K41&gt;INPUTS!$B$10,"NG",IF(RHO_ARCH!K41&gt;INPUTS!$B$9,"HEAVY","OK")))</f>
        <v>OK</v>
      </c>
      <c r="L41" s="4" t="str">
        <f aca="false">IF(RHO_ARCH!L41="","",IF(RHO_ARCH!L41&gt;INPUTS!$B$10,"NG",IF(RHO_ARCH!L41&gt;INPUTS!$B$9,"HEAVY","OK")))</f>
        <v>OK</v>
      </c>
      <c r="M41" s="4" t="str">
        <f aca="false">IF(RHO_ARCH!M41="","",IF(RHO_ARCH!M41&gt;INPUTS!$B$10,"NG",IF(RHO_ARCH!M41&gt;INPUTS!$B$9,"HEAVY","OK")))</f>
        <v>OK</v>
      </c>
      <c r="N41" s="4" t="str">
        <f aca="false">IF(RHO_ARCH!N41="","",IF(RHO_ARCH!N41&gt;INPUTS!$B$10,"NG",IF(RHO_ARCH!N41&gt;INPUTS!$B$9,"HEAVY","OK")))</f>
        <v>OK</v>
      </c>
      <c r="O41" s="4" t="str">
        <f aca="false">IF(RHO_ARCH!O41="","",IF(RHO_ARCH!O41&gt;INPUTS!$B$10,"NG",IF(RHO_ARCH!O41&gt;INPUTS!$B$9,"HEAVY","OK")))</f>
        <v>OK</v>
      </c>
      <c r="P41" s="4" t="str">
        <f aca="false">IF(RHO_ARCH!P41="","",IF(RHO_ARCH!P41&gt;INPUTS!$B$10,"NG",IF(RHO_ARCH!P41&gt;INPUTS!$B$9,"HEAVY","OK")))</f>
        <v>OK</v>
      </c>
    </row>
    <row r="42" customFormat="false" ht="15" hidden="false" customHeight="false" outlineLevel="0" collapsed="false">
      <c r="A42" s="11" t="str">
        <f aca="false">TRIB!A42</f>
        <v>C41</v>
      </c>
      <c r="B42" s="14" t="n">
        <f aca="false">TRIB!B42</f>
        <v>517.141671396972</v>
      </c>
      <c r="C42" s="14" t="n">
        <f aca="false">TRIB!C42</f>
        <v>521.431988473852</v>
      </c>
      <c r="D42" s="11" t="str">
        <f aca="false">TRIB!D42</f>
        <v>A</v>
      </c>
      <c r="E42" s="4" t="str">
        <f aca="false">IF(RHO_ARCH!E42="","",IF(RHO_ARCH!E42&gt;INPUTS!$B$10,"NG",IF(RHO_ARCH!E42&gt;INPUTS!$B$9,"HEAVY","OK")))</f>
        <v/>
      </c>
      <c r="F42" s="4" t="str">
        <f aca="false">IF(RHO_ARCH!F42="","",IF(RHO_ARCH!F42&gt;INPUTS!$B$10,"NG",IF(RHO_ARCH!F42&gt;INPUTS!$B$9,"HEAVY","OK")))</f>
        <v>OK</v>
      </c>
      <c r="G42" s="4" t="str">
        <f aca="false">IF(RHO_ARCH!G42="","",IF(RHO_ARCH!G42&gt;INPUTS!$B$10,"NG",IF(RHO_ARCH!G42&gt;INPUTS!$B$9,"HEAVY","OK")))</f>
        <v>OK</v>
      </c>
      <c r="H42" s="4" t="str">
        <f aca="false">IF(RHO_ARCH!H42="","",IF(RHO_ARCH!H42&gt;INPUTS!$B$10,"NG",IF(RHO_ARCH!H42&gt;INPUTS!$B$9,"HEAVY","OK")))</f>
        <v>OK</v>
      </c>
      <c r="I42" s="4" t="str">
        <f aca="false">IF(RHO_ARCH!I42="","",IF(RHO_ARCH!I42&gt;INPUTS!$B$10,"NG",IF(RHO_ARCH!I42&gt;INPUTS!$B$9,"HEAVY","OK")))</f>
        <v>OK</v>
      </c>
      <c r="J42" s="4" t="str">
        <f aca="false">IF(RHO_ARCH!J42="","",IF(RHO_ARCH!J42&gt;INPUTS!$B$10,"NG",IF(RHO_ARCH!J42&gt;INPUTS!$B$9,"HEAVY","OK")))</f>
        <v>OK</v>
      </c>
      <c r="K42" s="4" t="str">
        <f aca="false">IF(RHO_ARCH!K42="","",IF(RHO_ARCH!K42&gt;INPUTS!$B$10,"NG",IF(RHO_ARCH!K42&gt;INPUTS!$B$9,"HEAVY","OK")))</f>
        <v>OK</v>
      </c>
      <c r="L42" s="4" t="str">
        <f aca="false">IF(RHO_ARCH!L42="","",IF(RHO_ARCH!L42&gt;INPUTS!$B$10,"NG",IF(RHO_ARCH!L42&gt;INPUTS!$B$9,"HEAVY","OK")))</f>
        <v>OK</v>
      </c>
      <c r="M42" s="4" t="str">
        <f aca="false">IF(RHO_ARCH!M42="","",IF(RHO_ARCH!M42&gt;INPUTS!$B$10,"NG",IF(RHO_ARCH!M42&gt;INPUTS!$B$9,"HEAVY","OK")))</f>
        <v>OK</v>
      </c>
      <c r="N42" s="4" t="str">
        <f aca="false">IF(RHO_ARCH!N42="","",IF(RHO_ARCH!N42&gt;INPUTS!$B$10,"NG",IF(RHO_ARCH!N42&gt;INPUTS!$B$9,"HEAVY","OK")))</f>
        <v>OK</v>
      </c>
      <c r="O42" s="4" t="str">
        <f aca="false">IF(RHO_ARCH!O42="","",IF(RHO_ARCH!O42&gt;INPUTS!$B$10,"NG",IF(RHO_ARCH!O42&gt;INPUTS!$B$9,"HEAVY","OK")))</f>
        <v>OK</v>
      </c>
      <c r="P42" s="4" t="str">
        <f aca="false">IF(RHO_ARCH!P42="","",IF(RHO_ARCH!P42&gt;INPUTS!$B$10,"NG",IF(RHO_ARCH!P42&gt;INPUTS!$B$9,"HEAVY","OK")))</f>
        <v>OK</v>
      </c>
    </row>
    <row r="43" customFormat="false" ht="15" hidden="false" customHeight="false" outlineLevel="0" collapsed="false">
      <c r="A43" s="11" t="str">
        <f aca="false">TRIB!A43</f>
        <v>C42</v>
      </c>
      <c r="B43" s="14" t="n">
        <f aca="false">TRIB!B43</f>
        <v>519.925142393398</v>
      </c>
      <c r="C43" s="14" t="n">
        <f aca="false">TRIB!C43</f>
        <v>534.549866654836</v>
      </c>
      <c r="D43" s="11" t="str">
        <f aca="false">TRIB!D43</f>
        <v>A</v>
      </c>
      <c r="E43" s="4" t="str">
        <f aca="false">IF(RHO_ARCH!E43="","",IF(RHO_ARCH!E43&gt;INPUTS!$B$10,"NG",IF(RHO_ARCH!E43&gt;INPUTS!$B$9,"HEAVY","OK")))</f>
        <v/>
      </c>
      <c r="F43" s="4" t="str">
        <f aca="false">IF(RHO_ARCH!F43="","",IF(RHO_ARCH!F43&gt;INPUTS!$B$10,"NG",IF(RHO_ARCH!F43&gt;INPUTS!$B$9,"HEAVY","OK")))</f>
        <v>OK</v>
      </c>
      <c r="G43" s="4" t="str">
        <f aca="false">IF(RHO_ARCH!G43="","",IF(RHO_ARCH!G43&gt;INPUTS!$B$10,"NG",IF(RHO_ARCH!G43&gt;INPUTS!$B$9,"HEAVY","OK")))</f>
        <v>OK</v>
      </c>
      <c r="H43" s="4" t="str">
        <f aca="false">IF(RHO_ARCH!H43="","",IF(RHO_ARCH!H43&gt;INPUTS!$B$10,"NG",IF(RHO_ARCH!H43&gt;INPUTS!$B$9,"HEAVY","OK")))</f>
        <v>OK</v>
      </c>
      <c r="I43" s="4" t="str">
        <f aca="false">IF(RHO_ARCH!I43="","",IF(RHO_ARCH!I43&gt;INPUTS!$B$10,"NG",IF(RHO_ARCH!I43&gt;INPUTS!$B$9,"HEAVY","OK")))</f>
        <v>OK</v>
      </c>
      <c r="J43" s="4" t="str">
        <f aca="false">IF(RHO_ARCH!J43="","",IF(RHO_ARCH!J43&gt;INPUTS!$B$10,"NG",IF(RHO_ARCH!J43&gt;INPUTS!$B$9,"HEAVY","OK")))</f>
        <v>OK</v>
      </c>
      <c r="K43" s="4" t="str">
        <f aca="false">IF(RHO_ARCH!K43="","",IF(RHO_ARCH!K43&gt;INPUTS!$B$10,"NG",IF(RHO_ARCH!K43&gt;INPUTS!$B$9,"HEAVY","OK")))</f>
        <v>OK</v>
      </c>
      <c r="L43" s="4" t="str">
        <f aca="false">IF(RHO_ARCH!L43="","",IF(RHO_ARCH!L43&gt;INPUTS!$B$10,"NG",IF(RHO_ARCH!L43&gt;INPUTS!$B$9,"HEAVY","OK")))</f>
        <v>OK</v>
      </c>
      <c r="M43" s="4" t="str">
        <f aca="false">IF(RHO_ARCH!M43="","",IF(RHO_ARCH!M43&gt;INPUTS!$B$10,"NG",IF(RHO_ARCH!M43&gt;INPUTS!$B$9,"HEAVY","OK")))</f>
        <v>OK</v>
      </c>
      <c r="N43" s="4" t="str">
        <f aca="false">IF(RHO_ARCH!N43="","",IF(RHO_ARCH!N43&gt;INPUTS!$B$10,"NG",IF(RHO_ARCH!N43&gt;INPUTS!$B$9,"HEAVY","OK")))</f>
        <v>OK</v>
      </c>
      <c r="O43" s="4" t="str">
        <f aca="false">IF(RHO_ARCH!O43="","",IF(RHO_ARCH!O43&gt;INPUTS!$B$10,"NG",IF(RHO_ARCH!O43&gt;INPUTS!$B$9,"HEAVY","OK")))</f>
        <v>OK</v>
      </c>
      <c r="P43" s="4" t="str">
        <f aca="false">IF(RHO_ARCH!P43="","",IF(RHO_ARCH!P43&gt;INPUTS!$B$10,"NG",IF(RHO_ARCH!P43&gt;INPUTS!$B$9,"HEAVY","OK")))</f>
        <v>OK</v>
      </c>
    </row>
    <row r="44" customFormat="false" ht="15" hidden="false" customHeight="false" outlineLevel="0" collapsed="false">
      <c r="A44" s="11" t="str">
        <f aca="false">TRIB!A44</f>
        <v>C43</v>
      </c>
      <c r="B44" s="14" t="n">
        <f aca="false">TRIB!B44</f>
        <v>522.703916395439</v>
      </c>
      <c r="C44" s="14" t="n">
        <f aca="false">TRIB!C44</f>
        <v>491.496817307443</v>
      </c>
      <c r="D44" s="11" t="str">
        <f aca="false">TRIB!D44</f>
        <v>A</v>
      </c>
      <c r="E44" s="4" t="str">
        <f aca="false">IF(RHO_ARCH!E44="","",IF(RHO_ARCH!E44&gt;INPUTS!$B$10,"NG",IF(RHO_ARCH!E44&gt;INPUTS!$B$9,"HEAVY","OK")))</f>
        <v/>
      </c>
      <c r="F44" s="4" t="str">
        <f aca="false">IF(RHO_ARCH!F44="","",IF(RHO_ARCH!F44&gt;INPUTS!$B$10,"NG",IF(RHO_ARCH!F44&gt;INPUTS!$B$9,"HEAVY","OK")))</f>
        <v>OK</v>
      </c>
      <c r="G44" s="4" t="str">
        <f aca="false">IF(RHO_ARCH!G44="","",IF(RHO_ARCH!G44&gt;INPUTS!$B$10,"NG",IF(RHO_ARCH!G44&gt;INPUTS!$B$9,"HEAVY","OK")))</f>
        <v>OK</v>
      </c>
      <c r="H44" s="4" t="str">
        <f aca="false">IF(RHO_ARCH!H44="","",IF(RHO_ARCH!H44&gt;INPUTS!$B$10,"NG",IF(RHO_ARCH!H44&gt;INPUTS!$B$9,"HEAVY","OK")))</f>
        <v>OK</v>
      </c>
      <c r="I44" s="4" t="str">
        <f aca="false">IF(RHO_ARCH!I44="","",IF(RHO_ARCH!I44&gt;INPUTS!$B$10,"NG",IF(RHO_ARCH!I44&gt;INPUTS!$B$9,"HEAVY","OK")))</f>
        <v>OK</v>
      </c>
      <c r="J44" s="4" t="str">
        <f aca="false">IF(RHO_ARCH!J44="","",IF(RHO_ARCH!J44&gt;INPUTS!$B$10,"NG",IF(RHO_ARCH!J44&gt;INPUTS!$B$9,"HEAVY","OK")))</f>
        <v>OK</v>
      </c>
      <c r="K44" s="4" t="str">
        <f aca="false">IF(RHO_ARCH!K44="","",IF(RHO_ARCH!K44&gt;INPUTS!$B$10,"NG",IF(RHO_ARCH!K44&gt;INPUTS!$B$9,"HEAVY","OK")))</f>
        <v>OK</v>
      </c>
      <c r="L44" s="4" t="str">
        <f aca="false">IF(RHO_ARCH!L44="","",IF(RHO_ARCH!L44&gt;INPUTS!$B$10,"NG",IF(RHO_ARCH!L44&gt;INPUTS!$B$9,"HEAVY","OK")))</f>
        <v>OK</v>
      </c>
      <c r="M44" s="4" t="str">
        <f aca="false">IF(RHO_ARCH!M44="","",IF(RHO_ARCH!M44&gt;INPUTS!$B$10,"NG",IF(RHO_ARCH!M44&gt;INPUTS!$B$9,"HEAVY","OK")))</f>
        <v>OK</v>
      </c>
      <c r="N44" s="4" t="str">
        <f aca="false">IF(RHO_ARCH!N44="","",IF(RHO_ARCH!N44&gt;INPUTS!$B$10,"NG",IF(RHO_ARCH!N44&gt;INPUTS!$B$9,"HEAVY","OK")))</f>
        <v>OK</v>
      </c>
      <c r="O44" s="4" t="str">
        <f aca="false">IF(RHO_ARCH!O44="","",IF(RHO_ARCH!O44&gt;INPUTS!$B$10,"NG",IF(RHO_ARCH!O44&gt;INPUTS!$B$9,"HEAVY","OK")))</f>
        <v>OK</v>
      </c>
      <c r="P44" s="4" t="str">
        <f aca="false">IF(RHO_ARCH!P44="","",IF(RHO_ARCH!P44&gt;INPUTS!$B$10,"NG",IF(RHO_ARCH!P44&gt;INPUTS!$B$9,"HEAVY","OK")))</f>
        <v>OK</v>
      </c>
    </row>
    <row r="45" customFormat="false" ht="15" hidden="false" customHeight="false" outlineLevel="0" collapsed="false">
      <c r="A45" s="11" t="str">
        <f aca="false">TRIB!A45</f>
        <v>C44</v>
      </c>
      <c r="B45" s="14" t="n">
        <f aca="false">TRIB!B45</f>
        <v>525.787249728772</v>
      </c>
      <c r="C45" s="14" t="n">
        <f aca="false">TRIB!C45</f>
        <v>512.240728040346</v>
      </c>
      <c r="D45" s="11" t="str">
        <f aca="false">TRIB!D45</f>
        <v>A</v>
      </c>
      <c r="E45" s="4" t="str">
        <f aca="false">IF(RHO_ARCH!E45="","",IF(RHO_ARCH!E45&gt;INPUTS!$B$10,"NG",IF(RHO_ARCH!E45&gt;INPUTS!$B$9,"HEAVY","OK")))</f>
        <v/>
      </c>
      <c r="F45" s="4" t="str">
        <f aca="false">IF(RHO_ARCH!F45="","",IF(RHO_ARCH!F45&gt;INPUTS!$B$10,"NG",IF(RHO_ARCH!F45&gt;INPUTS!$B$9,"HEAVY","OK")))</f>
        <v>OK</v>
      </c>
      <c r="G45" s="4" t="str">
        <f aca="false">IF(RHO_ARCH!G45="","",IF(RHO_ARCH!G45&gt;INPUTS!$B$10,"NG",IF(RHO_ARCH!G45&gt;INPUTS!$B$9,"HEAVY","OK")))</f>
        <v>OK</v>
      </c>
      <c r="H45" s="4" t="str">
        <f aca="false">IF(RHO_ARCH!H45="","",IF(RHO_ARCH!H45&gt;INPUTS!$B$10,"NG",IF(RHO_ARCH!H45&gt;INPUTS!$B$9,"HEAVY","OK")))</f>
        <v>OK</v>
      </c>
      <c r="I45" s="4" t="str">
        <f aca="false">IF(RHO_ARCH!I45="","",IF(RHO_ARCH!I45&gt;INPUTS!$B$10,"NG",IF(RHO_ARCH!I45&gt;INPUTS!$B$9,"HEAVY","OK")))</f>
        <v>OK</v>
      </c>
      <c r="J45" s="4" t="str">
        <f aca="false">IF(RHO_ARCH!J45="","",IF(RHO_ARCH!J45&gt;INPUTS!$B$10,"NG",IF(RHO_ARCH!J45&gt;INPUTS!$B$9,"HEAVY","OK")))</f>
        <v>OK</v>
      </c>
      <c r="K45" s="4" t="str">
        <f aca="false">IF(RHO_ARCH!K45="","",IF(RHO_ARCH!K45&gt;INPUTS!$B$10,"NG",IF(RHO_ARCH!K45&gt;INPUTS!$B$9,"HEAVY","OK")))</f>
        <v>OK</v>
      </c>
      <c r="L45" s="4" t="str">
        <f aca="false">IF(RHO_ARCH!L45="","",IF(RHO_ARCH!L45&gt;INPUTS!$B$10,"NG",IF(RHO_ARCH!L45&gt;INPUTS!$B$9,"HEAVY","OK")))</f>
        <v>OK</v>
      </c>
      <c r="M45" s="4" t="str">
        <f aca="false">IF(RHO_ARCH!M45="","",IF(RHO_ARCH!M45&gt;INPUTS!$B$10,"NG",IF(RHO_ARCH!M45&gt;INPUTS!$B$9,"HEAVY","OK")))</f>
        <v>OK</v>
      </c>
      <c r="N45" s="4" t="str">
        <f aca="false">IF(RHO_ARCH!N45="","",IF(RHO_ARCH!N45&gt;INPUTS!$B$10,"NG",IF(RHO_ARCH!N45&gt;INPUTS!$B$9,"HEAVY","OK")))</f>
        <v>OK</v>
      </c>
      <c r="O45" s="4" t="str">
        <f aca="false">IF(RHO_ARCH!O45="","",IF(RHO_ARCH!O45&gt;INPUTS!$B$10,"NG",IF(RHO_ARCH!O45&gt;INPUTS!$B$9,"HEAVY","OK")))</f>
        <v>OK</v>
      </c>
      <c r="P45" s="4" t="str">
        <f aca="false">IF(RHO_ARCH!P45="","",IF(RHO_ARCH!P45&gt;INPUTS!$B$10,"NG",IF(RHO_ARCH!P45&gt;INPUTS!$B$9,"HEAVY","OK")))</f>
        <v>OK</v>
      </c>
    </row>
    <row r="46" customFormat="false" ht="15" hidden="false" customHeight="false" outlineLevel="0" collapsed="false">
      <c r="A46" s="11" t="str">
        <f aca="false">TRIB!A46</f>
        <v>C45</v>
      </c>
      <c r="B46" s="14" t="n">
        <f aca="false">TRIB!B46</f>
        <v>526.596657568213</v>
      </c>
      <c r="C46" s="14" t="n">
        <f aca="false">TRIB!C46</f>
        <v>452.936916195128</v>
      </c>
      <c r="D46" s="11" t="str">
        <f aca="false">TRIB!D46</f>
        <v>A</v>
      </c>
      <c r="E46" s="4" t="str">
        <f aca="false">IF(RHO_ARCH!E46="","",IF(RHO_ARCH!E46&gt;INPUTS!$B$10,"NG",IF(RHO_ARCH!E46&gt;INPUTS!$B$9,"HEAVY","OK")))</f>
        <v/>
      </c>
      <c r="F46" s="4" t="str">
        <f aca="false">IF(RHO_ARCH!F46="","",IF(RHO_ARCH!F46&gt;INPUTS!$B$10,"NG",IF(RHO_ARCH!F46&gt;INPUTS!$B$9,"HEAVY","OK")))</f>
        <v>OK</v>
      </c>
      <c r="G46" s="4" t="str">
        <f aca="false">IF(RHO_ARCH!G46="","",IF(RHO_ARCH!G46&gt;INPUTS!$B$10,"NG",IF(RHO_ARCH!G46&gt;INPUTS!$B$9,"HEAVY","OK")))</f>
        <v>OK</v>
      </c>
      <c r="H46" s="4" t="str">
        <f aca="false">IF(RHO_ARCH!H46="","",IF(RHO_ARCH!H46&gt;INPUTS!$B$10,"NG",IF(RHO_ARCH!H46&gt;INPUTS!$B$9,"HEAVY","OK")))</f>
        <v>OK</v>
      </c>
      <c r="I46" s="4" t="str">
        <f aca="false">IF(RHO_ARCH!I46="","",IF(RHO_ARCH!I46&gt;INPUTS!$B$10,"NG",IF(RHO_ARCH!I46&gt;INPUTS!$B$9,"HEAVY","OK")))</f>
        <v>OK</v>
      </c>
      <c r="J46" s="4" t="str">
        <f aca="false">IF(RHO_ARCH!J46="","",IF(RHO_ARCH!J46&gt;INPUTS!$B$10,"NG",IF(RHO_ARCH!J46&gt;INPUTS!$B$9,"HEAVY","OK")))</f>
        <v>OK</v>
      </c>
      <c r="K46" s="4" t="str">
        <f aca="false">IF(RHO_ARCH!K46="","",IF(RHO_ARCH!K46&gt;INPUTS!$B$10,"NG",IF(RHO_ARCH!K46&gt;INPUTS!$B$9,"HEAVY","OK")))</f>
        <v>OK</v>
      </c>
      <c r="L46" s="4" t="str">
        <f aca="false">IF(RHO_ARCH!L46="","",IF(RHO_ARCH!L46&gt;INPUTS!$B$10,"NG",IF(RHO_ARCH!L46&gt;INPUTS!$B$9,"HEAVY","OK")))</f>
        <v>OK</v>
      </c>
      <c r="M46" s="4" t="str">
        <f aca="false">IF(RHO_ARCH!M46="","",IF(RHO_ARCH!M46&gt;INPUTS!$B$10,"NG",IF(RHO_ARCH!M46&gt;INPUTS!$B$9,"HEAVY","OK")))</f>
        <v>OK</v>
      </c>
      <c r="N46" s="4" t="str">
        <f aca="false">IF(RHO_ARCH!N46="","",IF(RHO_ARCH!N46&gt;INPUTS!$B$10,"NG",IF(RHO_ARCH!N46&gt;INPUTS!$B$9,"HEAVY","OK")))</f>
        <v>OK</v>
      </c>
      <c r="O46" s="4" t="str">
        <f aca="false">IF(RHO_ARCH!O46="","",IF(RHO_ARCH!O46&gt;INPUTS!$B$10,"NG",IF(RHO_ARCH!O46&gt;INPUTS!$B$9,"HEAVY","OK")))</f>
        <v>OK</v>
      </c>
      <c r="P46" s="4" t="str">
        <f aca="false">IF(RHO_ARCH!P46="","",IF(RHO_ARCH!P46&gt;INPUTS!$B$10,"NG",IF(RHO_ARCH!P46&gt;INPUTS!$B$9,"HEAVY","OK")))</f>
        <v>OK</v>
      </c>
    </row>
    <row r="47" customFormat="false" ht="15" hidden="false" customHeight="false" outlineLevel="0" collapsed="false">
      <c r="A47" s="11" t="str">
        <f aca="false">TRIB!A47</f>
        <v>C46</v>
      </c>
      <c r="B47" s="14" t="n">
        <f aca="false">TRIB!B47</f>
        <v>526.596657568213</v>
      </c>
      <c r="C47" s="14" t="n">
        <f aca="false">TRIB!C47</f>
        <v>468.196463576925</v>
      </c>
      <c r="D47" s="11" t="str">
        <f aca="false">TRIB!D47</f>
        <v>A</v>
      </c>
      <c r="E47" s="4" t="str">
        <f aca="false">IF(RHO_ARCH!E47="","",IF(RHO_ARCH!E47&gt;INPUTS!$B$10,"NG",IF(RHO_ARCH!E47&gt;INPUTS!$B$9,"HEAVY","OK")))</f>
        <v/>
      </c>
      <c r="F47" s="4" t="str">
        <f aca="false">IF(RHO_ARCH!F47="","",IF(RHO_ARCH!F47&gt;INPUTS!$B$10,"NG",IF(RHO_ARCH!F47&gt;INPUTS!$B$9,"HEAVY","OK")))</f>
        <v>OK</v>
      </c>
      <c r="G47" s="4" t="str">
        <f aca="false">IF(RHO_ARCH!G47="","",IF(RHO_ARCH!G47&gt;INPUTS!$B$10,"NG",IF(RHO_ARCH!G47&gt;INPUTS!$B$9,"HEAVY","OK")))</f>
        <v>OK</v>
      </c>
      <c r="H47" s="4" t="str">
        <f aca="false">IF(RHO_ARCH!H47="","",IF(RHO_ARCH!H47&gt;INPUTS!$B$10,"NG",IF(RHO_ARCH!H47&gt;INPUTS!$B$9,"HEAVY","OK")))</f>
        <v>OK</v>
      </c>
      <c r="I47" s="4" t="str">
        <f aca="false">IF(RHO_ARCH!I47="","",IF(RHO_ARCH!I47&gt;INPUTS!$B$10,"NG",IF(RHO_ARCH!I47&gt;INPUTS!$B$9,"HEAVY","OK")))</f>
        <v>OK</v>
      </c>
      <c r="J47" s="4" t="str">
        <f aca="false">IF(RHO_ARCH!J47="","",IF(RHO_ARCH!J47&gt;INPUTS!$B$10,"NG",IF(RHO_ARCH!J47&gt;INPUTS!$B$9,"HEAVY","OK")))</f>
        <v>OK</v>
      </c>
      <c r="K47" s="4" t="str">
        <f aca="false">IF(RHO_ARCH!K47="","",IF(RHO_ARCH!K47&gt;INPUTS!$B$10,"NG",IF(RHO_ARCH!K47&gt;INPUTS!$B$9,"HEAVY","OK")))</f>
        <v>OK</v>
      </c>
      <c r="L47" s="4" t="str">
        <f aca="false">IF(RHO_ARCH!L47="","",IF(RHO_ARCH!L47&gt;INPUTS!$B$10,"NG",IF(RHO_ARCH!L47&gt;INPUTS!$B$9,"HEAVY","OK")))</f>
        <v>OK</v>
      </c>
      <c r="M47" s="4" t="str">
        <f aca="false">IF(RHO_ARCH!M47="","",IF(RHO_ARCH!M47&gt;INPUTS!$B$10,"NG",IF(RHO_ARCH!M47&gt;INPUTS!$B$9,"HEAVY","OK")))</f>
        <v>OK</v>
      </c>
      <c r="N47" s="4" t="str">
        <f aca="false">IF(RHO_ARCH!N47="","",IF(RHO_ARCH!N47&gt;INPUTS!$B$10,"NG",IF(RHO_ARCH!N47&gt;INPUTS!$B$9,"HEAVY","OK")))</f>
        <v>OK</v>
      </c>
      <c r="O47" s="4" t="str">
        <f aca="false">IF(RHO_ARCH!O47="","",IF(RHO_ARCH!O47&gt;INPUTS!$B$10,"NG",IF(RHO_ARCH!O47&gt;INPUTS!$B$9,"HEAVY","OK")))</f>
        <v>OK</v>
      </c>
      <c r="P47" s="4" t="str">
        <f aca="false">IF(RHO_ARCH!P47="","",IF(RHO_ARCH!P47&gt;INPUTS!$B$10,"NG",IF(RHO_ARCH!P47&gt;INPUTS!$B$9,"HEAVY","OK")))</f>
        <v>OK</v>
      </c>
    </row>
    <row r="48" customFormat="false" ht="15" hidden="false" customHeight="false" outlineLevel="0" collapsed="false">
      <c r="A48" s="11" t="str">
        <f aca="false">TRIB!A48</f>
        <v>C47</v>
      </c>
      <c r="B48" s="14" t="n">
        <f aca="false">TRIB!B48</f>
        <v>527.885992119061</v>
      </c>
      <c r="C48" s="14" t="n">
        <f aca="false">TRIB!C48</f>
        <v>521.343185605585</v>
      </c>
      <c r="D48" s="11" t="str">
        <f aca="false">TRIB!D48</f>
        <v>A</v>
      </c>
      <c r="E48" s="4" t="str">
        <f aca="false">IF(RHO_ARCH!E48="","",IF(RHO_ARCH!E48&gt;INPUTS!$B$10,"NG",IF(RHO_ARCH!E48&gt;INPUTS!$B$9,"HEAVY","OK")))</f>
        <v/>
      </c>
      <c r="F48" s="4" t="str">
        <f aca="false">IF(RHO_ARCH!F48="","",IF(RHO_ARCH!F48&gt;INPUTS!$B$10,"NG",IF(RHO_ARCH!F48&gt;INPUTS!$B$9,"HEAVY","OK")))</f>
        <v>OK</v>
      </c>
      <c r="G48" s="4" t="str">
        <f aca="false">IF(RHO_ARCH!G48="","",IF(RHO_ARCH!G48&gt;INPUTS!$B$10,"NG",IF(RHO_ARCH!G48&gt;INPUTS!$B$9,"HEAVY","OK")))</f>
        <v>OK</v>
      </c>
      <c r="H48" s="4" t="str">
        <f aca="false">IF(RHO_ARCH!H48="","",IF(RHO_ARCH!H48&gt;INPUTS!$B$10,"NG",IF(RHO_ARCH!H48&gt;INPUTS!$B$9,"HEAVY","OK")))</f>
        <v>OK</v>
      </c>
      <c r="I48" s="4" t="str">
        <f aca="false">IF(RHO_ARCH!I48="","",IF(RHO_ARCH!I48&gt;INPUTS!$B$10,"NG",IF(RHO_ARCH!I48&gt;INPUTS!$B$9,"HEAVY","OK")))</f>
        <v>OK</v>
      </c>
      <c r="J48" s="4" t="str">
        <f aca="false">IF(RHO_ARCH!J48="","",IF(RHO_ARCH!J48&gt;INPUTS!$B$10,"NG",IF(RHO_ARCH!J48&gt;INPUTS!$B$9,"HEAVY","OK")))</f>
        <v>OK</v>
      </c>
      <c r="K48" s="4" t="str">
        <f aca="false">IF(RHO_ARCH!K48="","",IF(RHO_ARCH!K48&gt;INPUTS!$B$10,"NG",IF(RHO_ARCH!K48&gt;INPUTS!$B$9,"HEAVY","OK")))</f>
        <v>OK</v>
      </c>
      <c r="L48" s="4" t="str">
        <f aca="false">IF(RHO_ARCH!L48="","",IF(RHO_ARCH!L48&gt;INPUTS!$B$10,"NG",IF(RHO_ARCH!L48&gt;INPUTS!$B$9,"HEAVY","OK")))</f>
        <v>OK</v>
      </c>
      <c r="M48" s="4" t="str">
        <f aca="false">IF(RHO_ARCH!M48="","",IF(RHO_ARCH!M48&gt;INPUTS!$B$10,"NG",IF(RHO_ARCH!M48&gt;INPUTS!$B$9,"HEAVY","OK")))</f>
        <v>OK</v>
      </c>
      <c r="N48" s="4" t="str">
        <f aca="false">IF(RHO_ARCH!N48="","",IF(RHO_ARCH!N48&gt;INPUTS!$B$10,"NG",IF(RHO_ARCH!N48&gt;INPUTS!$B$9,"HEAVY","OK")))</f>
        <v>OK</v>
      </c>
      <c r="O48" s="4" t="str">
        <f aca="false">IF(RHO_ARCH!O48="","",IF(RHO_ARCH!O48&gt;INPUTS!$B$10,"NG",IF(RHO_ARCH!O48&gt;INPUTS!$B$9,"HEAVY","OK")))</f>
        <v>OK</v>
      </c>
      <c r="P48" s="4" t="str">
        <f aca="false">IF(RHO_ARCH!P48="","",IF(RHO_ARCH!P48&gt;INPUTS!$B$10,"NG",IF(RHO_ARCH!P48&gt;INPUTS!$B$9,"HEAVY","OK")))</f>
        <v>OK</v>
      </c>
    </row>
    <row r="49" customFormat="false" ht="15" hidden="false" customHeight="false" outlineLevel="0" collapsed="false">
      <c r="A49" s="11" t="str">
        <f aca="false">TRIB!A49</f>
        <v>C48</v>
      </c>
      <c r="B49" s="14" t="n">
        <f aca="false">TRIB!B49</f>
        <v>533.518219627271</v>
      </c>
      <c r="C49" s="14" t="n">
        <f aca="false">TRIB!C49</f>
        <v>549.184767835048</v>
      </c>
      <c r="D49" s="11" t="str">
        <f aca="false">TRIB!D49</f>
        <v>A</v>
      </c>
      <c r="E49" s="4" t="str">
        <f aca="false">IF(RHO_ARCH!E49="","",IF(RHO_ARCH!E49&gt;INPUTS!$B$10,"NG",IF(RHO_ARCH!E49&gt;INPUTS!$B$9,"HEAVY","OK")))</f>
        <v/>
      </c>
      <c r="F49" s="4" t="str">
        <f aca="false">IF(RHO_ARCH!F49="","",IF(RHO_ARCH!F49&gt;INPUTS!$B$10,"NG",IF(RHO_ARCH!F49&gt;INPUTS!$B$9,"HEAVY","OK")))</f>
        <v>OK</v>
      </c>
      <c r="G49" s="4" t="str">
        <f aca="false">IF(RHO_ARCH!G49="","",IF(RHO_ARCH!G49&gt;INPUTS!$B$10,"NG",IF(RHO_ARCH!G49&gt;INPUTS!$B$9,"HEAVY","OK")))</f>
        <v>OK</v>
      </c>
      <c r="H49" s="4" t="str">
        <f aca="false">IF(RHO_ARCH!H49="","",IF(RHO_ARCH!H49&gt;INPUTS!$B$10,"NG",IF(RHO_ARCH!H49&gt;INPUTS!$B$9,"HEAVY","OK")))</f>
        <v>OK</v>
      </c>
      <c r="I49" s="4" t="str">
        <f aca="false">IF(RHO_ARCH!I49="","",IF(RHO_ARCH!I49&gt;INPUTS!$B$10,"NG",IF(RHO_ARCH!I49&gt;INPUTS!$B$9,"HEAVY","OK")))</f>
        <v>OK</v>
      </c>
      <c r="J49" s="4" t="str">
        <f aca="false">IF(RHO_ARCH!J49="","",IF(RHO_ARCH!J49&gt;INPUTS!$B$10,"NG",IF(RHO_ARCH!J49&gt;INPUTS!$B$9,"HEAVY","OK")))</f>
        <v>OK</v>
      </c>
      <c r="K49" s="4" t="str">
        <f aca="false">IF(RHO_ARCH!K49="","",IF(RHO_ARCH!K49&gt;INPUTS!$B$10,"NG",IF(RHO_ARCH!K49&gt;INPUTS!$B$9,"HEAVY","OK")))</f>
        <v>OK</v>
      </c>
      <c r="L49" s="4" t="str">
        <f aca="false">IF(RHO_ARCH!L49="","",IF(RHO_ARCH!L49&gt;INPUTS!$B$10,"NG",IF(RHO_ARCH!L49&gt;INPUTS!$B$9,"HEAVY","OK")))</f>
        <v>OK</v>
      </c>
      <c r="M49" s="4" t="str">
        <f aca="false">IF(RHO_ARCH!M49="","",IF(RHO_ARCH!M49&gt;INPUTS!$B$10,"NG",IF(RHO_ARCH!M49&gt;INPUTS!$B$9,"HEAVY","OK")))</f>
        <v>OK</v>
      </c>
      <c r="N49" s="4" t="str">
        <f aca="false">IF(RHO_ARCH!N49="","",IF(RHO_ARCH!N49&gt;INPUTS!$B$10,"NG",IF(RHO_ARCH!N49&gt;INPUTS!$B$9,"HEAVY","OK")))</f>
        <v>OK</v>
      </c>
      <c r="O49" s="4" t="str">
        <f aca="false">IF(RHO_ARCH!O49="","",IF(RHO_ARCH!O49&gt;INPUTS!$B$10,"NG",IF(RHO_ARCH!O49&gt;INPUTS!$B$9,"HEAVY","OK")))</f>
        <v>OK</v>
      </c>
      <c r="P49" s="4" t="str">
        <f aca="false">IF(RHO_ARCH!P49="","",IF(RHO_ARCH!P49&gt;INPUTS!$B$10,"NG",IF(RHO_ARCH!P49&gt;INPUTS!$B$9,"HEAVY","OK")))</f>
        <v>OK</v>
      </c>
    </row>
    <row r="50" customFormat="false" ht="15" hidden="false" customHeight="false" outlineLevel="0" collapsed="false">
      <c r="A50" s="11" t="str">
        <f aca="false">TRIB!A50</f>
        <v>C49</v>
      </c>
      <c r="B50" s="14" t="n">
        <f aca="false">TRIB!B50</f>
        <v>533.518219627271</v>
      </c>
      <c r="C50" s="14" t="n">
        <f aca="false">TRIB!C50</f>
        <v>565.590344378737</v>
      </c>
      <c r="D50" s="11" t="str">
        <f aca="false">TRIB!D50</f>
        <v>A</v>
      </c>
      <c r="E50" s="4" t="str">
        <f aca="false">IF(RHO_ARCH!E50="","",IF(RHO_ARCH!E50&gt;INPUTS!$B$10,"NG",IF(RHO_ARCH!E50&gt;INPUTS!$B$9,"HEAVY","OK")))</f>
        <v/>
      </c>
      <c r="F50" s="4" t="str">
        <f aca="false">IF(RHO_ARCH!F50="","",IF(RHO_ARCH!F50&gt;INPUTS!$B$10,"NG",IF(RHO_ARCH!F50&gt;INPUTS!$B$9,"HEAVY","OK")))</f>
        <v>OK</v>
      </c>
      <c r="G50" s="4" t="str">
        <f aca="false">IF(RHO_ARCH!G50="","",IF(RHO_ARCH!G50&gt;INPUTS!$B$10,"NG",IF(RHO_ARCH!G50&gt;INPUTS!$B$9,"HEAVY","OK")))</f>
        <v>OK</v>
      </c>
      <c r="H50" s="4" t="str">
        <f aca="false">IF(RHO_ARCH!H50="","",IF(RHO_ARCH!H50&gt;INPUTS!$B$10,"NG",IF(RHO_ARCH!H50&gt;INPUTS!$B$9,"HEAVY","OK")))</f>
        <v>OK</v>
      </c>
      <c r="I50" s="4" t="str">
        <f aca="false">IF(RHO_ARCH!I50="","",IF(RHO_ARCH!I50&gt;INPUTS!$B$10,"NG",IF(RHO_ARCH!I50&gt;INPUTS!$B$9,"HEAVY","OK")))</f>
        <v>OK</v>
      </c>
      <c r="J50" s="4" t="str">
        <f aca="false">IF(RHO_ARCH!J50="","",IF(RHO_ARCH!J50&gt;INPUTS!$B$10,"NG",IF(RHO_ARCH!J50&gt;INPUTS!$B$9,"HEAVY","OK")))</f>
        <v>OK</v>
      </c>
      <c r="K50" s="4" t="str">
        <f aca="false">IF(RHO_ARCH!K50="","",IF(RHO_ARCH!K50&gt;INPUTS!$B$10,"NG",IF(RHO_ARCH!K50&gt;INPUTS!$B$9,"HEAVY","OK")))</f>
        <v>OK</v>
      </c>
      <c r="L50" s="4" t="str">
        <f aca="false">IF(RHO_ARCH!L50="","",IF(RHO_ARCH!L50&gt;INPUTS!$B$10,"NG",IF(RHO_ARCH!L50&gt;INPUTS!$B$9,"HEAVY","OK")))</f>
        <v>OK</v>
      </c>
      <c r="M50" s="4" t="str">
        <f aca="false">IF(RHO_ARCH!M50="","",IF(RHO_ARCH!M50&gt;INPUTS!$B$10,"NG",IF(RHO_ARCH!M50&gt;INPUTS!$B$9,"HEAVY","OK")))</f>
        <v>OK</v>
      </c>
      <c r="N50" s="4" t="str">
        <f aca="false">IF(RHO_ARCH!N50="","",IF(RHO_ARCH!N50&gt;INPUTS!$B$10,"NG",IF(RHO_ARCH!N50&gt;INPUTS!$B$9,"HEAVY","OK")))</f>
        <v>OK</v>
      </c>
      <c r="O50" s="4" t="str">
        <f aca="false">IF(RHO_ARCH!O50="","",IF(RHO_ARCH!O50&gt;INPUTS!$B$10,"NG",IF(RHO_ARCH!O50&gt;INPUTS!$B$9,"HEAVY","OK")))</f>
        <v>OK</v>
      </c>
      <c r="P50" s="4" t="str">
        <f aca="false">IF(RHO_ARCH!P50="","",IF(RHO_ARCH!P50&gt;INPUTS!$B$10,"NG",IF(RHO_ARCH!P50&gt;INPUTS!$B$9,"HEAVY","OK")))</f>
        <v>OK</v>
      </c>
    </row>
    <row r="51" customFormat="false" ht="15" hidden="false" customHeight="false" outlineLevel="0" collapsed="false">
      <c r="A51" s="11" t="str">
        <f aca="false">TRIB!A51</f>
        <v>C50</v>
      </c>
      <c r="B51" s="14" t="n">
        <f aca="false">TRIB!B51</f>
        <v>536.164969095825</v>
      </c>
      <c r="C51" s="14" t="n">
        <f aca="false">TRIB!C51</f>
        <v>508.157394707013</v>
      </c>
      <c r="D51" s="11" t="str">
        <f aca="false">TRIB!D51</f>
        <v>A</v>
      </c>
      <c r="E51" s="4" t="str">
        <f aca="false">IF(RHO_ARCH!E51="","",IF(RHO_ARCH!E51&gt;INPUTS!$B$10,"NG",IF(RHO_ARCH!E51&gt;INPUTS!$B$9,"HEAVY","OK")))</f>
        <v/>
      </c>
      <c r="F51" s="4" t="str">
        <f aca="false">IF(RHO_ARCH!F51="","",IF(RHO_ARCH!F51&gt;INPUTS!$B$10,"NG",IF(RHO_ARCH!F51&gt;INPUTS!$B$9,"HEAVY","OK")))</f>
        <v>OK</v>
      </c>
      <c r="G51" s="4" t="str">
        <f aca="false">IF(RHO_ARCH!G51="","",IF(RHO_ARCH!G51&gt;INPUTS!$B$10,"NG",IF(RHO_ARCH!G51&gt;INPUTS!$B$9,"HEAVY","OK")))</f>
        <v>OK</v>
      </c>
      <c r="H51" s="4" t="str">
        <f aca="false">IF(RHO_ARCH!H51="","",IF(RHO_ARCH!H51&gt;INPUTS!$B$10,"NG",IF(RHO_ARCH!H51&gt;INPUTS!$B$9,"HEAVY","OK")))</f>
        <v>OK</v>
      </c>
      <c r="I51" s="4" t="str">
        <f aca="false">IF(RHO_ARCH!I51="","",IF(RHO_ARCH!I51&gt;INPUTS!$B$10,"NG",IF(RHO_ARCH!I51&gt;INPUTS!$B$9,"HEAVY","OK")))</f>
        <v>OK</v>
      </c>
      <c r="J51" s="4" t="str">
        <f aca="false">IF(RHO_ARCH!J51="","",IF(RHO_ARCH!J51&gt;INPUTS!$B$10,"NG",IF(RHO_ARCH!J51&gt;INPUTS!$B$9,"HEAVY","OK")))</f>
        <v>OK</v>
      </c>
      <c r="K51" s="4" t="str">
        <f aca="false">IF(RHO_ARCH!K51="","",IF(RHO_ARCH!K51&gt;INPUTS!$B$10,"NG",IF(RHO_ARCH!K51&gt;INPUTS!$B$9,"HEAVY","OK")))</f>
        <v>OK</v>
      </c>
      <c r="L51" s="4" t="str">
        <f aca="false">IF(RHO_ARCH!L51="","",IF(RHO_ARCH!L51&gt;INPUTS!$B$10,"NG",IF(RHO_ARCH!L51&gt;INPUTS!$B$9,"HEAVY","OK")))</f>
        <v>OK</v>
      </c>
      <c r="M51" s="4" t="str">
        <f aca="false">IF(RHO_ARCH!M51="","",IF(RHO_ARCH!M51&gt;INPUTS!$B$10,"NG",IF(RHO_ARCH!M51&gt;INPUTS!$B$9,"HEAVY","OK")))</f>
        <v>OK</v>
      </c>
      <c r="N51" s="4" t="str">
        <f aca="false">IF(RHO_ARCH!N51="","",IF(RHO_ARCH!N51&gt;INPUTS!$B$10,"NG",IF(RHO_ARCH!N51&gt;INPUTS!$B$9,"HEAVY","OK")))</f>
        <v>OK</v>
      </c>
      <c r="O51" s="4" t="str">
        <f aca="false">IF(RHO_ARCH!O51="","",IF(RHO_ARCH!O51&gt;INPUTS!$B$10,"NG",IF(RHO_ARCH!O51&gt;INPUTS!$B$9,"HEAVY","OK")))</f>
        <v>OK</v>
      </c>
      <c r="P51" s="4" t="str">
        <f aca="false">IF(RHO_ARCH!P51="","",IF(RHO_ARCH!P51&gt;INPUTS!$B$10,"NG",IF(RHO_ARCH!P51&gt;INPUTS!$B$9,"HEAVY","OK")))</f>
        <v>OK</v>
      </c>
    </row>
    <row r="52" customFormat="false" ht="15" hidden="false" customHeight="false" outlineLevel="0" collapsed="false">
      <c r="A52" s="11" t="str">
        <f aca="false">TRIB!A52</f>
        <v>C51</v>
      </c>
      <c r="B52" s="14" t="n">
        <f aca="false">TRIB!B52</f>
        <v>537.544574235033</v>
      </c>
      <c r="C52" s="14" t="n">
        <f aca="false">TRIB!C52</f>
        <v>451.103582861795</v>
      </c>
      <c r="D52" s="11" t="str">
        <f aca="false">TRIB!D52</f>
        <v>A</v>
      </c>
      <c r="E52" s="4" t="str">
        <f aca="false">IF(RHO_ARCH!E52="","",IF(RHO_ARCH!E52&gt;INPUTS!$B$10,"NG",IF(RHO_ARCH!E52&gt;INPUTS!$B$9,"HEAVY","OK")))</f>
        <v/>
      </c>
      <c r="F52" s="4" t="str">
        <f aca="false">IF(RHO_ARCH!F52="","",IF(RHO_ARCH!F52&gt;INPUTS!$B$10,"NG",IF(RHO_ARCH!F52&gt;INPUTS!$B$9,"HEAVY","OK")))</f>
        <v>OK</v>
      </c>
      <c r="G52" s="4" t="str">
        <f aca="false">IF(RHO_ARCH!G52="","",IF(RHO_ARCH!G52&gt;INPUTS!$B$10,"NG",IF(RHO_ARCH!G52&gt;INPUTS!$B$9,"HEAVY","OK")))</f>
        <v>OK</v>
      </c>
      <c r="H52" s="4" t="str">
        <f aca="false">IF(RHO_ARCH!H52="","",IF(RHO_ARCH!H52&gt;INPUTS!$B$10,"NG",IF(RHO_ARCH!H52&gt;INPUTS!$B$9,"HEAVY","OK")))</f>
        <v>OK</v>
      </c>
      <c r="I52" s="4" t="str">
        <f aca="false">IF(RHO_ARCH!I52="","",IF(RHO_ARCH!I52&gt;INPUTS!$B$10,"NG",IF(RHO_ARCH!I52&gt;INPUTS!$B$9,"HEAVY","OK")))</f>
        <v>OK</v>
      </c>
      <c r="J52" s="4" t="str">
        <f aca="false">IF(RHO_ARCH!J52="","",IF(RHO_ARCH!J52&gt;INPUTS!$B$10,"NG",IF(RHO_ARCH!J52&gt;INPUTS!$B$9,"HEAVY","OK")))</f>
        <v>OK</v>
      </c>
      <c r="K52" s="4" t="str">
        <f aca="false">IF(RHO_ARCH!K52="","",IF(RHO_ARCH!K52&gt;INPUTS!$B$10,"NG",IF(RHO_ARCH!K52&gt;INPUTS!$B$9,"HEAVY","OK")))</f>
        <v>OK</v>
      </c>
      <c r="L52" s="4" t="str">
        <f aca="false">IF(RHO_ARCH!L52="","",IF(RHO_ARCH!L52&gt;INPUTS!$B$10,"NG",IF(RHO_ARCH!L52&gt;INPUTS!$B$9,"HEAVY","OK")))</f>
        <v>OK</v>
      </c>
      <c r="M52" s="4" t="str">
        <f aca="false">IF(RHO_ARCH!M52="","",IF(RHO_ARCH!M52&gt;INPUTS!$B$10,"NG",IF(RHO_ARCH!M52&gt;INPUTS!$B$9,"HEAVY","OK")))</f>
        <v>OK</v>
      </c>
      <c r="N52" s="4" t="str">
        <f aca="false">IF(RHO_ARCH!N52="","",IF(RHO_ARCH!N52&gt;INPUTS!$B$10,"NG",IF(RHO_ARCH!N52&gt;INPUTS!$B$9,"HEAVY","OK")))</f>
        <v>OK</v>
      </c>
      <c r="O52" s="4" t="str">
        <f aca="false">IF(RHO_ARCH!O52="","",IF(RHO_ARCH!O52&gt;INPUTS!$B$10,"NG",IF(RHO_ARCH!O52&gt;INPUTS!$B$9,"HEAVY","OK")))</f>
        <v>OK</v>
      </c>
      <c r="P52" s="4" t="str">
        <f aca="false">IF(RHO_ARCH!P52="","",IF(RHO_ARCH!P52&gt;INPUTS!$B$10,"NG",IF(RHO_ARCH!P52&gt;INPUTS!$B$9,"HEAVY","OK")))</f>
        <v>OK</v>
      </c>
    </row>
    <row r="53" customFormat="false" ht="15" hidden="false" customHeight="false" outlineLevel="0" collapsed="false">
      <c r="A53" s="11" t="str">
        <f aca="false">TRIB!A53</f>
        <v>C52</v>
      </c>
      <c r="B53" s="14" t="n">
        <f aca="false">TRIB!B53</f>
        <v>544.813826153216</v>
      </c>
      <c r="C53" s="14" t="n">
        <f aca="false">TRIB!C53</f>
        <v>533.773824988171</v>
      </c>
      <c r="D53" s="11" t="str">
        <f aca="false">TRIB!D53</f>
        <v>B</v>
      </c>
      <c r="E53" s="4" t="str">
        <f aca="false">IF(RHO_ARCH!E53="","",IF(RHO_ARCH!E53&gt;INPUTS!$B$10,"NG",IF(RHO_ARCH!E53&gt;INPUTS!$B$9,"HEAVY","OK")))</f>
        <v>OK</v>
      </c>
      <c r="F53" s="4" t="str">
        <f aca="false">IF(RHO_ARCH!F53="","",IF(RHO_ARCH!F53&gt;INPUTS!$B$10,"NG",IF(RHO_ARCH!F53&gt;INPUTS!$B$9,"HEAVY","OK")))</f>
        <v>OK</v>
      </c>
      <c r="G53" s="4" t="str">
        <f aca="false">IF(RHO_ARCH!G53="","",IF(RHO_ARCH!G53&gt;INPUTS!$B$10,"NG",IF(RHO_ARCH!G53&gt;INPUTS!$B$9,"HEAVY","OK")))</f>
        <v>OK</v>
      </c>
      <c r="H53" s="4" t="str">
        <f aca="false">IF(RHO_ARCH!H53="","",IF(RHO_ARCH!H53&gt;INPUTS!$B$10,"NG",IF(RHO_ARCH!H53&gt;INPUTS!$B$9,"HEAVY","OK")))</f>
        <v>OK</v>
      </c>
      <c r="I53" s="4" t="str">
        <f aca="false">IF(RHO_ARCH!I53="","",IF(RHO_ARCH!I53&gt;INPUTS!$B$10,"NG",IF(RHO_ARCH!I53&gt;INPUTS!$B$9,"HEAVY","OK")))</f>
        <v>OK</v>
      </c>
      <c r="J53" s="4" t="str">
        <f aca="false">IF(RHO_ARCH!J53="","",IF(RHO_ARCH!J53&gt;INPUTS!$B$10,"NG",IF(RHO_ARCH!J53&gt;INPUTS!$B$9,"HEAVY","OK")))</f>
        <v>OK</v>
      </c>
      <c r="K53" s="4" t="str">
        <f aca="false">IF(RHO_ARCH!K53="","",IF(RHO_ARCH!K53&gt;INPUTS!$B$10,"NG",IF(RHO_ARCH!K53&gt;INPUTS!$B$9,"HEAVY","OK")))</f>
        <v>OK</v>
      </c>
      <c r="L53" s="4" t="str">
        <f aca="false">IF(RHO_ARCH!L53="","",IF(RHO_ARCH!L53&gt;INPUTS!$B$10,"NG",IF(RHO_ARCH!L53&gt;INPUTS!$B$9,"HEAVY","OK")))</f>
        <v>OK</v>
      </c>
      <c r="M53" s="4" t="str">
        <f aca="false">IF(RHO_ARCH!M53="","",IF(RHO_ARCH!M53&gt;INPUTS!$B$10,"NG",IF(RHO_ARCH!M53&gt;INPUTS!$B$9,"HEAVY","OK")))</f>
        <v>OK</v>
      </c>
      <c r="N53" s="4" t="str">
        <f aca="false">IF(RHO_ARCH!N53="","",IF(RHO_ARCH!N53&gt;INPUTS!$B$10,"NG",IF(RHO_ARCH!N53&gt;INPUTS!$B$9,"HEAVY","OK")))</f>
        <v>OK</v>
      </c>
      <c r="O53" s="4" t="str">
        <f aca="false">IF(RHO_ARCH!O53="","",IF(RHO_ARCH!O53&gt;INPUTS!$B$10,"NG",IF(RHO_ARCH!O53&gt;INPUTS!$B$9,"HEAVY","OK")))</f>
        <v>OK</v>
      </c>
      <c r="P53" s="4" t="str">
        <f aca="false">IF(RHO_ARCH!P53="","",IF(RHO_ARCH!P53&gt;INPUTS!$B$10,"NG",IF(RHO_ARCH!P53&gt;INPUTS!$B$9,"HEAVY","OK")))</f>
        <v>OK</v>
      </c>
    </row>
    <row r="54" customFormat="false" ht="15" hidden="false" customHeight="false" outlineLevel="0" collapsed="false">
      <c r="A54" s="11" t="str">
        <f aca="false">TRIB!A54</f>
        <v>C53</v>
      </c>
      <c r="B54" s="14" t="n">
        <f aca="false">TRIB!B54</f>
        <v>553.97652940283</v>
      </c>
      <c r="C54" s="14" t="n">
        <f aca="false">TRIB!C54</f>
        <v>451.103582861795</v>
      </c>
      <c r="D54" s="11" t="str">
        <f aca="false">TRIB!D54</f>
        <v>B</v>
      </c>
      <c r="E54" s="4" t="str">
        <f aca="false">IF(RHO_ARCH!E54="","",IF(RHO_ARCH!E54&gt;INPUTS!$B$10,"NG",IF(RHO_ARCH!E54&gt;INPUTS!$B$9,"HEAVY","OK")))</f>
        <v>OK</v>
      </c>
      <c r="F54" s="4" t="str">
        <f aca="false">IF(RHO_ARCH!F54="","",IF(RHO_ARCH!F54&gt;INPUTS!$B$10,"NG",IF(RHO_ARCH!F54&gt;INPUTS!$B$9,"HEAVY","OK")))</f>
        <v>OK</v>
      </c>
      <c r="G54" s="4" t="str">
        <f aca="false">IF(RHO_ARCH!G54="","",IF(RHO_ARCH!G54&gt;INPUTS!$B$10,"NG",IF(RHO_ARCH!G54&gt;INPUTS!$B$9,"HEAVY","OK")))</f>
        <v>OK</v>
      </c>
      <c r="H54" s="4" t="str">
        <f aca="false">IF(RHO_ARCH!H54="","",IF(RHO_ARCH!H54&gt;INPUTS!$B$10,"NG",IF(RHO_ARCH!H54&gt;INPUTS!$B$9,"HEAVY","OK")))</f>
        <v>OK</v>
      </c>
      <c r="I54" s="4" t="str">
        <f aca="false">IF(RHO_ARCH!I54="","",IF(RHO_ARCH!I54&gt;INPUTS!$B$10,"NG",IF(RHO_ARCH!I54&gt;INPUTS!$B$9,"HEAVY","OK")))</f>
        <v>OK</v>
      </c>
      <c r="J54" s="4" t="str">
        <f aca="false">IF(RHO_ARCH!J54="","",IF(RHO_ARCH!J54&gt;INPUTS!$B$10,"NG",IF(RHO_ARCH!J54&gt;INPUTS!$B$9,"HEAVY","OK")))</f>
        <v>OK</v>
      </c>
      <c r="K54" s="4" t="str">
        <f aca="false">IF(RHO_ARCH!K54="","",IF(RHO_ARCH!K54&gt;INPUTS!$B$10,"NG",IF(RHO_ARCH!K54&gt;INPUTS!$B$9,"HEAVY","OK")))</f>
        <v>OK</v>
      </c>
      <c r="L54" s="4" t="str">
        <f aca="false">IF(RHO_ARCH!L54="","",IF(RHO_ARCH!L54&gt;INPUTS!$B$10,"NG",IF(RHO_ARCH!L54&gt;INPUTS!$B$9,"HEAVY","OK")))</f>
        <v>OK</v>
      </c>
      <c r="M54" s="4" t="str">
        <f aca="false">IF(RHO_ARCH!M54="","",IF(RHO_ARCH!M54&gt;INPUTS!$B$10,"NG",IF(RHO_ARCH!M54&gt;INPUTS!$B$9,"HEAVY","OK")))</f>
        <v>OK</v>
      </c>
      <c r="N54" s="4" t="str">
        <f aca="false">IF(RHO_ARCH!N54="","",IF(RHO_ARCH!N54&gt;INPUTS!$B$10,"NG",IF(RHO_ARCH!N54&gt;INPUTS!$B$9,"HEAVY","OK")))</f>
        <v>OK</v>
      </c>
      <c r="O54" s="4" t="str">
        <f aca="false">IF(RHO_ARCH!O54="","",IF(RHO_ARCH!O54&gt;INPUTS!$B$10,"NG",IF(RHO_ARCH!O54&gt;INPUTS!$B$9,"HEAVY","OK")))</f>
        <v>OK</v>
      </c>
      <c r="P54" s="4" t="str">
        <f aca="false">IF(RHO_ARCH!P54="","",IF(RHO_ARCH!P54&gt;INPUTS!$B$10,"NG",IF(RHO_ARCH!P54&gt;INPUTS!$B$9,"HEAVY","OK")))</f>
        <v>OK</v>
      </c>
    </row>
    <row r="55" customFormat="false" ht="15" hidden="false" customHeight="false" outlineLevel="0" collapsed="false">
      <c r="A55" s="11" t="str">
        <f aca="false">TRIB!A55</f>
        <v>C54</v>
      </c>
      <c r="B55" s="14" t="n">
        <f aca="false">TRIB!B55</f>
        <v>554.08073191287</v>
      </c>
      <c r="C55" s="14" t="n">
        <f aca="false">TRIB!C55</f>
        <v>467.015789151914</v>
      </c>
      <c r="D55" s="11" t="str">
        <f aca="false">TRIB!D55</f>
        <v>B</v>
      </c>
      <c r="E55" s="4" t="str">
        <f aca="false">IF(RHO_ARCH!E55="","",IF(RHO_ARCH!E55&gt;INPUTS!$B$10,"NG",IF(RHO_ARCH!E55&gt;INPUTS!$B$9,"HEAVY","OK")))</f>
        <v>OK</v>
      </c>
      <c r="F55" s="4" t="str">
        <f aca="false">IF(RHO_ARCH!F55="","",IF(RHO_ARCH!F55&gt;INPUTS!$B$10,"NG",IF(RHO_ARCH!F55&gt;INPUTS!$B$9,"HEAVY","OK")))</f>
        <v>OK</v>
      </c>
      <c r="G55" s="4" t="str">
        <f aca="false">IF(RHO_ARCH!G55="","",IF(RHO_ARCH!G55&gt;INPUTS!$B$10,"NG",IF(RHO_ARCH!G55&gt;INPUTS!$B$9,"HEAVY","OK")))</f>
        <v>OK</v>
      </c>
      <c r="H55" s="4" t="str">
        <f aca="false">IF(RHO_ARCH!H55="","",IF(RHO_ARCH!H55&gt;INPUTS!$B$10,"NG",IF(RHO_ARCH!H55&gt;INPUTS!$B$9,"HEAVY","OK")))</f>
        <v>OK</v>
      </c>
      <c r="I55" s="4" t="str">
        <f aca="false">IF(RHO_ARCH!I55="","",IF(RHO_ARCH!I55&gt;INPUTS!$B$10,"NG",IF(RHO_ARCH!I55&gt;INPUTS!$B$9,"HEAVY","OK")))</f>
        <v>OK</v>
      </c>
      <c r="J55" s="4" t="str">
        <f aca="false">IF(RHO_ARCH!J55="","",IF(RHO_ARCH!J55&gt;INPUTS!$B$10,"NG",IF(RHO_ARCH!J55&gt;INPUTS!$B$9,"HEAVY","OK")))</f>
        <v>OK</v>
      </c>
      <c r="K55" s="4" t="str">
        <f aca="false">IF(RHO_ARCH!K55="","",IF(RHO_ARCH!K55&gt;INPUTS!$B$10,"NG",IF(RHO_ARCH!K55&gt;INPUTS!$B$9,"HEAVY","OK")))</f>
        <v>OK</v>
      </c>
      <c r="L55" s="4" t="str">
        <f aca="false">IF(RHO_ARCH!L55="","",IF(RHO_ARCH!L55&gt;INPUTS!$B$10,"NG",IF(RHO_ARCH!L55&gt;INPUTS!$B$9,"HEAVY","OK")))</f>
        <v>OK</v>
      </c>
      <c r="M55" s="4" t="str">
        <f aca="false">IF(RHO_ARCH!M55="","",IF(RHO_ARCH!M55&gt;INPUTS!$B$10,"NG",IF(RHO_ARCH!M55&gt;INPUTS!$B$9,"HEAVY","OK")))</f>
        <v>OK</v>
      </c>
      <c r="N55" s="4" t="str">
        <f aca="false">IF(RHO_ARCH!N55="","",IF(RHO_ARCH!N55&gt;INPUTS!$B$10,"NG",IF(RHO_ARCH!N55&gt;INPUTS!$B$9,"HEAVY","OK")))</f>
        <v>OK</v>
      </c>
      <c r="O55" s="4" t="str">
        <f aca="false">IF(RHO_ARCH!O55="","",IF(RHO_ARCH!O55&gt;INPUTS!$B$10,"NG",IF(RHO_ARCH!O55&gt;INPUTS!$B$9,"HEAVY","OK")))</f>
        <v>OK</v>
      </c>
      <c r="P55" s="4" t="str">
        <f aca="false">IF(RHO_ARCH!P55="","",IF(RHO_ARCH!P55&gt;INPUTS!$B$10,"NG",IF(RHO_ARCH!P55&gt;INPUTS!$B$9,"HEAVY","OK")))</f>
        <v>HEAVY</v>
      </c>
    </row>
    <row r="56" customFormat="false" ht="15" hidden="false" customHeight="false" outlineLevel="0" collapsed="false">
      <c r="A56" s="11" t="str">
        <f aca="false">TRIB!A56</f>
        <v>C55</v>
      </c>
      <c r="B56" s="14" t="n">
        <f aca="false">TRIB!B56</f>
        <v>555.284209699792</v>
      </c>
      <c r="C56" s="14" t="n">
        <f aca="false">TRIB!C56</f>
        <v>565.465344378737</v>
      </c>
      <c r="D56" s="11" t="str">
        <f aca="false">TRIB!D56</f>
        <v>B</v>
      </c>
      <c r="E56" s="4" t="str">
        <f aca="false">IF(RHO_ARCH!E56="","",IF(RHO_ARCH!E56&gt;INPUTS!$B$10,"NG",IF(RHO_ARCH!E56&gt;INPUTS!$B$9,"HEAVY","OK")))</f>
        <v>OK</v>
      </c>
      <c r="F56" s="4" t="str">
        <f aca="false">IF(RHO_ARCH!F56="","",IF(RHO_ARCH!F56&gt;INPUTS!$B$10,"NG",IF(RHO_ARCH!F56&gt;INPUTS!$B$9,"HEAVY","OK")))</f>
        <v>OK</v>
      </c>
      <c r="G56" s="4" t="str">
        <f aca="false">IF(RHO_ARCH!G56="","",IF(RHO_ARCH!G56&gt;INPUTS!$B$10,"NG",IF(RHO_ARCH!G56&gt;INPUTS!$B$9,"HEAVY","OK")))</f>
        <v>OK</v>
      </c>
      <c r="H56" s="4" t="str">
        <f aca="false">IF(RHO_ARCH!H56="","",IF(RHO_ARCH!H56&gt;INPUTS!$B$10,"NG",IF(RHO_ARCH!H56&gt;INPUTS!$B$9,"HEAVY","OK")))</f>
        <v>OK</v>
      </c>
      <c r="I56" s="4" t="str">
        <f aca="false">IF(RHO_ARCH!I56="","",IF(RHO_ARCH!I56&gt;INPUTS!$B$10,"NG",IF(RHO_ARCH!I56&gt;INPUTS!$B$9,"HEAVY","OK")))</f>
        <v>OK</v>
      </c>
      <c r="J56" s="4" t="str">
        <f aca="false">IF(RHO_ARCH!J56="","",IF(RHO_ARCH!J56&gt;INPUTS!$B$10,"NG",IF(RHO_ARCH!J56&gt;INPUTS!$B$9,"HEAVY","OK")))</f>
        <v>OK</v>
      </c>
      <c r="K56" s="4" t="str">
        <f aca="false">IF(RHO_ARCH!K56="","",IF(RHO_ARCH!K56&gt;INPUTS!$B$10,"NG",IF(RHO_ARCH!K56&gt;INPUTS!$B$9,"HEAVY","OK")))</f>
        <v>OK</v>
      </c>
      <c r="L56" s="4" t="str">
        <f aca="false">IF(RHO_ARCH!L56="","",IF(RHO_ARCH!L56&gt;INPUTS!$B$10,"NG",IF(RHO_ARCH!L56&gt;INPUTS!$B$9,"HEAVY","OK")))</f>
        <v>OK</v>
      </c>
      <c r="M56" s="4" t="str">
        <f aca="false">IF(RHO_ARCH!M56="","",IF(RHO_ARCH!M56&gt;INPUTS!$B$10,"NG",IF(RHO_ARCH!M56&gt;INPUTS!$B$9,"HEAVY","OK")))</f>
        <v>OK</v>
      </c>
      <c r="N56" s="4" t="str">
        <f aca="false">IF(RHO_ARCH!N56="","",IF(RHO_ARCH!N56&gt;INPUTS!$B$10,"NG",IF(RHO_ARCH!N56&gt;INPUTS!$B$9,"HEAVY","OK")))</f>
        <v>OK</v>
      </c>
      <c r="O56" s="4" t="str">
        <f aca="false">IF(RHO_ARCH!O56="","",IF(RHO_ARCH!O56&gt;INPUTS!$B$10,"NG",IF(RHO_ARCH!O56&gt;INPUTS!$B$9,"HEAVY","OK")))</f>
        <v>OK</v>
      </c>
      <c r="P56" s="4" t="str">
        <f aca="false">IF(RHO_ARCH!P56="","",IF(RHO_ARCH!P56&gt;INPUTS!$B$10,"NG",IF(RHO_ARCH!P56&gt;INPUTS!$B$9,"HEAVY","OK")))</f>
        <v>OK</v>
      </c>
    </row>
    <row r="57" customFormat="false" ht="15" hidden="false" customHeight="false" outlineLevel="0" collapsed="false">
      <c r="A57" s="11" t="str">
        <f aca="false">TRIB!A57</f>
        <v>C56</v>
      </c>
      <c r="B57" s="14" t="n">
        <f aca="false">TRIB!B57</f>
        <v>564.481870502447</v>
      </c>
      <c r="C57" s="14" t="n">
        <f aca="false">TRIB!C57</f>
        <v>565.590344378737</v>
      </c>
      <c r="D57" s="11" t="str">
        <f aca="false">TRIB!D57</f>
        <v>B</v>
      </c>
      <c r="E57" s="4" t="str">
        <f aca="false">IF(RHO_ARCH!E57="","",IF(RHO_ARCH!E57&gt;INPUTS!$B$10,"NG",IF(RHO_ARCH!E57&gt;INPUTS!$B$9,"HEAVY","OK")))</f>
        <v>OK</v>
      </c>
      <c r="F57" s="4" t="str">
        <f aca="false">IF(RHO_ARCH!F57="","",IF(RHO_ARCH!F57&gt;INPUTS!$B$10,"NG",IF(RHO_ARCH!F57&gt;INPUTS!$B$9,"HEAVY","OK")))</f>
        <v>OK</v>
      </c>
      <c r="G57" s="4" t="str">
        <f aca="false">IF(RHO_ARCH!G57="","",IF(RHO_ARCH!G57&gt;INPUTS!$B$10,"NG",IF(RHO_ARCH!G57&gt;INPUTS!$B$9,"HEAVY","OK")))</f>
        <v>OK</v>
      </c>
      <c r="H57" s="4" t="str">
        <f aca="false">IF(RHO_ARCH!H57="","",IF(RHO_ARCH!H57&gt;INPUTS!$B$10,"NG",IF(RHO_ARCH!H57&gt;INPUTS!$B$9,"HEAVY","OK")))</f>
        <v>OK</v>
      </c>
      <c r="I57" s="4" t="str">
        <f aca="false">IF(RHO_ARCH!I57="","",IF(RHO_ARCH!I57&gt;INPUTS!$B$10,"NG",IF(RHO_ARCH!I57&gt;INPUTS!$B$9,"HEAVY","OK")))</f>
        <v>OK</v>
      </c>
      <c r="J57" s="4" t="str">
        <f aca="false">IF(RHO_ARCH!J57="","",IF(RHO_ARCH!J57&gt;INPUTS!$B$10,"NG",IF(RHO_ARCH!J57&gt;INPUTS!$B$9,"HEAVY","OK")))</f>
        <v>OK</v>
      </c>
      <c r="K57" s="4" t="str">
        <f aca="false">IF(RHO_ARCH!K57="","",IF(RHO_ARCH!K57&gt;INPUTS!$B$10,"NG",IF(RHO_ARCH!K57&gt;INPUTS!$B$9,"HEAVY","OK")))</f>
        <v>OK</v>
      </c>
      <c r="L57" s="4" t="str">
        <f aca="false">IF(RHO_ARCH!L57="","",IF(RHO_ARCH!L57&gt;INPUTS!$B$10,"NG",IF(RHO_ARCH!L57&gt;INPUTS!$B$9,"HEAVY","OK")))</f>
        <v>OK</v>
      </c>
      <c r="M57" s="4" t="str">
        <f aca="false">IF(RHO_ARCH!M57="","",IF(RHO_ARCH!M57&gt;INPUTS!$B$10,"NG",IF(RHO_ARCH!M57&gt;INPUTS!$B$9,"HEAVY","OK")))</f>
        <v>OK</v>
      </c>
      <c r="N57" s="4" t="str">
        <f aca="false">IF(RHO_ARCH!N57="","",IF(RHO_ARCH!N57&gt;INPUTS!$B$10,"NG",IF(RHO_ARCH!N57&gt;INPUTS!$B$9,"HEAVY","OK")))</f>
        <v>OK</v>
      </c>
      <c r="O57" s="4" t="str">
        <f aca="false">IF(RHO_ARCH!O57="","",IF(RHO_ARCH!O57&gt;INPUTS!$B$10,"NG",IF(RHO_ARCH!O57&gt;INPUTS!$B$9,"HEAVY","OK")))</f>
        <v>OK</v>
      </c>
      <c r="P57" s="4" t="str">
        <f aca="false">IF(RHO_ARCH!P57="","",IF(RHO_ARCH!P57&gt;INPUTS!$B$10,"NG",IF(RHO_ARCH!P57&gt;INPUTS!$B$9,"HEAVY","OK")))</f>
        <v>OK</v>
      </c>
    </row>
    <row r="58" customFormat="false" ht="15" hidden="false" customHeight="false" outlineLevel="0" collapsed="false">
      <c r="A58" s="11" t="str">
        <f aca="false">TRIB!A58</f>
        <v>C57</v>
      </c>
      <c r="B58" s="14" t="n">
        <f aca="false">TRIB!B58</f>
        <v>564.507743559513</v>
      </c>
      <c r="C58" s="14" t="n">
        <f aca="false">TRIB!C58</f>
        <v>452.936916195128</v>
      </c>
      <c r="D58" s="11" t="str">
        <f aca="false">TRIB!D58</f>
        <v>B</v>
      </c>
      <c r="E58" s="4" t="str">
        <f aca="false">IF(RHO_ARCH!E58="","",IF(RHO_ARCH!E58&gt;INPUTS!$B$10,"NG",IF(RHO_ARCH!E58&gt;INPUTS!$B$9,"HEAVY","OK")))</f>
        <v>OK</v>
      </c>
      <c r="F58" s="4" t="str">
        <f aca="false">IF(RHO_ARCH!F58="","",IF(RHO_ARCH!F58&gt;INPUTS!$B$10,"NG",IF(RHO_ARCH!F58&gt;INPUTS!$B$9,"HEAVY","OK")))</f>
        <v>OK</v>
      </c>
      <c r="G58" s="4" t="str">
        <f aca="false">IF(RHO_ARCH!G58="","",IF(RHO_ARCH!G58&gt;INPUTS!$B$10,"NG",IF(RHO_ARCH!G58&gt;INPUTS!$B$9,"HEAVY","OK")))</f>
        <v>OK</v>
      </c>
      <c r="H58" s="4" t="str">
        <f aca="false">IF(RHO_ARCH!H58="","",IF(RHO_ARCH!H58&gt;INPUTS!$B$10,"NG",IF(RHO_ARCH!H58&gt;INPUTS!$B$9,"HEAVY","OK")))</f>
        <v>OK</v>
      </c>
      <c r="I58" s="4" t="str">
        <f aca="false">IF(RHO_ARCH!I58="","",IF(RHO_ARCH!I58&gt;INPUTS!$B$10,"NG",IF(RHO_ARCH!I58&gt;INPUTS!$B$9,"HEAVY","OK")))</f>
        <v>OK</v>
      </c>
      <c r="J58" s="4" t="str">
        <f aca="false">IF(RHO_ARCH!J58="","",IF(RHO_ARCH!J58&gt;INPUTS!$B$10,"NG",IF(RHO_ARCH!J58&gt;INPUTS!$B$9,"HEAVY","OK")))</f>
        <v>OK</v>
      </c>
      <c r="K58" s="4" t="str">
        <f aca="false">IF(RHO_ARCH!K58="","",IF(RHO_ARCH!K58&gt;INPUTS!$B$10,"NG",IF(RHO_ARCH!K58&gt;INPUTS!$B$9,"HEAVY","OK")))</f>
        <v>OK</v>
      </c>
      <c r="L58" s="4" t="str">
        <f aca="false">IF(RHO_ARCH!L58="","",IF(RHO_ARCH!L58&gt;INPUTS!$B$10,"NG",IF(RHO_ARCH!L58&gt;INPUTS!$B$9,"HEAVY","OK")))</f>
        <v>OK</v>
      </c>
      <c r="M58" s="4" t="str">
        <f aca="false">IF(RHO_ARCH!M58="","",IF(RHO_ARCH!M58&gt;INPUTS!$B$10,"NG",IF(RHO_ARCH!M58&gt;INPUTS!$B$9,"HEAVY","OK")))</f>
        <v>OK</v>
      </c>
      <c r="N58" s="4" t="str">
        <f aca="false">IF(RHO_ARCH!N58="","",IF(RHO_ARCH!N58&gt;INPUTS!$B$10,"NG",IF(RHO_ARCH!N58&gt;INPUTS!$B$9,"HEAVY","OK")))</f>
        <v>OK</v>
      </c>
      <c r="O58" s="4" t="str">
        <f aca="false">IF(RHO_ARCH!O58="","",IF(RHO_ARCH!O58&gt;INPUTS!$B$10,"NG",IF(RHO_ARCH!O58&gt;INPUTS!$B$9,"HEAVY","OK")))</f>
        <v>OK</v>
      </c>
      <c r="P58" s="4" t="str">
        <f aca="false">IF(RHO_ARCH!P58="","",IF(RHO_ARCH!P58&gt;INPUTS!$B$10,"NG",IF(RHO_ARCH!P58&gt;INPUTS!$B$9,"HEAVY","OK")))</f>
        <v>OK</v>
      </c>
    </row>
    <row r="59" customFormat="false" ht="15" hidden="false" customHeight="false" outlineLevel="0" collapsed="false">
      <c r="A59" s="11" t="str">
        <f aca="false">TRIB!A59</f>
        <v>C58</v>
      </c>
      <c r="B59" s="14" t="n">
        <f aca="false">TRIB!B59</f>
        <v>564.507743559513</v>
      </c>
      <c r="C59" s="14" t="n">
        <f aca="false">TRIB!C59</f>
        <v>483.232921910255</v>
      </c>
      <c r="D59" s="11" t="str">
        <f aca="false">TRIB!D59</f>
        <v>B</v>
      </c>
      <c r="E59" s="4" t="str">
        <f aca="false">IF(RHO_ARCH!E59="","",IF(RHO_ARCH!E59&gt;INPUTS!$B$10,"NG",IF(RHO_ARCH!E59&gt;INPUTS!$B$9,"HEAVY","OK")))</f>
        <v>OK</v>
      </c>
      <c r="F59" s="4" t="str">
        <f aca="false">IF(RHO_ARCH!F59="","",IF(RHO_ARCH!F59&gt;INPUTS!$B$10,"NG",IF(RHO_ARCH!F59&gt;INPUTS!$B$9,"HEAVY","OK")))</f>
        <v>OK</v>
      </c>
      <c r="G59" s="4" t="str">
        <f aca="false">IF(RHO_ARCH!G59="","",IF(RHO_ARCH!G59&gt;INPUTS!$B$10,"NG",IF(RHO_ARCH!G59&gt;INPUTS!$B$9,"HEAVY","OK")))</f>
        <v>OK</v>
      </c>
      <c r="H59" s="4" t="str">
        <f aca="false">IF(RHO_ARCH!H59="","",IF(RHO_ARCH!H59&gt;INPUTS!$B$10,"NG",IF(RHO_ARCH!H59&gt;INPUTS!$B$9,"HEAVY","OK")))</f>
        <v>OK</v>
      </c>
      <c r="I59" s="4" t="str">
        <f aca="false">IF(RHO_ARCH!I59="","",IF(RHO_ARCH!I59&gt;INPUTS!$B$10,"NG",IF(RHO_ARCH!I59&gt;INPUTS!$B$9,"HEAVY","OK")))</f>
        <v>OK</v>
      </c>
      <c r="J59" s="4" t="str">
        <f aca="false">IF(RHO_ARCH!J59="","",IF(RHO_ARCH!J59&gt;INPUTS!$B$10,"NG",IF(RHO_ARCH!J59&gt;INPUTS!$B$9,"HEAVY","OK")))</f>
        <v>OK</v>
      </c>
      <c r="K59" s="4" t="str">
        <f aca="false">IF(RHO_ARCH!K59="","",IF(RHO_ARCH!K59&gt;INPUTS!$B$10,"NG",IF(RHO_ARCH!K59&gt;INPUTS!$B$9,"HEAVY","OK")))</f>
        <v>OK</v>
      </c>
      <c r="L59" s="4" t="str">
        <f aca="false">IF(RHO_ARCH!L59="","",IF(RHO_ARCH!L59&gt;INPUTS!$B$10,"NG",IF(RHO_ARCH!L59&gt;INPUTS!$B$9,"HEAVY","OK")))</f>
        <v>OK</v>
      </c>
      <c r="M59" s="4" t="str">
        <f aca="false">IF(RHO_ARCH!M59="","",IF(RHO_ARCH!M59&gt;INPUTS!$B$10,"NG",IF(RHO_ARCH!M59&gt;INPUTS!$B$9,"HEAVY","OK")))</f>
        <v>OK</v>
      </c>
      <c r="N59" s="4" t="str">
        <f aca="false">IF(RHO_ARCH!N59="","",IF(RHO_ARCH!N59&gt;INPUTS!$B$10,"NG",IF(RHO_ARCH!N59&gt;INPUTS!$B$9,"HEAVY","OK")))</f>
        <v>OK</v>
      </c>
      <c r="O59" s="4" t="str">
        <f aca="false">IF(RHO_ARCH!O59="","",IF(RHO_ARCH!O59&gt;INPUTS!$B$10,"NG",IF(RHO_ARCH!O59&gt;INPUTS!$B$9,"HEAVY","OK")))</f>
        <v>OK</v>
      </c>
      <c r="P59" s="4" t="str">
        <f aca="false">IF(RHO_ARCH!P59="","",IF(RHO_ARCH!P59&gt;INPUTS!$B$10,"NG",IF(RHO_ARCH!P59&gt;INPUTS!$B$9,"HEAVY","OK")))</f>
        <v>OK</v>
      </c>
    </row>
    <row r="60" customFormat="false" ht="15" hidden="false" customHeight="false" outlineLevel="0" collapsed="false">
      <c r="A60" s="11" t="str">
        <f aca="false">TRIB!A60</f>
        <v>C59</v>
      </c>
      <c r="B60" s="14" t="n">
        <f aca="false">TRIB!B60</f>
        <v>564.56520383578</v>
      </c>
      <c r="C60" s="14" t="n">
        <f aca="false">TRIB!C60</f>
        <v>548.545556537692</v>
      </c>
      <c r="D60" s="11" t="str">
        <f aca="false">TRIB!D60</f>
        <v>B</v>
      </c>
      <c r="E60" s="4" t="str">
        <f aca="false">IF(RHO_ARCH!E60="","",IF(RHO_ARCH!E60&gt;INPUTS!$B$10,"NG",IF(RHO_ARCH!E60&gt;INPUTS!$B$9,"HEAVY","OK")))</f>
        <v>OK</v>
      </c>
      <c r="F60" s="4" t="str">
        <f aca="false">IF(RHO_ARCH!F60="","",IF(RHO_ARCH!F60&gt;INPUTS!$B$10,"NG",IF(RHO_ARCH!F60&gt;INPUTS!$B$9,"HEAVY","OK")))</f>
        <v>OK</v>
      </c>
      <c r="G60" s="4" t="str">
        <f aca="false">IF(RHO_ARCH!G60="","",IF(RHO_ARCH!G60&gt;INPUTS!$B$10,"NG",IF(RHO_ARCH!G60&gt;INPUTS!$B$9,"HEAVY","OK")))</f>
        <v>OK</v>
      </c>
      <c r="H60" s="4" t="str">
        <f aca="false">IF(RHO_ARCH!H60="","",IF(RHO_ARCH!H60&gt;INPUTS!$B$10,"NG",IF(RHO_ARCH!H60&gt;INPUTS!$B$9,"HEAVY","OK")))</f>
        <v>OK</v>
      </c>
      <c r="I60" s="4" t="str">
        <f aca="false">IF(RHO_ARCH!I60="","",IF(RHO_ARCH!I60&gt;INPUTS!$B$10,"NG",IF(RHO_ARCH!I60&gt;INPUTS!$B$9,"HEAVY","OK")))</f>
        <v>OK</v>
      </c>
      <c r="J60" s="4" t="str">
        <f aca="false">IF(RHO_ARCH!J60="","",IF(RHO_ARCH!J60&gt;INPUTS!$B$10,"NG",IF(RHO_ARCH!J60&gt;INPUTS!$B$9,"HEAVY","OK")))</f>
        <v>OK</v>
      </c>
      <c r="K60" s="4" t="str">
        <f aca="false">IF(RHO_ARCH!K60="","",IF(RHO_ARCH!K60&gt;INPUTS!$B$10,"NG",IF(RHO_ARCH!K60&gt;INPUTS!$B$9,"HEAVY","OK")))</f>
        <v>OK</v>
      </c>
      <c r="L60" s="4" t="str">
        <f aca="false">IF(RHO_ARCH!L60="","",IF(RHO_ARCH!L60&gt;INPUTS!$B$10,"NG",IF(RHO_ARCH!L60&gt;INPUTS!$B$9,"HEAVY","OK")))</f>
        <v>OK</v>
      </c>
      <c r="M60" s="4" t="str">
        <f aca="false">IF(RHO_ARCH!M60="","",IF(RHO_ARCH!M60&gt;INPUTS!$B$10,"NG",IF(RHO_ARCH!M60&gt;INPUTS!$B$9,"HEAVY","OK")))</f>
        <v>OK</v>
      </c>
      <c r="N60" s="4" t="str">
        <f aca="false">IF(RHO_ARCH!N60="","",IF(RHO_ARCH!N60&gt;INPUTS!$B$10,"NG",IF(RHO_ARCH!N60&gt;INPUTS!$B$9,"HEAVY","OK")))</f>
        <v>OK</v>
      </c>
      <c r="O60" s="4" t="str">
        <f aca="false">IF(RHO_ARCH!O60="","",IF(RHO_ARCH!O60&gt;INPUTS!$B$10,"NG",IF(RHO_ARCH!O60&gt;INPUTS!$B$9,"HEAVY","OK")))</f>
        <v>OK</v>
      </c>
      <c r="P60" s="4" t="str">
        <f aca="false">IF(RHO_ARCH!P60="","",IF(RHO_ARCH!P60&gt;INPUTS!$B$10,"NG",IF(RHO_ARCH!P60&gt;INPUTS!$B$9,"HEAVY","OK")))</f>
        <v>OK</v>
      </c>
    </row>
    <row r="61" customFormat="false" ht="15" hidden="false" customHeight="false" outlineLevel="0" collapsed="false">
      <c r="A61" s="11" t="str">
        <f aca="false">TRIB!A61</f>
        <v>C60</v>
      </c>
      <c r="B61" s="14" t="n">
        <f aca="false">TRIB!B61</f>
        <v>586.054635839488</v>
      </c>
      <c r="C61" s="14" t="n">
        <f aca="false">TRIB!C61</f>
        <v>452.936916195128</v>
      </c>
      <c r="D61" s="11" t="str">
        <f aca="false">TRIB!D61</f>
        <v>B</v>
      </c>
      <c r="E61" s="4" t="str">
        <f aca="false">IF(RHO_ARCH!E61="","",IF(RHO_ARCH!E61&gt;INPUTS!$B$10,"NG",IF(RHO_ARCH!E61&gt;INPUTS!$B$9,"HEAVY","OK")))</f>
        <v>OK</v>
      </c>
      <c r="F61" s="4" t="str">
        <f aca="false">IF(RHO_ARCH!F61="","",IF(RHO_ARCH!F61&gt;INPUTS!$B$10,"NG",IF(RHO_ARCH!F61&gt;INPUTS!$B$9,"HEAVY","OK")))</f>
        <v>OK</v>
      </c>
      <c r="G61" s="4" t="str">
        <f aca="false">IF(RHO_ARCH!G61="","",IF(RHO_ARCH!G61&gt;INPUTS!$B$10,"NG",IF(RHO_ARCH!G61&gt;INPUTS!$B$9,"HEAVY","OK")))</f>
        <v>OK</v>
      </c>
      <c r="H61" s="4" t="str">
        <f aca="false">IF(RHO_ARCH!H61="","",IF(RHO_ARCH!H61&gt;INPUTS!$B$10,"NG",IF(RHO_ARCH!H61&gt;INPUTS!$B$9,"HEAVY","OK")))</f>
        <v>OK</v>
      </c>
      <c r="I61" s="4" t="str">
        <f aca="false">IF(RHO_ARCH!I61="","",IF(RHO_ARCH!I61&gt;INPUTS!$B$10,"NG",IF(RHO_ARCH!I61&gt;INPUTS!$B$9,"HEAVY","OK")))</f>
        <v>OK</v>
      </c>
      <c r="J61" s="4" t="str">
        <f aca="false">IF(RHO_ARCH!J61="","",IF(RHO_ARCH!J61&gt;INPUTS!$B$10,"NG",IF(RHO_ARCH!J61&gt;INPUTS!$B$9,"HEAVY","OK")))</f>
        <v>OK</v>
      </c>
      <c r="K61" s="4" t="str">
        <f aca="false">IF(RHO_ARCH!K61="","",IF(RHO_ARCH!K61&gt;INPUTS!$B$10,"NG",IF(RHO_ARCH!K61&gt;INPUTS!$B$9,"HEAVY","OK")))</f>
        <v>OK</v>
      </c>
      <c r="L61" s="4" t="str">
        <f aca="false">IF(RHO_ARCH!L61="","",IF(RHO_ARCH!L61&gt;INPUTS!$B$10,"NG",IF(RHO_ARCH!L61&gt;INPUTS!$B$9,"HEAVY","OK")))</f>
        <v>OK</v>
      </c>
      <c r="M61" s="4" t="str">
        <f aca="false">IF(RHO_ARCH!M61="","",IF(RHO_ARCH!M61&gt;INPUTS!$B$10,"NG",IF(RHO_ARCH!M61&gt;INPUTS!$B$9,"HEAVY","OK")))</f>
        <v>OK</v>
      </c>
      <c r="N61" s="4" t="str">
        <f aca="false">IF(RHO_ARCH!N61="","",IF(RHO_ARCH!N61&gt;INPUTS!$B$10,"NG",IF(RHO_ARCH!N61&gt;INPUTS!$B$9,"HEAVY","OK")))</f>
        <v>OK</v>
      </c>
      <c r="O61" s="4" t="str">
        <f aca="false">IF(RHO_ARCH!O61="","",IF(RHO_ARCH!O61&gt;INPUTS!$B$10,"NG",IF(RHO_ARCH!O61&gt;INPUTS!$B$9,"HEAVY","OK")))</f>
        <v>OK</v>
      </c>
      <c r="P61" s="4" t="str">
        <f aca="false">IF(RHO_ARCH!P61="","",IF(RHO_ARCH!P61&gt;INPUTS!$B$10,"NG",IF(RHO_ARCH!P61&gt;INPUTS!$B$9,"HEAVY","OK")))</f>
        <v>OK</v>
      </c>
    </row>
    <row r="62" customFormat="false" ht="15" hidden="false" customHeight="false" outlineLevel="0" collapsed="false">
      <c r="A62" s="11" t="str">
        <f aca="false">TRIB!A62</f>
        <v>C61</v>
      </c>
      <c r="B62" s="14" t="n">
        <f aca="false">TRIB!B62</f>
        <v>612.721302506155</v>
      </c>
      <c r="C62" s="14" t="n">
        <f aca="false">TRIB!C62</f>
        <v>452.936916195128</v>
      </c>
      <c r="D62" s="11" t="str">
        <f aca="false">TRIB!D62</f>
        <v>B</v>
      </c>
      <c r="E62" s="4" t="str">
        <f aca="false">IF(RHO_ARCH!E62="","",IF(RHO_ARCH!E62&gt;INPUTS!$B$10,"NG",IF(RHO_ARCH!E62&gt;INPUTS!$B$9,"HEAVY","OK")))</f>
        <v>OK</v>
      </c>
      <c r="F62" s="4" t="str">
        <f aca="false">IF(RHO_ARCH!F62="","",IF(RHO_ARCH!F62&gt;INPUTS!$B$10,"NG",IF(RHO_ARCH!F62&gt;INPUTS!$B$9,"HEAVY","OK")))</f>
        <v>OK</v>
      </c>
      <c r="G62" s="4" t="str">
        <f aca="false">IF(RHO_ARCH!G62="","",IF(RHO_ARCH!G62&gt;INPUTS!$B$10,"NG",IF(RHO_ARCH!G62&gt;INPUTS!$B$9,"HEAVY","OK")))</f>
        <v>OK</v>
      </c>
      <c r="H62" s="4" t="str">
        <f aca="false">IF(RHO_ARCH!H62="","",IF(RHO_ARCH!H62&gt;INPUTS!$B$10,"NG",IF(RHO_ARCH!H62&gt;INPUTS!$B$9,"HEAVY","OK")))</f>
        <v>OK</v>
      </c>
      <c r="I62" s="4" t="str">
        <f aca="false">IF(RHO_ARCH!I62="","",IF(RHO_ARCH!I62&gt;INPUTS!$B$10,"NG",IF(RHO_ARCH!I62&gt;INPUTS!$B$9,"HEAVY","OK")))</f>
        <v>OK</v>
      </c>
      <c r="J62" s="4" t="str">
        <f aca="false">IF(RHO_ARCH!J62="","",IF(RHO_ARCH!J62&gt;INPUTS!$B$10,"NG",IF(RHO_ARCH!J62&gt;INPUTS!$B$9,"HEAVY","OK")))</f>
        <v>OK</v>
      </c>
      <c r="K62" s="4" t="str">
        <f aca="false">IF(RHO_ARCH!K62="","",IF(RHO_ARCH!K62&gt;INPUTS!$B$10,"NG",IF(RHO_ARCH!K62&gt;INPUTS!$B$9,"HEAVY","OK")))</f>
        <v>OK</v>
      </c>
      <c r="L62" s="4" t="str">
        <f aca="false">IF(RHO_ARCH!L62="","",IF(RHO_ARCH!L62&gt;INPUTS!$B$10,"NG",IF(RHO_ARCH!L62&gt;INPUTS!$B$9,"HEAVY","OK")))</f>
        <v>OK</v>
      </c>
      <c r="M62" s="4" t="str">
        <f aca="false">IF(RHO_ARCH!M62="","",IF(RHO_ARCH!M62&gt;INPUTS!$B$10,"NG",IF(RHO_ARCH!M62&gt;INPUTS!$B$9,"HEAVY","OK")))</f>
        <v>OK</v>
      </c>
      <c r="N62" s="4" t="str">
        <f aca="false">IF(RHO_ARCH!N62="","",IF(RHO_ARCH!N62&gt;INPUTS!$B$10,"NG",IF(RHO_ARCH!N62&gt;INPUTS!$B$9,"HEAVY","OK")))</f>
        <v>OK</v>
      </c>
      <c r="O62" s="4" t="str">
        <f aca="false">IF(RHO_ARCH!O62="","",IF(RHO_ARCH!O62&gt;INPUTS!$B$10,"NG",IF(RHO_ARCH!O62&gt;INPUTS!$B$9,"HEAVY","OK")))</f>
        <v>OK</v>
      </c>
      <c r="P62" s="4" t="str">
        <f aca="false">IF(RHO_ARCH!P62="","",IF(RHO_ARCH!P62&gt;INPUTS!$B$10,"NG",IF(RHO_ARCH!P62&gt;INPUTS!$B$9,"HEAVY","OK")))</f>
        <v>OK</v>
      </c>
    </row>
    <row r="63" customFormat="false" ht="15" hidden="false" customHeight="false" outlineLevel="0" collapsed="false">
      <c r="A63" s="11" t="str">
        <f aca="false">TRIB!A63</f>
        <v>C62</v>
      </c>
      <c r="B63" s="14" t="n">
        <f aca="false">TRIB!B63</f>
        <v>634.920990801595</v>
      </c>
      <c r="C63" s="14" t="n">
        <f aca="false">TRIB!C63</f>
        <v>452.936916195128</v>
      </c>
      <c r="D63" s="11" t="str">
        <f aca="false">TRIB!D63</f>
        <v>B</v>
      </c>
      <c r="E63" s="4" t="str">
        <f aca="false">IF(RHO_ARCH!E63="","",IF(RHO_ARCH!E63&gt;INPUTS!$B$10,"NG",IF(RHO_ARCH!E63&gt;INPUTS!$B$9,"HEAVY","OK")))</f>
        <v>OK</v>
      </c>
      <c r="F63" s="4" t="str">
        <f aca="false">IF(RHO_ARCH!F63="","",IF(RHO_ARCH!F63&gt;INPUTS!$B$10,"NG",IF(RHO_ARCH!F63&gt;INPUTS!$B$9,"HEAVY","OK")))</f>
        <v>OK</v>
      </c>
      <c r="G63" s="4" t="str">
        <f aca="false">IF(RHO_ARCH!G63="","",IF(RHO_ARCH!G63&gt;INPUTS!$B$10,"NG",IF(RHO_ARCH!G63&gt;INPUTS!$B$9,"HEAVY","OK")))</f>
        <v>OK</v>
      </c>
      <c r="H63" s="4" t="str">
        <f aca="false">IF(RHO_ARCH!H63="","",IF(RHO_ARCH!H63&gt;INPUTS!$B$10,"NG",IF(RHO_ARCH!H63&gt;INPUTS!$B$9,"HEAVY","OK")))</f>
        <v>OK</v>
      </c>
      <c r="I63" s="4" t="str">
        <f aca="false">IF(RHO_ARCH!I63="","",IF(RHO_ARCH!I63&gt;INPUTS!$B$10,"NG",IF(RHO_ARCH!I63&gt;INPUTS!$B$9,"HEAVY","OK")))</f>
        <v>OK</v>
      </c>
      <c r="J63" s="4" t="str">
        <f aca="false">IF(RHO_ARCH!J63="","",IF(RHO_ARCH!J63&gt;INPUTS!$B$10,"NG",IF(RHO_ARCH!J63&gt;INPUTS!$B$9,"HEAVY","OK")))</f>
        <v>OK</v>
      </c>
      <c r="K63" s="4" t="str">
        <f aca="false">IF(RHO_ARCH!K63="","",IF(RHO_ARCH!K63&gt;INPUTS!$B$10,"NG",IF(RHO_ARCH!K63&gt;INPUTS!$B$9,"HEAVY","OK")))</f>
        <v>OK</v>
      </c>
      <c r="L63" s="4" t="str">
        <f aca="false">IF(RHO_ARCH!L63="","",IF(RHO_ARCH!L63&gt;INPUTS!$B$10,"NG",IF(RHO_ARCH!L63&gt;INPUTS!$B$9,"HEAVY","OK")))</f>
        <v>OK</v>
      </c>
      <c r="M63" s="4" t="str">
        <f aca="false">IF(RHO_ARCH!M63="","",IF(RHO_ARCH!M63&gt;INPUTS!$B$10,"NG",IF(RHO_ARCH!M63&gt;INPUTS!$B$9,"HEAVY","OK")))</f>
        <v>OK</v>
      </c>
      <c r="N63" s="4" t="str">
        <f aca="false">IF(RHO_ARCH!N63="","",IF(RHO_ARCH!N63&gt;INPUTS!$B$10,"NG",IF(RHO_ARCH!N63&gt;INPUTS!$B$9,"HEAVY","OK")))</f>
        <v>OK</v>
      </c>
      <c r="O63" s="4" t="str">
        <f aca="false">IF(RHO_ARCH!O63="","",IF(RHO_ARCH!O63&gt;INPUTS!$B$10,"NG",IF(RHO_ARCH!O63&gt;INPUTS!$B$9,"HEAVY","OK")))</f>
        <v>OK</v>
      </c>
      <c r="P63" s="4" t="str">
        <f aca="false">IF(RHO_ARCH!P63="","",IF(RHO_ARCH!P63&gt;INPUTS!$B$10,"NG",IF(RHO_ARCH!P63&gt;INPUTS!$B$9,"HEAVY","OK")))</f>
        <v>OK</v>
      </c>
    </row>
    <row r="64" customFormat="false" ht="15" hidden="false" customHeight="false" outlineLevel="0" collapsed="false">
      <c r="A64" s="11" t="str">
        <f aca="false">TRIB!A64</f>
        <v>C63</v>
      </c>
      <c r="B64" s="14" t="n">
        <f aca="false">TRIB!B64</f>
        <v>582.981870502447</v>
      </c>
      <c r="C64" s="14" t="n">
        <f aca="false">TRIB!C64</f>
        <v>1885.93938281787</v>
      </c>
      <c r="D64" s="11" t="str">
        <f aca="false">TRIB!D64</f>
        <v>B</v>
      </c>
      <c r="E64" s="4" t="str">
        <f aca="false">IF(RHO_ARCH!E64="","",IF(RHO_ARCH!E64&gt;INPUTS!$B$10,"NG",IF(RHO_ARCH!E64&gt;INPUTS!$B$9,"HEAVY","OK")))</f>
        <v>OK</v>
      </c>
      <c r="F64" s="4" t="str">
        <f aca="false">IF(RHO_ARCH!F64="","",IF(RHO_ARCH!F64&gt;INPUTS!$B$10,"NG",IF(RHO_ARCH!F64&gt;INPUTS!$B$9,"HEAVY","OK")))</f>
        <v>OK</v>
      </c>
      <c r="G64" s="4" t="str">
        <f aca="false">IF(RHO_ARCH!G64="","",IF(RHO_ARCH!G64&gt;INPUTS!$B$10,"NG",IF(RHO_ARCH!G64&gt;INPUTS!$B$9,"HEAVY","OK")))</f>
        <v>OK</v>
      </c>
      <c r="H64" s="4" t="str">
        <f aca="false">IF(RHO_ARCH!H64="","",IF(RHO_ARCH!H64&gt;INPUTS!$B$10,"NG",IF(RHO_ARCH!H64&gt;INPUTS!$B$9,"HEAVY","OK")))</f>
        <v>OK</v>
      </c>
      <c r="I64" s="4" t="str">
        <f aca="false">IF(RHO_ARCH!I64="","",IF(RHO_ARCH!I64&gt;INPUTS!$B$10,"NG",IF(RHO_ARCH!I64&gt;INPUTS!$B$9,"HEAVY","OK")))</f>
        <v>OK</v>
      </c>
      <c r="J64" s="4" t="str">
        <f aca="false">IF(RHO_ARCH!J64="","",IF(RHO_ARCH!J64&gt;INPUTS!$B$10,"NG",IF(RHO_ARCH!J64&gt;INPUTS!$B$9,"HEAVY","OK")))</f>
        <v>OK</v>
      </c>
      <c r="K64" s="4" t="str">
        <f aca="false">IF(RHO_ARCH!K64="","",IF(RHO_ARCH!K64&gt;INPUTS!$B$10,"NG",IF(RHO_ARCH!K64&gt;INPUTS!$B$9,"HEAVY","OK")))</f>
        <v/>
      </c>
      <c r="L64" s="4" t="str">
        <f aca="false">IF(RHO_ARCH!L64="","",IF(RHO_ARCH!L64&gt;INPUTS!$B$10,"NG",IF(RHO_ARCH!L64&gt;INPUTS!$B$9,"HEAVY","OK")))</f>
        <v/>
      </c>
      <c r="M64" s="4" t="str">
        <f aca="false">IF(RHO_ARCH!M64="","",IF(RHO_ARCH!M64&gt;INPUTS!$B$10,"NG",IF(RHO_ARCH!M64&gt;INPUTS!$B$9,"HEAVY","OK")))</f>
        <v/>
      </c>
      <c r="N64" s="4" t="str">
        <f aca="false">IF(RHO_ARCH!N64="","",IF(RHO_ARCH!N64&gt;INPUTS!$B$10,"NG",IF(RHO_ARCH!N64&gt;INPUTS!$B$9,"HEAVY","OK")))</f>
        <v/>
      </c>
      <c r="O64" s="4" t="str">
        <f aca="false">IF(RHO_ARCH!O64="","",IF(RHO_ARCH!O64&gt;INPUTS!$B$10,"NG",IF(RHO_ARCH!O64&gt;INPUTS!$B$9,"HEAVY","OK")))</f>
        <v/>
      </c>
      <c r="P64" s="4" t="str">
        <f aca="false">IF(RHO_ARCH!P64="","",IF(RHO_ARCH!P64&gt;INPUTS!$B$10,"NG",IF(RHO_ARCH!P64&gt;INPUTS!$B$9,"HEAVY","OK")))</f>
        <v/>
      </c>
    </row>
    <row r="65" customFormat="false" ht="15" hidden="false" customHeight="false" outlineLevel="0" collapsed="false">
      <c r="A65" s="11" t="str">
        <f aca="false">TRIB!A65</f>
        <v>C64</v>
      </c>
      <c r="B65" s="14" t="n">
        <f aca="false">TRIB!B65</f>
        <v>582.981870502447</v>
      </c>
      <c r="C65" s="14" t="n">
        <f aca="false">TRIB!C65</f>
        <v>1919.10604948454</v>
      </c>
      <c r="D65" s="11" t="str">
        <f aca="false">TRIB!D65</f>
        <v>B</v>
      </c>
      <c r="E65" s="4" t="str">
        <f aca="false">IF(RHO_ARCH!E65="","",IF(RHO_ARCH!E65&gt;INPUTS!$B$10,"NG",IF(RHO_ARCH!E65&gt;INPUTS!$B$9,"HEAVY","OK")))</f>
        <v>OK</v>
      </c>
      <c r="F65" s="4" t="str">
        <f aca="false">IF(RHO_ARCH!F65="","",IF(RHO_ARCH!F65&gt;INPUTS!$B$10,"NG",IF(RHO_ARCH!F65&gt;INPUTS!$B$9,"HEAVY","OK")))</f>
        <v>OK</v>
      </c>
      <c r="G65" s="4" t="str">
        <f aca="false">IF(RHO_ARCH!G65="","",IF(RHO_ARCH!G65&gt;INPUTS!$B$10,"NG",IF(RHO_ARCH!G65&gt;INPUTS!$B$9,"HEAVY","OK")))</f>
        <v>OK</v>
      </c>
      <c r="H65" s="4" t="str">
        <f aca="false">IF(RHO_ARCH!H65="","",IF(RHO_ARCH!H65&gt;INPUTS!$B$10,"NG",IF(RHO_ARCH!H65&gt;INPUTS!$B$9,"HEAVY","OK")))</f>
        <v>OK</v>
      </c>
      <c r="I65" s="4" t="str">
        <f aca="false">IF(RHO_ARCH!I65="","",IF(RHO_ARCH!I65&gt;INPUTS!$B$10,"NG",IF(RHO_ARCH!I65&gt;INPUTS!$B$9,"HEAVY","OK")))</f>
        <v>OK</v>
      </c>
      <c r="J65" s="4" t="str">
        <f aca="false">IF(RHO_ARCH!J65="","",IF(RHO_ARCH!J65&gt;INPUTS!$B$10,"NG",IF(RHO_ARCH!J65&gt;INPUTS!$B$9,"HEAVY","OK")))</f>
        <v>OK</v>
      </c>
      <c r="K65" s="4" t="str">
        <f aca="false">IF(RHO_ARCH!K65="","",IF(RHO_ARCH!K65&gt;INPUTS!$B$10,"NG",IF(RHO_ARCH!K65&gt;INPUTS!$B$9,"HEAVY","OK")))</f>
        <v/>
      </c>
      <c r="L65" s="4" t="str">
        <f aca="false">IF(RHO_ARCH!L65="","",IF(RHO_ARCH!L65&gt;INPUTS!$B$10,"NG",IF(RHO_ARCH!L65&gt;INPUTS!$B$9,"HEAVY","OK")))</f>
        <v/>
      </c>
      <c r="M65" s="4" t="str">
        <f aca="false">IF(RHO_ARCH!M65="","",IF(RHO_ARCH!M65&gt;INPUTS!$B$10,"NG",IF(RHO_ARCH!M65&gt;INPUTS!$B$9,"HEAVY","OK")))</f>
        <v/>
      </c>
      <c r="N65" s="4" t="str">
        <f aca="false">IF(RHO_ARCH!N65="","",IF(RHO_ARCH!N65&gt;INPUTS!$B$10,"NG",IF(RHO_ARCH!N65&gt;INPUTS!$B$9,"HEAVY","OK")))</f>
        <v/>
      </c>
      <c r="O65" s="4" t="str">
        <f aca="false">IF(RHO_ARCH!O65="","",IF(RHO_ARCH!O65&gt;INPUTS!$B$10,"NG",IF(RHO_ARCH!O65&gt;INPUTS!$B$9,"HEAVY","OK")))</f>
        <v/>
      </c>
      <c r="P65" s="4" t="str">
        <f aca="false">IF(RHO_ARCH!P65="","",IF(RHO_ARCH!P65&gt;INPUTS!$B$10,"NG",IF(RHO_ARCH!P65&gt;INPUTS!$B$9,"HEAVY","OK")))</f>
        <v/>
      </c>
    </row>
    <row r="66" customFormat="false" ht="15" hidden="false" customHeight="false" outlineLevel="0" collapsed="false">
      <c r="A66" s="11" t="str">
        <f aca="false">TRIB!A66</f>
        <v>C65</v>
      </c>
      <c r="B66" s="14" t="n">
        <f aca="false">TRIB!B66</f>
        <v>582.981870502447</v>
      </c>
      <c r="C66" s="14" t="n">
        <f aca="false">TRIB!C66</f>
        <v>1945.7727161512</v>
      </c>
      <c r="D66" s="11" t="str">
        <f aca="false">TRIB!D66</f>
        <v>B</v>
      </c>
      <c r="E66" s="4" t="str">
        <f aca="false">IF(RHO_ARCH!E66="","",IF(RHO_ARCH!E66&gt;INPUTS!$B$10,"NG",IF(RHO_ARCH!E66&gt;INPUTS!$B$9,"HEAVY","OK")))</f>
        <v>OK</v>
      </c>
      <c r="F66" s="4" t="str">
        <f aca="false">IF(RHO_ARCH!F66="","",IF(RHO_ARCH!F66&gt;INPUTS!$B$10,"NG",IF(RHO_ARCH!F66&gt;INPUTS!$B$9,"HEAVY","OK")))</f>
        <v>OK</v>
      </c>
      <c r="G66" s="4" t="str">
        <f aca="false">IF(RHO_ARCH!G66="","",IF(RHO_ARCH!G66&gt;INPUTS!$B$10,"NG",IF(RHO_ARCH!G66&gt;INPUTS!$B$9,"HEAVY","OK")))</f>
        <v>OK</v>
      </c>
      <c r="H66" s="4" t="str">
        <f aca="false">IF(RHO_ARCH!H66="","",IF(RHO_ARCH!H66&gt;INPUTS!$B$10,"NG",IF(RHO_ARCH!H66&gt;INPUTS!$B$9,"HEAVY","OK")))</f>
        <v>OK</v>
      </c>
      <c r="I66" s="4" t="str">
        <f aca="false">IF(RHO_ARCH!I66="","",IF(RHO_ARCH!I66&gt;INPUTS!$B$10,"NG",IF(RHO_ARCH!I66&gt;INPUTS!$B$9,"HEAVY","OK")))</f>
        <v>OK</v>
      </c>
      <c r="J66" s="4" t="str">
        <f aca="false">IF(RHO_ARCH!J66="","",IF(RHO_ARCH!J66&gt;INPUTS!$B$10,"NG",IF(RHO_ARCH!J66&gt;INPUTS!$B$9,"HEAVY","OK")))</f>
        <v>OK</v>
      </c>
      <c r="K66" s="4" t="str">
        <f aca="false">IF(RHO_ARCH!K66="","",IF(RHO_ARCH!K66&gt;INPUTS!$B$10,"NG",IF(RHO_ARCH!K66&gt;INPUTS!$B$9,"HEAVY","OK")))</f>
        <v/>
      </c>
      <c r="L66" s="4" t="str">
        <f aca="false">IF(RHO_ARCH!L66="","",IF(RHO_ARCH!L66&gt;INPUTS!$B$10,"NG",IF(RHO_ARCH!L66&gt;INPUTS!$B$9,"HEAVY","OK")))</f>
        <v/>
      </c>
      <c r="M66" s="4" t="str">
        <f aca="false">IF(RHO_ARCH!M66="","",IF(RHO_ARCH!M66&gt;INPUTS!$B$10,"NG",IF(RHO_ARCH!M66&gt;INPUTS!$B$9,"HEAVY","OK")))</f>
        <v/>
      </c>
      <c r="N66" s="4" t="str">
        <f aca="false">IF(RHO_ARCH!N66="","",IF(RHO_ARCH!N66&gt;INPUTS!$B$10,"NG",IF(RHO_ARCH!N66&gt;INPUTS!$B$9,"HEAVY","OK")))</f>
        <v/>
      </c>
      <c r="O66" s="4" t="str">
        <f aca="false">IF(RHO_ARCH!O66="","",IF(RHO_ARCH!O66&gt;INPUTS!$B$10,"NG",IF(RHO_ARCH!O66&gt;INPUTS!$B$9,"HEAVY","OK")))</f>
        <v/>
      </c>
      <c r="P66" s="4" t="str">
        <f aca="false">IF(RHO_ARCH!P66="","",IF(RHO_ARCH!P66&gt;INPUTS!$B$10,"NG",IF(RHO_ARCH!P66&gt;INPUTS!$B$9,"HEAVY","OK")))</f>
        <v/>
      </c>
    </row>
    <row r="67" customFormat="false" ht="15" hidden="false" customHeight="false" outlineLevel="0" collapsed="false">
      <c r="A67" s="11" t="str">
        <f aca="false">TRIB!A67</f>
        <v>C66</v>
      </c>
      <c r="B67" s="14" t="n">
        <f aca="false">TRIB!B67</f>
        <v>586.054635839488</v>
      </c>
      <c r="C67" s="14" t="n">
        <f aca="false">TRIB!C67</f>
        <v>1860.77331074306</v>
      </c>
      <c r="D67" s="11" t="str">
        <f aca="false">TRIB!D67</f>
        <v>B</v>
      </c>
      <c r="E67" s="4" t="str">
        <f aca="false">IF(RHO_ARCH!E67="","",IF(RHO_ARCH!E67&gt;INPUTS!$B$10,"NG",IF(RHO_ARCH!E67&gt;INPUTS!$B$9,"HEAVY","OK")))</f>
        <v>OK</v>
      </c>
      <c r="F67" s="4" t="str">
        <f aca="false">IF(RHO_ARCH!F67="","",IF(RHO_ARCH!F67&gt;INPUTS!$B$10,"NG",IF(RHO_ARCH!F67&gt;INPUTS!$B$9,"HEAVY","OK")))</f>
        <v>OK</v>
      </c>
      <c r="G67" s="4" t="str">
        <f aca="false">IF(RHO_ARCH!G67="","",IF(RHO_ARCH!G67&gt;INPUTS!$B$10,"NG",IF(RHO_ARCH!G67&gt;INPUTS!$B$9,"HEAVY","OK")))</f>
        <v>OK</v>
      </c>
      <c r="H67" s="4" t="str">
        <f aca="false">IF(RHO_ARCH!H67="","",IF(RHO_ARCH!H67&gt;INPUTS!$B$10,"NG",IF(RHO_ARCH!H67&gt;INPUTS!$B$9,"HEAVY","OK")))</f>
        <v>OK</v>
      </c>
      <c r="I67" s="4" t="str">
        <f aca="false">IF(RHO_ARCH!I67="","",IF(RHO_ARCH!I67&gt;INPUTS!$B$10,"NG",IF(RHO_ARCH!I67&gt;INPUTS!$B$9,"HEAVY","OK")))</f>
        <v>OK</v>
      </c>
      <c r="J67" s="4" t="str">
        <f aca="false">IF(RHO_ARCH!J67="","",IF(RHO_ARCH!J67&gt;INPUTS!$B$10,"NG",IF(RHO_ARCH!J67&gt;INPUTS!$B$9,"HEAVY","OK")))</f>
        <v>OK</v>
      </c>
      <c r="K67" s="4" t="str">
        <f aca="false">IF(RHO_ARCH!K67="","",IF(RHO_ARCH!K67&gt;INPUTS!$B$10,"NG",IF(RHO_ARCH!K67&gt;INPUTS!$B$9,"HEAVY","OK")))</f>
        <v/>
      </c>
      <c r="L67" s="4" t="str">
        <f aca="false">IF(RHO_ARCH!L67="","",IF(RHO_ARCH!L67&gt;INPUTS!$B$10,"NG",IF(RHO_ARCH!L67&gt;INPUTS!$B$9,"HEAVY","OK")))</f>
        <v/>
      </c>
      <c r="M67" s="4" t="str">
        <f aca="false">IF(RHO_ARCH!M67="","",IF(RHO_ARCH!M67&gt;INPUTS!$B$10,"NG",IF(RHO_ARCH!M67&gt;INPUTS!$B$9,"HEAVY","OK")))</f>
        <v/>
      </c>
      <c r="N67" s="4" t="str">
        <f aca="false">IF(RHO_ARCH!N67="","",IF(RHO_ARCH!N67&gt;INPUTS!$B$10,"NG",IF(RHO_ARCH!N67&gt;INPUTS!$B$9,"HEAVY","OK")))</f>
        <v/>
      </c>
      <c r="O67" s="4" t="str">
        <f aca="false">IF(RHO_ARCH!O67="","",IF(RHO_ARCH!O67&gt;INPUTS!$B$10,"NG",IF(RHO_ARCH!O67&gt;INPUTS!$B$9,"HEAVY","OK")))</f>
        <v/>
      </c>
      <c r="P67" s="4" t="str">
        <f aca="false">IF(RHO_ARCH!P67="","",IF(RHO_ARCH!P67&gt;INPUTS!$B$10,"NG",IF(RHO_ARCH!P67&gt;INPUTS!$B$9,"HEAVY","OK")))</f>
        <v/>
      </c>
    </row>
    <row r="68" customFormat="false" ht="15" hidden="false" customHeight="false" outlineLevel="0" collapsed="false">
      <c r="A68" s="11" t="str">
        <f aca="false">TRIB!A68</f>
        <v>C67</v>
      </c>
      <c r="B68" s="14" t="n">
        <f aca="false">TRIB!B68</f>
        <v>608.221302506176</v>
      </c>
      <c r="C68" s="14" t="n">
        <f aca="false">TRIB!C68</f>
        <v>1888.78198508235</v>
      </c>
      <c r="D68" s="11" t="str">
        <f aca="false">TRIB!D68</f>
        <v>B</v>
      </c>
      <c r="E68" s="4" t="str">
        <f aca="false">IF(RHO_ARCH!E68="","",IF(RHO_ARCH!E68&gt;INPUTS!$B$10,"NG",IF(RHO_ARCH!E68&gt;INPUTS!$B$9,"HEAVY","OK")))</f>
        <v>OK</v>
      </c>
      <c r="F68" s="4" t="str">
        <f aca="false">IF(RHO_ARCH!F68="","",IF(RHO_ARCH!F68&gt;INPUTS!$B$10,"NG",IF(RHO_ARCH!F68&gt;INPUTS!$B$9,"HEAVY","OK")))</f>
        <v>OK</v>
      </c>
      <c r="G68" s="4" t="str">
        <f aca="false">IF(RHO_ARCH!G68="","",IF(RHO_ARCH!G68&gt;INPUTS!$B$10,"NG",IF(RHO_ARCH!G68&gt;INPUTS!$B$9,"HEAVY","OK")))</f>
        <v>OK</v>
      </c>
      <c r="H68" s="4" t="str">
        <f aca="false">IF(RHO_ARCH!H68="","",IF(RHO_ARCH!H68&gt;INPUTS!$B$10,"NG",IF(RHO_ARCH!H68&gt;INPUTS!$B$9,"HEAVY","OK")))</f>
        <v>OK</v>
      </c>
      <c r="I68" s="4" t="str">
        <f aca="false">IF(RHO_ARCH!I68="","",IF(RHO_ARCH!I68&gt;INPUTS!$B$10,"NG",IF(RHO_ARCH!I68&gt;INPUTS!$B$9,"HEAVY","OK")))</f>
        <v>OK</v>
      </c>
      <c r="J68" s="4" t="str">
        <f aca="false">IF(RHO_ARCH!J68="","",IF(RHO_ARCH!J68&gt;INPUTS!$B$10,"NG",IF(RHO_ARCH!J68&gt;INPUTS!$B$9,"HEAVY","OK")))</f>
        <v>OK</v>
      </c>
      <c r="K68" s="4" t="str">
        <f aca="false">IF(RHO_ARCH!K68="","",IF(RHO_ARCH!K68&gt;INPUTS!$B$10,"NG",IF(RHO_ARCH!K68&gt;INPUTS!$B$9,"HEAVY","OK")))</f>
        <v/>
      </c>
      <c r="L68" s="4" t="str">
        <f aca="false">IF(RHO_ARCH!L68="","",IF(RHO_ARCH!L68&gt;INPUTS!$B$10,"NG",IF(RHO_ARCH!L68&gt;INPUTS!$B$9,"HEAVY","OK")))</f>
        <v/>
      </c>
      <c r="M68" s="4" t="str">
        <f aca="false">IF(RHO_ARCH!M68="","",IF(RHO_ARCH!M68&gt;INPUTS!$B$10,"NG",IF(RHO_ARCH!M68&gt;INPUTS!$B$9,"HEAVY","OK")))</f>
        <v/>
      </c>
      <c r="N68" s="4" t="str">
        <f aca="false">IF(RHO_ARCH!N68="","",IF(RHO_ARCH!N68&gt;INPUTS!$B$10,"NG",IF(RHO_ARCH!N68&gt;INPUTS!$B$9,"HEAVY","OK")))</f>
        <v/>
      </c>
      <c r="O68" s="4" t="str">
        <f aca="false">IF(RHO_ARCH!O68="","",IF(RHO_ARCH!O68&gt;INPUTS!$B$10,"NG",IF(RHO_ARCH!O68&gt;INPUTS!$B$9,"HEAVY","OK")))</f>
        <v/>
      </c>
      <c r="P68" s="4" t="str">
        <f aca="false">IF(RHO_ARCH!P68="","",IF(RHO_ARCH!P68&gt;INPUTS!$B$10,"NG",IF(RHO_ARCH!P68&gt;INPUTS!$B$9,"HEAVY","OK")))</f>
        <v/>
      </c>
    </row>
    <row r="69" customFormat="false" ht="15" hidden="false" customHeight="false" outlineLevel="0" collapsed="false">
      <c r="A69" s="11" t="str">
        <f aca="false">TRIB!A69</f>
        <v>C68</v>
      </c>
      <c r="B69" s="14" t="n">
        <f aca="false">TRIB!B69</f>
        <v>608.221302506175</v>
      </c>
      <c r="C69" s="14" t="n">
        <f aca="false">TRIB!C69</f>
        <v>1919.78198508235</v>
      </c>
      <c r="D69" s="11" t="str">
        <f aca="false">TRIB!D69</f>
        <v>B</v>
      </c>
      <c r="E69" s="4" t="str">
        <f aca="false">IF(RHO_ARCH!E69="","",IF(RHO_ARCH!E69&gt;INPUTS!$B$10,"NG",IF(RHO_ARCH!E69&gt;INPUTS!$B$9,"HEAVY","OK")))</f>
        <v>OK</v>
      </c>
      <c r="F69" s="4" t="str">
        <f aca="false">IF(RHO_ARCH!F69="","",IF(RHO_ARCH!F69&gt;INPUTS!$B$10,"NG",IF(RHO_ARCH!F69&gt;INPUTS!$B$9,"HEAVY","OK")))</f>
        <v>OK</v>
      </c>
      <c r="G69" s="4" t="str">
        <f aca="false">IF(RHO_ARCH!G69="","",IF(RHO_ARCH!G69&gt;INPUTS!$B$10,"NG",IF(RHO_ARCH!G69&gt;INPUTS!$B$9,"HEAVY","OK")))</f>
        <v>OK</v>
      </c>
      <c r="H69" s="4" t="str">
        <f aca="false">IF(RHO_ARCH!H69="","",IF(RHO_ARCH!H69&gt;INPUTS!$B$10,"NG",IF(RHO_ARCH!H69&gt;INPUTS!$B$9,"HEAVY","OK")))</f>
        <v>OK</v>
      </c>
      <c r="I69" s="4" t="str">
        <f aca="false">IF(RHO_ARCH!I69="","",IF(RHO_ARCH!I69&gt;INPUTS!$B$10,"NG",IF(RHO_ARCH!I69&gt;INPUTS!$B$9,"HEAVY","OK")))</f>
        <v>OK</v>
      </c>
      <c r="J69" s="4" t="str">
        <f aca="false">IF(RHO_ARCH!J69="","",IF(RHO_ARCH!J69&gt;INPUTS!$B$10,"NG",IF(RHO_ARCH!J69&gt;INPUTS!$B$9,"HEAVY","OK")))</f>
        <v>OK</v>
      </c>
      <c r="K69" s="4" t="str">
        <f aca="false">IF(RHO_ARCH!K69="","",IF(RHO_ARCH!K69&gt;INPUTS!$B$10,"NG",IF(RHO_ARCH!K69&gt;INPUTS!$B$9,"HEAVY","OK")))</f>
        <v/>
      </c>
      <c r="L69" s="4" t="str">
        <f aca="false">IF(RHO_ARCH!L69="","",IF(RHO_ARCH!L69&gt;INPUTS!$B$10,"NG",IF(RHO_ARCH!L69&gt;INPUTS!$B$9,"HEAVY","OK")))</f>
        <v/>
      </c>
      <c r="M69" s="4" t="str">
        <f aca="false">IF(RHO_ARCH!M69="","",IF(RHO_ARCH!M69&gt;INPUTS!$B$10,"NG",IF(RHO_ARCH!M69&gt;INPUTS!$B$9,"HEAVY","OK")))</f>
        <v/>
      </c>
      <c r="N69" s="4" t="str">
        <f aca="false">IF(RHO_ARCH!N69="","",IF(RHO_ARCH!N69&gt;INPUTS!$B$10,"NG",IF(RHO_ARCH!N69&gt;INPUTS!$B$9,"HEAVY","OK")))</f>
        <v/>
      </c>
      <c r="O69" s="4" t="str">
        <f aca="false">IF(RHO_ARCH!O69="","",IF(RHO_ARCH!O69&gt;INPUTS!$B$10,"NG",IF(RHO_ARCH!O69&gt;INPUTS!$B$9,"HEAVY","OK")))</f>
        <v/>
      </c>
      <c r="P69" s="4" t="str">
        <f aca="false">IF(RHO_ARCH!P69="","",IF(RHO_ARCH!P69&gt;INPUTS!$B$10,"NG",IF(RHO_ARCH!P69&gt;INPUTS!$B$9,"HEAVY","OK")))</f>
        <v/>
      </c>
    </row>
    <row r="70" customFormat="false" ht="15" hidden="false" customHeight="false" outlineLevel="0" collapsed="false">
      <c r="A70" s="11" t="str">
        <f aca="false">TRIB!A70</f>
        <v>C69</v>
      </c>
      <c r="B70" s="14" t="n">
        <f aca="false">TRIB!B70</f>
        <v>608.221302506175</v>
      </c>
      <c r="C70" s="14" t="n">
        <f aca="false">TRIB!C70</f>
        <v>1946.94772662427</v>
      </c>
      <c r="D70" s="11" t="str">
        <f aca="false">TRIB!D70</f>
        <v>B</v>
      </c>
      <c r="E70" s="4" t="str">
        <f aca="false">IF(RHO_ARCH!E70="","",IF(RHO_ARCH!E70&gt;INPUTS!$B$10,"NG",IF(RHO_ARCH!E70&gt;INPUTS!$B$9,"HEAVY","OK")))</f>
        <v>OK</v>
      </c>
      <c r="F70" s="4" t="str">
        <f aca="false">IF(RHO_ARCH!F70="","",IF(RHO_ARCH!F70&gt;INPUTS!$B$10,"NG",IF(RHO_ARCH!F70&gt;INPUTS!$B$9,"HEAVY","OK")))</f>
        <v>OK</v>
      </c>
      <c r="G70" s="4" t="str">
        <f aca="false">IF(RHO_ARCH!G70="","",IF(RHO_ARCH!G70&gt;INPUTS!$B$10,"NG",IF(RHO_ARCH!G70&gt;INPUTS!$B$9,"HEAVY","OK")))</f>
        <v>OK</v>
      </c>
      <c r="H70" s="4" t="str">
        <f aca="false">IF(RHO_ARCH!H70="","",IF(RHO_ARCH!H70&gt;INPUTS!$B$10,"NG",IF(RHO_ARCH!H70&gt;INPUTS!$B$9,"HEAVY","OK")))</f>
        <v>OK</v>
      </c>
      <c r="I70" s="4" t="str">
        <f aca="false">IF(RHO_ARCH!I70="","",IF(RHO_ARCH!I70&gt;INPUTS!$B$10,"NG",IF(RHO_ARCH!I70&gt;INPUTS!$B$9,"HEAVY","OK")))</f>
        <v>OK</v>
      </c>
      <c r="J70" s="4" t="str">
        <f aca="false">IF(RHO_ARCH!J70="","",IF(RHO_ARCH!J70&gt;INPUTS!$B$10,"NG",IF(RHO_ARCH!J70&gt;INPUTS!$B$9,"HEAVY","OK")))</f>
        <v>OK</v>
      </c>
      <c r="K70" s="4" t="str">
        <f aca="false">IF(RHO_ARCH!K70="","",IF(RHO_ARCH!K70&gt;INPUTS!$B$10,"NG",IF(RHO_ARCH!K70&gt;INPUTS!$B$9,"HEAVY","OK")))</f>
        <v/>
      </c>
      <c r="L70" s="4" t="str">
        <f aca="false">IF(RHO_ARCH!L70="","",IF(RHO_ARCH!L70&gt;INPUTS!$B$10,"NG",IF(RHO_ARCH!L70&gt;INPUTS!$B$9,"HEAVY","OK")))</f>
        <v/>
      </c>
      <c r="M70" s="4" t="str">
        <f aca="false">IF(RHO_ARCH!M70="","",IF(RHO_ARCH!M70&gt;INPUTS!$B$10,"NG",IF(RHO_ARCH!M70&gt;INPUTS!$B$9,"HEAVY","OK")))</f>
        <v/>
      </c>
      <c r="N70" s="4" t="str">
        <f aca="false">IF(RHO_ARCH!N70="","",IF(RHO_ARCH!N70&gt;INPUTS!$B$10,"NG",IF(RHO_ARCH!N70&gt;INPUTS!$B$9,"HEAVY","OK")))</f>
        <v/>
      </c>
      <c r="O70" s="4" t="str">
        <f aca="false">IF(RHO_ARCH!O70="","",IF(RHO_ARCH!O70&gt;INPUTS!$B$10,"NG",IF(RHO_ARCH!O70&gt;INPUTS!$B$9,"HEAVY","OK")))</f>
        <v/>
      </c>
      <c r="P70" s="4" t="str">
        <f aca="false">IF(RHO_ARCH!P70="","",IF(RHO_ARCH!P70&gt;INPUTS!$B$10,"NG",IF(RHO_ARCH!P70&gt;INPUTS!$B$9,"HEAVY","OK")))</f>
        <v/>
      </c>
    </row>
    <row r="71" customFormat="false" ht="15" hidden="false" customHeight="false" outlineLevel="0" collapsed="false">
      <c r="A71" s="11" t="str">
        <f aca="false">TRIB!A71</f>
        <v>C70</v>
      </c>
      <c r="B71" s="14" t="n">
        <f aca="false">TRIB!B71</f>
        <v>612.721302506155</v>
      </c>
      <c r="C71" s="14" t="n">
        <f aca="false">TRIB!C71</f>
        <v>1860.77331074306</v>
      </c>
      <c r="D71" s="11" t="str">
        <f aca="false">TRIB!D71</f>
        <v>B</v>
      </c>
      <c r="E71" s="4" t="str">
        <f aca="false">IF(RHO_ARCH!E71="","",IF(RHO_ARCH!E71&gt;INPUTS!$B$10,"NG",IF(RHO_ARCH!E71&gt;INPUTS!$B$9,"HEAVY","OK")))</f>
        <v>OK</v>
      </c>
      <c r="F71" s="4" t="str">
        <f aca="false">IF(RHO_ARCH!F71="","",IF(RHO_ARCH!F71&gt;INPUTS!$B$10,"NG",IF(RHO_ARCH!F71&gt;INPUTS!$B$9,"HEAVY","OK")))</f>
        <v>OK</v>
      </c>
      <c r="G71" s="4" t="str">
        <f aca="false">IF(RHO_ARCH!G71="","",IF(RHO_ARCH!G71&gt;INPUTS!$B$10,"NG",IF(RHO_ARCH!G71&gt;INPUTS!$B$9,"HEAVY","OK")))</f>
        <v>OK</v>
      </c>
      <c r="H71" s="4" t="str">
        <f aca="false">IF(RHO_ARCH!H71="","",IF(RHO_ARCH!H71&gt;INPUTS!$B$10,"NG",IF(RHO_ARCH!H71&gt;INPUTS!$B$9,"HEAVY","OK")))</f>
        <v>OK</v>
      </c>
      <c r="I71" s="4" t="str">
        <f aca="false">IF(RHO_ARCH!I71="","",IF(RHO_ARCH!I71&gt;INPUTS!$B$10,"NG",IF(RHO_ARCH!I71&gt;INPUTS!$B$9,"HEAVY","OK")))</f>
        <v>OK</v>
      </c>
      <c r="J71" s="4" t="str">
        <f aca="false">IF(RHO_ARCH!J71="","",IF(RHO_ARCH!J71&gt;INPUTS!$B$10,"NG",IF(RHO_ARCH!J71&gt;INPUTS!$B$9,"HEAVY","OK")))</f>
        <v>OK</v>
      </c>
      <c r="K71" s="4" t="str">
        <f aca="false">IF(RHO_ARCH!K71="","",IF(RHO_ARCH!K71&gt;INPUTS!$B$10,"NG",IF(RHO_ARCH!K71&gt;INPUTS!$B$9,"HEAVY","OK")))</f>
        <v/>
      </c>
      <c r="L71" s="4" t="str">
        <f aca="false">IF(RHO_ARCH!L71="","",IF(RHO_ARCH!L71&gt;INPUTS!$B$10,"NG",IF(RHO_ARCH!L71&gt;INPUTS!$B$9,"HEAVY","OK")))</f>
        <v/>
      </c>
      <c r="M71" s="4" t="str">
        <f aca="false">IF(RHO_ARCH!M71="","",IF(RHO_ARCH!M71&gt;INPUTS!$B$10,"NG",IF(RHO_ARCH!M71&gt;INPUTS!$B$9,"HEAVY","OK")))</f>
        <v/>
      </c>
      <c r="N71" s="4" t="str">
        <f aca="false">IF(RHO_ARCH!N71="","",IF(RHO_ARCH!N71&gt;INPUTS!$B$10,"NG",IF(RHO_ARCH!N71&gt;INPUTS!$B$9,"HEAVY","OK")))</f>
        <v/>
      </c>
      <c r="O71" s="4" t="str">
        <f aca="false">IF(RHO_ARCH!O71="","",IF(RHO_ARCH!O71&gt;INPUTS!$B$10,"NG",IF(RHO_ARCH!O71&gt;INPUTS!$B$9,"HEAVY","OK")))</f>
        <v/>
      </c>
      <c r="P71" s="4" t="str">
        <f aca="false">IF(RHO_ARCH!P71="","",IF(RHO_ARCH!P71&gt;INPUTS!$B$10,"NG",IF(RHO_ARCH!P71&gt;INPUTS!$B$9,"HEAVY","OK")))</f>
        <v/>
      </c>
    </row>
    <row r="72" customFormat="false" ht="15" hidden="false" customHeight="false" outlineLevel="0" collapsed="false">
      <c r="A72" s="11" t="str">
        <f aca="false">TRIB!A72</f>
        <v>C71</v>
      </c>
      <c r="B72" s="14" t="n">
        <f aca="false">TRIB!B72</f>
        <v>634.887969172822</v>
      </c>
      <c r="C72" s="14" t="n">
        <f aca="false">TRIB!C72</f>
        <v>1860.77331074306</v>
      </c>
      <c r="D72" s="11" t="str">
        <f aca="false">TRIB!D72</f>
        <v>B</v>
      </c>
      <c r="E72" s="4" t="str">
        <f aca="false">IF(RHO_ARCH!E72="","",IF(RHO_ARCH!E72&gt;INPUTS!$B$10,"NG",IF(RHO_ARCH!E72&gt;INPUTS!$B$9,"HEAVY","OK")))</f>
        <v>OK</v>
      </c>
      <c r="F72" s="4" t="str">
        <f aca="false">IF(RHO_ARCH!F72="","",IF(RHO_ARCH!F72&gt;INPUTS!$B$10,"NG",IF(RHO_ARCH!F72&gt;INPUTS!$B$9,"HEAVY","OK")))</f>
        <v>OK</v>
      </c>
      <c r="G72" s="4" t="str">
        <f aca="false">IF(RHO_ARCH!G72="","",IF(RHO_ARCH!G72&gt;INPUTS!$B$10,"NG",IF(RHO_ARCH!G72&gt;INPUTS!$B$9,"HEAVY","OK")))</f>
        <v>OK</v>
      </c>
      <c r="H72" s="4" t="str">
        <f aca="false">IF(RHO_ARCH!H72="","",IF(RHO_ARCH!H72&gt;INPUTS!$B$10,"NG",IF(RHO_ARCH!H72&gt;INPUTS!$B$9,"HEAVY","OK")))</f>
        <v>OK</v>
      </c>
      <c r="I72" s="4" t="str">
        <f aca="false">IF(RHO_ARCH!I72="","",IF(RHO_ARCH!I72&gt;INPUTS!$B$10,"NG",IF(RHO_ARCH!I72&gt;INPUTS!$B$9,"HEAVY","OK")))</f>
        <v>OK</v>
      </c>
      <c r="J72" s="4" t="str">
        <f aca="false">IF(RHO_ARCH!J72="","",IF(RHO_ARCH!J72&gt;INPUTS!$B$10,"NG",IF(RHO_ARCH!J72&gt;INPUTS!$B$9,"HEAVY","OK")))</f>
        <v>OK</v>
      </c>
      <c r="K72" s="4" t="str">
        <f aca="false">IF(RHO_ARCH!K72="","",IF(RHO_ARCH!K72&gt;INPUTS!$B$10,"NG",IF(RHO_ARCH!K72&gt;INPUTS!$B$9,"HEAVY","OK")))</f>
        <v/>
      </c>
      <c r="L72" s="4" t="str">
        <f aca="false">IF(RHO_ARCH!L72="","",IF(RHO_ARCH!L72&gt;INPUTS!$B$10,"NG",IF(RHO_ARCH!L72&gt;INPUTS!$B$9,"HEAVY","OK")))</f>
        <v/>
      </c>
      <c r="M72" s="4" t="str">
        <f aca="false">IF(RHO_ARCH!M72="","",IF(RHO_ARCH!M72&gt;INPUTS!$B$10,"NG",IF(RHO_ARCH!M72&gt;INPUTS!$B$9,"HEAVY","OK")))</f>
        <v/>
      </c>
      <c r="N72" s="4" t="str">
        <f aca="false">IF(RHO_ARCH!N72="","",IF(RHO_ARCH!N72&gt;INPUTS!$B$10,"NG",IF(RHO_ARCH!N72&gt;INPUTS!$B$9,"HEAVY","OK")))</f>
        <v/>
      </c>
      <c r="O72" s="4" t="str">
        <f aca="false">IF(RHO_ARCH!O72="","",IF(RHO_ARCH!O72&gt;INPUTS!$B$10,"NG",IF(RHO_ARCH!O72&gt;INPUTS!$B$9,"HEAVY","OK")))</f>
        <v/>
      </c>
      <c r="P72" s="4" t="str">
        <f aca="false">IF(RHO_ARCH!P72="","",IF(RHO_ARCH!P72&gt;INPUTS!$B$10,"NG",IF(RHO_ARCH!P72&gt;INPUTS!$B$9,"HEAVY","OK")))</f>
        <v/>
      </c>
    </row>
    <row r="73" customFormat="false" ht="15" hidden="false" customHeight="false" outlineLevel="0" collapsed="false">
      <c r="A73" s="11" t="str">
        <f aca="false">TRIB!A73</f>
        <v>C72</v>
      </c>
      <c r="B73" s="14" t="n">
        <f aca="false">TRIB!B73</f>
        <v>634.887969172843</v>
      </c>
      <c r="C73" s="14" t="n">
        <f aca="false">TRIB!C73</f>
        <v>1888.78198508235</v>
      </c>
      <c r="D73" s="11" t="str">
        <f aca="false">TRIB!D73</f>
        <v>B</v>
      </c>
      <c r="E73" s="4" t="str">
        <f aca="false">IF(RHO_ARCH!E73="","",IF(RHO_ARCH!E73&gt;INPUTS!$B$10,"NG",IF(RHO_ARCH!E73&gt;INPUTS!$B$9,"HEAVY","OK")))</f>
        <v>OK</v>
      </c>
      <c r="F73" s="4" t="str">
        <f aca="false">IF(RHO_ARCH!F73="","",IF(RHO_ARCH!F73&gt;INPUTS!$B$10,"NG",IF(RHO_ARCH!F73&gt;INPUTS!$B$9,"HEAVY","OK")))</f>
        <v>OK</v>
      </c>
      <c r="G73" s="4" t="str">
        <f aca="false">IF(RHO_ARCH!G73="","",IF(RHO_ARCH!G73&gt;INPUTS!$B$10,"NG",IF(RHO_ARCH!G73&gt;INPUTS!$B$9,"HEAVY","OK")))</f>
        <v>OK</v>
      </c>
      <c r="H73" s="4" t="str">
        <f aca="false">IF(RHO_ARCH!H73="","",IF(RHO_ARCH!H73&gt;INPUTS!$B$10,"NG",IF(RHO_ARCH!H73&gt;INPUTS!$B$9,"HEAVY","OK")))</f>
        <v>OK</v>
      </c>
      <c r="I73" s="4" t="str">
        <f aca="false">IF(RHO_ARCH!I73="","",IF(RHO_ARCH!I73&gt;INPUTS!$B$10,"NG",IF(RHO_ARCH!I73&gt;INPUTS!$B$9,"HEAVY","OK")))</f>
        <v>OK</v>
      </c>
      <c r="J73" s="4" t="str">
        <f aca="false">IF(RHO_ARCH!J73="","",IF(RHO_ARCH!J73&gt;INPUTS!$B$10,"NG",IF(RHO_ARCH!J73&gt;INPUTS!$B$9,"HEAVY","OK")))</f>
        <v>OK</v>
      </c>
      <c r="K73" s="4" t="str">
        <f aca="false">IF(RHO_ARCH!K73="","",IF(RHO_ARCH!K73&gt;INPUTS!$B$10,"NG",IF(RHO_ARCH!K73&gt;INPUTS!$B$9,"HEAVY","OK")))</f>
        <v/>
      </c>
      <c r="L73" s="4" t="str">
        <f aca="false">IF(RHO_ARCH!L73="","",IF(RHO_ARCH!L73&gt;INPUTS!$B$10,"NG",IF(RHO_ARCH!L73&gt;INPUTS!$B$9,"HEAVY","OK")))</f>
        <v/>
      </c>
      <c r="M73" s="4" t="str">
        <f aca="false">IF(RHO_ARCH!M73="","",IF(RHO_ARCH!M73&gt;INPUTS!$B$10,"NG",IF(RHO_ARCH!M73&gt;INPUTS!$B$9,"HEAVY","OK")))</f>
        <v/>
      </c>
      <c r="N73" s="4" t="str">
        <f aca="false">IF(RHO_ARCH!N73="","",IF(RHO_ARCH!N73&gt;INPUTS!$B$10,"NG",IF(RHO_ARCH!N73&gt;INPUTS!$B$9,"HEAVY","OK")))</f>
        <v/>
      </c>
      <c r="O73" s="4" t="str">
        <f aca="false">IF(RHO_ARCH!O73="","",IF(RHO_ARCH!O73&gt;INPUTS!$B$10,"NG",IF(RHO_ARCH!O73&gt;INPUTS!$B$9,"HEAVY","OK")))</f>
        <v/>
      </c>
      <c r="P73" s="4" t="str">
        <f aca="false">IF(RHO_ARCH!P73="","",IF(RHO_ARCH!P73&gt;INPUTS!$B$10,"NG",IF(RHO_ARCH!P73&gt;INPUTS!$B$9,"HEAVY","OK")))</f>
        <v/>
      </c>
    </row>
    <row r="74" customFormat="false" ht="15" hidden="false" customHeight="false" outlineLevel="0" collapsed="false">
      <c r="A74" s="11" t="str">
        <f aca="false">TRIB!A74</f>
        <v>C73</v>
      </c>
      <c r="B74" s="14" t="n">
        <f aca="false">TRIB!B74</f>
        <v>634.887969172842</v>
      </c>
      <c r="C74" s="14" t="n">
        <f aca="false">TRIB!C74</f>
        <v>1919.78198508235</v>
      </c>
      <c r="D74" s="11" t="str">
        <f aca="false">TRIB!D74</f>
        <v>B</v>
      </c>
      <c r="E74" s="4" t="str">
        <f aca="false">IF(RHO_ARCH!E74="","",IF(RHO_ARCH!E74&gt;INPUTS!$B$10,"NG",IF(RHO_ARCH!E74&gt;INPUTS!$B$9,"HEAVY","OK")))</f>
        <v>OK</v>
      </c>
      <c r="F74" s="4" t="str">
        <f aca="false">IF(RHO_ARCH!F74="","",IF(RHO_ARCH!F74&gt;INPUTS!$B$10,"NG",IF(RHO_ARCH!F74&gt;INPUTS!$B$9,"HEAVY","OK")))</f>
        <v>OK</v>
      </c>
      <c r="G74" s="4" t="str">
        <f aca="false">IF(RHO_ARCH!G74="","",IF(RHO_ARCH!G74&gt;INPUTS!$B$10,"NG",IF(RHO_ARCH!G74&gt;INPUTS!$B$9,"HEAVY","OK")))</f>
        <v>OK</v>
      </c>
      <c r="H74" s="4" t="str">
        <f aca="false">IF(RHO_ARCH!H74="","",IF(RHO_ARCH!H74&gt;INPUTS!$B$10,"NG",IF(RHO_ARCH!H74&gt;INPUTS!$B$9,"HEAVY","OK")))</f>
        <v>OK</v>
      </c>
      <c r="I74" s="4" t="str">
        <f aca="false">IF(RHO_ARCH!I74="","",IF(RHO_ARCH!I74&gt;INPUTS!$B$10,"NG",IF(RHO_ARCH!I74&gt;INPUTS!$B$9,"HEAVY","OK")))</f>
        <v>OK</v>
      </c>
      <c r="J74" s="4" t="str">
        <f aca="false">IF(RHO_ARCH!J74="","",IF(RHO_ARCH!J74&gt;INPUTS!$B$10,"NG",IF(RHO_ARCH!J74&gt;INPUTS!$B$9,"HEAVY","OK")))</f>
        <v>OK</v>
      </c>
      <c r="K74" s="4" t="str">
        <f aca="false">IF(RHO_ARCH!K74="","",IF(RHO_ARCH!K74&gt;INPUTS!$B$10,"NG",IF(RHO_ARCH!K74&gt;INPUTS!$B$9,"HEAVY","OK")))</f>
        <v/>
      </c>
      <c r="L74" s="4" t="str">
        <f aca="false">IF(RHO_ARCH!L74="","",IF(RHO_ARCH!L74&gt;INPUTS!$B$10,"NG",IF(RHO_ARCH!L74&gt;INPUTS!$B$9,"HEAVY","OK")))</f>
        <v/>
      </c>
      <c r="M74" s="4" t="str">
        <f aca="false">IF(RHO_ARCH!M74="","",IF(RHO_ARCH!M74&gt;INPUTS!$B$10,"NG",IF(RHO_ARCH!M74&gt;INPUTS!$B$9,"HEAVY","OK")))</f>
        <v/>
      </c>
      <c r="N74" s="4" t="str">
        <f aca="false">IF(RHO_ARCH!N74="","",IF(RHO_ARCH!N74&gt;INPUTS!$B$10,"NG",IF(RHO_ARCH!N74&gt;INPUTS!$B$9,"HEAVY","OK")))</f>
        <v/>
      </c>
      <c r="O74" s="4" t="str">
        <f aca="false">IF(RHO_ARCH!O74="","",IF(RHO_ARCH!O74&gt;INPUTS!$B$10,"NG",IF(RHO_ARCH!O74&gt;INPUTS!$B$9,"HEAVY","OK")))</f>
        <v/>
      </c>
      <c r="P74" s="4" t="str">
        <f aca="false">IF(RHO_ARCH!P74="","",IF(RHO_ARCH!P74&gt;INPUTS!$B$10,"NG",IF(RHO_ARCH!P74&gt;INPUTS!$B$9,"HEAVY","OK")))</f>
        <v/>
      </c>
    </row>
    <row r="75" customFormat="false" ht="15" hidden="false" customHeight="false" outlineLevel="0" collapsed="false">
      <c r="A75" s="11" t="str">
        <f aca="false">TRIB!A75</f>
        <v>C74</v>
      </c>
      <c r="B75" s="14" t="n">
        <f aca="false">TRIB!B75</f>
        <v>634.887969172841</v>
      </c>
      <c r="C75" s="14" t="n">
        <f aca="false">TRIB!C75</f>
        <v>1946.79147662427</v>
      </c>
      <c r="D75" s="11" t="str">
        <f aca="false">TRIB!D75</f>
        <v>B</v>
      </c>
      <c r="E75" s="4" t="str">
        <f aca="false">IF(RHO_ARCH!E75="","",IF(RHO_ARCH!E75&gt;INPUTS!$B$10,"NG",IF(RHO_ARCH!E75&gt;INPUTS!$B$9,"HEAVY","OK")))</f>
        <v>OK</v>
      </c>
      <c r="F75" s="4" t="str">
        <f aca="false">IF(RHO_ARCH!F75="","",IF(RHO_ARCH!F75&gt;INPUTS!$B$10,"NG",IF(RHO_ARCH!F75&gt;INPUTS!$B$9,"HEAVY","OK")))</f>
        <v>OK</v>
      </c>
      <c r="G75" s="4" t="str">
        <f aca="false">IF(RHO_ARCH!G75="","",IF(RHO_ARCH!G75&gt;INPUTS!$B$10,"NG",IF(RHO_ARCH!G75&gt;INPUTS!$B$9,"HEAVY","OK")))</f>
        <v>OK</v>
      </c>
      <c r="H75" s="4" t="str">
        <f aca="false">IF(RHO_ARCH!H75="","",IF(RHO_ARCH!H75&gt;INPUTS!$B$10,"NG",IF(RHO_ARCH!H75&gt;INPUTS!$B$9,"HEAVY","OK")))</f>
        <v>OK</v>
      </c>
      <c r="I75" s="4" t="str">
        <f aca="false">IF(RHO_ARCH!I75="","",IF(RHO_ARCH!I75&gt;INPUTS!$B$10,"NG",IF(RHO_ARCH!I75&gt;INPUTS!$B$9,"HEAVY","OK")))</f>
        <v>OK</v>
      </c>
      <c r="J75" s="4" t="str">
        <f aca="false">IF(RHO_ARCH!J75="","",IF(RHO_ARCH!J75&gt;INPUTS!$B$10,"NG",IF(RHO_ARCH!J75&gt;INPUTS!$B$9,"HEAVY","OK")))</f>
        <v>OK</v>
      </c>
      <c r="K75" s="4" t="str">
        <f aca="false">IF(RHO_ARCH!K75="","",IF(RHO_ARCH!K75&gt;INPUTS!$B$10,"NG",IF(RHO_ARCH!K75&gt;INPUTS!$B$9,"HEAVY","OK")))</f>
        <v/>
      </c>
      <c r="L75" s="4" t="str">
        <f aca="false">IF(RHO_ARCH!L75="","",IF(RHO_ARCH!L75&gt;INPUTS!$B$10,"NG",IF(RHO_ARCH!L75&gt;INPUTS!$B$9,"HEAVY","OK")))</f>
        <v/>
      </c>
      <c r="M75" s="4" t="str">
        <f aca="false">IF(RHO_ARCH!M75="","",IF(RHO_ARCH!M75&gt;INPUTS!$B$10,"NG",IF(RHO_ARCH!M75&gt;INPUTS!$B$9,"HEAVY","OK")))</f>
        <v/>
      </c>
      <c r="N75" s="4" t="str">
        <f aca="false">IF(RHO_ARCH!N75="","",IF(RHO_ARCH!N75&gt;INPUTS!$B$10,"NG",IF(RHO_ARCH!N75&gt;INPUTS!$B$9,"HEAVY","OK")))</f>
        <v/>
      </c>
      <c r="O75" s="4" t="str">
        <f aca="false">IF(RHO_ARCH!O75="","",IF(RHO_ARCH!O75&gt;INPUTS!$B$10,"NG",IF(RHO_ARCH!O75&gt;INPUTS!$B$9,"HEAVY","OK")))</f>
        <v/>
      </c>
      <c r="P75" s="4" t="str">
        <f aca="false">IF(RHO_ARCH!P75="","",IF(RHO_ARCH!P75&gt;INPUTS!$B$10,"NG",IF(RHO_ARCH!P75&gt;INPUTS!$B$9,"HEAVY","OK")))</f>
        <v/>
      </c>
    </row>
    <row r="76" customFormat="false" ht="15" hidden="false" customHeight="false" outlineLevel="0" collapsed="false">
      <c r="A76" s="11" t="str">
        <f aca="false">TRIB!A76</f>
        <v>C75</v>
      </c>
      <c r="B76" s="14" t="n">
        <f aca="false">TRIB!B76</f>
        <v>636.721302506176</v>
      </c>
      <c r="C76" s="14" t="n">
        <f aca="false">TRIB!C76</f>
        <v>1901.78198508235</v>
      </c>
      <c r="D76" s="11" t="str">
        <f aca="false">TRIB!D76</f>
        <v>B</v>
      </c>
      <c r="E76" s="4" t="str">
        <f aca="false">IF(RHO_ARCH!E76="","",IF(RHO_ARCH!E76&gt;INPUTS!$B$10,"NG",IF(RHO_ARCH!E76&gt;INPUTS!$B$9,"HEAVY","OK")))</f>
        <v>OK</v>
      </c>
      <c r="F76" s="4" t="str">
        <f aca="false">IF(RHO_ARCH!F76="","",IF(RHO_ARCH!F76&gt;INPUTS!$B$10,"NG",IF(RHO_ARCH!F76&gt;INPUTS!$B$9,"HEAVY","OK")))</f>
        <v>OK</v>
      </c>
      <c r="G76" s="4" t="str">
        <f aca="false">IF(RHO_ARCH!G76="","",IF(RHO_ARCH!G76&gt;INPUTS!$B$10,"NG",IF(RHO_ARCH!G76&gt;INPUTS!$B$9,"HEAVY","OK")))</f>
        <v>OK</v>
      </c>
      <c r="H76" s="4" t="str">
        <f aca="false">IF(RHO_ARCH!H76="","",IF(RHO_ARCH!H76&gt;INPUTS!$B$10,"NG",IF(RHO_ARCH!H76&gt;INPUTS!$B$9,"HEAVY","OK")))</f>
        <v>OK</v>
      </c>
      <c r="I76" s="4" t="str">
        <f aca="false">IF(RHO_ARCH!I76="","",IF(RHO_ARCH!I76&gt;INPUTS!$B$10,"NG",IF(RHO_ARCH!I76&gt;INPUTS!$B$9,"HEAVY","OK")))</f>
        <v>OK</v>
      </c>
      <c r="J76" s="4" t="str">
        <f aca="false">IF(RHO_ARCH!J76="","",IF(RHO_ARCH!J76&gt;INPUTS!$B$10,"NG",IF(RHO_ARCH!J76&gt;INPUTS!$B$9,"HEAVY","OK")))</f>
        <v>OK</v>
      </c>
      <c r="K76" s="4" t="str">
        <f aca="false">IF(RHO_ARCH!K76="","",IF(RHO_ARCH!K76&gt;INPUTS!$B$10,"NG",IF(RHO_ARCH!K76&gt;INPUTS!$B$9,"HEAVY","OK")))</f>
        <v/>
      </c>
      <c r="L76" s="4" t="str">
        <f aca="false">IF(RHO_ARCH!L76="","",IF(RHO_ARCH!L76&gt;INPUTS!$B$10,"NG",IF(RHO_ARCH!L76&gt;INPUTS!$B$9,"HEAVY","OK")))</f>
        <v/>
      </c>
      <c r="M76" s="4" t="str">
        <f aca="false">IF(RHO_ARCH!M76="","",IF(RHO_ARCH!M76&gt;INPUTS!$B$10,"NG",IF(RHO_ARCH!M76&gt;INPUTS!$B$9,"HEAVY","OK")))</f>
        <v/>
      </c>
      <c r="N76" s="4" t="str">
        <f aca="false">IF(RHO_ARCH!N76="","",IF(RHO_ARCH!N76&gt;INPUTS!$B$10,"NG",IF(RHO_ARCH!N76&gt;INPUTS!$B$9,"HEAVY","OK")))</f>
        <v/>
      </c>
      <c r="O76" s="4" t="str">
        <f aca="false">IF(RHO_ARCH!O76="","",IF(RHO_ARCH!O76&gt;INPUTS!$B$10,"NG",IF(RHO_ARCH!O76&gt;INPUTS!$B$9,"HEAVY","OK")))</f>
        <v/>
      </c>
      <c r="P76" s="4" t="str">
        <f aca="false">IF(RHO_ARCH!P76="","",IF(RHO_ARCH!P76&gt;INPUTS!$B$10,"NG",IF(RHO_ARCH!P76&gt;INPUTS!$B$9,"HEAVY","OK")))</f>
        <v/>
      </c>
    </row>
    <row r="77" customFormat="false" ht="15" hidden="false" customHeight="false" outlineLevel="0" collapsed="false">
      <c r="A77" s="11" t="str">
        <f aca="false">TRIB!A77</f>
        <v>C76</v>
      </c>
      <c r="B77" s="14" t="n">
        <f aca="false">TRIB!B77</f>
        <v>646.461010303047</v>
      </c>
      <c r="C77" s="14" t="n">
        <f aca="false">TRIB!C77</f>
        <v>1816.93691619513</v>
      </c>
      <c r="D77" s="11" t="str">
        <f aca="false">TRIB!D77</f>
        <v>B</v>
      </c>
      <c r="E77" s="4" t="str">
        <f aca="false">IF(RHO_ARCH!E77="","",IF(RHO_ARCH!E77&gt;INPUTS!$B$10,"NG",IF(RHO_ARCH!E77&gt;INPUTS!$B$9,"HEAVY","OK")))</f>
        <v>OK</v>
      </c>
      <c r="F77" s="4" t="str">
        <f aca="false">IF(RHO_ARCH!F77="","",IF(RHO_ARCH!F77&gt;INPUTS!$B$10,"NG",IF(RHO_ARCH!F77&gt;INPUTS!$B$9,"HEAVY","OK")))</f>
        <v>OK</v>
      </c>
      <c r="G77" s="4" t="str">
        <f aca="false">IF(RHO_ARCH!G77="","",IF(RHO_ARCH!G77&gt;INPUTS!$B$10,"NG",IF(RHO_ARCH!G77&gt;INPUTS!$B$9,"HEAVY","OK")))</f>
        <v>OK</v>
      </c>
      <c r="H77" s="4" t="str">
        <f aca="false">IF(RHO_ARCH!H77="","",IF(RHO_ARCH!H77&gt;INPUTS!$B$10,"NG",IF(RHO_ARCH!H77&gt;INPUTS!$B$9,"HEAVY","OK")))</f>
        <v>OK</v>
      </c>
      <c r="I77" s="4" t="str">
        <f aca="false">IF(RHO_ARCH!I77="","",IF(RHO_ARCH!I77&gt;INPUTS!$B$10,"NG",IF(RHO_ARCH!I77&gt;INPUTS!$B$9,"HEAVY","OK")))</f>
        <v>OK</v>
      </c>
      <c r="J77" s="4" t="str">
        <f aca="false">IF(RHO_ARCH!J77="","",IF(RHO_ARCH!J77&gt;INPUTS!$B$10,"NG",IF(RHO_ARCH!J77&gt;INPUTS!$B$9,"HEAVY","OK")))</f>
        <v>OK</v>
      </c>
      <c r="K77" s="4" t="str">
        <f aca="false">IF(RHO_ARCH!K77="","",IF(RHO_ARCH!K77&gt;INPUTS!$B$10,"NG",IF(RHO_ARCH!K77&gt;INPUTS!$B$9,"HEAVY","OK")))</f>
        <v/>
      </c>
      <c r="L77" s="4" t="str">
        <f aca="false">IF(RHO_ARCH!L77="","",IF(RHO_ARCH!L77&gt;INPUTS!$B$10,"NG",IF(RHO_ARCH!L77&gt;INPUTS!$B$9,"HEAVY","OK")))</f>
        <v/>
      </c>
      <c r="M77" s="4" t="str">
        <f aca="false">IF(RHO_ARCH!M77="","",IF(RHO_ARCH!M77&gt;INPUTS!$B$10,"NG",IF(RHO_ARCH!M77&gt;INPUTS!$B$9,"HEAVY","OK")))</f>
        <v/>
      </c>
      <c r="N77" s="4" t="str">
        <f aca="false">IF(RHO_ARCH!N77="","",IF(RHO_ARCH!N77&gt;INPUTS!$B$10,"NG",IF(RHO_ARCH!N77&gt;INPUTS!$B$9,"HEAVY","OK")))</f>
        <v/>
      </c>
      <c r="O77" s="4" t="str">
        <f aca="false">IF(RHO_ARCH!O77="","",IF(RHO_ARCH!O77&gt;INPUTS!$B$10,"NG",IF(RHO_ARCH!O77&gt;INPUTS!$B$9,"HEAVY","OK")))</f>
        <v/>
      </c>
      <c r="P77" s="4" t="str">
        <f aca="false">IF(RHO_ARCH!P77="","",IF(RHO_ARCH!P77&gt;INPUTS!$B$10,"NG",IF(RHO_ARCH!P77&gt;INPUTS!$B$9,"HEAVY","OK")))</f>
        <v/>
      </c>
    </row>
    <row r="78" customFormat="false" ht="15" hidden="false" customHeight="false" outlineLevel="0" collapsed="false">
      <c r="A78" s="11" t="str">
        <f aca="false">TRIB!A78</f>
        <v>C77</v>
      </c>
      <c r="B78" s="14" t="n">
        <f aca="false">TRIB!B78</f>
        <v>661.496053470644</v>
      </c>
      <c r="C78" s="14" t="n">
        <f aca="false">TRIB!C78</f>
        <v>1860.77331074306</v>
      </c>
      <c r="D78" s="11" t="str">
        <f aca="false">TRIB!D78</f>
        <v>B</v>
      </c>
      <c r="E78" s="4" t="str">
        <f aca="false">IF(RHO_ARCH!E78="","",IF(RHO_ARCH!E78&gt;INPUTS!$B$10,"NG",IF(RHO_ARCH!E78&gt;INPUTS!$B$9,"HEAVY","OK")))</f>
        <v>OK</v>
      </c>
      <c r="F78" s="4" t="str">
        <f aca="false">IF(RHO_ARCH!F78="","",IF(RHO_ARCH!F78&gt;INPUTS!$B$10,"NG",IF(RHO_ARCH!F78&gt;INPUTS!$B$9,"HEAVY","OK")))</f>
        <v>OK</v>
      </c>
      <c r="G78" s="4" t="str">
        <f aca="false">IF(RHO_ARCH!G78="","",IF(RHO_ARCH!G78&gt;INPUTS!$B$10,"NG",IF(RHO_ARCH!G78&gt;INPUTS!$B$9,"HEAVY","OK")))</f>
        <v>OK</v>
      </c>
      <c r="H78" s="4" t="str">
        <f aca="false">IF(RHO_ARCH!H78="","",IF(RHO_ARCH!H78&gt;INPUTS!$B$10,"NG",IF(RHO_ARCH!H78&gt;INPUTS!$B$9,"HEAVY","OK")))</f>
        <v>OK</v>
      </c>
      <c r="I78" s="4" t="str">
        <f aca="false">IF(RHO_ARCH!I78="","",IF(RHO_ARCH!I78&gt;INPUTS!$B$10,"NG",IF(RHO_ARCH!I78&gt;INPUTS!$B$9,"HEAVY","OK")))</f>
        <v>OK</v>
      </c>
      <c r="J78" s="4" t="str">
        <f aca="false">IF(RHO_ARCH!J78="","",IF(RHO_ARCH!J78&gt;INPUTS!$B$10,"NG",IF(RHO_ARCH!J78&gt;INPUTS!$B$9,"HEAVY","OK")))</f>
        <v>OK</v>
      </c>
      <c r="K78" s="4" t="str">
        <f aca="false">IF(RHO_ARCH!K78="","",IF(RHO_ARCH!K78&gt;INPUTS!$B$10,"NG",IF(RHO_ARCH!K78&gt;INPUTS!$B$9,"HEAVY","OK")))</f>
        <v/>
      </c>
      <c r="L78" s="4" t="str">
        <f aca="false">IF(RHO_ARCH!L78="","",IF(RHO_ARCH!L78&gt;INPUTS!$B$10,"NG",IF(RHO_ARCH!L78&gt;INPUTS!$B$9,"HEAVY","OK")))</f>
        <v/>
      </c>
      <c r="M78" s="4" t="str">
        <f aca="false">IF(RHO_ARCH!M78="","",IF(RHO_ARCH!M78&gt;INPUTS!$B$10,"NG",IF(RHO_ARCH!M78&gt;INPUTS!$B$9,"HEAVY","OK")))</f>
        <v/>
      </c>
      <c r="N78" s="4" t="str">
        <f aca="false">IF(RHO_ARCH!N78="","",IF(RHO_ARCH!N78&gt;INPUTS!$B$10,"NG",IF(RHO_ARCH!N78&gt;INPUTS!$B$9,"HEAVY","OK")))</f>
        <v/>
      </c>
      <c r="O78" s="4" t="str">
        <f aca="false">IF(RHO_ARCH!O78="","",IF(RHO_ARCH!O78&gt;INPUTS!$B$10,"NG",IF(RHO_ARCH!O78&gt;INPUTS!$B$9,"HEAVY","OK")))</f>
        <v/>
      </c>
      <c r="P78" s="4" t="str">
        <f aca="false">IF(RHO_ARCH!P78="","",IF(RHO_ARCH!P78&gt;INPUTS!$B$10,"NG",IF(RHO_ARCH!P78&gt;INPUTS!$B$9,"HEAVY","OK")))</f>
        <v/>
      </c>
    </row>
    <row r="79" customFormat="false" ht="15" hidden="false" customHeight="false" outlineLevel="0" collapsed="false">
      <c r="A79" s="11" t="str">
        <f aca="false">TRIB!A79</f>
        <v>C78</v>
      </c>
      <c r="B79" s="14" t="n">
        <f aca="false">TRIB!B79</f>
        <v>661.496053470665</v>
      </c>
      <c r="C79" s="14" t="n">
        <f aca="false">TRIB!C79</f>
        <v>1888.78198508235</v>
      </c>
      <c r="D79" s="11" t="str">
        <f aca="false">TRIB!D79</f>
        <v>B</v>
      </c>
      <c r="E79" s="4" t="str">
        <f aca="false">IF(RHO_ARCH!E79="","",IF(RHO_ARCH!E79&gt;INPUTS!$B$10,"NG",IF(RHO_ARCH!E79&gt;INPUTS!$B$9,"HEAVY","OK")))</f>
        <v>OK</v>
      </c>
      <c r="F79" s="4" t="str">
        <f aca="false">IF(RHO_ARCH!F79="","",IF(RHO_ARCH!F79&gt;INPUTS!$B$10,"NG",IF(RHO_ARCH!F79&gt;INPUTS!$B$9,"HEAVY","OK")))</f>
        <v>OK</v>
      </c>
      <c r="G79" s="4" t="str">
        <f aca="false">IF(RHO_ARCH!G79="","",IF(RHO_ARCH!G79&gt;INPUTS!$B$10,"NG",IF(RHO_ARCH!G79&gt;INPUTS!$B$9,"HEAVY","OK")))</f>
        <v>OK</v>
      </c>
      <c r="H79" s="4" t="str">
        <f aca="false">IF(RHO_ARCH!H79="","",IF(RHO_ARCH!H79&gt;INPUTS!$B$10,"NG",IF(RHO_ARCH!H79&gt;INPUTS!$B$9,"HEAVY","OK")))</f>
        <v>OK</v>
      </c>
      <c r="I79" s="4" t="str">
        <f aca="false">IF(RHO_ARCH!I79="","",IF(RHO_ARCH!I79&gt;INPUTS!$B$10,"NG",IF(RHO_ARCH!I79&gt;INPUTS!$B$9,"HEAVY","OK")))</f>
        <v>OK</v>
      </c>
      <c r="J79" s="4" t="str">
        <f aca="false">IF(RHO_ARCH!J79="","",IF(RHO_ARCH!J79&gt;INPUTS!$B$10,"NG",IF(RHO_ARCH!J79&gt;INPUTS!$B$9,"HEAVY","OK")))</f>
        <v>OK</v>
      </c>
      <c r="K79" s="4" t="str">
        <f aca="false">IF(RHO_ARCH!K79="","",IF(RHO_ARCH!K79&gt;INPUTS!$B$10,"NG",IF(RHO_ARCH!K79&gt;INPUTS!$B$9,"HEAVY","OK")))</f>
        <v/>
      </c>
      <c r="L79" s="4" t="str">
        <f aca="false">IF(RHO_ARCH!L79="","",IF(RHO_ARCH!L79&gt;INPUTS!$B$10,"NG",IF(RHO_ARCH!L79&gt;INPUTS!$B$9,"HEAVY","OK")))</f>
        <v/>
      </c>
      <c r="M79" s="4" t="str">
        <f aca="false">IF(RHO_ARCH!M79="","",IF(RHO_ARCH!M79&gt;INPUTS!$B$10,"NG",IF(RHO_ARCH!M79&gt;INPUTS!$B$9,"HEAVY","OK")))</f>
        <v/>
      </c>
      <c r="N79" s="4" t="str">
        <f aca="false">IF(RHO_ARCH!N79="","",IF(RHO_ARCH!N79&gt;INPUTS!$B$10,"NG",IF(RHO_ARCH!N79&gt;INPUTS!$B$9,"HEAVY","OK")))</f>
        <v/>
      </c>
      <c r="O79" s="4" t="str">
        <f aca="false">IF(RHO_ARCH!O79="","",IF(RHO_ARCH!O79&gt;INPUTS!$B$10,"NG",IF(RHO_ARCH!O79&gt;INPUTS!$B$9,"HEAVY","OK")))</f>
        <v/>
      </c>
      <c r="P79" s="4" t="str">
        <f aca="false">IF(RHO_ARCH!P79="","",IF(RHO_ARCH!P79&gt;INPUTS!$B$10,"NG",IF(RHO_ARCH!P79&gt;INPUTS!$B$9,"HEAVY","OK")))</f>
        <v/>
      </c>
    </row>
    <row r="80" customFormat="false" ht="15" hidden="false" customHeight="false" outlineLevel="0" collapsed="false">
      <c r="A80" s="11" t="str">
        <f aca="false">TRIB!A80</f>
        <v>C79</v>
      </c>
      <c r="B80" s="14" t="n">
        <f aca="false">TRIB!B80</f>
        <v>661.496053470664</v>
      </c>
      <c r="C80" s="14" t="n">
        <f aca="false">TRIB!C80</f>
        <v>1919.78198508235</v>
      </c>
      <c r="D80" s="11" t="str">
        <f aca="false">TRIB!D80</f>
        <v>B</v>
      </c>
      <c r="E80" s="4" t="str">
        <f aca="false">IF(RHO_ARCH!E80="","",IF(RHO_ARCH!E80&gt;INPUTS!$B$10,"NG",IF(RHO_ARCH!E80&gt;INPUTS!$B$9,"HEAVY","OK")))</f>
        <v>OK</v>
      </c>
      <c r="F80" s="4" t="str">
        <f aca="false">IF(RHO_ARCH!F80="","",IF(RHO_ARCH!F80&gt;INPUTS!$B$10,"NG",IF(RHO_ARCH!F80&gt;INPUTS!$B$9,"HEAVY","OK")))</f>
        <v>OK</v>
      </c>
      <c r="G80" s="4" t="str">
        <f aca="false">IF(RHO_ARCH!G80="","",IF(RHO_ARCH!G80&gt;INPUTS!$B$10,"NG",IF(RHO_ARCH!G80&gt;INPUTS!$B$9,"HEAVY","OK")))</f>
        <v>OK</v>
      </c>
      <c r="H80" s="4" t="str">
        <f aca="false">IF(RHO_ARCH!H80="","",IF(RHO_ARCH!H80&gt;INPUTS!$B$10,"NG",IF(RHO_ARCH!H80&gt;INPUTS!$B$9,"HEAVY","OK")))</f>
        <v>OK</v>
      </c>
      <c r="I80" s="4" t="str">
        <f aca="false">IF(RHO_ARCH!I80="","",IF(RHO_ARCH!I80&gt;INPUTS!$B$10,"NG",IF(RHO_ARCH!I80&gt;INPUTS!$B$9,"HEAVY","OK")))</f>
        <v>OK</v>
      </c>
      <c r="J80" s="4" t="str">
        <f aca="false">IF(RHO_ARCH!J80="","",IF(RHO_ARCH!J80&gt;INPUTS!$B$10,"NG",IF(RHO_ARCH!J80&gt;INPUTS!$B$9,"HEAVY","OK")))</f>
        <v>OK</v>
      </c>
      <c r="K80" s="4" t="str">
        <f aca="false">IF(RHO_ARCH!K80="","",IF(RHO_ARCH!K80&gt;INPUTS!$B$10,"NG",IF(RHO_ARCH!K80&gt;INPUTS!$B$9,"HEAVY","OK")))</f>
        <v/>
      </c>
      <c r="L80" s="4" t="str">
        <f aca="false">IF(RHO_ARCH!L80="","",IF(RHO_ARCH!L80&gt;INPUTS!$B$10,"NG",IF(RHO_ARCH!L80&gt;INPUTS!$B$9,"HEAVY","OK")))</f>
        <v/>
      </c>
      <c r="M80" s="4" t="str">
        <f aca="false">IF(RHO_ARCH!M80="","",IF(RHO_ARCH!M80&gt;INPUTS!$B$10,"NG",IF(RHO_ARCH!M80&gt;INPUTS!$B$9,"HEAVY","OK")))</f>
        <v/>
      </c>
      <c r="N80" s="4" t="str">
        <f aca="false">IF(RHO_ARCH!N80="","",IF(RHO_ARCH!N80&gt;INPUTS!$B$10,"NG",IF(RHO_ARCH!N80&gt;INPUTS!$B$9,"HEAVY","OK")))</f>
        <v/>
      </c>
      <c r="O80" s="4" t="str">
        <f aca="false">IF(RHO_ARCH!O80="","",IF(RHO_ARCH!O80&gt;INPUTS!$B$10,"NG",IF(RHO_ARCH!O80&gt;INPUTS!$B$9,"HEAVY","OK")))</f>
        <v/>
      </c>
      <c r="P80" s="4" t="str">
        <f aca="false">IF(RHO_ARCH!P80="","",IF(RHO_ARCH!P80&gt;INPUTS!$B$10,"NG",IF(RHO_ARCH!P80&gt;INPUTS!$B$9,"HEAVY","OK")))</f>
        <v/>
      </c>
    </row>
    <row r="81" customFormat="false" ht="15" hidden="false" customHeight="false" outlineLevel="0" collapsed="false">
      <c r="A81" s="11" t="str">
        <f aca="false">TRIB!A81</f>
        <v>C80</v>
      </c>
      <c r="B81" s="14" t="n">
        <f aca="false">TRIB!B81</f>
        <v>661.496053470663</v>
      </c>
      <c r="C81" s="14" t="n">
        <f aca="false">TRIB!C81</f>
        <v>1946.79147662427</v>
      </c>
      <c r="D81" s="11" t="str">
        <f aca="false">TRIB!D81</f>
        <v>B</v>
      </c>
      <c r="E81" s="4" t="str">
        <f aca="false">IF(RHO_ARCH!E81="","",IF(RHO_ARCH!E81&gt;INPUTS!$B$10,"NG",IF(RHO_ARCH!E81&gt;INPUTS!$B$9,"HEAVY","OK")))</f>
        <v>OK</v>
      </c>
      <c r="F81" s="4" t="str">
        <f aca="false">IF(RHO_ARCH!F81="","",IF(RHO_ARCH!F81&gt;INPUTS!$B$10,"NG",IF(RHO_ARCH!F81&gt;INPUTS!$B$9,"HEAVY","OK")))</f>
        <v>OK</v>
      </c>
      <c r="G81" s="4" t="str">
        <f aca="false">IF(RHO_ARCH!G81="","",IF(RHO_ARCH!G81&gt;INPUTS!$B$10,"NG",IF(RHO_ARCH!G81&gt;INPUTS!$B$9,"HEAVY","OK")))</f>
        <v>OK</v>
      </c>
      <c r="H81" s="4" t="str">
        <f aca="false">IF(RHO_ARCH!H81="","",IF(RHO_ARCH!H81&gt;INPUTS!$B$10,"NG",IF(RHO_ARCH!H81&gt;INPUTS!$B$9,"HEAVY","OK")))</f>
        <v>OK</v>
      </c>
      <c r="I81" s="4" t="str">
        <f aca="false">IF(RHO_ARCH!I81="","",IF(RHO_ARCH!I81&gt;INPUTS!$B$10,"NG",IF(RHO_ARCH!I81&gt;INPUTS!$B$9,"HEAVY","OK")))</f>
        <v>OK</v>
      </c>
      <c r="J81" s="4" t="str">
        <f aca="false">IF(RHO_ARCH!J81="","",IF(RHO_ARCH!J81&gt;INPUTS!$B$10,"NG",IF(RHO_ARCH!J81&gt;INPUTS!$B$9,"HEAVY","OK")))</f>
        <v>OK</v>
      </c>
      <c r="K81" s="4" t="str">
        <f aca="false">IF(RHO_ARCH!K81="","",IF(RHO_ARCH!K81&gt;INPUTS!$B$10,"NG",IF(RHO_ARCH!K81&gt;INPUTS!$B$9,"HEAVY","OK")))</f>
        <v/>
      </c>
      <c r="L81" s="4" t="str">
        <f aca="false">IF(RHO_ARCH!L81="","",IF(RHO_ARCH!L81&gt;INPUTS!$B$10,"NG",IF(RHO_ARCH!L81&gt;INPUTS!$B$9,"HEAVY","OK")))</f>
        <v/>
      </c>
      <c r="M81" s="4" t="str">
        <f aca="false">IF(RHO_ARCH!M81="","",IF(RHO_ARCH!M81&gt;INPUTS!$B$10,"NG",IF(RHO_ARCH!M81&gt;INPUTS!$B$9,"HEAVY","OK")))</f>
        <v/>
      </c>
      <c r="N81" s="4" t="str">
        <f aca="false">IF(RHO_ARCH!N81="","",IF(RHO_ARCH!N81&gt;INPUTS!$B$10,"NG",IF(RHO_ARCH!N81&gt;INPUTS!$B$9,"HEAVY","OK")))</f>
        <v/>
      </c>
      <c r="O81" s="4" t="str">
        <f aca="false">IF(RHO_ARCH!O81="","",IF(RHO_ARCH!O81&gt;INPUTS!$B$10,"NG",IF(RHO_ARCH!O81&gt;INPUTS!$B$9,"HEAVY","OK")))</f>
        <v/>
      </c>
      <c r="P81" s="4" t="str">
        <f aca="false">IF(RHO_ARCH!P81="","",IF(RHO_ARCH!P81&gt;INPUTS!$B$10,"NG",IF(RHO_ARCH!P81&gt;INPUTS!$B$9,"HEAVY","OK")))</f>
        <v/>
      </c>
    </row>
    <row r="82" customFormat="false" ht="15" hidden="false" customHeight="false" outlineLevel="0" collapsed="false">
      <c r="A82" s="11" t="str">
        <f aca="false">TRIB!A82</f>
        <v>C81</v>
      </c>
      <c r="B82" s="14" t="n">
        <f aca="false">TRIB!B82</f>
        <v>663.329386803998</v>
      </c>
      <c r="C82" s="14" t="n">
        <f aca="false">TRIB!C82</f>
        <v>1901.78198508235</v>
      </c>
      <c r="D82" s="11" t="str">
        <f aca="false">TRIB!D82</f>
        <v>B</v>
      </c>
      <c r="E82" s="4" t="str">
        <f aca="false">IF(RHO_ARCH!E82="","",IF(RHO_ARCH!E82&gt;INPUTS!$B$10,"NG",IF(RHO_ARCH!E82&gt;INPUTS!$B$9,"HEAVY","OK")))</f>
        <v>OK</v>
      </c>
      <c r="F82" s="4" t="str">
        <f aca="false">IF(RHO_ARCH!F82="","",IF(RHO_ARCH!F82&gt;INPUTS!$B$10,"NG",IF(RHO_ARCH!F82&gt;INPUTS!$B$9,"HEAVY","OK")))</f>
        <v>OK</v>
      </c>
      <c r="G82" s="4" t="str">
        <f aca="false">IF(RHO_ARCH!G82="","",IF(RHO_ARCH!G82&gt;INPUTS!$B$10,"NG",IF(RHO_ARCH!G82&gt;INPUTS!$B$9,"HEAVY","OK")))</f>
        <v>OK</v>
      </c>
      <c r="H82" s="4" t="str">
        <f aca="false">IF(RHO_ARCH!H82="","",IF(RHO_ARCH!H82&gt;INPUTS!$B$10,"NG",IF(RHO_ARCH!H82&gt;INPUTS!$B$9,"HEAVY","OK")))</f>
        <v>OK</v>
      </c>
      <c r="I82" s="4" t="str">
        <f aca="false">IF(RHO_ARCH!I82="","",IF(RHO_ARCH!I82&gt;INPUTS!$B$10,"NG",IF(RHO_ARCH!I82&gt;INPUTS!$B$9,"HEAVY","OK")))</f>
        <v>OK</v>
      </c>
      <c r="J82" s="4" t="str">
        <f aca="false">IF(RHO_ARCH!J82="","",IF(RHO_ARCH!J82&gt;INPUTS!$B$10,"NG",IF(RHO_ARCH!J82&gt;INPUTS!$B$9,"HEAVY","OK")))</f>
        <v>OK</v>
      </c>
      <c r="K82" s="4" t="str">
        <f aca="false">IF(RHO_ARCH!K82="","",IF(RHO_ARCH!K82&gt;INPUTS!$B$10,"NG",IF(RHO_ARCH!K82&gt;INPUTS!$B$9,"HEAVY","OK")))</f>
        <v/>
      </c>
      <c r="L82" s="4" t="str">
        <f aca="false">IF(RHO_ARCH!L82="","",IF(RHO_ARCH!L82&gt;INPUTS!$B$10,"NG",IF(RHO_ARCH!L82&gt;INPUTS!$B$9,"HEAVY","OK")))</f>
        <v/>
      </c>
      <c r="M82" s="4" t="str">
        <f aca="false">IF(RHO_ARCH!M82="","",IF(RHO_ARCH!M82&gt;INPUTS!$B$10,"NG",IF(RHO_ARCH!M82&gt;INPUTS!$B$9,"HEAVY","OK")))</f>
        <v/>
      </c>
      <c r="N82" s="4" t="str">
        <f aca="false">IF(RHO_ARCH!N82="","",IF(RHO_ARCH!N82&gt;INPUTS!$B$10,"NG",IF(RHO_ARCH!N82&gt;INPUTS!$B$9,"HEAVY","OK")))</f>
        <v/>
      </c>
      <c r="O82" s="4" t="str">
        <f aca="false">IF(RHO_ARCH!O82="","",IF(RHO_ARCH!O82&gt;INPUTS!$B$10,"NG",IF(RHO_ARCH!O82&gt;INPUTS!$B$9,"HEAVY","OK")))</f>
        <v/>
      </c>
      <c r="P82" s="4" t="str">
        <f aca="false">IF(RHO_ARCH!P82="","",IF(RHO_ARCH!P82&gt;INPUTS!$B$10,"NG",IF(RHO_ARCH!P82&gt;INPUTS!$B$9,"HEAVY","OK")))</f>
        <v/>
      </c>
    </row>
    <row r="83" customFormat="false" ht="15" hidden="false" customHeight="false" outlineLevel="0" collapsed="false">
      <c r="A83" s="11" t="str">
        <f aca="false">TRIB!A83</f>
        <v>C82</v>
      </c>
      <c r="B83" s="14" t="n">
        <f aca="false">TRIB!B83</f>
        <v>669.377547683784</v>
      </c>
      <c r="C83" s="14" t="n">
        <f aca="false">TRIB!C83</f>
        <v>1816.93691619513</v>
      </c>
      <c r="D83" s="11" t="str">
        <f aca="false">TRIB!D83</f>
        <v>B</v>
      </c>
      <c r="E83" s="4" t="str">
        <f aca="false">IF(RHO_ARCH!E83="","",IF(RHO_ARCH!E83&gt;INPUTS!$B$10,"NG",IF(RHO_ARCH!E83&gt;INPUTS!$B$9,"HEAVY","OK")))</f>
        <v>OK</v>
      </c>
      <c r="F83" s="4" t="str">
        <f aca="false">IF(RHO_ARCH!F83="","",IF(RHO_ARCH!F83&gt;INPUTS!$B$10,"NG",IF(RHO_ARCH!F83&gt;INPUTS!$B$9,"HEAVY","OK")))</f>
        <v>OK</v>
      </c>
      <c r="G83" s="4" t="str">
        <f aca="false">IF(RHO_ARCH!G83="","",IF(RHO_ARCH!G83&gt;INPUTS!$B$10,"NG",IF(RHO_ARCH!G83&gt;INPUTS!$B$9,"HEAVY","OK")))</f>
        <v>OK</v>
      </c>
      <c r="H83" s="4" t="str">
        <f aca="false">IF(RHO_ARCH!H83="","",IF(RHO_ARCH!H83&gt;INPUTS!$B$10,"NG",IF(RHO_ARCH!H83&gt;INPUTS!$B$9,"HEAVY","OK")))</f>
        <v>OK</v>
      </c>
      <c r="I83" s="4" t="str">
        <f aca="false">IF(RHO_ARCH!I83="","",IF(RHO_ARCH!I83&gt;INPUTS!$B$10,"NG",IF(RHO_ARCH!I83&gt;INPUTS!$B$9,"HEAVY","OK")))</f>
        <v>OK</v>
      </c>
      <c r="J83" s="4" t="str">
        <f aca="false">IF(RHO_ARCH!J83="","",IF(RHO_ARCH!J83&gt;INPUTS!$B$10,"NG",IF(RHO_ARCH!J83&gt;INPUTS!$B$9,"HEAVY","OK")))</f>
        <v>OK</v>
      </c>
      <c r="K83" s="4" t="str">
        <f aca="false">IF(RHO_ARCH!K83="","",IF(RHO_ARCH!K83&gt;INPUTS!$B$10,"NG",IF(RHO_ARCH!K83&gt;INPUTS!$B$9,"HEAVY","OK")))</f>
        <v/>
      </c>
      <c r="L83" s="4" t="str">
        <f aca="false">IF(RHO_ARCH!L83="","",IF(RHO_ARCH!L83&gt;INPUTS!$B$10,"NG",IF(RHO_ARCH!L83&gt;INPUTS!$B$9,"HEAVY","OK")))</f>
        <v/>
      </c>
      <c r="M83" s="4" t="str">
        <f aca="false">IF(RHO_ARCH!M83="","",IF(RHO_ARCH!M83&gt;INPUTS!$B$10,"NG",IF(RHO_ARCH!M83&gt;INPUTS!$B$9,"HEAVY","OK")))</f>
        <v/>
      </c>
      <c r="N83" s="4" t="str">
        <f aca="false">IF(RHO_ARCH!N83="","",IF(RHO_ARCH!N83&gt;INPUTS!$B$10,"NG",IF(RHO_ARCH!N83&gt;INPUTS!$B$9,"HEAVY","OK")))</f>
        <v/>
      </c>
      <c r="O83" s="4" t="str">
        <f aca="false">IF(RHO_ARCH!O83="","",IF(RHO_ARCH!O83&gt;INPUTS!$B$10,"NG",IF(RHO_ARCH!O83&gt;INPUTS!$B$9,"HEAVY","OK")))</f>
        <v/>
      </c>
      <c r="P83" s="4" t="str">
        <f aca="false">IF(RHO_ARCH!P83="","",IF(RHO_ARCH!P83&gt;INPUTS!$B$10,"NG",IF(RHO_ARCH!P83&gt;INPUTS!$B$9,"HEAVY","OK")))</f>
        <v/>
      </c>
    </row>
    <row r="84" customFormat="false" ht="15" hidden="false" customHeight="false" outlineLevel="0" collapsed="false">
      <c r="A84" s="11" t="str">
        <f aca="false">TRIB!A84</f>
        <v>C83</v>
      </c>
      <c r="B84" s="14" t="n">
        <f aca="false">TRIB!B84</f>
        <v>688.104137768467</v>
      </c>
      <c r="C84" s="14" t="n">
        <f aca="false">TRIB!C84</f>
        <v>1860.77331074306</v>
      </c>
      <c r="D84" s="11" t="str">
        <f aca="false">TRIB!D84</f>
        <v>B</v>
      </c>
      <c r="E84" s="4" t="str">
        <f aca="false">IF(RHO_ARCH!E84="","",IF(RHO_ARCH!E84&gt;INPUTS!$B$10,"NG",IF(RHO_ARCH!E84&gt;INPUTS!$B$9,"HEAVY","OK")))</f>
        <v>OK</v>
      </c>
      <c r="F84" s="4" t="str">
        <f aca="false">IF(RHO_ARCH!F84="","",IF(RHO_ARCH!F84&gt;INPUTS!$B$10,"NG",IF(RHO_ARCH!F84&gt;INPUTS!$B$9,"HEAVY","OK")))</f>
        <v>OK</v>
      </c>
      <c r="G84" s="4" t="str">
        <f aca="false">IF(RHO_ARCH!G84="","",IF(RHO_ARCH!G84&gt;INPUTS!$B$10,"NG",IF(RHO_ARCH!G84&gt;INPUTS!$B$9,"HEAVY","OK")))</f>
        <v>OK</v>
      </c>
      <c r="H84" s="4" t="str">
        <f aca="false">IF(RHO_ARCH!H84="","",IF(RHO_ARCH!H84&gt;INPUTS!$B$10,"NG",IF(RHO_ARCH!H84&gt;INPUTS!$B$9,"HEAVY","OK")))</f>
        <v>OK</v>
      </c>
      <c r="I84" s="4" t="str">
        <f aca="false">IF(RHO_ARCH!I84="","",IF(RHO_ARCH!I84&gt;INPUTS!$B$10,"NG",IF(RHO_ARCH!I84&gt;INPUTS!$B$9,"HEAVY","OK")))</f>
        <v>OK</v>
      </c>
      <c r="J84" s="4" t="str">
        <f aca="false">IF(RHO_ARCH!J84="","",IF(RHO_ARCH!J84&gt;INPUTS!$B$10,"NG",IF(RHO_ARCH!J84&gt;INPUTS!$B$9,"HEAVY","OK")))</f>
        <v>OK</v>
      </c>
      <c r="K84" s="4" t="str">
        <f aca="false">IF(RHO_ARCH!K84="","",IF(RHO_ARCH!K84&gt;INPUTS!$B$10,"NG",IF(RHO_ARCH!K84&gt;INPUTS!$B$9,"HEAVY","OK")))</f>
        <v/>
      </c>
      <c r="L84" s="4" t="str">
        <f aca="false">IF(RHO_ARCH!L84="","",IF(RHO_ARCH!L84&gt;INPUTS!$B$10,"NG",IF(RHO_ARCH!L84&gt;INPUTS!$B$9,"HEAVY","OK")))</f>
        <v/>
      </c>
      <c r="M84" s="4" t="str">
        <f aca="false">IF(RHO_ARCH!M84="","",IF(RHO_ARCH!M84&gt;INPUTS!$B$10,"NG",IF(RHO_ARCH!M84&gt;INPUTS!$B$9,"HEAVY","OK")))</f>
        <v/>
      </c>
      <c r="N84" s="4" t="str">
        <f aca="false">IF(RHO_ARCH!N84="","",IF(RHO_ARCH!N84&gt;INPUTS!$B$10,"NG",IF(RHO_ARCH!N84&gt;INPUTS!$B$9,"HEAVY","OK")))</f>
        <v/>
      </c>
      <c r="O84" s="4" t="str">
        <f aca="false">IF(RHO_ARCH!O84="","",IF(RHO_ARCH!O84&gt;INPUTS!$B$10,"NG",IF(RHO_ARCH!O84&gt;INPUTS!$B$9,"HEAVY","OK")))</f>
        <v/>
      </c>
      <c r="P84" s="4" t="str">
        <f aca="false">IF(RHO_ARCH!P84="","",IF(RHO_ARCH!P84&gt;INPUTS!$B$10,"NG",IF(RHO_ARCH!P84&gt;INPUTS!$B$9,"HEAVY","OK")))</f>
        <v/>
      </c>
    </row>
    <row r="85" customFormat="false" ht="15" hidden="false" customHeight="false" outlineLevel="0" collapsed="false">
      <c r="A85" s="11" t="str">
        <f aca="false">TRIB!A85</f>
        <v>C84</v>
      </c>
      <c r="B85" s="14" t="n">
        <f aca="false">TRIB!B85</f>
        <v>688.104137768488</v>
      </c>
      <c r="C85" s="14" t="n">
        <f aca="false">TRIB!C85</f>
        <v>1888.78198508235</v>
      </c>
      <c r="D85" s="11" t="str">
        <f aca="false">TRIB!D85</f>
        <v>B</v>
      </c>
      <c r="E85" s="4" t="str">
        <f aca="false">IF(RHO_ARCH!E85="","",IF(RHO_ARCH!E85&gt;INPUTS!$B$10,"NG",IF(RHO_ARCH!E85&gt;INPUTS!$B$9,"HEAVY","OK")))</f>
        <v>OK</v>
      </c>
      <c r="F85" s="4" t="str">
        <f aca="false">IF(RHO_ARCH!F85="","",IF(RHO_ARCH!F85&gt;INPUTS!$B$10,"NG",IF(RHO_ARCH!F85&gt;INPUTS!$B$9,"HEAVY","OK")))</f>
        <v>OK</v>
      </c>
      <c r="G85" s="4" t="str">
        <f aca="false">IF(RHO_ARCH!G85="","",IF(RHO_ARCH!G85&gt;INPUTS!$B$10,"NG",IF(RHO_ARCH!G85&gt;INPUTS!$B$9,"HEAVY","OK")))</f>
        <v>OK</v>
      </c>
      <c r="H85" s="4" t="str">
        <f aca="false">IF(RHO_ARCH!H85="","",IF(RHO_ARCH!H85&gt;INPUTS!$B$10,"NG",IF(RHO_ARCH!H85&gt;INPUTS!$B$9,"HEAVY","OK")))</f>
        <v>OK</v>
      </c>
      <c r="I85" s="4" t="str">
        <f aca="false">IF(RHO_ARCH!I85="","",IF(RHO_ARCH!I85&gt;INPUTS!$B$10,"NG",IF(RHO_ARCH!I85&gt;INPUTS!$B$9,"HEAVY","OK")))</f>
        <v>OK</v>
      </c>
      <c r="J85" s="4" t="str">
        <f aca="false">IF(RHO_ARCH!J85="","",IF(RHO_ARCH!J85&gt;INPUTS!$B$10,"NG",IF(RHO_ARCH!J85&gt;INPUTS!$B$9,"HEAVY","OK")))</f>
        <v>OK</v>
      </c>
      <c r="K85" s="4" t="str">
        <f aca="false">IF(RHO_ARCH!K85="","",IF(RHO_ARCH!K85&gt;INPUTS!$B$10,"NG",IF(RHO_ARCH!K85&gt;INPUTS!$B$9,"HEAVY","OK")))</f>
        <v/>
      </c>
      <c r="L85" s="4" t="str">
        <f aca="false">IF(RHO_ARCH!L85="","",IF(RHO_ARCH!L85&gt;INPUTS!$B$10,"NG",IF(RHO_ARCH!L85&gt;INPUTS!$B$9,"HEAVY","OK")))</f>
        <v/>
      </c>
      <c r="M85" s="4" t="str">
        <f aca="false">IF(RHO_ARCH!M85="","",IF(RHO_ARCH!M85&gt;INPUTS!$B$10,"NG",IF(RHO_ARCH!M85&gt;INPUTS!$B$9,"HEAVY","OK")))</f>
        <v/>
      </c>
      <c r="N85" s="4" t="str">
        <f aca="false">IF(RHO_ARCH!N85="","",IF(RHO_ARCH!N85&gt;INPUTS!$B$10,"NG",IF(RHO_ARCH!N85&gt;INPUTS!$B$9,"HEAVY","OK")))</f>
        <v/>
      </c>
      <c r="O85" s="4" t="str">
        <f aca="false">IF(RHO_ARCH!O85="","",IF(RHO_ARCH!O85&gt;INPUTS!$B$10,"NG",IF(RHO_ARCH!O85&gt;INPUTS!$B$9,"HEAVY","OK")))</f>
        <v/>
      </c>
      <c r="P85" s="4" t="str">
        <f aca="false">IF(RHO_ARCH!P85="","",IF(RHO_ARCH!P85&gt;INPUTS!$B$10,"NG",IF(RHO_ARCH!P85&gt;INPUTS!$B$9,"HEAVY","OK")))</f>
        <v/>
      </c>
    </row>
    <row r="86" customFormat="false" ht="15" hidden="false" customHeight="false" outlineLevel="0" collapsed="false">
      <c r="A86" s="11" t="str">
        <f aca="false">TRIB!A86</f>
        <v>C85</v>
      </c>
      <c r="B86" s="14" t="n">
        <f aca="false">TRIB!B86</f>
        <v>689.020804435154</v>
      </c>
      <c r="C86" s="14" t="n">
        <f aca="false">TRIB!C86</f>
        <v>1901.78198508235</v>
      </c>
      <c r="D86" s="11" t="str">
        <f aca="false">TRIB!D86</f>
        <v>B</v>
      </c>
      <c r="E86" s="4" t="str">
        <f aca="false">IF(RHO_ARCH!E86="","",IF(RHO_ARCH!E86&gt;INPUTS!$B$10,"NG",IF(RHO_ARCH!E86&gt;INPUTS!$B$9,"HEAVY","OK")))</f>
        <v>OK</v>
      </c>
      <c r="F86" s="4" t="str">
        <f aca="false">IF(RHO_ARCH!F86="","",IF(RHO_ARCH!F86&gt;INPUTS!$B$10,"NG",IF(RHO_ARCH!F86&gt;INPUTS!$B$9,"HEAVY","OK")))</f>
        <v>OK</v>
      </c>
      <c r="G86" s="4" t="str">
        <f aca="false">IF(RHO_ARCH!G86="","",IF(RHO_ARCH!G86&gt;INPUTS!$B$10,"NG",IF(RHO_ARCH!G86&gt;INPUTS!$B$9,"HEAVY","OK")))</f>
        <v>OK</v>
      </c>
      <c r="H86" s="4" t="str">
        <f aca="false">IF(RHO_ARCH!H86="","",IF(RHO_ARCH!H86&gt;INPUTS!$B$10,"NG",IF(RHO_ARCH!H86&gt;INPUTS!$B$9,"HEAVY","OK")))</f>
        <v>OK</v>
      </c>
      <c r="I86" s="4" t="str">
        <f aca="false">IF(RHO_ARCH!I86="","",IF(RHO_ARCH!I86&gt;INPUTS!$B$10,"NG",IF(RHO_ARCH!I86&gt;INPUTS!$B$9,"HEAVY","OK")))</f>
        <v>OK</v>
      </c>
      <c r="J86" s="4" t="str">
        <f aca="false">IF(RHO_ARCH!J86="","",IF(RHO_ARCH!J86&gt;INPUTS!$B$10,"NG",IF(RHO_ARCH!J86&gt;INPUTS!$B$9,"HEAVY","OK")))</f>
        <v>OK</v>
      </c>
      <c r="K86" s="4" t="str">
        <f aca="false">IF(RHO_ARCH!K86="","",IF(RHO_ARCH!K86&gt;INPUTS!$B$10,"NG",IF(RHO_ARCH!K86&gt;INPUTS!$B$9,"HEAVY","OK")))</f>
        <v/>
      </c>
      <c r="L86" s="4" t="str">
        <f aca="false">IF(RHO_ARCH!L86="","",IF(RHO_ARCH!L86&gt;INPUTS!$B$10,"NG",IF(RHO_ARCH!L86&gt;INPUTS!$B$9,"HEAVY","OK")))</f>
        <v/>
      </c>
      <c r="M86" s="4" t="str">
        <f aca="false">IF(RHO_ARCH!M86="","",IF(RHO_ARCH!M86&gt;INPUTS!$B$10,"NG",IF(RHO_ARCH!M86&gt;INPUTS!$B$9,"HEAVY","OK")))</f>
        <v/>
      </c>
      <c r="N86" s="4" t="str">
        <f aca="false">IF(RHO_ARCH!N86="","",IF(RHO_ARCH!N86&gt;INPUTS!$B$10,"NG",IF(RHO_ARCH!N86&gt;INPUTS!$B$9,"HEAVY","OK")))</f>
        <v/>
      </c>
      <c r="O86" s="4" t="str">
        <f aca="false">IF(RHO_ARCH!O86="","",IF(RHO_ARCH!O86&gt;INPUTS!$B$10,"NG",IF(RHO_ARCH!O86&gt;INPUTS!$B$9,"HEAVY","OK")))</f>
        <v/>
      </c>
      <c r="P86" s="4" t="str">
        <f aca="false">IF(RHO_ARCH!P86="","",IF(RHO_ARCH!P86&gt;INPUTS!$B$10,"NG",IF(RHO_ARCH!P86&gt;INPUTS!$B$9,"HEAVY","OK")))</f>
        <v/>
      </c>
    </row>
    <row r="87" customFormat="false" ht="15" hidden="false" customHeight="false" outlineLevel="0" collapsed="false">
      <c r="A87" s="11" t="str">
        <f aca="false">TRIB!A87</f>
        <v>C86</v>
      </c>
      <c r="B87" s="14" t="n">
        <f aca="false">TRIB!B87</f>
        <v>688.104137768487</v>
      </c>
      <c r="C87" s="14" t="n">
        <f aca="false">TRIB!C87</f>
        <v>3283.78198508235</v>
      </c>
      <c r="D87" s="11" t="str">
        <f aca="false">TRIB!D87</f>
        <v>B</v>
      </c>
      <c r="E87" s="4" t="str">
        <f aca="false">IF(RHO_ARCH!E87="","",IF(RHO_ARCH!E87&gt;INPUTS!$B$10,"NG",IF(RHO_ARCH!E87&gt;INPUTS!$B$9,"HEAVY","OK")))</f>
        <v>OK</v>
      </c>
      <c r="F87" s="4" t="str">
        <f aca="false">IF(RHO_ARCH!F87="","",IF(RHO_ARCH!F87&gt;INPUTS!$B$10,"NG",IF(RHO_ARCH!F87&gt;INPUTS!$B$9,"HEAVY","OK")))</f>
        <v>OK</v>
      </c>
      <c r="G87" s="4" t="str">
        <f aca="false">IF(RHO_ARCH!G87="","",IF(RHO_ARCH!G87&gt;INPUTS!$B$10,"NG",IF(RHO_ARCH!G87&gt;INPUTS!$B$9,"HEAVY","OK")))</f>
        <v>OK</v>
      </c>
      <c r="H87" s="4" t="str">
        <f aca="false">IF(RHO_ARCH!H87="","",IF(RHO_ARCH!H87&gt;INPUTS!$B$10,"NG",IF(RHO_ARCH!H87&gt;INPUTS!$B$9,"HEAVY","OK")))</f>
        <v>OK</v>
      </c>
      <c r="I87" s="4" t="str">
        <f aca="false">IF(RHO_ARCH!I87="","",IF(RHO_ARCH!I87&gt;INPUTS!$B$10,"NG",IF(RHO_ARCH!I87&gt;INPUTS!$B$9,"HEAVY","OK")))</f>
        <v/>
      </c>
      <c r="J87" s="4" t="str">
        <f aca="false">IF(RHO_ARCH!J87="","",IF(RHO_ARCH!J87&gt;INPUTS!$B$10,"NG",IF(RHO_ARCH!J87&gt;INPUTS!$B$9,"HEAVY","OK")))</f>
        <v/>
      </c>
      <c r="K87" s="4" t="str">
        <f aca="false">IF(RHO_ARCH!K87="","",IF(RHO_ARCH!K87&gt;INPUTS!$B$10,"NG",IF(RHO_ARCH!K87&gt;INPUTS!$B$9,"HEAVY","OK")))</f>
        <v/>
      </c>
      <c r="L87" s="4" t="str">
        <f aca="false">IF(RHO_ARCH!L87="","",IF(RHO_ARCH!L87&gt;INPUTS!$B$10,"NG",IF(RHO_ARCH!L87&gt;INPUTS!$B$9,"HEAVY","OK")))</f>
        <v/>
      </c>
      <c r="M87" s="4" t="str">
        <f aca="false">IF(RHO_ARCH!M87="","",IF(RHO_ARCH!M87&gt;INPUTS!$B$10,"NG",IF(RHO_ARCH!M87&gt;INPUTS!$B$9,"HEAVY","OK")))</f>
        <v/>
      </c>
      <c r="N87" s="4" t="str">
        <f aca="false">IF(RHO_ARCH!N87="","",IF(RHO_ARCH!N87&gt;INPUTS!$B$10,"NG",IF(RHO_ARCH!N87&gt;INPUTS!$B$9,"HEAVY","OK")))</f>
        <v/>
      </c>
      <c r="O87" s="4" t="str">
        <f aca="false">IF(RHO_ARCH!O87="","",IF(RHO_ARCH!O87&gt;INPUTS!$B$10,"NG",IF(RHO_ARCH!O87&gt;INPUTS!$B$9,"HEAVY","OK")))</f>
        <v/>
      </c>
      <c r="P87" s="4" t="str">
        <f aca="false">IF(RHO_ARCH!P87="","",IF(RHO_ARCH!P87&gt;INPUTS!$B$10,"NG",IF(RHO_ARCH!P87&gt;INPUTS!$B$9,"HEAVY","OK")))</f>
        <v/>
      </c>
    </row>
    <row r="88" customFormat="false" ht="15" hidden="false" customHeight="false" outlineLevel="0" collapsed="false">
      <c r="A88" s="11" t="str">
        <f aca="false">TRIB!A88</f>
        <v>C87</v>
      </c>
      <c r="B88" s="14" t="n">
        <f aca="false">TRIB!B88</f>
        <v>688.104137768486</v>
      </c>
      <c r="C88" s="14" t="n">
        <f aca="false">TRIB!C88</f>
        <v>3310.79147662427</v>
      </c>
      <c r="D88" s="11" t="str">
        <f aca="false">TRIB!D88</f>
        <v>B</v>
      </c>
      <c r="E88" s="4" t="str">
        <f aca="false">IF(RHO_ARCH!E88="","",IF(RHO_ARCH!E88&gt;INPUTS!$B$10,"NG",IF(RHO_ARCH!E88&gt;INPUTS!$B$9,"HEAVY","OK")))</f>
        <v>OK</v>
      </c>
      <c r="F88" s="4" t="str">
        <f aca="false">IF(RHO_ARCH!F88="","",IF(RHO_ARCH!F88&gt;INPUTS!$B$10,"NG",IF(RHO_ARCH!F88&gt;INPUTS!$B$9,"HEAVY","OK")))</f>
        <v>OK</v>
      </c>
      <c r="G88" s="4" t="str">
        <f aca="false">IF(RHO_ARCH!G88="","",IF(RHO_ARCH!G88&gt;INPUTS!$B$10,"NG",IF(RHO_ARCH!G88&gt;INPUTS!$B$9,"HEAVY","OK")))</f>
        <v>OK</v>
      </c>
      <c r="H88" s="4" t="str">
        <f aca="false">IF(RHO_ARCH!H88="","",IF(RHO_ARCH!H88&gt;INPUTS!$B$10,"NG",IF(RHO_ARCH!H88&gt;INPUTS!$B$9,"HEAVY","OK")))</f>
        <v>OK</v>
      </c>
      <c r="I88" s="4" t="str">
        <f aca="false">IF(RHO_ARCH!I88="","",IF(RHO_ARCH!I88&gt;INPUTS!$B$10,"NG",IF(RHO_ARCH!I88&gt;INPUTS!$B$9,"HEAVY","OK")))</f>
        <v/>
      </c>
      <c r="J88" s="4" t="str">
        <f aca="false">IF(RHO_ARCH!J88="","",IF(RHO_ARCH!J88&gt;INPUTS!$B$10,"NG",IF(RHO_ARCH!J88&gt;INPUTS!$B$9,"HEAVY","OK")))</f>
        <v/>
      </c>
      <c r="K88" s="4" t="str">
        <f aca="false">IF(RHO_ARCH!K88="","",IF(RHO_ARCH!K88&gt;INPUTS!$B$10,"NG",IF(RHO_ARCH!K88&gt;INPUTS!$B$9,"HEAVY","OK")))</f>
        <v/>
      </c>
      <c r="L88" s="4" t="str">
        <f aca="false">IF(RHO_ARCH!L88="","",IF(RHO_ARCH!L88&gt;INPUTS!$B$10,"NG",IF(RHO_ARCH!L88&gt;INPUTS!$B$9,"HEAVY","OK")))</f>
        <v/>
      </c>
      <c r="M88" s="4" t="str">
        <f aca="false">IF(RHO_ARCH!M88="","",IF(RHO_ARCH!M88&gt;INPUTS!$B$10,"NG",IF(RHO_ARCH!M88&gt;INPUTS!$B$9,"HEAVY","OK")))</f>
        <v/>
      </c>
      <c r="N88" s="4" t="str">
        <f aca="false">IF(RHO_ARCH!N88="","",IF(RHO_ARCH!N88&gt;INPUTS!$B$10,"NG",IF(RHO_ARCH!N88&gt;INPUTS!$B$9,"HEAVY","OK")))</f>
        <v/>
      </c>
      <c r="O88" s="4" t="str">
        <f aca="false">IF(RHO_ARCH!O88="","",IF(RHO_ARCH!O88&gt;INPUTS!$B$10,"NG",IF(RHO_ARCH!O88&gt;INPUTS!$B$9,"HEAVY","OK")))</f>
        <v/>
      </c>
      <c r="P88" s="4" t="str">
        <f aca="false">IF(RHO_ARCH!P88="","",IF(RHO_ARCH!P88&gt;INPUTS!$B$10,"NG",IF(RHO_ARCH!P88&gt;INPUTS!$B$9,"HEAVY","OK")))</f>
        <v/>
      </c>
    </row>
    <row r="89" customFormat="false" ht="15" hidden="false" customHeight="false" outlineLevel="0" collapsed="false">
      <c r="A89" s="11" t="str">
        <f aca="false">TRIB!A89</f>
        <v>C88</v>
      </c>
      <c r="B89" s="14" t="n">
        <f aca="false">TRIB!B89</f>
        <v>696.550421746338</v>
      </c>
      <c r="C89" s="14" t="n">
        <f aca="false">TRIB!C89</f>
        <v>1816.93691619513</v>
      </c>
      <c r="D89" s="11" t="str">
        <f aca="false">TRIB!D89</f>
        <v>B</v>
      </c>
      <c r="E89" s="4" t="str">
        <f aca="false">IF(RHO_ARCH!E89="","",IF(RHO_ARCH!E89&gt;INPUTS!$B$10,"NG",IF(RHO_ARCH!E89&gt;INPUTS!$B$9,"HEAVY","OK")))</f>
        <v>OK</v>
      </c>
      <c r="F89" s="4" t="str">
        <f aca="false">IF(RHO_ARCH!F89="","",IF(RHO_ARCH!F89&gt;INPUTS!$B$10,"NG",IF(RHO_ARCH!F89&gt;INPUTS!$B$9,"HEAVY","OK")))</f>
        <v>OK</v>
      </c>
      <c r="G89" s="4" t="str">
        <f aca="false">IF(RHO_ARCH!G89="","",IF(RHO_ARCH!G89&gt;INPUTS!$B$10,"NG",IF(RHO_ARCH!G89&gt;INPUTS!$B$9,"HEAVY","OK")))</f>
        <v>OK</v>
      </c>
      <c r="H89" s="4" t="str">
        <f aca="false">IF(RHO_ARCH!H89="","",IF(RHO_ARCH!H89&gt;INPUTS!$B$10,"NG",IF(RHO_ARCH!H89&gt;INPUTS!$B$9,"HEAVY","OK")))</f>
        <v>OK</v>
      </c>
      <c r="I89" s="4" t="str">
        <f aca="false">IF(RHO_ARCH!I89="","",IF(RHO_ARCH!I89&gt;INPUTS!$B$10,"NG",IF(RHO_ARCH!I89&gt;INPUTS!$B$9,"HEAVY","OK")))</f>
        <v>OK</v>
      </c>
      <c r="J89" s="4" t="str">
        <f aca="false">IF(RHO_ARCH!J89="","",IF(RHO_ARCH!J89&gt;INPUTS!$B$10,"NG",IF(RHO_ARCH!J89&gt;INPUTS!$B$9,"HEAVY","OK")))</f>
        <v>OK</v>
      </c>
      <c r="K89" s="4" t="str">
        <f aca="false">IF(RHO_ARCH!K89="","",IF(RHO_ARCH!K89&gt;INPUTS!$B$10,"NG",IF(RHO_ARCH!K89&gt;INPUTS!$B$9,"HEAVY","OK")))</f>
        <v/>
      </c>
      <c r="L89" s="4" t="str">
        <f aca="false">IF(RHO_ARCH!L89="","",IF(RHO_ARCH!L89&gt;INPUTS!$B$10,"NG",IF(RHO_ARCH!L89&gt;INPUTS!$B$9,"HEAVY","OK")))</f>
        <v/>
      </c>
      <c r="M89" s="4" t="str">
        <f aca="false">IF(RHO_ARCH!M89="","",IF(RHO_ARCH!M89&gt;INPUTS!$B$10,"NG",IF(RHO_ARCH!M89&gt;INPUTS!$B$9,"HEAVY","OK")))</f>
        <v/>
      </c>
      <c r="N89" s="4" t="str">
        <f aca="false">IF(RHO_ARCH!N89="","",IF(RHO_ARCH!N89&gt;INPUTS!$B$10,"NG",IF(RHO_ARCH!N89&gt;INPUTS!$B$9,"HEAVY","OK")))</f>
        <v/>
      </c>
      <c r="O89" s="4" t="str">
        <f aca="false">IF(RHO_ARCH!O89="","",IF(RHO_ARCH!O89&gt;INPUTS!$B$10,"NG",IF(RHO_ARCH!O89&gt;INPUTS!$B$9,"HEAVY","OK")))</f>
        <v/>
      </c>
      <c r="P89" s="4" t="str">
        <f aca="false">IF(RHO_ARCH!P89="","",IF(RHO_ARCH!P89&gt;INPUTS!$B$10,"NG",IF(RHO_ARCH!P89&gt;INPUTS!$B$9,"HEAVY","OK")))</f>
        <v/>
      </c>
    </row>
    <row r="90" customFormat="false" ht="15" hidden="false" customHeight="false" outlineLevel="0" collapsed="false">
      <c r="A90" s="11" t="str">
        <f aca="false">TRIB!A90</f>
        <v>C89</v>
      </c>
      <c r="B90" s="14" t="n">
        <f aca="false">TRIB!B90</f>
        <v>707.716971065027</v>
      </c>
      <c r="C90" s="14" t="n">
        <f aca="false">TRIB!C90</f>
        <v>1901.78198508235</v>
      </c>
      <c r="D90" s="11" t="str">
        <f aca="false">TRIB!D90</f>
        <v>B</v>
      </c>
      <c r="E90" s="4" t="str">
        <f aca="false">IF(RHO_ARCH!E90="","",IF(RHO_ARCH!E90&gt;INPUTS!$B$10,"NG",IF(RHO_ARCH!E90&gt;INPUTS!$B$9,"HEAVY","OK")))</f>
        <v>OK</v>
      </c>
      <c r="F90" s="4" t="str">
        <f aca="false">IF(RHO_ARCH!F90="","",IF(RHO_ARCH!F90&gt;INPUTS!$B$10,"NG",IF(RHO_ARCH!F90&gt;INPUTS!$B$9,"HEAVY","OK")))</f>
        <v>OK</v>
      </c>
      <c r="G90" s="4" t="str">
        <f aca="false">IF(RHO_ARCH!G90="","",IF(RHO_ARCH!G90&gt;INPUTS!$B$10,"NG",IF(RHO_ARCH!G90&gt;INPUTS!$B$9,"HEAVY","OK")))</f>
        <v>OK</v>
      </c>
      <c r="H90" s="4" t="str">
        <f aca="false">IF(RHO_ARCH!H90="","",IF(RHO_ARCH!H90&gt;INPUTS!$B$10,"NG",IF(RHO_ARCH!H90&gt;INPUTS!$B$9,"HEAVY","OK")))</f>
        <v>OK</v>
      </c>
      <c r="I90" s="4" t="str">
        <f aca="false">IF(RHO_ARCH!I90="","",IF(RHO_ARCH!I90&gt;INPUTS!$B$10,"NG",IF(RHO_ARCH!I90&gt;INPUTS!$B$9,"HEAVY","OK")))</f>
        <v>OK</v>
      </c>
      <c r="J90" s="4" t="str">
        <f aca="false">IF(RHO_ARCH!J90="","",IF(RHO_ARCH!J90&gt;INPUTS!$B$10,"NG",IF(RHO_ARCH!J90&gt;INPUTS!$B$9,"HEAVY","OK")))</f>
        <v>OK</v>
      </c>
      <c r="K90" s="4" t="str">
        <f aca="false">IF(RHO_ARCH!K90="","",IF(RHO_ARCH!K90&gt;INPUTS!$B$10,"NG",IF(RHO_ARCH!K90&gt;INPUTS!$B$9,"HEAVY","OK")))</f>
        <v/>
      </c>
      <c r="L90" s="4" t="str">
        <f aca="false">IF(RHO_ARCH!L90="","",IF(RHO_ARCH!L90&gt;INPUTS!$B$10,"NG",IF(RHO_ARCH!L90&gt;INPUTS!$B$9,"HEAVY","OK")))</f>
        <v/>
      </c>
      <c r="M90" s="4" t="str">
        <f aca="false">IF(RHO_ARCH!M90="","",IF(RHO_ARCH!M90&gt;INPUTS!$B$10,"NG",IF(RHO_ARCH!M90&gt;INPUTS!$B$9,"HEAVY","OK")))</f>
        <v/>
      </c>
      <c r="N90" s="4" t="str">
        <f aca="false">IF(RHO_ARCH!N90="","",IF(RHO_ARCH!N90&gt;INPUTS!$B$10,"NG",IF(RHO_ARCH!N90&gt;INPUTS!$B$9,"HEAVY","OK")))</f>
        <v/>
      </c>
      <c r="O90" s="4" t="str">
        <f aca="false">IF(RHO_ARCH!O90="","",IF(RHO_ARCH!O90&gt;INPUTS!$B$10,"NG",IF(RHO_ARCH!O90&gt;INPUTS!$B$9,"HEAVY","OK")))</f>
        <v/>
      </c>
      <c r="P90" s="4" t="str">
        <f aca="false">IF(RHO_ARCH!P90="","",IF(RHO_ARCH!P90&gt;INPUTS!$B$10,"NG",IF(RHO_ARCH!P90&gt;INPUTS!$B$9,"HEAVY","OK")))</f>
        <v/>
      </c>
    </row>
    <row r="91" customFormat="false" ht="15" hidden="false" customHeight="false" outlineLevel="0" collapsed="false">
      <c r="A91" s="11" t="str">
        <f aca="false">TRIB!A91</f>
        <v>C90</v>
      </c>
      <c r="B91" s="14" t="n">
        <f aca="false">TRIB!B91</f>
        <v>714.74352061146</v>
      </c>
      <c r="C91" s="14" t="n">
        <f aca="false">TRIB!C91</f>
        <v>1888.78198508235</v>
      </c>
      <c r="D91" s="11" t="str">
        <f aca="false">TRIB!D91</f>
        <v>B</v>
      </c>
      <c r="E91" s="4" t="str">
        <f aca="false">IF(RHO_ARCH!E91="","",IF(RHO_ARCH!E91&gt;INPUTS!$B$10,"NG",IF(RHO_ARCH!E91&gt;INPUTS!$B$9,"HEAVY","OK")))</f>
        <v>OK</v>
      </c>
      <c r="F91" s="4" t="str">
        <f aca="false">IF(RHO_ARCH!F91="","",IF(RHO_ARCH!F91&gt;INPUTS!$B$10,"NG",IF(RHO_ARCH!F91&gt;INPUTS!$B$9,"HEAVY","OK")))</f>
        <v>OK</v>
      </c>
      <c r="G91" s="4" t="str">
        <f aca="false">IF(RHO_ARCH!G91="","",IF(RHO_ARCH!G91&gt;INPUTS!$B$10,"NG",IF(RHO_ARCH!G91&gt;INPUTS!$B$9,"HEAVY","OK")))</f>
        <v>OK</v>
      </c>
      <c r="H91" s="4" t="str">
        <f aca="false">IF(RHO_ARCH!H91="","",IF(RHO_ARCH!H91&gt;INPUTS!$B$10,"NG",IF(RHO_ARCH!H91&gt;INPUTS!$B$9,"HEAVY","OK")))</f>
        <v>OK</v>
      </c>
      <c r="I91" s="4" t="str">
        <f aca="false">IF(RHO_ARCH!I91="","",IF(RHO_ARCH!I91&gt;INPUTS!$B$10,"NG",IF(RHO_ARCH!I91&gt;INPUTS!$B$9,"HEAVY","OK")))</f>
        <v>OK</v>
      </c>
      <c r="J91" s="4" t="str">
        <f aca="false">IF(RHO_ARCH!J91="","",IF(RHO_ARCH!J91&gt;INPUTS!$B$10,"NG",IF(RHO_ARCH!J91&gt;INPUTS!$B$9,"HEAVY","OK")))</f>
        <v>OK</v>
      </c>
      <c r="K91" s="4" t="str">
        <f aca="false">IF(RHO_ARCH!K91="","",IF(RHO_ARCH!K91&gt;INPUTS!$B$10,"NG",IF(RHO_ARCH!K91&gt;INPUTS!$B$9,"HEAVY","OK")))</f>
        <v/>
      </c>
      <c r="L91" s="4" t="str">
        <f aca="false">IF(RHO_ARCH!L91="","",IF(RHO_ARCH!L91&gt;INPUTS!$B$10,"NG",IF(RHO_ARCH!L91&gt;INPUTS!$B$9,"HEAVY","OK")))</f>
        <v/>
      </c>
      <c r="M91" s="4" t="str">
        <f aca="false">IF(RHO_ARCH!M91="","",IF(RHO_ARCH!M91&gt;INPUTS!$B$10,"NG",IF(RHO_ARCH!M91&gt;INPUTS!$B$9,"HEAVY","OK")))</f>
        <v/>
      </c>
      <c r="N91" s="4" t="str">
        <f aca="false">IF(RHO_ARCH!N91="","",IF(RHO_ARCH!N91&gt;INPUTS!$B$10,"NG",IF(RHO_ARCH!N91&gt;INPUTS!$B$9,"HEAVY","OK")))</f>
        <v/>
      </c>
      <c r="O91" s="4" t="str">
        <f aca="false">IF(RHO_ARCH!O91="","",IF(RHO_ARCH!O91&gt;INPUTS!$B$10,"NG",IF(RHO_ARCH!O91&gt;INPUTS!$B$9,"HEAVY","OK")))</f>
        <v/>
      </c>
      <c r="P91" s="4" t="str">
        <f aca="false">IF(RHO_ARCH!P91="","",IF(RHO_ARCH!P91&gt;INPUTS!$B$10,"NG",IF(RHO_ARCH!P91&gt;INPUTS!$B$9,"HEAVY","OK")))</f>
        <v/>
      </c>
    </row>
    <row r="92" customFormat="false" ht="15" hidden="false" customHeight="false" outlineLevel="0" collapsed="false">
      <c r="A92" s="11" t="str">
        <f aca="false">TRIB!A92</f>
        <v>C91</v>
      </c>
      <c r="B92" s="14" t="n">
        <f aca="false">TRIB!B92</f>
        <v>714.743520611458</v>
      </c>
      <c r="C92" s="14" t="n">
        <f aca="false">TRIB!C92</f>
        <v>2601.78198508235</v>
      </c>
      <c r="D92" s="11" t="str">
        <f aca="false">TRIB!D92</f>
        <v>B</v>
      </c>
      <c r="E92" s="4" t="str">
        <f aca="false">IF(RHO_ARCH!E92="","",IF(RHO_ARCH!E92&gt;INPUTS!$B$10,"NG",IF(RHO_ARCH!E92&gt;INPUTS!$B$9,"HEAVY","OK")))</f>
        <v>OK</v>
      </c>
      <c r="F92" s="4" t="str">
        <f aca="false">IF(RHO_ARCH!F92="","",IF(RHO_ARCH!F92&gt;INPUTS!$B$10,"NG",IF(RHO_ARCH!F92&gt;INPUTS!$B$9,"HEAVY","OK")))</f>
        <v>OK</v>
      </c>
      <c r="G92" s="4" t="str">
        <f aca="false">IF(RHO_ARCH!G92="","",IF(RHO_ARCH!G92&gt;INPUTS!$B$10,"NG",IF(RHO_ARCH!G92&gt;INPUTS!$B$9,"HEAVY","OK")))</f>
        <v>OK</v>
      </c>
      <c r="H92" s="4" t="str">
        <f aca="false">IF(RHO_ARCH!H92="","",IF(RHO_ARCH!H92&gt;INPUTS!$B$10,"NG",IF(RHO_ARCH!H92&gt;INPUTS!$B$9,"HEAVY","OK")))</f>
        <v>OK</v>
      </c>
      <c r="I92" s="4" t="str">
        <f aca="false">IF(RHO_ARCH!I92="","",IF(RHO_ARCH!I92&gt;INPUTS!$B$10,"NG",IF(RHO_ARCH!I92&gt;INPUTS!$B$9,"HEAVY","OK")))</f>
        <v>OK</v>
      </c>
      <c r="J92" s="4" t="str">
        <f aca="false">IF(RHO_ARCH!J92="","",IF(RHO_ARCH!J92&gt;INPUTS!$B$10,"NG",IF(RHO_ARCH!J92&gt;INPUTS!$B$9,"HEAVY","OK")))</f>
        <v/>
      </c>
      <c r="K92" s="4" t="str">
        <f aca="false">IF(RHO_ARCH!K92="","",IF(RHO_ARCH!K92&gt;INPUTS!$B$10,"NG",IF(RHO_ARCH!K92&gt;INPUTS!$B$9,"HEAVY","OK")))</f>
        <v/>
      </c>
      <c r="L92" s="4" t="str">
        <f aca="false">IF(RHO_ARCH!L92="","",IF(RHO_ARCH!L92&gt;INPUTS!$B$10,"NG",IF(RHO_ARCH!L92&gt;INPUTS!$B$9,"HEAVY","OK")))</f>
        <v/>
      </c>
      <c r="M92" s="4" t="str">
        <f aca="false">IF(RHO_ARCH!M92="","",IF(RHO_ARCH!M92&gt;INPUTS!$B$10,"NG",IF(RHO_ARCH!M92&gt;INPUTS!$B$9,"HEAVY","OK")))</f>
        <v/>
      </c>
      <c r="N92" s="4" t="str">
        <f aca="false">IF(RHO_ARCH!N92="","",IF(RHO_ARCH!N92&gt;INPUTS!$B$10,"NG",IF(RHO_ARCH!N92&gt;INPUTS!$B$9,"HEAVY","OK")))</f>
        <v/>
      </c>
      <c r="O92" s="4" t="str">
        <f aca="false">IF(RHO_ARCH!O92="","",IF(RHO_ARCH!O92&gt;INPUTS!$B$10,"NG",IF(RHO_ARCH!O92&gt;INPUTS!$B$9,"HEAVY","OK")))</f>
        <v/>
      </c>
      <c r="P92" s="4" t="str">
        <f aca="false">IF(RHO_ARCH!P92="","",IF(RHO_ARCH!P92&gt;INPUTS!$B$10,"NG",IF(RHO_ARCH!P92&gt;INPUTS!$B$9,"HEAVY","OK")))</f>
        <v/>
      </c>
    </row>
    <row r="93" customFormat="false" ht="15" hidden="false" customHeight="false" outlineLevel="0" collapsed="false">
      <c r="A93" s="11" t="str">
        <f aca="false">TRIB!A93</f>
        <v>C92</v>
      </c>
      <c r="B93" s="14" t="n">
        <f aca="false">TRIB!B93</f>
        <v>714.743520611457</v>
      </c>
      <c r="C93" s="14" t="n">
        <f aca="false">TRIB!C93</f>
        <v>2628.79147662427</v>
      </c>
      <c r="D93" s="11" t="str">
        <f aca="false">TRIB!D93</f>
        <v>B</v>
      </c>
      <c r="E93" s="4" t="str">
        <f aca="false">IF(RHO_ARCH!E93="","",IF(RHO_ARCH!E93&gt;INPUTS!$B$10,"NG",IF(RHO_ARCH!E93&gt;INPUTS!$B$9,"HEAVY","OK")))</f>
        <v>OK</v>
      </c>
      <c r="F93" s="4" t="str">
        <f aca="false">IF(RHO_ARCH!F93="","",IF(RHO_ARCH!F93&gt;INPUTS!$B$10,"NG",IF(RHO_ARCH!F93&gt;INPUTS!$B$9,"HEAVY","OK")))</f>
        <v>OK</v>
      </c>
      <c r="G93" s="4" t="str">
        <f aca="false">IF(RHO_ARCH!G93="","",IF(RHO_ARCH!G93&gt;INPUTS!$B$10,"NG",IF(RHO_ARCH!G93&gt;INPUTS!$B$9,"HEAVY","OK")))</f>
        <v>OK</v>
      </c>
      <c r="H93" s="4" t="str">
        <f aca="false">IF(RHO_ARCH!H93="","",IF(RHO_ARCH!H93&gt;INPUTS!$B$10,"NG",IF(RHO_ARCH!H93&gt;INPUTS!$B$9,"HEAVY","OK")))</f>
        <v>OK</v>
      </c>
      <c r="I93" s="4" t="str">
        <f aca="false">IF(RHO_ARCH!I93="","",IF(RHO_ARCH!I93&gt;INPUTS!$B$10,"NG",IF(RHO_ARCH!I93&gt;INPUTS!$B$9,"HEAVY","OK")))</f>
        <v>OK</v>
      </c>
      <c r="J93" s="4" t="str">
        <f aca="false">IF(RHO_ARCH!J93="","",IF(RHO_ARCH!J93&gt;INPUTS!$B$10,"NG",IF(RHO_ARCH!J93&gt;INPUTS!$B$9,"HEAVY","OK")))</f>
        <v/>
      </c>
      <c r="K93" s="4" t="str">
        <f aca="false">IF(RHO_ARCH!K93="","",IF(RHO_ARCH!K93&gt;INPUTS!$B$10,"NG",IF(RHO_ARCH!K93&gt;INPUTS!$B$9,"HEAVY","OK")))</f>
        <v/>
      </c>
      <c r="L93" s="4" t="str">
        <f aca="false">IF(RHO_ARCH!L93="","",IF(RHO_ARCH!L93&gt;INPUTS!$B$10,"NG",IF(RHO_ARCH!L93&gt;INPUTS!$B$9,"HEAVY","OK")))</f>
        <v/>
      </c>
      <c r="M93" s="4" t="str">
        <f aca="false">IF(RHO_ARCH!M93="","",IF(RHO_ARCH!M93&gt;INPUTS!$B$10,"NG",IF(RHO_ARCH!M93&gt;INPUTS!$B$9,"HEAVY","OK")))</f>
        <v/>
      </c>
      <c r="N93" s="4" t="str">
        <f aca="false">IF(RHO_ARCH!N93="","",IF(RHO_ARCH!N93&gt;INPUTS!$B$10,"NG",IF(RHO_ARCH!N93&gt;INPUTS!$B$9,"HEAVY","OK")))</f>
        <v/>
      </c>
      <c r="O93" s="4" t="str">
        <f aca="false">IF(RHO_ARCH!O93="","",IF(RHO_ARCH!O93&gt;INPUTS!$B$10,"NG",IF(RHO_ARCH!O93&gt;INPUTS!$B$9,"HEAVY","OK")))</f>
        <v/>
      </c>
      <c r="P93" s="4" t="str">
        <f aca="false">IF(RHO_ARCH!P93="","",IF(RHO_ARCH!P93&gt;INPUTS!$B$10,"NG",IF(RHO_ARCH!P93&gt;INPUTS!$B$9,"HEAVY","OK")))</f>
        <v/>
      </c>
    </row>
    <row r="94" customFormat="false" ht="15" hidden="false" customHeight="false" outlineLevel="0" collapsed="false">
      <c r="A94" s="11" t="str">
        <f aca="false">TRIB!A94</f>
        <v>C93</v>
      </c>
      <c r="B94" s="14" t="n">
        <f aca="false">TRIB!B94</f>
        <v>715.314974199117</v>
      </c>
      <c r="C94" s="14" t="n">
        <f aca="false">TRIB!C94</f>
        <v>1860.77331074306</v>
      </c>
      <c r="D94" s="11" t="str">
        <f aca="false">TRIB!D94</f>
        <v>B</v>
      </c>
      <c r="E94" s="4" t="str">
        <f aca="false">IF(RHO_ARCH!E94="","",IF(RHO_ARCH!E94&gt;INPUTS!$B$10,"NG",IF(RHO_ARCH!E94&gt;INPUTS!$B$9,"HEAVY","OK")))</f>
        <v>OK</v>
      </c>
      <c r="F94" s="4" t="str">
        <f aca="false">IF(RHO_ARCH!F94="","",IF(RHO_ARCH!F94&gt;INPUTS!$B$10,"NG",IF(RHO_ARCH!F94&gt;INPUTS!$B$9,"HEAVY","OK")))</f>
        <v>OK</v>
      </c>
      <c r="G94" s="4" t="str">
        <f aca="false">IF(RHO_ARCH!G94="","",IF(RHO_ARCH!G94&gt;INPUTS!$B$10,"NG",IF(RHO_ARCH!G94&gt;INPUTS!$B$9,"HEAVY","OK")))</f>
        <v>OK</v>
      </c>
      <c r="H94" s="4" t="str">
        <f aca="false">IF(RHO_ARCH!H94="","",IF(RHO_ARCH!H94&gt;INPUTS!$B$10,"NG",IF(RHO_ARCH!H94&gt;INPUTS!$B$9,"HEAVY","OK")))</f>
        <v>OK</v>
      </c>
      <c r="I94" s="4" t="str">
        <f aca="false">IF(RHO_ARCH!I94="","",IF(RHO_ARCH!I94&gt;INPUTS!$B$10,"NG",IF(RHO_ARCH!I94&gt;INPUTS!$B$9,"HEAVY","OK")))</f>
        <v>OK</v>
      </c>
      <c r="J94" s="4" t="str">
        <f aca="false">IF(RHO_ARCH!J94="","",IF(RHO_ARCH!J94&gt;INPUTS!$B$10,"NG",IF(RHO_ARCH!J94&gt;INPUTS!$B$9,"HEAVY","OK")))</f>
        <v>OK</v>
      </c>
      <c r="K94" s="4" t="str">
        <f aca="false">IF(RHO_ARCH!K94="","",IF(RHO_ARCH!K94&gt;INPUTS!$B$10,"NG",IF(RHO_ARCH!K94&gt;INPUTS!$B$9,"HEAVY","OK")))</f>
        <v/>
      </c>
      <c r="L94" s="4" t="str">
        <f aca="false">IF(RHO_ARCH!L94="","",IF(RHO_ARCH!L94&gt;INPUTS!$B$10,"NG",IF(RHO_ARCH!L94&gt;INPUTS!$B$9,"HEAVY","OK")))</f>
        <v/>
      </c>
      <c r="M94" s="4" t="str">
        <f aca="false">IF(RHO_ARCH!M94="","",IF(RHO_ARCH!M94&gt;INPUTS!$B$10,"NG",IF(RHO_ARCH!M94&gt;INPUTS!$B$9,"HEAVY","OK")))</f>
        <v/>
      </c>
      <c r="N94" s="4" t="str">
        <f aca="false">IF(RHO_ARCH!N94="","",IF(RHO_ARCH!N94&gt;INPUTS!$B$10,"NG",IF(RHO_ARCH!N94&gt;INPUTS!$B$9,"HEAVY","OK")))</f>
        <v/>
      </c>
      <c r="O94" s="4" t="str">
        <f aca="false">IF(RHO_ARCH!O94="","",IF(RHO_ARCH!O94&gt;INPUTS!$B$10,"NG",IF(RHO_ARCH!O94&gt;INPUTS!$B$9,"HEAVY","OK")))</f>
        <v/>
      </c>
      <c r="P94" s="4" t="str">
        <f aca="false">IF(RHO_ARCH!P94="","",IF(RHO_ARCH!P94&gt;INPUTS!$B$10,"NG",IF(RHO_ARCH!P94&gt;INPUTS!$B$9,"HEAVY","OK")))</f>
        <v/>
      </c>
    </row>
    <row r="95" customFormat="false" ht="15" hidden="false" customHeight="false" outlineLevel="0" collapsed="false">
      <c r="A95" s="11" t="str">
        <f aca="false">TRIB!A95</f>
        <v>C94</v>
      </c>
      <c r="B95" s="14" t="n">
        <f aca="false">TRIB!B95</f>
        <v>719.466959127074</v>
      </c>
      <c r="C95" s="14" t="n">
        <f aca="false">TRIB!C95</f>
        <v>1816.93691619513</v>
      </c>
      <c r="D95" s="11" t="str">
        <f aca="false">TRIB!D95</f>
        <v>B</v>
      </c>
      <c r="E95" s="4" t="str">
        <f aca="false">IF(RHO_ARCH!E95="","",IF(RHO_ARCH!E95&gt;INPUTS!$B$10,"NG",IF(RHO_ARCH!E95&gt;INPUTS!$B$9,"HEAVY","OK")))</f>
        <v>OK</v>
      </c>
      <c r="F95" s="4" t="str">
        <f aca="false">IF(RHO_ARCH!F95="","",IF(RHO_ARCH!F95&gt;INPUTS!$B$10,"NG",IF(RHO_ARCH!F95&gt;INPUTS!$B$9,"HEAVY","OK")))</f>
        <v>OK</v>
      </c>
      <c r="G95" s="4" t="str">
        <f aca="false">IF(RHO_ARCH!G95="","",IF(RHO_ARCH!G95&gt;INPUTS!$B$10,"NG",IF(RHO_ARCH!G95&gt;INPUTS!$B$9,"HEAVY","OK")))</f>
        <v>OK</v>
      </c>
      <c r="H95" s="4" t="str">
        <f aca="false">IF(RHO_ARCH!H95="","",IF(RHO_ARCH!H95&gt;INPUTS!$B$10,"NG",IF(RHO_ARCH!H95&gt;INPUTS!$B$9,"HEAVY","OK")))</f>
        <v>OK</v>
      </c>
      <c r="I95" s="4" t="str">
        <f aca="false">IF(RHO_ARCH!I95="","",IF(RHO_ARCH!I95&gt;INPUTS!$B$10,"NG",IF(RHO_ARCH!I95&gt;INPUTS!$B$9,"HEAVY","OK")))</f>
        <v>OK</v>
      </c>
      <c r="J95" s="4" t="str">
        <f aca="false">IF(RHO_ARCH!J95="","",IF(RHO_ARCH!J95&gt;INPUTS!$B$10,"NG",IF(RHO_ARCH!J95&gt;INPUTS!$B$9,"HEAVY","OK")))</f>
        <v>OK</v>
      </c>
      <c r="K95" s="4" t="str">
        <f aca="false">IF(RHO_ARCH!K95="","",IF(RHO_ARCH!K95&gt;INPUTS!$B$10,"NG",IF(RHO_ARCH!K95&gt;INPUTS!$B$9,"HEAVY","OK")))</f>
        <v/>
      </c>
      <c r="L95" s="4" t="str">
        <f aca="false">IF(RHO_ARCH!L95="","",IF(RHO_ARCH!L95&gt;INPUTS!$B$10,"NG",IF(RHO_ARCH!L95&gt;INPUTS!$B$9,"HEAVY","OK")))</f>
        <v/>
      </c>
      <c r="M95" s="4" t="str">
        <f aca="false">IF(RHO_ARCH!M95="","",IF(RHO_ARCH!M95&gt;INPUTS!$B$10,"NG",IF(RHO_ARCH!M95&gt;INPUTS!$B$9,"HEAVY","OK")))</f>
        <v/>
      </c>
      <c r="N95" s="4" t="str">
        <f aca="false">IF(RHO_ARCH!N95="","",IF(RHO_ARCH!N95&gt;INPUTS!$B$10,"NG",IF(RHO_ARCH!N95&gt;INPUTS!$B$9,"HEAVY","OK")))</f>
        <v/>
      </c>
      <c r="O95" s="4" t="str">
        <f aca="false">IF(RHO_ARCH!O95="","",IF(RHO_ARCH!O95&gt;INPUTS!$B$10,"NG",IF(RHO_ARCH!O95&gt;INPUTS!$B$9,"HEAVY","OK")))</f>
        <v/>
      </c>
      <c r="P95" s="4" t="str">
        <f aca="false">IF(RHO_ARCH!P95="","",IF(RHO_ARCH!P95&gt;INPUTS!$B$10,"NG",IF(RHO_ARCH!P95&gt;INPUTS!$B$9,"HEAVY","OK")))</f>
        <v/>
      </c>
    </row>
    <row r="96" customFormat="false" ht="15" hidden="false" customHeight="false" outlineLevel="0" collapsed="false">
      <c r="A96" s="11" t="str">
        <f aca="false">TRIB!A96</f>
        <v>C95</v>
      </c>
      <c r="B96" s="14" t="n">
        <f aca="false">TRIB!B96</f>
        <v>747.840960762616</v>
      </c>
      <c r="C96" s="14" t="n">
        <f aca="false">TRIB!C96</f>
        <v>2542.77331074306</v>
      </c>
      <c r="D96" s="11" t="str">
        <f aca="false">TRIB!D96</f>
        <v>B</v>
      </c>
      <c r="E96" s="4" t="str">
        <f aca="false">IF(RHO_ARCH!E96="","",IF(RHO_ARCH!E96&gt;INPUTS!$B$10,"NG",IF(RHO_ARCH!E96&gt;INPUTS!$B$9,"HEAVY","OK")))</f>
        <v>OK</v>
      </c>
      <c r="F96" s="4" t="str">
        <f aca="false">IF(RHO_ARCH!F96="","",IF(RHO_ARCH!F96&gt;INPUTS!$B$10,"NG",IF(RHO_ARCH!F96&gt;INPUTS!$B$9,"HEAVY","OK")))</f>
        <v>OK</v>
      </c>
      <c r="G96" s="4" t="str">
        <f aca="false">IF(RHO_ARCH!G96="","",IF(RHO_ARCH!G96&gt;INPUTS!$B$10,"NG",IF(RHO_ARCH!G96&gt;INPUTS!$B$9,"HEAVY","OK")))</f>
        <v>OK</v>
      </c>
      <c r="H96" s="4" t="str">
        <f aca="false">IF(RHO_ARCH!H96="","",IF(RHO_ARCH!H96&gt;INPUTS!$B$10,"NG",IF(RHO_ARCH!H96&gt;INPUTS!$B$9,"HEAVY","OK")))</f>
        <v>OK</v>
      </c>
      <c r="I96" s="4" t="str">
        <f aca="false">IF(RHO_ARCH!I96="","",IF(RHO_ARCH!I96&gt;INPUTS!$B$10,"NG",IF(RHO_ARCH!I96&gt;INPUTS!$B$9,"HEAVY","OK")))</f>
        <v>OK</v>
      </c>
      <c r="J96" s="4" t="str">
        <f aca="false">IF(RHO_ARCH!J96="","",IF(RHO_ARCH!J96&gt;INPUTS!$B$10,"NG",IF(RHO_ARCH!J96&gt;INPUTS!$B$9,"HEAVY","OK")))</f>
        <v/>
      </c>
      <c r="K96" s="4" t="str">
        <f aca="false">IF(RHO_ARCH!K96="","",IF(RHO_ARCH!K96&gt;INPUTS!$B$10,"NG",IF(RHO_ARCH!K96&gt;INPUTS!$B$9,"HEAVY","OK")))</f>
        <v/>
      </c>
      <c r="L96" s="4" t="str">
        <f aca="false">IF(RHO_ARCH!L96="","",IF(RHO_ARCH!L96&gt;INPUTS!$B$10,"NG",IF(RHO_ARCH!L96&gt;INPUTS!$B$9,"HEAVY","OK")))</f>
        <v/>
      </c>
      <c r="M96" s="4" t="str">
        <f aca="false">IF(RHO_ARCH!M96="","",IF(RHO_ARCH!M96&gt;INPUTS!$B$10,"NG",IF(RHO_ARCH!M96&gt;INPUTS!$B$9,"HEAVY","OK")))</f>
        <v/>
      </c>
      <c r="N96" s="4" t="str">
        <f aca="false">IF(RHO_ARCH!N96="","",IF(RHO_ARCH!N96&gt;INPUTS!$B$10,"NG",IF(RHO_ARCH!N96&gt;INPUTS!$B$9,"HEAVY","OK")))</f>
        <v/>
      </c>
      <c r="O96" s="4" t="str">
        <f aca="false">IF(RHO_ARCH!O96="","",IF(RHO_ARCH!O96&gt;INPUTS!$B$10,"NG",IF(RHO_ARCH!O96&gt;INPUTS!$B$9,"HEAVY","OK")))</f>
        <v/>
      </c>
      <c r="P96" s="4" t="str">
        <f aca="false">IF(RHO_ARCH!P96="","",IF(RHO_ARCH!P96&gt;INPUTS!$B$10,"NG",IF(RHO_ARCH!P96&gt;INPUTS!$B$9,"HEAVY","OK")))</f>
        <v/>
      </c>
    </row>
    <row r="97" customFormat="false" ht="15" hidden="false" customHeight="false" outlineLevel="0" collapsed="false">
      <c r="A97" s="11" t="str">
        <f aca="false">TRIB!A97</f>
        <v>C96</v>
      </c>
      <c r="B97" s="14" t="n">
        <f aca="false">TRIB!B97</f>
        <v>747.910187278126</v>
      </c>
      <c r="C97" s="14" t="n">
        <f aca="false">TRIB!C97</f>
        <v>2570.78198508235</v>
      </c>
      <c r="D97" s="11" t="str">
        <f aca="false">TRIB!D97</f>
        <v>B</v>
      </c>
      <c r="E97" s="4" t="str">
        <f aca="false">IF(RHO_ARCH!E97="","",IF(RHO_ARCH!E97&gt;INPUTS!$B$10,"NG",IF(RHO_ARCH!E97&gt;INPUTS!$B$9,"HEAVY","OK")))</f>
        <v>OK</v>
      </c>
      <c r="F97" s="4" t="str">
        <f aca="false">IF(RHO_ARCH!F97="","",IF(RHO_ARCH!F97&gt;INPUTS!$B$10,"NG",IF(RHO_ARCH!F97&gt;INPUTS!$B$9,"HEAVY","OK")))</f>
        <v>OK</v>
      </c>
      <c r="G97" s="4" t="str">
        <f aca="false">IF(RHO_ARCH!G97="","",IF(RHO_ARCH!G97&gt;INPUTS!$B$10,"NG",IF(RHO_ARCH!G97&gt;INPUTS!$B$9,"HEAVY","OK")))</f>
        <v>OK</v>
      </c>
      <c r="H97" s="4" t="str">
        <f aca="false">IF(RHO_ARCH!H97="","",IF(RHO_ARCH!H97&gt;INPUTS!$B$10,"NG",IF(RHO_ARCH!H97&gt;INPUTS!$B$9,"HEAVY","OK")))</f>
        <v>OK</v>
      </c>
      <c r="I97" s="4" t="str">
        <f aca="false">IF(RHO_ARCH!I97="","",IF(RHO_ARCH!I97&gt;INPUTS!$B$10,"NG",IF(RHO_ARCH!I97&gt;INPUTS!$B$9,"HEAVY","OK")))</f>
        <v>OK</v>
      </c>
      <c r="J97" s="4" t="str">
        <f aca="false">IF(RHO_ARCH!J97="","",IF(RHO_ARCH!J97&gt;INPUTS!$B$10,"NG",IF(RHO_ARCH!J97&gt;INPUTS!$B$9,"HEAVY","OK")))</f>
        <v/>
      </c>
      <c r="K97" s="4" t="str">
        <f aca="false">IF(RHO_ARCH!K97="","",IF(RHO_ARCH!K97&gt;INPUTS!$B$10,"NG",IF(RHO_ARCH!K97&gt;INPUTS!$B$9,"HEAVY","OK")))</f>
        <v/>
      </c>
      <c r="L97" s="4" t="str">
        <f aca="false">IF(RHO_ARCH!L97="","",IF(RHO_ARCH!L97&gt;INPUTS!$B$10,"NG",IF(RHO_ARCH!L97&gt;INPUTS!$B$9,"HEAVY","OK")))</f>
        <v/>
      </c>
      <c r="M97" s="4" t="str">
        <f aca="false">IF(RHO_ARCH!M97="","",IF(RHO_ARCH!M97&gt;INPUTS!$B$10,"NG",IF(RHO_ARCH!M97&gt;INPUTS!$B$9,"HEAVY","OK")))</f>
        <v/>
      </c>
      <c r="N97" s="4" t="str">
        <f aca="false">IF(RHO_ARCH!N97="","",IF(RHO_ARCH!N97&gt;INPUTS!$B$10,"NG",IF(RHO_ARCH!N97&gt;INPUTS!$B$9,"HEAVY","OK")))</f>
        <v/>
      </c>
      <c r="O97" s="4" t="str">
        <f aca="false">IF(RHO_ARCH!O97="","",IF(RHO_ARCH!O97&gt;INPUTS!$B$10,"NG",IF(RHO_ARCH!O97&gt;INPUTS!$B$9,"HEAVY","OK")))</f>
        <v/>
      </c>
      <c r="P97" s="4" t="str">
        <f aca="false">IF(RHO_ARCH!P97="","",IF(RHO_ARCH!P97&gt;INPUTS!$B$10,"NG",IF(RHO_ARCH!P97&gt;INPUTS!$B$9,"HEAVY","OK")))</f>
        <v/>
      </c>
    </row>
    <row r="98" customFormat="false" ht="15" hidden="false" customHeight="false" outlineLevel="0" collapsed="false">
      <c r="A98" s="11" t="str">
        <f aca="false">TRIB!A98</f>
        <v>C97</v>
      </c>
      <c r="B98" s="14" t="n">
        <f aca="false">TRIB!B98</f>
        <v>748.973266105522</v>
      </c>
      <c r="C98" s="14" t="n">
        <f aca="false">TRIB!C98</f>
        <v>2583.78198508235</v>
      </c>
      <c r="D98" s="11" t="str">
        <f aca="false">TRIB!D98</f>
        <v>B</v>
      </c>
      <c r="E98" s="4" t="str">
        <f aca="false">IF(RHO_ARCH!E98="","",IF(RHO_ARCH!E98&gt;INPUTS!$B$10,"NG",IF(RHO_ARCH!E98&gt;INPUTS!$B$9,"HEAVY","OK")))</f>
        <v>OK</v>
      </c>
      <c r="F98" s="4" t="str">
        <f aca="false">IF(RHO_ARCH!F98="","",IF(RHO_ARCH!F98&gt;INPUTS!$B$10,"NG",IF(RHO_ARCH!F98&gt;INPUTS!$B$9,"HEAVY","OK")))</f>
        <v>OK</v>
      </c>
      <c r="G98" s="4" t="str">
        <f aca="false">IF(RHO_ARCH!G98="","",IF(RHO_ARCH!G98&gt;INPUTS!$B$10,"NG",IF(RHO_ARCH!G98&gt;INPUTS!$B$9,"HEAVY","OK")))</f>
        <v>OK</v>
      </c>
      <c r="H98" s="4" t="str">
        <f aca="false">IF(RHO_ARCH!H98="","",IF(RHO_ARCH!H98&gt;INPUTS!$B$10,"NG",IF(RHO_ARCH!H98&gt;INPUTS!$B$9,"HEAVY","OK")))</f>
        <v>OK</v>
      </c>
      <c r="I98" s="4" t="str">
        <f aca="false">IF(RHO_ARCH!I98="","",IF(RHO_ARCH!I98&gt;INPUTS!$B$10,"NG",IF(RHO_ARCH!I98&gt;INPUTS!$B$9,"HEAVY","OK")))</f>
        <v>OK</v>
      </c>
      <c r="J98" s="4" t="str">
        <f aca="false">IF(RHO_ARCH!J98="","",IF(RHO_ARCH!J98&gt;INPUTS!$B$10,"NG",IF(RHO_ARCH!J98&gt;INPUTS!$B$9,"HEAVY","OK")))</f>
        <v/>
      </c>
      <c r="K98" s="4" t="str">
        <f aca="false">IF(RHO_ARCH!K98="","",IF(RHO_ARCH!K98&gt;INPUTS!$B$10,"NG",IF(RHO_ARCH!K98&gt;INPUTS!$B$9,"HEAVY","OK")))</f>
        <v/>
      </c>
      <c r="L98" s="4" t="str">
        <f aca="false">IF(RHO_ARCH!L98="","",IF(RHO_ARCH!L98&gt;INPUTS!$B$10,"NG",IF(RHO_ARCH!L98&gt;INPUTS!$B$9,"HEAVY","OK")))</f>
        <v/>
      </c>
      <c r="M98" s="4" t="str">
        <f aca="false">IF(RHO_ARCH!M98="","",IF(RHO_ARCH!M98&gt;INPUTS!$B$10,"NG",IF(RHO_ARCH!M98&gt;INPUTS!$B$9,"HEAVY","OK")))</f>
        <v/>
      </c>
      <c r="N98" s="4" t="str">
        <f aca="false">IF(RHO_ARCH!N98="","",IF(RHO_ARCH!N98&gt;INPUTS!$B$10,"NG",IF(RHO_ARCH!N98&gt;INPUTS!$B$9,"HEAVY","OK")))</f>
        <v/>
      </c>
      <c r="O98" s="4" t="str">
        <f aca="false">IF(RHO_ARCH!O98="","",IF(RHO_ARCH!O98&gt;INPUTS!$B$10,"NG",IF(RHO_ARCH!O98&gt;INPUTS!$B$9,"HEAVY","OK")))</f>
        <v/>
      </c>
      <c r="P98" s="4" t="str">
        <f aca="false">IF(RHO_ARCH!P98="","",IF(RHO_ARCH!P98&gt;INPUTS!$B$10,"NG",IF(RHO_ARCH!P98&gt;INPUTS!$B$9,"HEAVY","OK")))</f>
        <v/>
      </c>
    </row>
    <row r="99" customFormat="false" ht="15" hidden="false" customHeight="false" outlineLevel="0" collapsed="false">
      <c r="A99" s="11" t="str">
        <f aca="false">TRIB!A99</f>
        <v>C98</v>
      </c>
      <c r="B99" s="14" t="n">
        <f aca="false">TRIB!B99</f>
        <v>749.88290345443</v>
      </c>
      <c r="C99" s="14" t="n">
        <f aca="false">TRIB!C99</f>
        <v>2601.78198508235</v>
      </c>
      <c r="D99" s="11" t="str">
        <f aca="false">TRIB!D99</f>
        <v>B</v>
      </c>
      <c r="E99" s="4" t="str">
        <f aca="false">IF(RHO_ARCH!E99="","",IF(RHO_ARCH!E99&gt;INPUTS!$B$10,"NG",IF(RHO_ARCH!E99&gt;INPUTS!$B$9,"HEAVY","OK")))</f>
        <v>OK</v>
      </c>
      <c r="F99" s="4" t="str">
        <f aca="false">IF(RHO_ARCH!F99="","",IF(RHO_ARCH!F99&gt;INPUTS!$B$10,"NG",IF(RHO_ARCH!F99&gt;INPUTS!$B$9,"HEAVY","OK")))</f>
        <v>OK</v>
      </c>
      <c r="G99" s="4" t="str">
        <f aca="false">IF(RHO_ARCH!G99="","",IF(RHO_ARCH!G99&gt;INPUTS!$B$10,"NG",IF(RHO_ARCH!G99&gt;INPUTS!$B$9,"HEAVY","OK")))</f>
        <v>OK</v>
      </c>
      <c r="H99" s="4" t="str">
        <f aca="false">IF(RHO_ARCH!H99="","",IF(RHO_ARCH!H99&gt;INPUTS!$B$10,"NG",IF(RHO_ARCH!H99&gt;INPUTS!$B$9,"HEAVY","OK")))</f>
        <v>OK</v>
      </c>
      <c r="I99" s="4" t="str">
        <f aca="false">IF(RHO_ARCH!I99="","",IF(RHO_ARCH!I99&gt;INPUTS!$B$10,"NG",IF(RHO_ARCH!I99&gt;INPUTS!$B$9,"HEAVY","OK")))</f>
        <v>OK</v>
      </c>
      <c r="J99" s="4" t="str">
        <f aca="false">IF(RHO_ARCH!J99="","",IF(RHO_ARCH!J99&gt;INPUTS!$B$10,"NG",IF(RHO_ARCH!J99&gt;INPUTS!$B$9,"HEAVY","OK")))</f>
        <v/>
      </c>
      <c r="K99" s="4" t="str">
        <f aca="false">IF(RHO_ARCH!K99="","",IF(RHO_ARCH!K99&gt;INPUTS!$B$10,"NG",IF(RHO_ARCH!K99&gt;INPUTS!$B$9,"HEAVY","OK")))</f>
        <v/>
      </c>
      <c r="L99" s="4" t="str">
        <f aca="false">IF(RHO_ARCH!L99="","",IF(RHO_ARCH!L99&gt;INPUTS!$B$10,"NG",IF(RHO_ARCH!L99&gt;INPUTS!$B$9,"HEAVY","OK")))</f>
        <v/>
      </c>
      <c r="M99" s="4" t="str">
        <f aca="false">IF(RHO_ARCH!M99="","",IF(RHO_ARCH!M99&gt;INPUTS!$B$10,"NG",IF(RHO_ARCH!M99&gt;INPUTS!$B$9,"HEAVY","OK")))</f>
        <v/>
      </c>
      <c r="N99" s="4" t="str">
        <f aca="false">IF(RHO_ARCH!N99="","",IF(RHO_ARCH!N99&gt;INPUTS!$B$10,"NG",IF(RHO_ARCH!N99&gt;INPUTS!$B$9,"HEAVY","OK")))</f>
        <v/>
      </c>
      <c r="O99" s="4" t="str">
        <f aca="false">IF(RHO_ARCH!O99="","",IF(RHO_ARCH!O99&gt;INPUTS!$B$10,"NG",IF(RHO_ARCH!O99&gt;INPUTS!$B$9,"HEAVY","OK")))</f>
        <v/>
      </c>
      <c r="P99" s="4" t="str">
        <f aca="false">IF(RHO_ARCH!P99="","",IF(RHO_ARCH!P99&gt;INPUTS!$B$10,"NG",IF(RHO_ARCH!P99&gt;INPUTS!$B$9,"HEAVY","OK")))</f>
        <v/>
      </c>
    </row>
    <row r="100" customFormat="false" ht="15" hidden="false" customHeight="false" outlineLevel="0" collapsed="false">
      <c r="A100" s="11" t="str">
        <f aca="false">TRIB!A100</f>
        <v>C99</v>
      </c>
      <c r="B100" s="14" t="n">
        <f aca="false">TRIB!B100</f>
        <v>749.882903454429</v>
      </c>
      <c r="C100" s="14" t="n">
        <f aca="false">TRIB!C100</f>
        <v>2628.79147662427</v>
      </c>
      <c r="D100" s="11" t="str">
        <f aca="false">TRIB!D100</f>
        <v>B</v>
      </c>
      <c r="E100" s="4" t="str">
        <f aca="false">IF(RHO_ARCH!E100="","",IF(RHO_ARCH!E100&gt;INPUTS!$B$10,"NG",IF(RHO_ARCH!E100&gt;INPUTS!$B$9,"HEAVY","OK")))</f>
        <v>OK</v>
      </c>
      <c r="F100" s="4" t="str">
        <f aca="false">IF(RHO_ARCH!F100="","",IF(RHO_ARCH!F100&gt;INPUTS!$B$10,"NG",IF(RHO_ARCH!F100&gt;INPUTS!$B$9,"HEAVY","OK")))</f>
        <v>OK</v>
      </c>
      <c r="G100" s="4" t="str">
        <f aca="false">IF(RHO_ARCH!G100="","",IF(RHO_ARCH!G100&gt;INPUTS!$B$10,"NG",IF(RHO_ARCH!G100&gt;INPUTS!$B$9,"HEAVY","OK")))</f>
        <v>OK</v>
      </c>
      <c r="H100" s="4" t="str">
        <f aca="false">IF(RHO_ARCH!H100="","",IF(RHO_ARCH!H100&gt;INPUTS!$B$10,"NG",IF(RHO_ARCH!H100&gt;INPUTS!$B$9,"HEAVY","OK")))</f>
        <v>OK</v>
      </c>
      <c r="I100" s="4" t="str">
        <f aca="false">IF(RHO_ARCH!I100="","",IF(RHO_ARCH!I100&gt;INPUTS!$B$10,"NG",IF(RHO_ARCH!I100&gt;INPUTS!$B$9,"HEAVY","OK")))</f>
        <v>OK</v>
      </c>
      <c r="J100" s="4" t="str">
        <f aca="false">IF(RHO_ARCH!J100="","",IF(RHO_ARCH!J100&gt;INPUTS!$B$10,"NG",IF(RHO_ARCH!J100&gt;INPUTS!$B$9,"HEAVY","OK")))</f>
        <v/>
      </c>
      <c r="K100" s="4" t="str">
        <f aca="false">IF(RHO_ARCH!K100="","",IF(RHO_ARCH!K100&gt;INPUTS!$B$10,"NG",IF(RHO_ARCH!K100&gt;INPUTS!$B$9,"HEAVY","OK")))</f>
        <v/>
      </c>
      <c r="L100" s="4" t="str">
        <f aca="false">IF(RHO_ARCH!L100="","",IF(RHO_ARCH!L100&gt;INPUTS!$B$10,"NG",IF(RHO_ARCH!L100&gt;INPUTS!$B$9,"HEAVY","OK")))</f>
        <v/>
      </c>
      <c r="M100" s="4" t="str">
        <f aca="false">IF(RHO_ARCH!M100="","",IF(RHO_ARCH!M100&gt;INPUTS!$B$10,"NG",IF(RHO_ARCH!M100&gt;INPUTS!$B$9,"HEAVY","OK")))</f>
        <v/>
      </c>
      <c r="N100" s="4" t="str">
        <f aca="false">IF(RHO_ARCH!N100="","",IF(RHO_ARCH!N100&gt;INPUTS!$B$10,"NG",IF(RHO_ARCH!N100&gt;INPUTS!$B$9,"HEAVY","OK")))</f>
        <v/>
      </c>
      <c r="O100" s="4" t="str">
        <f aca="false">IF(RHO_ARCH!O100="","",IF(RHO_ARCH!O100&gt;INPUTS!$B$10,"NG",IF(RHO_ARCH!O100&gt;INPUTS!$B$9,"HEAVY","OK")))</f>
        <v/>
      </c>
      <c r="P100" s="4" t="str">
        <f aca="false">IF(RHO_ARCH!P100="","",IF(RHO_ARCH!P100&gt;INPUTS!$B$10,"NG",IF(RHO_ARCH!P100&gt;INPUTS!$B$9,"HEAVY","OK")))</f>
        <v/>
      </c>
    </row>
    <row r="101" customFormat="false" ht="15" hidden="false" customHeight="false" outlineLevel="0" collapsed="false">
      <c r="A101" s="11" t="str">
        <f aca="false">TRIB!A101</f>
        <v>C100</v>
      </c>
      <c r="B101" s="14" t="n">
        <f aca="false">TRIB!B101</f>
        <v>753.687862131782</v>
      </c>
      <c r="C101" s="14" t="n">
        <f aca="false">TRIB!C101</f>
        <v>1816.93691619513</v>
      </c>
      <c r="D101" s="11" t="str">
        <f aca="false">TRIB!D101</f>
        <v>B</v>
      </c>
      <c r="E101" s="4" t="str">
        <f aca="false">IF(RHO_ARCH!E101="","",IF(RHO_ARCH!E101&gt;INPUTS!$B$10,"NG",IF(RHO_ARCH!E101&gt;INPUTS!$B$9,"HEAVY","OK")))</f>
        <v>OK</v>
      </c>
      <c r="F101" s="4" t="str">
        <f aca="false">IF(RHO_ARCH!F101="","",IF(RHO_ARCH!F101&gt;INPUTS!$B$10,"NG",IF(RHO_ARCH!F101&gt;INPUTS!$B$9,"HEAVY","OK")))</f>
        <v>OK</v>
      </c>
      <c r="G101" s="4" t="str">
        <f aca="false">IF(RHO_ARCH!G101="","",IF(RHO_ARCH!G101&gt;INPUTS!$B$10,"NG",IF(RHO_ARCH!G101&gt;INPUTS!$B$9,"HEAVY","OK")))</f>
        <v>OK</v>
      </c>
      <c r="H101" s="4" t="str">
        <f aca="false">IF(RHO_ARCH!H101="","",IF(RHO_ARCH!H101&gt;INPUTS!$B$10,"NG",IF(RHO_ARCH!H101&gt;INPUTS!$B$9,"HEAVY","OK")))</f>
        <v>OK</v>
      </c>
      <c r="I101" s="4" t="str">
        <f aca="false">IF(RHO_ARCH!I101="","",IF(RHO_ARCH!I101&gt;INPUTS!$B$10,"NG",IF(RHO_ARCH!I101&gt;INPUTS!$B$9,"HEAVY","OK")))</f>
        <v>OK</v>
      </c>
      <c r="J101" s="4" t="str">
        <f aca="false">IF(RHO_ARCH!J101="","",IF(RHO_ARCH!J101&gt;INPUTS!$B$10,"NG",IF(RHO_ARCH!J101&gt;INPUTS!$B$9,"HEAVY","OK")))</f>
        <v>OK</v>
      </c>
      <c r="K101" s="4" t="str">
        <f aca="false">IF(RHO_ARCH!K101="","",IF(RHO_ARCH!K101&gt;INPUTS!$B$10,"NG",IF(RHO_ARCH!K101&gt;INPUTS!$B$9,"HEAVY","OK")))</f>
        <v/>
      </c>
      <c r="L101" s="4" t="str">
        <f aca="false">IF(RHO_ARCH!L101="","",IF(RHO_ARCH!L101&gt;INPUTS!$B$10,"NG",IF(RHO_ARCH!L101&gt;INPUTS!$B$9,"HEAVY","OK")))</f>
        <v/>
      </c>
      <c r="M101" s="4" t="str">
        <f aca="false">IF(RHO_ARCH!M101="","",IF(RHO_ARCH!M101&gt;INPUTS!$B$10,"NG",IF(RHO_ARCH!M101&gt;INPUTS!$B$9,"HEAVY","OK")))</f>
        <v/>
      </c>
      <c r="N101" s="4" t="str">
        <f aca="false">IF(RHO_ARCH!N101="","",IF(RHO_ARCH!N101&gt;INPUTS!$B$10,"NG",IF(RHO_ARCH!N101&gt;INPUTS!$B$9,"HEAVY","OK")))</f>
        <v/>
      </c>
      <c r="O101" s="4" t="str">
        <f aca="false">IF(RHO_ARCH!O101="","",IF(RHO_ARCH!O101&gt;INPUTS!$B$10,"NG",IF(RHO_ARCH!O101&gt;INPUTS!$B$9,"HEAVY","OK")))</f>
        <v/>
      </c>
      <c r="P101" s="4" t="str">
        <f aca="false">IF(RHO_ARCH!P101="","",IF(RHO_ARCH!P101&gt;INPUTS!$B$10,"NG",IF(RHO_ARCH!P101&gt;INPUTS!$B$9,"HEAVY","OK")))</f>
        <v/>
      </c>
    </row>
    <row r="102" customFormat="false" ht="15" hidden="false" customHeight="false" outlineLevel="0" collapsed="false">
      <c r="A102" s="11" t="str">
        <f aca="false">TRIB!A102</f>
        <v>C101</v>
      </c>
      <c r="B102" s="14" t="n">
        <f aca="false">TRIB!B102</f>
        <v>766.007627429283</v>
      </c>
      <c r="C102" s="14" t="n">
        <f aca="false">TRIB!C102</f>
        <v>2542.77331074306</v>
      </c>
      <c r="D102" s="11" t="str">
        <f aca="false">TRIB!D102</f>
        <v>B</v>
      </c>
      <c r="E102" s="4" t="str">
        <f aca="false">IF(RHO_ARCH!E102="","",IF(RHO_ARCH!E102&gt;INPUTS!$B$10,"NG",IF(RHO_ARCH!E102&gt;INPUTS!$B$9,"HEAVY","OK")))</f>
        <v>OK</v>
      </c>
      <c r="F102" s="4" t="str">
        <f aca="false">IF(RHO_ARCH!F102="","",IF(RHO_ARCH!F102&gt;INPUTS!$B$10,"NG",IF(RHO_ARCH!F102&gt;INPUTS!$B$9,"HEAVY","OK")))</f>
        <v>OK</v>
      </c>
      <c r="G102" s="4" t="str">
        <f aca="false">IF(RHO_ARCH!G102="","",IF(RHO_ARCH!G102&gt;INPUTS!$B$10,"NG",IF(RHO_ARCH!G102&gt;INPUTS!$B$9,"HEAVY","OK")))</f>
        <v>OK</v>
      </c>
      <c r="H102" s="4" t="str">
        <f aca="false">IF(RHO_ARCH!H102="","",IF(RHO_ARCH!H102&gt;INPUTS!$B$10,"NG",IF(RHO_ARCH!H102&gt;INPUTS!$B$9,"HEAVY","OK")))</f>
        <v>OK</v>
      </c>
      <c r="I102" s="4" t="str">
        <f aca="false">IF(RHO_ARCH!I102="","",IF(RHO_ARCH!I102&gt;INPUTS!$B$10,"NG",IF(RHO_ARCH!I102&gt;INPUTS!$B$9,"HEAVY","OK")))</f>
        <v>OK</v>
      </c>
      <c r="J102" s="4" t="str">
        <f aca="false">IF(RHO_ARCH!J102="","",IF(RHO_ARCH!J102&gt;INPUTS!$B$10,"NG",IF(RHO_ARCH!J102&gt;INPUTS!$B$9,"HEAVY","OK")))</f>
        <v/>
      </c>
      <c r="K102" s="4" t="str">
        <f aca="false">IF(RHO_ARCH!K102="","",IF(RHO_ARCH!K102&gt;INPUTS!$B$10,"NG",IF(RHO_ARCH!K102&gt;INPUTS!$B$9,"HEAVY","OK")))</f>
        <v/>
      </c>
      <c r="L102" s="4" t="str">
        <f aca="false">IF(RHO_ARCH!L102="","",IF(RHO_ARCH!L102&gt;INPUTS!$B$10,"NG",IF(RHO_ARCH!L102&gt;INPUTS!$B$9,"HEAVY","OK")))</f>
        <v/>
      </c>
      <c r="M102" s="4" t="str">
        <f aca="false">IF(RHO_ARCH!M102="","",IF(RHO_ARCH!M102&gt;INPUTS!$B$10,"NG",IF(RHO_ARCH!M102&gt;INPUTS!$B$9,"HEAVY","OK")))</f>
        <v/>
      </c>
      <c r="N102" s="4" t="str">
        <f aca="false">IF(RHO_ARCH!N102="","",IF(RHO_ARCH!N102&gt;INPUTS!$B$10,"NG",IF(RHO_ARCH!N102&gt;INPUTS!$B$9,"HEAVY","OK")))</f>
        <v/>
      </c>
      <c r="O102" s="4" t="str">
        <f aca="false">IF(RHO_ARCH!O102="","",IF(RHO_ARCH!O102&gt;INPUTS!$B$10,"NG",IF(RHO_ARCH!O102&gt;INPUTS!$B$9,"HEAVY","OK")))</f>
        <v/>
      </c>
      <c r="P102" s="4" t="str">
        <f aca="false">IF(RHO_ARCH!P102="","",IF(RHO_ARCH!P102&gt;INPUTS!$B$10,"NG",IF(RHO_ARCH!P102&gt;INPUTS!$B$9,"HEAVY","OK")))</f>
        <v/>
      </c>
    </row>
    <row r="103" customFormat="false" ht="15" hidden="false" customHeight="false" outlineLevel="0" collapsed="false">
      <c r="A103" s="11" t="str">
        <f aca="false">TRIB!A103</f>
        <v>C102</v>
      </c>
      <c r="B103" s="14" t="n">
        <f aca="false">TRIB!B103</f>
        <v>773.33917415544</v>
      </c>
      <c r="C103" s="14" t="n">
        <f aca="false">TRIB!C103</f>
        <v>2562.66306942484</v>
      </c>
      <c r="D103" s="11" t="str">
        <f aca="false">TRIB!D103</f>
        <v>B</v>
      </c>
      <c r="E103" s="4" t="str">
        <f aca="false">IF(RHO_ARCH!E103="","",IF(RHO_ARCH!E103&gt;INPUTS!$B$10,"NG",IF(RHO_ARCH!E103&gt;INPUTS!$B$9,"HEAVY","OK")))</f>
        <v>OK</v>
      </c>
      <c r="F103" s="4" t="str">
        <f aca="false">IF(RHO_ARCH!F103="","",IF(RHO_ARCH!F103&gt;INPUTS!$B$10,"NG",IF(RHO_ARCH!F103&gt;INPUTS!$B$9,"HEAVY","OK")))</f>
        <v>OK</v>
      </c>
      <c r="G103" s="4" t="str">
        <f aca="false">IF(RHO_ARCH!G103="","",IF(RHO_ARCH!G103&gt;INPUTS!$B$10,"NG",IF(RHO_ARCH!G103&gt;INPUTS!$B$9,"HEAVY","OK")))</f>
        <v>OK</v>
      </c>
      <c r="H103" s="4" t="str">
        <f aca="false">IF(RHO_ARCH!H103="","",IF(RHO_ARCH!H103&gt;INPUTS!$B$10,"NG",IF(RHO_ARCH!H103&gt;INPUTS!$B$9,"HEAVY","OK")))</f>
        <v>OK</v>
      </c>
      <c r="I103" s="4" t="str">
        <f aca="false">IF(RHO_ARCH!I103="","",IF(RHO_ARCH!I103&gt;INPUTS!$B$10,"NG",IF(RHO_ARCH!I103&gt;INPUTS!$B$9,"HEAVY","OK")))</f>
        <v>OK</v>
      </c>
      <c r="J103" s="4" t="str">
        <f aca="false">IF(RHO_ARCH!J103="","",IF(RHO_ARCH!J103&gt;INPUTS!$B$10,"NG",IF(RHO_ARCH!J103&gt;INPUTS!$B$9,"HEAVY","OK")))</f>
        <v/>
      </c>
      <c r="K103" s="4" t="str">
        <f aca="false">IF(RHO_ARCH!K103="","",IF(RHO_ARCH!K103&gt;INPUTS!$B$10,"NG",IF(RHO_ARCH!K103&gt;INPUTS!$B$9,"HEAVY","OK")))</f>
        <v/>
      </c>
      <c r="L103" s="4" t="str">
        <f aca="false">IF(RHO_ARCH!L103="","",IF(RHO_ARCH!L103&gt;INPUTS!$B$10,"NG",IF(RHO_ARCH!L103&gt;INPUTS!$B$9,"HEAVY","OK")))</f>
        <v/>
      </c>
      <c r="M103" s="4" t="str">
        <f aca="false">IF(RHO_ARCH!M103="","",IF(RHO_ARCH!M103&gt;INPUTS!$B$10,"NG",IF(RHO_ARCH!M103&gt;INPUTS!$B$9,"HEAVY","OK")))</f>
        <v/>
      </c>
      <c r="N103" s="4" t="str">
        <f aca="false">IF(RHO_ARCH!N103="","",IF(RHO_ARCH!N103&gt;INPUTS!$B$10,"NG",IF(RHO_ARCH!N103&gt;INPUTS!$B$9,"HEAVY","OK")))</f>
        <v/>
      </c>
      <c r="O103" s="4" t="str">
        <f aca="false">IF(RHO_ARCH!O103="","",IF(RHO_ARCH!O103&gt;INPUTS!$B$10,"NG",IF(RHO_ARCH!O103&gt;INPUTS!$B$9,"HEAVY","OK")))</f>
        <v/>
      </c>
      <c r="P103" s="4" t="str">
        <f aca="false">IF(RHO_ARCH!P103="","",IF(RHO_ARCH!P103&gt;INPUTS!$B$10,"NG",IF(RHO_ARCH!P103&gt;INPUTS!$B$9,"HEAVY","OK")))</f>
        <v/>
      </c>
    </row>
    <row r="104" customFormat="false" ht="15" hidden="false" customHeight="false" outlineLevel="0" collapsed="false">
      <c r="A104" s="11" t="str">
        <f aca="false">TRIB!A104</f>
        <v>C103</v>
      </c>
      <c r="B104" s="14" t="n">
        <f aca="false">TRIB!B104</f>
        <v>776.639932772187</v>
      </c>
      <c r="C104" s="14" t="n">
        <f aca="false">TRIB!C104</f>
        <v>2628.79147662427</v>
      </c>
      <c r="D104" s="11" t="str">
        <f aca="false">TRIB!D104</f>
        <v>B</v>
      </c>
      <c r="E104" s="4" t="str">
        <f aca="false">IF(RHO_ARCH!E104="","",IF(RHO_ARCH!E104&gt;INPUTS!$B$10,"NG",IF(RHO_ARCH!E104&gt;INPUTS!$B$9,"HEAVY","OK")))</f>
        <v>OK</v>
      </c>
      <c r="F104" s="4" t="str">
        <f aca="false">IF(RHO_ARCH!F104="","",IF(RHO_ARCH!F104&gt;INPUTS!$B$10,"NG",IF(RHO_ARCH!F104&gt;INPUTS!$B$9,"HEAVY","OK")))</f>
        <v>OK</v>
      </c>
      <c r="G104" s="4" t="str">
        <f aca="false">IF(RHO_ARCH!G104="","",IF(RHO_ARCH!G104&gt;INPUTS!$B$10,"NG",IF(RHO_ARCH!G104&gt;INPUTS!$B$9,"HEAVY","OK")))</f>
        <v>OK</v>
      </c>
      <c r="H104" s="4" t="str">
        <f aca="false">IF(RHO_ARCH!H104="","",IF(RHO_ARCH!H104&gt;INPUTS!$B$10,"NG",IF(RHO_ARCH!H104&gt;INPUTS!$B$9,"HEAVY","OK")))</f>
        <v>OK</v>
      </c>
      <c r="I104" s="4" t="str">
        <f aca="false">IF(RHO_ARCH!I104="","",IF(RHO_ARCH!I104&gt;INPUTS!$B$10,"NG",IF(RHO_ARCH!I104&gt;INPUTS!$B$9,"HEAVY","OK")))</f>
        <v>OK</v>
      </c>
      <c r="J104" s="4" t="str">
        <f aca="false">IF(RHO_ARCH!J104="","",IF(RHO_ARCH!J104&gt;INPUTS!$B$10,"NG",IF(RHO_ARCH!J104&gt;INPUTS!$B$9,"HEAVY","OK")))</f>
        <v/>
      </c>
      <c r="K104" s="4" t="str">
        <f aca="false">IF(RHO_ARCH!K104="","",IF(RHO_ARCH!K104&gt;INPUTS!$B$10,"NG",IF(RHO_ARCH!K104&gt;INPUTS!$B$9,"HEAVY","OK")))</f>
        <v/>
      </c>
      <c r="L104" s="4" t="str">
        <f aca="false">IF(RHO_ARCH!L104="","",IF(RHO_ARCH!L104&gt;INPUTS!$B$10,"NG",IF(RHO_ARCH!L104&gt;INPUTS!$B$9,"HEAVY","OK")))</f>
        <v/>
      </c>
      <c r="M104" s="4" t="str">
        <f aca="false">IF(RHO_ARCH!M104="","",IF(RHO_ARCH!M104&gt;INPUTS!$B$10,"NG",IF(RHO_ARCH!M104&gt;INPUTS!$B$9,"HEAVY","OK")))</f>
        <v/>
      </c>
      <c r="N104" s="4" t="str">
        <f aca="false">IF(RHO_ARCH!N104="","",IF(RHO_ARCH!N104&gt;INPUTS!$B$10,"NG",IF(RHO_ARCH!N104&gt;INPUTS!$B$9,"HEAVY","OK")))</f>
        <v/>
      </c>
      <c r="O104" s="4" t="str">
        <f aca="false">IF(RHO_ARCH!O104="","",IF(RHO_ARCH!O104&gt;INPUTS!$B$10,"NG",IF(RHO_ARCH!O104&gt;INPUTS!$B$9,"HEAVY","OK")))</f>
        <v/>
      </c>
      <c r="P104" s="4" t="str">
        <f aca="false">IF(RHO_ARCH!P104="","",IF(RHO_ARCH!P104&gt;INPUTS!$B$10,"NG",IF(RHO_ARCH!P104&gt;INPUTS!$B$9,"HEAVY","OK")))</f>
        <v/>
      </c>
    </row>
    <row r="105" customFormat="false" ht="15" hidden="false" customHeight="false" outlineLevel="0" collapsed="false">
      <c r="A105" s="11" t="str">
        <f aca="false">TRIB!A105</f>
        <v>C104</v>
      </c>
      <c r="B105" s="14" t="n">
        <f aca="false">TRIB!B105</f>
        <v>780.67036318252</v>
      </c>
      <c r="C105" s="14" t="n">
        <f aca="false">TRIB!C105</f>
        <v>2588.30219535691</v>
      </c>
      <c r="D105" s="11" t="str">
        <f aca="false">TRIB!D105</f>
        <v>B</v>
      </c>
      <c r="E105" s="4" t="str">
        <f aca="false">IF(RHO_ARCH!E105="","",IF(RHO_ARCH!E105&gt;INPUTS!$B$10,"NG",IF(RHO_ARCH!E105&gt;INPUTS!$B$9,"HEAVY","OK")))</f>
        <v>OK</v>
      </c>
      <c r="F105" s="4" t="str">
        <f aca="false">IF(RHO_ARCH!F105="","",IF(RHO_ARCH!F105&gt;INPUTS!$B$10,"NG",IF(RHO_ARCH!F105&gt;INPUTS!$B$9,"HEAVY","OK")))</f>
        <v>OK</v>
      </c>
      <c r="G105" s="4" t="str">
        <f aca="false">IF(RHO_ARCH!G105="","",IF(RHO_ARCH!G105&gt;INPUTS!$B$10,"NG",IF(RHO_ARCH!G105&gt;INPUTS!$B$9,"HEAVY","OK")))</f>
        <v>OK</v>
      </c>
      <c r="H105" s="4" t="str">
        <f aca="false">IF(RHO_ARCH!H105="","",IF(RHO_ARCH!H105&gt;INPUTS!$B$10,"NG",IF(RHO_ARCH!H105&gt;INPUTS!$B$9,"HEAVY","OK")))</f>
        <v>OK</v>
      </c>
      <c r="I105" s="4" t="str">
        <f aca="false">IF(RHO_ARCH!I105="","",IF(RHO_ARCH!I105&gt;INPUTS!$B$10,"NG",IF(RHO_ARCH!I105&gt;INPUTS!$B$9,"HEAVY","OK")))</f>
        <v>OK</v>
      </c>
      <c r="J105" s="4" t="str">
        <f aca="false">IF(RHO_ARCH!J105="","",IF(RHO_ARCH!J105&gt;INPUTS!$B$10,"NG",IF(RHO_ARCH!J105&gt;INPUTS!$B$9,"HEAVY","OK")))</f>
        <v/>
      </c>
      <c r="K105" s="4" t="str">
        <f aca="false">IF(RHO_ARCH!K105="","",IF(RHO_ARCH!K105&gt;INPUTS!$B$10,"NG",IF(RHO_ARCH!K105&gt;INPUTS!$B$9,"HEAVY","OK")))</f>
        <v/>
      </c>
      <c r="L105" s="4" t="str">
        <f aca="false">IF(RHO_ARCH!L105="","",IF(RHO_ARCH!L105&gt;INPUTS!$B$10,"NG",IF(RHO_ARCH!L105&gt;INPUTS!$B$9,"HEAVY","OK")))</f>
        <v/>
      </c>
      <c r="M105" s="4" t="str">
        <f aca="false">IF(RHO_ARCH!M105="","",IF(RHO_ARCH!M105&gt;INPUTS!$B$10,"NG",IF(RHO_ARCH!M105&gt;INPUTS!$B$9,"HEAVY","OK")))</f>
        <v/>
      </c>
      <c r="N105" s="4" t="str">
        <f aca="false">IF(RHO_ARCH!N105="","",IF(RHO_ARCH!N105&gt;INPUTS!$B$10,"NG",IF(RHO_ARCH!N105&gt;INPUTS!$B$9,"HEAVY","OK")))</f>
        <v/>
      </c>
      <c r="O105" s="4" t="str">
        <f aca="false">IF(RHO_ARCH!O105="","",IF(RHO_ARCH!O105&gt;INPUTS!$B$10,"NG",IF(RHO_ARCH!O105&gt;INPUTS!$B$9,"HEAVY","OK")))</f>
        <v/>
      </c>
      <c r="P105" s="4" t="str">
        <f aca="false">IF(RHO_ARCH!P105="","",IF(RHO_ARCH!P105&gt;INPUTS!$B$10,"NG",IF(RHO_ARCH!P105&gt;INPUTS!$B$9,"HEAVY","OK")))</f>
        <v/>
      </c>
    </row>
    <row r="106" customFormat="false" ht="15" hidden="false" customHeight="false" outlineLevel="0" collapsed="false">
      <c r="A106" s="11" t="str">
        <f aca="false">TRIB!A106</f>
        <v>C105</v>
      </c>
      <c r="B106" s="14" t="n">
        <f aca="false">TRIB!B106</f>
        <v>783.946398286554</v>
      </c>
      <c r="C106" s="14" t="n">
        <f aca="false">TRIB!C106</f>
        <v>2607.44960850629</v>
      </c>
      <c r="D106" s="11" t="str">
        <f aca="false">TRIB!D106</f>
        <v>B</v>
      </c>
      <c r="E106" s="4" t="str">
        <f aca="false">IF(RHO_ARCH!E106="","",IF(RHO_ARCH!E106&gt;INPUTS!$B$10,"NG",IF(RHO_ARCH!E106&gt;INPUTS!$B$9,"HEAVY","OK")))</f>
        <v>OK</v>
      </c>
      <c r="F106" s="4" t="str">
        <f aca="false">IF(RHO_ARCH!F106="","",IF(RHO_ARCH!F106&gt;INPUTS!$B$10,"NG",IF(RHO_ARCH!F106&gt;INPUTS!$B$9,"HEAVY","OK")))</f>
        <v>OK</v>
      </c>
      <c r="G106" s="4" t="str">
        <f aca="false">IF(RHO_ARCH!G106="","",IF(RHO_ARCH!G106&gt;INPUTS!$B$10,"NG",IF(RHO_ARCH!G106&gt;INPUTS!$B$9,"HEAVY","OK")))</f>
        <v>OK</v>
      </c>
      <c r="H106" s="4" t="str">
        <f aca="false">IF(RHO_ARCH!H106="","",IF(RHO_ARCH!H106&gt;INPUTS!$B$10,"NG",IF(RHO_ARCH!H106&gt;INPUTS!$B$9,"HEAVY","OK")))</f>
        <v>OK</v>
      </c>
      <c r="I106" s="4" t="str">
        <f aca="false">IF(RHO_ARCH!I106="","",IF(RHO_ARCH!I106&gt;INPUTS!$B$10,"NG",IF(RHO_ARCH!I106&gt;INPUTS!$B$9,"HEAVY","OK")))</f>
        <v>OK</v>
      </c>
      <c r="J106" s="4" t="str">
        <f aca="false">IF(RHO_ARCH!J106="","",IF(RHO_ARCH!J106&gt;INPUTS!$B$10,"NG",IF(RHO_ARCH!J106&gt;INPUTS!$B$9,"HEAVY","OK")))</f>
        <v/>
      </c>
      <c r="K106" s="4" t="str">
        <f aca="false">IF(RHO_ARCH!K106="","",IF(RHO_ARCH!K106&gt;INPUTS!$B$10,"NG",IF(RHO_ARCH!K106&gt;INPUTS!$B$9,"HEAVY","OK")))</f>
        <v/>
      </c>
      <c r="L106" s="4" t="str">
        <f aca="false">IF(RHO_ARCH!L106="","",IF(RHO_ARCH!L106&gt;INPUTS!$B$10,"NG",IF(RHO_ARCH!L106&gt;INPUTS!$B$9,"HEAVY","OK")))</f>
        <v/>
      </c>
      <c r="M106" s="4" t="str">
        <f aca="false">IF(RHO_ARCH!M106="","",IF(RHO_ARCH!M106&gt;INPUTS!$B$10,"NG",IF(RHO_ARCH!M106&gt;INPUTS!$B$9,"HEAVY","OK")))</f>
        <v/>
      </c>
      <c r="N106" s="4" t="str">
        <f aca="false">IF(RHO_ARCH!N106="","",IF(RHO_ARCH!N106&gt;INPUTS!$B$10,"NG",IF(RHO_ARCH!N106&gt;INPUTS!$B$9,"HEAVY","OK")))</f>
        <v/>
      </c>
      <c r="O106" s="4" t="str">
        <f aca="false">IF(RHO_ARCH!O106="","",IF(RHO_ARCH!O106&gt;INPUTS!$B$10,"NG",IF(RHO_ARCH!O106&gt;INPUTS!$B$9,"HEAVY","OK")))</f>
        <v/>
      </c>
      <c r="P106" s="4" t="str">
        <f aca="false">IF(RHO_ARCH!P106="","",IF(RHO_ARCH!P106&gt;INPUTS!$B$10,"NG",IF(RHO_ARCH!P106&gt;INPUTS!$B$9,"HEAVY","OK")))</f>
        <v/>
      </c>
    </row>
    <row r="107" customFormat="false" ht="15" hidden="false" customHeight="false" outlineLevel="0" collapsed="false">
      <c r="A107" s="11" t="str">
        <f aca="false">TRIB!A107</f>
        <v>C106</v>
      </c>
      <c r="B107" s="14" t="n">
        <f aca="false">TRIB!B107</f>
        <v>731.006978628526</v>
      </c>
      <c r="C107" s="14" t="n">
        <f aca="false">TRIB!C107</f>
        <v>2498.93691619513</v>
      </c>
      <c r="D107" s="11" t="str">
        <f aca="false">TRIB!D107</f>
        <v>B</v>
      </c>
      <c r="E107" s="4" t="str">
        <f aca="false">IF(RHO_ARCH!E107="","",IF(RHO_ARCH!E107&gt;INPUTS!$B$10,"NG",IF(RHO_ARCH!E107&gt;INPUTS!$B$9,"HEAVY","OK")))</f>
        <v>OK</v>
      </c>
      <c r="F107" s="4" t="str">
        <f aca="false">IF(RHO_ARCH!F107="","",IF(RHO_ARCH!F107&gt;INPUTS!$B$10,"NG",IF(RHO_ARCH!F107&gt;INPUTS!$B$9,"HEAVY","OK")))</f>
        <v>OK</v>
      </c>
      <c r="G107" s="4" t="str">
        <f aca="false">IF(RHO_ARCH!G107="","",IF(RHO_ARCH!G107&gt;INPUTS!$B$10,"NG",IF(RHO_ARCH!G107&gt;INPUTS!$B$9,"HEAVY","OK")))</f>
        <v>OK</v>
      </c>
      <c r="H107" s="4" t="str">
        <f aca="false">IF(RHO_ARCH!H107="","",IF(RHO_ARCH!H107&gt;INPUTS!$B$10,"NG",IF(RHO_ARCH!H107&gt;INPUTS!$B$9,"HEAVY","OK")))</f>
        <v>OK</v>
      </c>
      <c r="I107" s="4" t="str">
        <f aca="false">IF(RHO_ARCH!I107="","",IF(RHO_ARCH!I107&gt;INPUTS!$B$10,"NG",IF(RHO_ARCH!I107&gt;INPUTS!$B$9,"HEAVY","OK")))</f>
        <v>OK</v>
      </c>
      <c r="J107" s="4" t="str">
        <f aca="false">IF(RHO_ARCH!J107="","",IF(RHO_ARCH!J107&gt;INPUTS!$B$10,"NG",IF(RHO_ARCH!J107&gt;INPUTS!$B$9,"HEAVY","OK")))</f>
        <v/>
      </c>
      <c r="K107" s="4" t="str">
        <f aca="false">IF(RHO_ARCH!K107="","",IF(RHO_ARCH!K107&gt;INPUTS!$B$10,"NG",IF(RHO_ARCH!K107&gt;INPUTS!$B$9,"HEAVY","OK")))</f>
        <v/>
      </c>
      <c r="L107" s="4" t="str">
        <f aca="false">IF(RHO_ARCH!L107="","",IF(RHO_ARCH!L107&gt;INPUTS!$B$10,"NG",IF(RHO_ARCH!L107&gt;INPUTS!$B$9,"HEAVY","OK")))</f>
        <v/>
      </c>
      <c r="M107" s="4" t="str">
        <f aca="false">IF(RHO_ARCH!M107="","",IF(RHO_ARCH!M107&gt;INPUTS!$B$10,"NG",IF(RHO_ARCH!M107&gt;INPUTS!$B$9,"HEAVY","OK")))</f>
        <v/>
      </c>
      <c r="N107" s="4" t="str">
        <f aca="false">IF(RHO_ARCH!N107="","",IF(RHO_ARCH!N107&gt;INPUTS!$B$10,"NG",IF(RHO_ARCH!N107&gt;INPUTS!$B$9,"HEAVY","OK")))</f>
        <v/>
      </c>
      <c r="O107" s="4" t="str">
        <f aca="false">IF(RHO_ARCH!O107="","",IF(RHO_ARCH!O107&gt;INPUTS!$B$10,"NG",IF(RHO_ARCH!O107&gt;INPUTS!$B$9,"HEAVY","OK")))</f>
        <v/>
      </c>
      <c r="P107" s="4" t="str">
        <f aca="false">IF(RHO_ARCH!P107="","",IF(RHO_ARCH!P107&gt;INPUTS!$B$10,"NG",IF(RHO_ARCH!P107&gt;INPUTS!$B$9,"HEAVY","OK")))</f>
        <v/>
      </c>
    </row>
    <row r="108" customFormat="false" ht="15" hidden="false" customHeight="false" outlineLevel="0" collapsed="false">
      <c r="A108" s="11" t="str">
        <f aca="false">TRIB!A108</f>
        <v>C107</v>
      </c>
      <c r="B108" s="14" t="n">
        <f aca="false">TRIB!B108</f>
        <v>767.015829921962</v>
      </c>
      <c r="C108" s="14" t="n">
        <f aca="false">TRIB!C108</f>
        <v>2498.93691619513</v>
      </c>
      <c r="D108" s="11" t="str">
        <f aca="false">TRIB!D108</f>
        <v>B</v>
      </c>
      <c r="E108" s="4" t="str">
        <f aca="false">IF(RHO_ARCH!E108="","",IF(RHO_ARCH!E108&gt;INPUTS!$B$10,"NG",IF(RHO_ARCH!E108&gt;INPUTS!$B$9,"HEAVY","OK")))</f>
        <v>OK</v>
      </c>
      <c r="F108" s="4" t="str">
        <f aca="false">IF(RHO_ARCH!F108="","",IF(RHO_ARCH!F108&gt;INPUTS!$B$10,"NG",IF(RHO_ARCH!F108&gt;INPUTS!$B$9,"HEAVY","OK")))</f>
        <v>OK</v>
      </c>
      <c r="G108" s="4" t="str">
        <f aca="false">IF(RHO_ARCH!G108="","",IF(RHO_ARCH!G108&gt;INPUTS!$B$10,"NG",IF(RHO_ARCH!G108&gt;INPUTS!$B$9,"HEAVY","OK")))</f>
        <v>OK</v>
      </c>
      <c r="H108" s="4" t="str">
        <f aca="false">IF(RHO_ARCH!H108="","",IF(RHO_ARCH!H108&gt;INPUTS!$B$10,"NG",IF(RHO_ARCH!H108&gt;INPUTS!$B$9,"HEAVY","OK")))</f>
        <v>OK</v>
      </c>
      <c r="I108" s="4" t="str">
        <f aca="false">IF(RHO_ARCH!I108="","",IF(RHO_ARCH!I108&gt;INPUTS!$B$10,"NG",IF(RHO_ARCH!I108&gt;INPUTS!$B$9,"HEAVY","OK")))</f>
        <v>OK</v>
      </c>
      <c r="J108" s="4" t="str">
        <f aca="false">IF(RHO_ARCH!J108="","",IF(RHO_ARCH!J108&gt;INPUTS!$B$10,"NG",IF(RHO_ARCH!J108&gt;INPUTS!$B$9,"HEAVY","OK")))</f>
        <v/>
      </c>
      <c r="K108" s="4" t="str">
        <f aca="false">IF(RHO_ARCH!K108="","",IF(RHO_ARCH!K108&gt;INPUTS!$B$10,"NG",IF(RHO_ARCH!K108&gt;INPUTS!$B$9,"HEAVY","OK")))</f>
        <v/>
      </c>
      <c r="L108" s="4" t="str">
        <f aca="false">IF(RHO_ARCH!L108="","",IF(RHO_ARCH!L108&gt;INPUTS!$B$10,"NG",IF(RHO_ARCH!L108&gt;INPUTS!$B$9,"HEAVY","OK")))</f>
        <v/>
      </c>
      <c r="M108" s="4" t="str">
        <f aca="false">IF(RHO_ARCH!M108="","",IF(RHO_ARCH!M108&gt;INPUTS!$B$10,"NG",IF(RHO_ARCH!M108&gt;INPUTS!$B$9,"HEAVY","OK")))</f>
        <v/>
      </c>
      <c r="N108" s="4" t="str">
        <f aca="false">IF(RHO_ARCH!N108="","",IF(RHO_ARCH!N108&gt;INPUTS!$B$10,"NG",IF(RHO_ARCH!N108&gt;INPUTS!$B$9,"HEAVY","OK")))</f>
        <v/>
      </c>
      <c r="O108" s="4" t="str">
        <f aca="false">IF(RHO_ARCH!O108="","",IF(RHO_ARCH!O108&gt;INPUTS!$B$10,"NG",IF(RHO_ARCH!O108&gt;INPUTS!$B$9,"HEAVY","OK")))</f>
        <v/>
      </c>
      <c r="P108" s="4" t="str">
        <f aca="false">IF(RHO_ARCH!P108="","",IF(RHO_ARCH!P108&gt;INPUTS!$B$10,"NG",IF(RHO_ARCH!P108&gt;INPUTS!$B$9,"HEAVY","OK")))</f>
        <v/>
      </c>
    </row>
    <row r="109" customFormat="false" ht="15" hidden="false" customHeight="false" outlineLevel="0" collapsed="false">
      <c r="A109" s="11" t="str">
        <f aca="false">TRIB!A109</f>
        <v>C108</v>
      </c>
      <c r="B109" s="14" t="n">
        <f aca="false">TRIB!B109</f>
        <v>767.015829921963</v>
      </c>
      <c r="C109" s="14" t="n">
        <f aca="false">TRIB!C109</f>
        <v>2524.47059142154</v>
      </c>
      <c r="D109" s="11" t="str">
        <f aca="false">TRIB!D109</f>
        <v>B</v>
      </c>
      <c r="E109" s="4" t="str">
        <f aca="false">IF(RHO_ARCH!E109="","",IF(RHO_ARCH!E109&gt;INPUTS!$B$10,"NG",IF(RHO_ARCH!E109&gt;INPUTS!$B$9,"HEAVY","OK")))</f>
        <v>OK</v>
      </c>
      <c r="F109" s="4" t="str">
        <f aca="false">IF(RHO_ARCH!F109="","",IF(RHO_ARCH!F109&gt;INPUTS!$B$10,"NG",IF(RHO_ARCH!F109&gt;INPUTS!$B$9,"HEAVY","OK")))</f>
        <v>OK</v>
      </c>
      <c r="G109" s="4" t="str">
        <f aca="false">IF(RHO_ARCH!G109="","",IF(RHO_ARCH!G109&gt;INPUTS!$B$10,"NG",IF(RHO_ARCH!G109&gt;INPUTS!$B$9,"HEAVY","OK")))</f>
        <v>OK</v>
      </c>
      <c r="H109" s="4" t="str">
        <f aca="false">IF(RHO_ARCH!H109="","",IF(RHO_ARCH!H109&gt;INPUTS!$B$10,"NG",IF(RHO_ARCH!H109&gt;INPUTS!$B$9,"HEAVY","OK")))</f>
        <v>OK</v>
      </c>
      <c r="I109" s="4" t="str">
        <f aca="false">IF(RHO_ARCH!I109="","",IF(RHO_ARCH!I109&gt;INPUTS!$B$10,"NG",IF(RHO_ARCH!I109&gt;INPUTS!$B$9,"HEAVY","OK")))</f>
        <v>OK</v>
      </c>
      <c r="J109" s="4" t="str">
        <f aca="false">IF(RHO_ARCH!J109="","",IF(RHO_ARCH!J109&gt;INPUTS!$B$10,"NG",IF(RHO_ARCH!J109&gt;INPUTS!$B$9,"HEAVY","OK")))</f>
        <v/>
      </c>
      <c r="K109" s="4" t="str">
        <f aca="false">IF(RHO_ARCH!K109="","",IF(RHO_ARCH!K109&gt;INPUTS!$B$10,"NG",IF(RHO_ARCH!K109&gt;INPUTS!$B$9,"HEAVY","OK")))</f>
        <v/>
      </c>
      <c r="L109" s="4" t="str">
        <f aca="false">IF(RHO_ARCH!L109="","",IF(RHO_ARCH!L109&gt;INPUTS!$B$10,"NG",IF(RHO_ARCH!L109&gt;INPUTS!$B$9,"HEAVY","OK")))</f>
        <v/>
      </c>
      <c r="M109" s="4" t="str">
        <f aca="false">IF(RHO_ARCH!M109="","",IF(RHO_ARCH!M109&gt;INPUTS!$B$10,"NG",IF(RHO_ARCH!M109&gt;INPUTS!$B$9,"HEAVY","OK")))</f>
        <v/>
      </c>
      <c r="N109" s="4" t="str">
        <f aca="false">IF(RHO_ARCH!N109="","",IF(RHO_ARCH!N109&gt;INPUTS!$B$10,"NG",IF(RHO_ARCH!N109&gt;INPUTS!$B$9,"HEAVY","OK")))</f>
        <v/>
      </c>
      <c r="O109" s="4" t="str">
        <f aca="false">IF(RHO_ARCH!O109="","",IF(RHO_ARCH!O109&gt;INPUTS!$B$10,"NG",IF(RHO_ARCH!O109&gt;INPUTS!$B$9,"HEAVY","OK")))</f>
        <v/>
      </c>
      <c r="P109" s="4" t="str">
        <f aca="false">IF(RHO_ARCH!P109="","",IF(RHO_ARCH!P109&gt;INPUTS!$B$10,"NG",IF(RHO_ARCH!P109&gt;INPUTS!$B$9,"HEAVY","OK")))</f>
        <v/>
      </c>
    </row>
    <row r="110" customFormat="false" ht="15" hidden="false" customHeight="false" outlineLevel="0" collapsed="false">
      <c r="A110" s="11" t="str">
        <f aca="false">TRIB!A110</f>
        <v>C109</v>
      </c>
      <c r="B110" s="14" t="n">
        <f aca="false">TRIB!B110</f>
        <v>549.953574289546</v>
      </c>
      <c r="C110" s="14" t="n">
        <f aca="false">TRIB!C110</f>
        <v>4005.70964189134</v>
      </c>
      <c r="D110" s="11" t="str">
        <f aca="false">TRIB!D110</f>
        <v>B</v>
      </c>
      <c r="E110" s="4" t="str">
        <f aca="false">IF(RHO_ARCH!E110="","",IF(RHO_ARCH!E110&gt;INPUTS!$B$10,"NG",IF(RHO_ARCH!E110&gt;INPUTS!$B$9,"HEAVY","OK")))</f>
        <v>OK</v>
      </c>
      <c r="F110" s="4" t="str">
        <f aca="false">IF(RHO_ARCH!F110="","",IF(RHO_ARCH!F110&gt;INPUTS!$B$10,"NG",IF(RHO_ARCH!F110&gt;INPUTS!$B$9,"HEAVY","OK")))</f>
        <v>OK</v>
      </c>
      <c r="G110" s="4" t="str">
        <f aca="false">IF(RHO_ARCH!G110="","",IF(RHO_ARCH!G110&gt;INPUTS!$B$10,"NG",IF(RHO_ARCH!G110&gt;INPUTS!$B$9,"HEAVY","OK")))</f>
        <v>OK</v>
      </c>
      <c r="H110" s="4" t="str">
        <f aca="false">IF(RHO_ARCH!H110="","",IF(RHO_ARCH!H110&gt;INPUTS!$B$10,"NG",IF(RHO_ARCH!H110&gt;INPUTS!$B$9,"HEAVY","OK")))</f>
        <v/>
      </c>
      <c r="I110" s="4" t="str">
        <f aca="false">IF(RHO_ARCH!I110="","",IF(RHO_ARCH!I110&gt;INPUTS!$B$10,"NG",IF(RHO_ARCH!I110&gt;INPUTS!$B$9,"HEAVY","OK")))</f>
        <v/>
      </c>
      <c r="J110" s="4" t="str">
        <f aca="false">IF(RHO_ARCH!J110="","",IF(RHO_ARCH!J110&gt;INPUTS!$B$10,"NG",IF(RHO_ARCH!J110&gt;INPUTS!$B$9,"HEAVY","OK")))</f>
        <v/>
      </c>
      <c r="K110" s="4" t="str">
        <f aca="false">IF(RHO_ARCH!K110="","",IF(RHO_ARCH!K110&gt;INPUTS!$B$10,"NG",IF(RHO_ARCH!K110&gt;INPUTS!$B$9,"HEAVY","OK")))</f>
        <v/>
      </c>
      <c r="L110" s="4" t="str">
        <f aca="false">IF(RHO_ARCH!L110="","",IF(RHO_ARCH!L110&gt;INPUTS!$B$10,"NG",IF(RHO_ARCH!L110&gt;INPUTS!$B$9,"HEAVY","OK")))</f>
        <v/>
      </c>
      <c r="M110" s="4" t="str">
        <f aca="false">IF(RHO_ARCH!M110="","",IF(RHO_ARCH!M110&gt;INPUTS!$B$10,"NG",IF(RHO_ARCH!M110&gt;INPUTS!$B$9,"HEAVY","OK")))</f>
        <v/>
      </c>
      <c r="N110" s="4" t="str">
        <f aca="false">IF(RHO_ARCH!N110="","",IF(RHO_ARCH!N110&gt;INPUTS!$B$10,"NG",IF(RHO_ARCH!N110&gt;INPUTS!$B$9,"HEAVY","OK")))</f>
        <v/>
      </c>
      <c r="O110" s="4" t="str">
        <f aca="false">IF(RHO_ARCH!O110="","",IF(RHO_ARCH!O110&gt;INPUTS!$B$10,"NG",IF(RHO_ARCH!O110&gt;INPUTS!$B$9,"HEAVY","OK")))</f>
        <v/>
      </c>
      <c r="P110" s="4" t="str">
        <f aca="false">IF(RHO_ARCH!P110="","",IF(RHO_ARCH!P110&gt;INPUTS!$B$10,"NG",IF(RHO_ARCH!P110&gt;INPUTS!$B$9,"HEAVY","OK")))</f>
        <v/>
      </c>
    </row>
    <row r="111" customFormat="false" ht="15" hidden="false" customHeight="false" outlineLevel="0" collapsed="false">
      <c r="A111" s="11" t="str">
        <f aca="false">TRIB!A111</f>
        <v>C110</v>
      </c>
      <c r="B111" s="14" t="n">
        <f aca="false">TRIB!B111</f>
        <v>564.679787169113</v>
      </c>
      <c r="C111" s="14" t="n">
        <f aca="false">TRIB!C111</f>
        <v>4005.70964189134</v>
      </c>
      <c r="D111" s="11" t="str">
        <f aca="false">TRIB!D111</f>
        <v>B</v>
      </c>
      <c r="E111" s="4" t="str">
        <f aca="false">IF(RHO_ARCH!E111="","",IF(RHO_ARCH!E111&gt;INPUTS!$B$10,"NG",IF(RHO_ARCH!E111&gt;INPUTS!$B$9,"HEAVY","OK")))</f>
        <v>OK</v>
      </c>
      <c r="F111" s="4" t="str">
        <f aca="false">IF(RHO_ARCH!F111="","",IF(RHO_ARCH!F111&gt;INPUTS!$B$10,"NG",IF(RHO_ARCH!F111&gt;INPUTS!$B$9,"HEAVY","OK")))</f>
        <v>OK</v>
      </c>
      <c r="G111" s="4" t="str">
        <f aca="false">IF(RHO_ARCH!G111="","",IF(RHO_ARCH!G111&gt;INPUTS!$B$10,"NG",IF(RHO_ARCH!G111&gt;INPUTS!$B$9,"HEAVY","OK")))</f>
        <v>OK</v>
      </c>
      <c r="H111" s="4" t="str">
        <f aca="false">IF(RHO_ARCH!H111="","",IF(RHO_ARCH!H111&gt;INPUTS!$B$10,"NG",IF(RHO_ARCH!H111&gt;INPUTS!$B$9,"HEAVY","OK")))</f>
        <v/>
      </c>
      <c r="I111" s="4" t="str">
        <f aca="false">IF(RHO_ARCH!I111="","",IF(RHO_ARCH!I111&gt;INPUTS!$B$10,"NG",IF(RHO_ARCH!I111&gt;INPUTS!$B$9,"HEAVY","OK")))</f>
        <v/>
      </c>
      <c r="J111" s="4" t="str">
        <f aca="false">IF(RHO_ARCH!J111="","",IF(RHO_ARCH!J111&gt;INPUTS!$B$10,"NG",IF(RHO_ARCH!J111&gt;INPUTS!$B$9,"HEAVY","OK")))</f>
        <v/>
      </c>
      <c r="K111" s="4" t="str">
        <f aca="false">IF(RHO_ARCH!K111="","",IF(RHO_ARCH!K111&gt;INPUTS!$B$10,"NG",IF(RHO_ARCH!K111&gt;INPUTS!$B$9,"HEAVY","OK")))</f>
        <v/>
      </c>
      <c r="L111" s="4" t="str">
        <f aca="false">IF(RHO_ARCH!L111="","",IF(RHO_ARCH!L111&gt;INPUTS!$B$10,"NG",IF(RHO_ARCH!L111&gt;INPUTS!$B$9,"HEAVY","OK")))</f>
        <v/>
      </c>
      <c r="M111" s="4" t="str">
        <f aca="false">IF(RHO_ARCH!M111="","",IF(RHO_ARCH!M111&gt;INPUTS!$B$10,"NG",IF(RHO_ARCH!M111&gt;INPUTS!$B$9,"HEAVY","OK")))</f>
        <v/>
      </c>
      <c r="N111" s="4" t="str">
        <f aca="false">IF(RHO_ARCH!N111="","",IF(RHO_ARCH!N111&gt;INPUTS!$B$10,"NG",IF(RHO_ARCH!N111&gt;INPUTS!$B$9,"HEAVY","OK")))</f>
        <v/>
      </c>
      <c r="O111" s="4" t="str">
        <f aca="false">IF(RHO_ARCH!O111="","",IF(RHO_ARCH!O111&gt;INPUTS!$B$10,"NG",IF(RHO_ARCH!O111&gt;INPUTS!$B$9,"HEAVY","OK")))</f>
        <v/>
      </c>
      <c r="P111" s="4" t="str">
        <f aca="false">IF(RHO_ARCH!P111="","",IF(RHO_ARCH!P111&gt;INPUTS!$B$10,"NG",IF(RHO_ARCH!P111&gt;INPUTS!$B$9,"HEAVY","OK")))</f>
        <v/>
      </c>
    </row>
    <row r="112" customFormat="false" ht="15" hidden="false" customHeight="false" outlineLevel="0" collapsed="false">
      <c r="A112" s="11" t="str">
        <f aca="false">TRIB!A112</f>
        <v>C111</v>
      </c>
      <c r="B112" s="14" t="n">
        <f aca="false">TRIB!B112</f>
        <v>466.801474313503</v>
      </c>
      <c r="C112" s="14" t="n">
        <f aca="false">TRIB!C112</f>
        <v>4568.7108995061</v>
      </c>
      <c r="D112" s="11" t="str">
        <f aca="false">TRIB!D112</f>
        <v>A</v>
      </c>
      <c r="E112" s="4" t="str">
        <f aca="false">IF(RHO_ARCH!E112="","",IF(RHO_ARCH!E112&gt;INPUTS!$B$10,"NG",IF(RHO_ARCH!E112&gt;INPUTS!$B$9,"HEAVY","OK")))</f>
        <v/>
      </c>
      <c r="F112" s="4" t="str">
        <f aca="false">IF(RHO_ARCH!F112="","",IF(RHO_ARCH!F112&gt;INPUTS!$B$10,"NG",IF(RHO_ARCH!F112&gt;INPUTS!$B$9,"HEAVY","OK")))</f>
        <v>OK</v>
      </c>
      <c r="G112" s="4" t="str">
        <f aca="false">IF(RHO_ARCH!G112="","",IF(RHO_ARCH!G112&gt;INPUTS!$B$10,"NG",IF(RHO_ARCH!G112&gt;INPUTS!$B$9,"HEAVY","OK")))</f>
        <v/>
      </c>
      <c r="H112" s="4" t="str">
        <f aca="false">IF(RHO_ARCH!H112="","",IF(RHO_ARCH!H112&gt;INPUTS!$B$10,"NG",IF(RHO_ARCH!H112&gt;INPUTS!$B$9,"HEAVY","OK")))</f>
        <v/>
      </c>
      <c r="I112" s="4" t="str">
        <f aca="false">IF(RHO_ARCH!I112="","",IF(RHO_ARCH!I112&gt;INPUTS!$B$10,"NG",IF(RHO_ARCH!I112&gt;INPUTS!$B$9,"HEAVY","OK")))</f>
        <v/>
      </c>
      <c r="J112" s="4" t="str">
        <f aca="false">IF(RHO_ARCH!J112="","",IF(RHO_ARCH!J112&gt;INPUTS!$B$10,"NG",IF(RHO_ARCH!J112&gt;INPUTS!$B$9,"HEAVY","OK")))</f>
        <v/>
      </c>
      <c r="K112" s="4" t="str">
        <f aca="false">IF(RHO_ARCH!K112="","",IF(RHO_ARCH!K112&gt;INPUTS!$B$10,"NG",IF(RHO_ARCH!K112&gt;INPUTS!$B$9,"HEAVY","OK")))</f>
        <v/>
      </c>
      <c r="L112" s="4" t="str">
        <f aca="false">IF(RHO_ARCH!L112="","",IF(RHO_ARCH!L112&gt;INPUTS!$B$10,"NG",IF(RHO_ARCH!L112&gt;INPUTS!$B$9,"HEAVY","OK")))</f>
        <v/>
      </c>
      <c r="M112" s="4" t="str">
        <f aca="false">IF(RHO_ARCH!M112="","",IF(RHO_ARCH!M112&gt;INPUTS!$B$10,"NG",IF(RHO_ARCH!M112&gt;INPUTS!$B$9,"HEAVY","OK")))</f>
        <v/>
      </c>
      <c r="N112" s="4" t="str">
        <f aca="false">IF(RHO_ARCH!N112="","",IF(RHO_ARCH!N112&gt;INPUTS!$B$10,"NG",IF(RHO_ARCH!N112&gt;INPUTS!$B$9,"HEAVY","OK")))</f>
        <v/>
      </c>
      <c r="O112" s="4" t="str">
        <f aca="false">IF(RHO_ARCH!O112="","",IF(RHO_ARCH!O112&gt;INPUTS!$B$10,"NG",IF(RHO_ARCH!O112&gt;INPUTS!$B$9,"HEAVY","OK")))</f>
        <v/>
      </c>
      <c r="P112" s="4" t="str">
        <f aca="false">IF(RHO_ARCH!P112="","",IF(RHO_ARCH!P112&gt;INPUTS!$B$10,"NG",IF(RHO_ARCH!P112&gt;INPUTS!$B$9,"HEAVY","OK")))</f>
        <v/>
      </c>
    </row>
    <row r="113" customFormat="false" ht="15" hidden="false" customHeight="false" outlineLevel="0" collapsed="false">
      <c r="A113" s="11" t="str">
        <f aca="false">TRIB!A113</f>
        <v>C112</v>
      </c>
      <c r="B113" s="14" t="n">
        <f aca="false">TRIB!B113</f>
        <v>491.48349603773</v>
      </c>
      <c r="C113" s="14" t="n">
        <f aca="false">TRIB!C113</f>
        <v>4567.41933096661</v>
      </c>
      <c r="D113" s="11" t="str">
        <f aca="false">TRIB!D113</f>
        <v>A</v>
      </c>
      <c r="E113" s="4" t="str">
        <f aca="false">IF(RHO_ARCH!E113="","",IF(RHO_ARCH!E113&gt;INPUTS!$B$10,"NG",IF(RHO_ARCH!E113&gt;INPUTS!$B$9,"HEAVY","OK")))</f>
        <v/>
      </c>
      <c r="F113" s="4" t="str">
        <f aca="false">IF(RHO_ARCH!F113="","",IF(RHO_ARCH!F113&gt;INPUTS!$B$10,"NG",IF(RHO_ARCH!F113&gt;INPUTS!$B$9,"HEAVY","OK")))</f>
        <v>OK</v>
      </c>
      <c r="G113" s="4" t="str">
        <f aca="false">IF(RHO_ARCH!G113="","",IF(RHO_ARCH!G113&gt;INPUTS!$B$10,"NG",IF(RHO_ARCH!G113&gt;INPUTS!$B$9,"HEAVY","OK")))</f>
        <v/>
      </c>
      <c r="H113" s="4" t="str">
        <f aca="false">IF(RHO_ARCH!H113="","",IF(RHO_ARCH!H113&gt;INPUTS!$B$10,"NG",IF(RHO_ARCH!H113&gt;INPUTS!$B$9,"HEAVY","OK")))</f>
        <v/>
      </c>
      <c r="I113" s="4" t="str">
        <f aca="false">IF(RHO_ARCH!I113="","",IF(RHO_ARCH!I113&gt;INPUTS!$B$10,"NG",IF(RHO_ARCH!I113&gt;INPUTS!$B$9,"HEAVY","OK")))</f>
        <v/>
      </c>
      <c r="J113" s="4" t="str">
        <f aca="false">IF(RHO_ARCH!J113="","",IF(RHO_ARCH!J113&gt;INPUTS!$B$10,"NG",IF(RHO_ARCH!J113&gt;INPUTS!$B$9,"HEAVY","OK")))</f>
        <v/>
      </c>
      <c r="K113" s="4" t="str">
        <f aca="false">IF(RHO_ARCH!K113="","",IF(RHO_ARCH!K113&gt;INPUTS!$B$10,"NG",IF(RHO_ARCH!K113&gt;INPUTS!$B$9,"HEAVY","OK")))</f>
        <v/>
      </c>
      <c r="L113" s="4" t="str">
        <f aca="false">IF(RHO_ARCH!L113="","",IF(RHO_ARCH!L113&gt;INPUTS!$B$10,"NG",IF(RHO_ARCH!L113&gt;INPUTS!$B$9,"HEAVY","OK")))</f>
        <v/>
      </c>
      <c r="M113" s="4" t="str">
        <f aca="false">IF(RHO_ARCH!M113="","",IF(RHO_ARCH!M113&gt;INPUTS!$B$10,"NG",IF(RHO_ARCH!M113&gt;INPUTS!$B$9,"HEAVY","OK")))</f>
        <v/>
      </c>
      <c r="N113" s="4" t="str">
        <f aca="false">IF(RHO_ARCH!N113="","",IF(RHO_ARCH!N113&gt;INPUTS!$B$10,"NG",IF(RHO_ARCH!N113&gt;INPUTS!$B$9,"HEAVY","OK")))</f>
        <v/>
      </c>
      <c r="O113" s="4" t="str">
        <f aca="false">IF(RHO_ARCH!O113="","",IF(RHO_ARCH!O113&gt;INPUTS!$B$10,"NG",IF(RHO_ARCH!O113&gt;INPUTS!$B$9,"HEAVY","OK")))</f>
        <v/>
      </c>
      <c r="P113" s="4" t="str">
        <f aca="false">IF(RHO_ARCH!P113="","",IF(RHO_ARCH!P113&gt;INPUTS!$B$10,"NG",IF(RHO_ARCH!P113&gt;INPUTS!$B$9,"HEAVY","OK")))</f>
        <v/>
      </c>
    </row>
    <row r="114" customFormat="false" ht="15" hidden="false" customHeight="false" outlineLevel="0" collapsed="false">
      <c r="A114" s="11" t="str">
        <f aca="false">TRIB!A114</f>
        <v>C113</v>
      </c>
      <c r="B114" s="14" t="n">
        <f aca="false">TRIB!B114</f>
        <v>586.054635839489</v>
      </c>
      <c r="C114" s="14" t="n">
        <f aca="false">TRIB!C114</f>
        <v>4571.68997740973</v>
      </c>
      <c r="D114" s="11" t="str">
        <f aca="false">TRIB!D114</f>
        <v>B</v>
      </c>
      <c r="E114" s="4" t="str">
        <f aca="false">IF(RHO_ARCH!E114="","",IF(RHO_ARCH!E114&gt;INPUTS!$B$10,"NG",IF(RHO_ARCH!E114&gt;INPUTS!$B$9,"HEAVY","OK")))</f>
        <v>OK</v>
      </c>
      <c r="F114" s="4" t="str">
        <f aca="false">IF(RHO_ARCH!F114="","",IF(RHO_ARCH!F114&gt;INPUTS!$B$10,"NG",IF(RHO_ARCH!F114&gt;INPUTS!$B$9,"HEAVY","OK")))</f>
        <v>OK</v>
      </c>
      <c r="G114" s="4" t="str">
        <f aca="false">IF(RHO_ARCH!G114="","",IF(RHO_ARCH!G114&gt;INPUTS!$B$10,"NG",IF(RHO_ARCH!G114&gt;INPUTS!$B$9,"HEAVY","OK")))</f>
        <v/>
      </c>
      <c r="H114" s="4" t="str">
        <f aca="false">IF(RHO_ARCH!H114="","",IF(RHO_ARCH!H114&gt;INPUTS!$B$10,"NG",IF(RHO_ARCH!H114&gt;INPUTS!$B$9,"HEAVY","OK")))</f>
        <v/>
      </c>
      <c r="I114" s="4" t="str">
        <f aca="false">IF(RHO_ARCH!I114="","",IF(RHO_ARCH!I114&gt;INPUTS!$B$10,"NG",IF(RHO_ARCH!I114&gt;INPUTS!$B$9,"HEAVY","OK")))</f>
        <v/>
      </c>
      <c r="J114" s="4" t="str">
        <f aca="false">IF(RHO_ARCH!J114="","",IF(RHO_ARCH!J114&gt;INPUTS!$B$10,"NG",IF(RHO_ARCH!J114&gt;INPUTS!$B$9,"HEAVY","OK")))</f>
        <v/>
      </c>
      <c r="K114" s="4" t="str">
        <f aca="false">IF(RHO_ARCH!K114="","",IF(RHO_ARCH!K114&gt;INPUTS!$B$10,"NG",IF(RHO_ARCH!K114&gt;INPUTS!$B$9,"HEAVY","OK")))</f>
        <v/>
      </c>
      <c r="L114" s="4" t="str">
        <f aca="false">IF(RHO_ARCH!L114="","",IF(RHO_ARCH!L114&gt;INPUTS!$B$10,"NG",IF(RHO_ARCH!L114&gt;INPUTS!$B$9,"HEAVY","OK")))</f>
        <v/>
      </c>
      <c r="M114" s="4" t="str">
        <f aca="false">IF(RHO_ARCH!M114="","",IF(RHO_ARCH!M114&gt;INPUTS!$B$10,"NG",IF(RHO_ARCH!M114&gt;INPUTS!$B$9,"HEAVY","OK")))</f>
        <v/>
      </c>
      <c r="N114" s="4" t="str">
        <f aca="false">IF(RHO_ARCH!N114="","",IF(RHO_ARCH!N114&gt;INPUTS!$B$10,"NG",IF(RHO_ARCH!N114&gt;INPUTS!$B$9,"HEAVY","OK")))</f>
        <v/>
      </c>
      <c r="O114" s="4" t="str">
        <f aca="false">IF(RHO_ARCH!O114="","",IF(RHO_ARCH!O114&gt;INPUTS!$B$10,"NG",IF(RHO_ARCH!O114&gt;INPUTS!$B$9,"HEAVY","OK")))</f>
        <v/>
      </c>
      <c r="P114" s="4" t="str">
        <f aca="false">IF(RHO_ARCH!P114="","",IF(RHO_ARCH!P114&gt;INPUTS!$B$10,"NG",IF(RHO_ARCH!P114&gt;INPUTS!$B$9,"HEAVY","OK")))</f>
        <v/>
      </c>
    </row>
    <row r="115" customFormat="false" ht="15" hidden="false" customHeight="false" outlineLevel="0" collapsed="false">
      <c r="A115" s="11" t="str">
        <f aca="false">TRIB!A115</f>
        <v>C114</v>
      </c>
      <c r="B115" s="14" t="n">
        <f aca="false">TRIB!B115</f>
        <v>612.721302506156</v>
      </c>
      <c r="C115" s="14" t="n">
        <f aca="false">TRIB!C115</f>
        <v>4571.68997740973</v>
      </c>
      <c r="D115" s="11" t="str">
        <f aca="false">TRIB!D115</f>
        <v>B</v>
      </c>
      <c r="E115" s="4" t="str">
        <f aca="false">IF(RHO_ARCH!E115="","",IF(RHO_ARCH!E115&gt;INPUTS!$B$10,"NG",IF(RHO_ARCH!E115&gt;INPUTS!$B$9,"HEAVY","OK")))</f>
        <v>OK</v>
      </c>
      <c r="F115" s="4" t="str">
        <f aca="false">IF(RHO_ARCH!F115="","",IF(RHO_ARCH!F115&gt;INPUTS!$B$10,"NG",IF(RHO_ARCH!F115&gt;INPUTS!$B$9,"HEAVY","OK")))</f>
        <v>OK</v>
      </c>
      <c r="G115" s="4" t="str">
        <f aca="false">IF(RHO_ARCH!G115="","",IF(RHO_ARCH!G115&gt;INPUTS!$B$10,"NG",IF(RHO_ARCH!G115&gt;INPUTS!$B$9,"HEAVY","OK")))</f>
        <v/>
      </c>
      <c r="H115" s="4" t="str">
        <f aca="false">IF(RHO_ARCH!H115="","",IF(RHO_ARCH!H115&gt;INPUTS!$B$10,"NG",IF(RHO_ARCH!H115&gt;INPUTS!$B$9,"HEAVY","OK")))</f>
        <v/>
      </c>
      <c r="I115" s="4" t="str">
        <f aca="false">IF(RHO_ARCH!I115="","",IF(RHO_ARCH!I115&gt;INPUTS!$B$10,"NG",IF(RHO_ARCH!I115&gt;INPUTS!$B$9,"HEAVY","OK")))</f>
        <v/>
      </c>
      <c r="J115" s="4" t="str">
        <f aca="false">IF(RHO_ARCH!J115="","",IF(RHO_ARCH!J115&gt;INPUTS!$B$10,"NG",IF(RHO_ARCH!J115&gt;INPUTS!$B$9,"HEAVY","OK")))</f>
        <v/>
      </c>
      <c r="K115" s="4" t="str">
        <f aca="false">IF(RHO_ARCH!K115="","",IF(RHO_ARCH!K115&gt;INPUTS!$B$10,"NG",IF(RHO_ARCH!K115&gt;INPUTS!$B$9,"HEAVY","OK")))</f>
        <v/>
      </c>
      <c r="L115" s="4" t="str">
        <f aca="false">IF(RHO_ARCH!L115="","",IF(RHO_ARCH!L115&gt;INPUTS!$B$10,"NG",IF(RHO_ARCH!L115&gt;INPUTS!$B$9,"HEAVY","OK")))</f>
        <v/>
      </c>
      <c r="M115" s="4" t="str">
        <f aca="false">IF(RHO_ARCH!M115="","",IF(RHO_ARCH!M115&gt;INPUTS!$B$10,"NG",IF(RHO_ARCH!M115&gt;INPUTS!$B$9,"HEAVY","OK")))</f>
        <v/>
      </c>
      <c r="N115" s="4" t="str">
        <f aca="false">IF(RHO_ARCH!N115="","",IF(RHO_ARCH!N115&gt;INPUTS!$B$10,"NG",IF(RHO_ARCH!N115&gt;INPUTS!$B$9,"HEAVY","OK")))</f>
        <v/>
      </c>
      <c r="O115" s="4" t="str">
        <f aca="false">IF(RHO_ARCH!O115="","",IF(RHO_ARCH!O115&gt;INPUTS!$B$10,"NG",IF(RHO_ARCH!O115&gt;INPUTS!$B$9,"HEAVY","OK")))</f>
        <v/>
      </c>
      <c r="P115" s="4" t="str">
        <f aca="false">IF(RHO_ARCH!P115="","",IF(RHO_ARCH!P115&gt;INPUTS!$B$10,"NG",IF(RHO_ARCH!P115&gt;INPUTS!$B$9,"HEAVY","OK")))</f>
        <v/>
      </c>
    </row>
    <row r="116" customFormat="false" ht="15" hidden="false" customHeight="false" outlineLevel="0" collapsed="false">
      <c r="A116" s="11" t="str">
        <f aca="false">TRIB!A116</f>
        <v>C115</v>
      </c>
      <c r="B116" s="14" t="n">
        <f aca="false">TRIB!B116</f>
        <v>634.887969172844</v>
      </c>
      <c r="C116" s="14" t="n">
        <f aca="false">TRIB!C116</f>
        <v>4571.68997740973</v>
      </c>
      <c r="D116" s="11" t="str">
        <f aca="false">TRIB!D116</f>
        <v>B</v>
      </c>
      <c r="E116" s="4" t="str">
        <f aca="false">IF(RHO_ARCH!E116="","",IF(RHO_ARCH!E116&gt;INPUTS!$B$10,"NG",IF(RHO_ARCH!E116&gt;INPUTS!$B$9,"HEAVY","OK")))</f>
        <v>OK</v>
      </c>
      <c r="F116" s="4" t="str">
        <f aca="false">IF(RHO_ARCH!F116="","",IF(RHO_ARCH!F116&gt;INPUTS!$B$10,"NG",IF(RHO_ARCH!F116&gt;INPUTS!$B$9,"HEAVY","OK")))</f>
        <v>OK</v>
      </c>
      <c r="G116" s="4" t="str">
        <f aca="false">IF(RHO_ARCH!G116="","",IF(RHO_ARCH!G116&gt;INPUTS!$B$10,"NG",IF(RHO_ARCH!G116&gt;INPUTS!$B$9,"HEAVY","OK")))</f>
        <v/>
      </c>
      <c r="H116" s="4" t="str">
        <f aca="false">IF(RHO_ARCH!H116="","",IF(RHO_ARCH!H116&gt;INPUTS!$B$10,"NG",IF(RHO_ARCH!H116&gt;INPUTS!$B$9,"HEAVY","OK")))</f>
        <v/>
      </c>
      <c r="I116" s="4" t="str">
        <f aca="false">IF(RHO_ARCH!I116="","",IF(RHO_ARCH!I116&gt;INPUTS!$B$10,"NG",IF(RHO_ARCH!I116&gt;INPUTS!$B$9,"HEAVY","OK")))</f>
        <v/>
      </c>
      <c r="J116" s="4" t="str">
        <f aca="false">IF(RHO_ARCH!J116="","",IF(RHO_ARCH!J116&gt;INPUTS!$B$10,"NG",IF(RHO_ARCH!J116&gt;INPUTS!$B$9,"HEAVY","OK")))</f>
        <v/>
      </c>
      <c r="K116" s="4" t="str">
        <f aca="false">IF(RHO_ARCH!K116="","",IF(RHO_ARCH!K116&gt;INPUTS!$B$10,"NG",IF(RHO_ARCH!K116&gt;INPUTS!$B$9,"HEAVY","OK")))</f>
        <v/>
      </c>
      <c r="L116" s="4" t="str">
        <f aca="false">IF(RHO_ARCH!L116="","",IF(RHO_ARCH!L116&gt;INPUTS!$B$10,"NG",IF(RHO_ARCH!L116&gt;INPUTS!$B$9,"HEAVY","OK")))</f>
        <v/>
      </c>
      <c r="M116" s="4" t="str">
        <f aca="false">IF(RHO_ARCH!M116="","",IF(RHO_ARCH!M116&gt;INPUTS!$B$10,"NG",IF(RHO_ARCH!M116&gt;INPUTS!$B$9,"HEAVY","OK")))</f>
        <v/>
      </c>
      <c r="N116" s="4" t="str">
        <f aca="false">IF(RHO_ARCH!N116="","",IF(RHO_ARCH!N116&gt;INPUTS!$B$10,"NG",IF(RHO_ARCH!N116&gt;INPUTS!$B$9,"HEAVY","OK")))</f>
        <v/>
      </c>
      <c r="O116" s="4" t="str">
        <f aca="false">IF(RHO_ARCH!O116="","",IF(RHO_ARCH!O116&gt;INPUTS!$B$10,"NG",IF(RHO_ARCH!O116&gt;INPUTS!$B$9,"HEAVY","OK")))</f>
        <v/>
      </c>
      <c r="P116" s="4" t="str">
        <f aca="false">IF(RHO_ARCH!P116="","",IF(RHO_ARCH!P116&gt;INPUTS!$B$10,"NG",IF(RHO_ARCH!P116&gt;INPUTS!$B$9,"HEAVY","OK")))</f>
        <v/>
      </c>
    </row>
    <row r="117" customFormat="false" ht="15" hidden="false" customHeight="false" outlineLevel="0" collapsed="false">
      <c r="A117" s="11" t="str">
        <f aca="false">TRIB!A117</f>
        <v>C116</v>
      </c>
      <c r="B117" s="14" t="n">
        <f aca="false">TRIB!B117</f>
        <v>670.294214350451</v>
      </c>
      <c r="C117" s="14" t="n">
        <f aca="false">TRIB!C117</f>
        <v>4570.77331074306</v>
      </c>
      <c r="D117" s="11" t="str">
        <f aca="false">TRIB!D117</f>
        <v>B</v>
      </c>
      <c r="E117" s="4" t="str">
        <f aca="false">IF(RHO_ARCH!E117="","",IF(RHO_ARCH!E117&gt;INPUTS!$B$10,"NG",IF(RHO_ARCH!E117&gt;INPUTS!$B$9,"HEAVY","OK")))</f>
        <v>OK</v>
      </c>
      <c r="F117" s="4" t="str">
        <f aca="false">IF(RHO_ARCH!F117="","",IF(RHO_ARCH!F117&gt;INPUTS!$B$10,"NG",IF(RHO_ARCH!F117&gt;INPUTS!$B$9,"HEAVY","OK")))</f>
        <v>OK</v>
      </c>
      <c r="G117" s="4" t="str">
        <f aca="false">IF(RHO_ARCH!G117="","",IF(RHO_ARCH!G117&gt;INPUTS!$B$10,"NG",IF(RHO_ARCH!G117&gt;INPUTS!$B$9,"HEAVY","OK")))</f>
        <v/>
      </c>
      <c r="H117" s="4" t="str">
        <f aca="false">IF(RHO_ARCH!H117="","",IF(RHO_ARCH!H117&gt;INPUTS!$B$10,"NG",IF(RHO_ARCH!H117&gt;INPUTS!$B$9,"HEAVY","OK")))</f>
        <v/>
      </c>
      <c r="I117" s="4" t="str">
        <f aca="false">IF(RHO_ARCH!I117="","",IF(RHO_ARCH!I117&gt;INPUTS!$B$10,"NG",IF(RHO_ARCH!I117&gt;INPUTS!$B$9,"HEAVY","OK")))</f>
        <v/>
      </c>
      <c r="J117" s="4" t="str">
        <f aca="false">IF(RHO_ARCH!J117="","",IF(RHO_ARCH!J117&gt;INPUTS!$B$10,"NG",IF(RHO_ARCH!J117&gt;INPUTS!$B$9,"HEAVY","OK")))</f>
        <v/>
      </c>
      <c r="K117" s="4" t="str">
        <f aca="false">IF(RHO_ARCH!K117="","",IF(RHO_ARCH!K117&gt;INPUTS!$B$10,"NG",IF(RHO_ARCH!K117&gt;INPUTS!$B$9,"HEAVY","OK")))</f>
        <v/>
      </c>
      <c r="L117" s="4" t="str">
        <f aca="false">IF(RHO_ARCH!L117="","",IF(RHO_ARCH!L117&gt;INPUTS!$B$10,"NG",IF(RHO_ARCH!L117&gt;INPUTS!$B$9,"HEAVY","OK")))</f>
        <v/>
      </c>
      <c r="M117" s="4" t="str">
        <f aca="false">IF(RHO_ARCH!M117="","",IF(RHO_ARCH!M117&gt;INPUTS!$B$10,"NG",IF(RHO_ARCH!M117&gt;INPUTS!$B$9,"HEAVY","OK")))</f>
        <v/>
      </c>
      <c r="N117" s="4" t="str">
        <f aca="false">IF(RHO_ARCH!N117="","",IF(RHO_ARCH!N117&gt;INPUTS!$B$10,"NG",IF(RHO_ARCH!N117&gt;INPUTS!$B$9,"HEAVY","OK")))</f>
        <v/>
      </c>
      <c r="O117" s="4" t="str">
        <f aca="false">IF(RHO_ARCH!O117="","",IF(RHO_ARCH!O117&gt;INPUTS!$B$10,"NG",IF(RHO_ARCH!O117&gt;INPUTS!$B$9,"HEAVY","OK")))</f>
        <v/>
      </c>
      <c r="P117" s="4" t="str">
        <f aca="false">IF(RHO_ARCH!P117="","",IF(RHO_ARCH!P117&gt;INPUTS!$B$10,"NG",IF(RHO_ARCH!P117&gt;INPUTS!$B$9,"HEAVY","OK")))</f>
        <v/>
      </c>
    </row>
    <row r="118" customFormat="false" ht="15" hidden="false" customHeight="false" outlineLevel="0" collapsed="false">
      <c r="A118" s="11" t="str">
        <f aca="false">TRIB!A118</f>
        <v>C117</v>
      </c>
      <c r="B118" s="14" t="n">
        <f aca="false">TRIB!B118</f>
        <v>707.381188728574</v>
      </c>
      <c r="C118" s="14" t="n">
        <f aca="false">TRIB!C118</f>
        <v>4570.77331074306</v>
      </c>
      <c r="D118" s="11" t="str">
        <f aca="false">TRIB!D118</f>
        <v>B</v>
      </c>
      <c r="E118" s="4" t="str">
        <f aca="false">IF(RHO_ARCH!E118="","",IF(RHO_ARCH!E118&gt;INPUTS!$B$10,"NG",IF(RHO_ARCH!E118&gt;INPUTS!$B$9,"HEAVY","OK")))</f>
        <v>OK</v>
      </c>
      <c r="F118" s="4" t="str">
        <f aca="false">IF(RHO_ARCH!F118="","",IF(RHO_ARCH!F118&gt;INPUTS!$B$10,"NG",IF(RHO_ARCH!F118&gt;INPUTS!$B$9,"HEAVY","OK")))</f>
        <v>OK</v>
      </c>
      <c r="G118" s="4" t="str">
        <f aca="false">IF(RHO_ARCH!G118="","",IF(RHO_ARCH!G118&gt;INPUTS!$B$10,"NG",IF(RHO_ARCH!G118&gt;INPUTS!$B$9,"HEAVY","OK")))</f>
        <v/>
      </c>
      <c r="H118" s="4" t="str">
        <f aca="false">IF(RHO_ARCH!H118="","",IF(RHO_ARCH!H118&gt;INPUTS!$B$10,"NG",IF(RHO_ARCH!H118&gt;INPUTS!$B$9,"HEAVY","OK")))</f>
        <v/>
      </c>
      <c r="I118" s="4" t="str">
        <f aca="false">IF(RHO_ARCH!I118="","",IF(RHO_ARCH!I118&gt;INPUTS!$B$10,"NG",IF(RHO_ARCH!I118&gt;INPUTS!$B$9,"HEAVY","OK")))</f>
        <v/>
      </c>
      <c r="J118" s="4" t="str">
        <f aca="false">IF(RHO_ARCH!J118="","",IF(RHO_ARCH!J118&gt;INPUTS!$B$10,"NG",IF(RHO_ARCH!J118&gt;INPUTS!$B$9,"HEAVY","OK")))</f>
        <v/>
      </c>
      <c r="K118" s="4" t="str">
        <f aca="false">IF(RHO_ARCH!K118="","",IF(RHO_ARCH!K118&gt;INPUTS!$B$10,"NG",IF(RHO_ARCH!K118&gt;INPUTS!$B$9,"HEAVY","OK")))</f>
        <v/>
      </c>
      <c r="L118" s="4" t="str">
        <f aca="false">IF(RHO_ARCH!L118="","",IF(RHO_ARCH!L118&gt;INPUTS!$B$10,"NG",IF(RHO_ARCH!L118&gt;INPUTS!$B$9,"HEAVY","OK")))</f>
        <v/>
      </c>
      <c r="M118" s="4" t="str">
        <f aca="false">IF(RHO_ARCH!M118="","",IF(RHO_ARCH!M118&gt;INPUTS!$B$10,"NG",IF(RHO_ARCH!M118&gt;INPUTS!$B$9,"HEAVY","OK")))</f>
        <v/>
      </c>
      <c r="N118" s="4" t="str">
        <f aca="false">IF(RHO_ARCH!N118="","",IF(RHO_ARCH!N118&gt;INPUTS!$B$10,"NG",IF(RHO_ARCH!N118&gt;INPUTS!$B$9,"HEAVY","OK")))</f>
        <v/>
      </c>
      <c r="O118" s="4" t="str">
        <f aca="false">IF(RHO_ARCH!O118="","",IF(RHO_ARCH!O118&gt;INPUTS!$B$10,"NG",IF(RHO_ARCH!O118&gt;INPUTS!$B$9,"HEAVY","OK")))</f>
        <v/>
      </c>
      <c r="P118" s="4" t="str">
        <f aca="false">IF(RHO_ARCH!P118="","",IF(RHO_ARCH!P118&gt;INPUTS!$B$10,"NG",IF(RHO_ARCH!P118&gt;INPUTS!$B$9,"HEAVY","OK")))</f>
        <v/>
      </c>
    </row>
    <row r="119" customFormat="false" ht="15" hidden="false" customHeight="false" outlineLevel="0" collapsed="false">
      <c r="A119" s="11" t="str">
        <f aca="false">TRIB!A119</f>
        <v>7_UNLABELED_100</v>
      </c>
      <c r="B119" s="14" t="n">
        <f aca="false">TRIB!B119</f>
        <v>0</v>
      </c>
      <c r="C119" s="14" t="n">
        <f aca="false">TRIB!C119</f>
        <v>0</v>
      </c>
      <c r="D119" s="11" t="str">
        <f aca="false">TRIB!D119</f>
        <v>A</v>
      </c>
      <c r="E119" s="4" t="str">
        <f aca="false">IF(RHO_ARCH!E119="","",IF(RHO_ARCH!E119&gt;INPUTS!$B$10,"NG",IF(RHO_ARCH!E119&gt;INPUTS!$B$9,"HEAVY","OK")))</f>
        <v/>
      </c>
      <c r="F119" s="4" t="str">
        <f aca="false">IF(RHO_ARCH!F119="","",IF(RHO_ARCH!F119&gt;INPUTS!$B$10,"NG",IF(RHO_ARCH!F119&gt;INPUTS!$B$9,"HEAVY","OK")))</f>
        <v/>
      </c>
      <c r="G119" s="4" t="str">
        <f aca="false">IF(RHO_ARCH!G119="","",IF(RHO_ARCH!G119&gt;INPUTS!$B$10,"NG",IF(RHO_ARCH!G119&gt;INPUTS!$B$9,"HEAVY","OK")))</f>
        <v/>
      </c>
      <c r="H119" s="4" t="str">
        <f aca="false">IF(RHO_ARCH!H119="","",IF(RHO_ARCH!H119&gt;INPUTS!$B$10,"NG",IF(RHO_ARCH!H119&gt;INPUTS!$B$9,"HEAVY","OK")))</f>
        <v/>
      </c>
      <c r="I119" s="4" t="str">
        <f aca="false">IF(RHO_ARCH!I119="","",IF(RHO_ARCH!I119&gt;INPUTS!$B$10,"NG",IF(RHO_ARCH!I119&gt;INPUTS!$B$9,"HEAVY","OK")))</f>
        <v/>
      </c>
      <c r="J119" s="4" t="str">
        <f aca="false">IF(RHO_ARCH!J119="","",IF(RHO_ARCH!J119&gt;INPUTS!$B$10,"NG",IF(RHO_ARCH!J119&gt;INPUTS!$B$9,"HEAVY","OK")))</f>
        <v>OK</v>
      </c>
      <c r="K119" s="4" t="str">
        <f aca="false">IF(RHO_ARCH!K119="","",IF(RHO_ARCH!K119&gt;INPUTS!$B$10,"NG",IF(RHO_ARCH!K119&gt;INPUTS!$B$9,"HEAVY","OK")))</f>
        <v/>
      </c>
      <c r="L119" s="4" t="str">
        <f aca="false">IF(RHO_ARCH!L119="","",IF(RHO_ARCH!L119&gt;INPUTS!$B$10,"NG",IF(RHO_ARCH!L119&gt;INPUTS!$B$9,"HEAVY","OK")))</f>
        <v/>
      </c>
      <c r="M119" s="4" t="str">
        <f aca="false">IF(RHO_ARCH!M119="","",IF(RHO_ARCH!M119&gt;INPUTS!$B$10,"NG",IF(RHO_ARCH!M119&gt;INPUTS!$B$9,"HEAVY","OK")))</f>
        <v/>
      </c>
      <c r="N119" s="4" t="str">
        <f aca="false">IF(RHO_ARCH!N119="","",IF(RHO_ARCH!N119&gt;INPUTS!$B$10,"NG",IF(RHO_ARCH!N119&gt;INPUTS!$B$9,"HEAVY","OK")))</f>
        <v/>
      </c>
      <c r="O119" s="4" t="str">
        <f aca="false">IF(RHO_ARCH!O119="","",IF(RHO_ARCH!O119&gt;INPUTS!$B$10,"NG",IF(RHO_ARCH!O119&gt;INPUTS!$B$9,"HEAVY","OK")))</f>
        <v/>
      </c>
      <c r="P119" s="4" t="str">
        <f aca="false">IF(RHO_ARCH!P119="","",IF(RHO_ARCH!P119&gt;INPUTS!$B$10,"NG",IF(RHO_ARCH!P119&gt;INPUTS!$B$9,"HEAVY","OK")))</f>
        <v/>
      </c>
    </row>
    <row r="120" customFormat="false" ht="15" hidden="false" customHeight="false" outlineLevel="0" collapsed="false">
      <c r="A120" s="11" t="str">
        <f aca="false">TRIB!A120</f>
        <v>7_UNLABELED_101</v>
      </c>
      <c r="B120" s="14" t="n">
        <f aca="false">TRIB!B120</f>
        <v>0</v>
      </c>
      <c r="C120" s="14" t="n">
        <f aca="false">TRIB!C120</f>
        <v>0</v>
      </c>
      <c r="D120" s="11" t="str">
        <f aca="false">TRIB!D120</f>
        <v>A</v>
      </c>
      <c r="E120" s="4" t="str">
        <f aca="false">IF(RHO_ARCH!E120="","",IF(RHO_ARCH!E120&gt;INPUTS!$B$10,"NG",IF(RHO_ARCH!E120&gt;INPUTS!$B$9,"HEAVY","OK")))</f>
        <v/>
      </c>
      <c r="F120" s="4" t="str">
        <f aca="false">IF(RHO_ARCH!F120="","",IF(RHO_ARCH!F120&gt;INPUTS!$B$10,"NG",IF(RHO_ARCH!F120&gt;INPUTS!$B$9,"HEAVY","OK")))</f>
        <v/>
      </c>
      <c r="G120" s="4" t="str">
        <f aca="false">IF(RHO_ARCH!G120="","",IF(RHO_ARCH!G120&gt;INPUTS!$B$10,"NG",IF(RHO_ARCH!G120&gt;INPUTS!$B$9,"HEAVY","OK")))</f>
        <v/>
      </c>
      <c r="H120" s="4" t="str">
        <f aca="false">IF(RHO_ARCH!H120="","",IF(RHO_ARCH!H120&gt;INPUTS!$B$10,"NG",IF(RHO_ARCH!H120&gt;INPUTS!$B$9,"HEAVY","OK")))</f>
        <v/>
      </c>
      <c r="I120" s="4" t="str">
        <f aca="false">IF(RHO_ARCH!I120="","",IF(RHO_ARCH!I120&gt;INPUTS!$B$10,"NG",IF(RHO_ARCH!I120&gt;INPUTS!$B$9,"HEAVY","OK")))</f>
        <v/>
      </c>
      <c r="J120" s="4" t="str">
        <f aca="false">IF(RHO_ARCH!J120="","",IF(RHO_ARCH!J120&gt;INPUTS!$B$10,"NG",IF(RHO_ARCH!J120&gt;INPUTS!$B$9,"HEAVY","OK")))</f>
        <v>OK</v>
      </c>
      <c r="K120" s="4" t="str">
        <f aca="false">IF(RHO_ARCH!K120="","",IF(RHO_ARCH!K120&gt;INPUTS!$B$10,"NG",IF(RHO_ARCH!K120&gt;INPUTS!$B$9,"HEAVY","OK")))</f>
        <v/>
      </c>
      <c r="L120" s="4" t="str">
        <f aca="false">IF(RHO_ARCH!L120="","",IF(RHO_ARCH!L120&gt;INPUTS!$B$10,"NG",IF(RHO_ARCH!L120&gt;INPUTS!$B$9,"HEAVY","OK")))</f>
        <v/>
      </c>
      <c r="M120" s="4" t="str">
        <f aca="false">IF(RHO_ARCH!M120="","",IF(RHO_ARCH!M120&gt;INPUTS!$B$10,"NG",IF(RHO_ARCH!M120&gt;INPUTS!$B$9,"HEAVY","OK")))</f>
        <v/>
      </c>
      <c r="N120" s="4" t="str">
        <f aca="false">IF(RHO_ARCH!N120="","",IF(RHO_ARCH!N120&gt;INPUTS!$B$10,"NG",IF(RHO_ARCH!N120&gt;INPUTS!$B$9,"HEAVY","OK")))</f>
        <v/>
      </c>
      <c r="O120" s="4" t="str">
        <f aca="false">IF(RHO_ARCH!O120="","",IF(RHO_ARCH!O120&gt;INPUTS!$B$10,"NG",IF(RHO_ARCH!O120&gt;INPUTS!$B$9,"HEAVY","OK")))</f>
        <v/>
      </c>
      <c r="P120" s="4" t="str">
        <f aca="false">IF(RHO_ARCH!P120="","",IF(RHO_ARCH!P120&gt;INPUTS!$B$10,"NG",IF(RHO_ARCH!P120&gt;INPUTS!$B$9,"HEAVY","OK")))</f>
        <v/>
      </c>
    </row>
    <row r="121" customFormat="false" ht="15" hidden="false" customHeight="false" outlineLevel="0" collapsed="false">
      <c r="A121" s="11" t="str">
        <f aca="false">TRIB!A121</f>
        <v>7_UNLABELED_102</v>
      </c>
      <c r="B121" s="14" t="n">
        <f aca="false">TRIB!B121</f>
        <v>0</v>
      </c>
      <c r="C121" s="14" t="n">
        <f aca="false">TRIB!C121</f>
        <v>0</v>
      </c>
      <c r="D121" s="11" t="str">
        <f aca="false">TRIB!D121</f>
        <v>A</v>
      </c>
      <c r="E121" s="4" t="str">
        <f aca="false">IF(RHO_ARCH!E121="","",IF(RHO_ARCH!E121&gt;INPUTS!$B$10,"NG",IF(RHO_ARCH!E121&gt;INPUTS!$B$9,"HEAVY","OK")))</f>
        <v/>
      </c>
      <c r="F121" s="4" t="str">
        <f aca="false">IF(RHO_ARCH!F121="","",IF(RHO_ARCH!F121&gt;INPUTS!$B$10,"NG",IF(RHO_ARCH!F121&gt;INPUTS!$B$9,"HEAVY","OK")))</f>
        <v/>
      </c>
      <c r="G121" s="4" t="str">
        <f aca="false">IF(RHO_ARCH!G121="","",IF(RHO_ARCH!G121&gt;INPUTS!$B$10,"NG",IF(RHO_ARCH!G121&gt;INPUTS!$B$9,"HEAVY","OK")))</f>
        <v/>
      </c>
      <c r="H121" s="4" t="str">
        <f aca="false">IF(RHO_ARCH!H121="","",IF(RHO_ARCH!H121&gt;INPUTS!$B$10,"NG",IF(RHO_ARCH!H121&gt;INPUTS!$B$9,"HEAVY","OK")))</f>
        <v/>
      </c>
      <c r="I121" s="4" t="str">
        <f aca="false">IF(RHO_ARCH!I121="","",IF(RHO_ARCH!I121&gt;INPUTS!$B$10,"NG",IF(RHO_ARCH!I121&gt;INPUTS!$B$9,"HEAVY","OK")))</f>
        <v/>
      </c>
      <c r="J121" s="4" t="str">
        <f aca="false">IF(RHO_ARCH!J121="","",IF(RHO_ARCH!J121&gt;INPUTS!$B$10,"NG",IF(RHO_ARCH!J121&gt;INPUTS!$B$9,"HEAVY","OK")))</f>
        <v>OK</v>
      </c>
      <c r="K121" s="4" t="str">
        <f aca="false">IF(RHO_ARCH!K121="","",IF(RHO_ARCH!K121&gt;INPUTS!$B$10,"NG",IF(RHO_ARCH!K121&gt;INPUTS!$B$9,"HEAVY","OK")))</f>
        <v/>
      </c>
      <c r="L121" s="4" t="str">
        <f aca="false">IF(RHO_ARCH!L121="","",IF(RHO_ARCH!L121&gt;INPUTS!$B$10,"NG",IF(RHO_ARCH!L121&gt;INPUTS!$B$9,"HEAVY","OK")))</f>
        <v/>
      </c>
      <c r="M121" s="4" t="str">
        <f aca="false">IF(RHO_ARCH!M121="","",IF(RHO_ARCH!M121&gt;INPUTS!$B$10,"NG",IF(RHO_ARCH!M121&gt;INPUTS!$B$9,"HEAVY","OK")))</f>
        <v/>
      </c>
      <c r="N121" s="4" t="str">
        <f aca="false">IF(RHO_ARCH!N121="","",IF(RHO_ARCH!N121&gt;INPUTS!$B$10,"NG",IF(RHO_ARCH!N121&gt;INPUTS!$B$9,"HEAVY","OK")))</f>
        <v/>
      </c>
      <c r="O121" s="4" t="str">
        <f aca="false">IF(RHO_ARCH!O121="","",IF(RHO_ARCH!O121&gt;INPUTS!$B$10,"NG",IF(RHO_ARCH!O121&gt;INPUTS!$B$9,"HEAVY","OK")))</f>
        <v/>
      </c>
      <c r="P121" s="4" t="str">
        <f aca="false">IF(RHO_ARCH!P121="","",IF(RHO_ARCH!P121&gt;INPUTS!$B$10,"NG",IF(RHO_ARCH!P121&gt;INPUTS!$B$9,"HEAVY","OK")))</f>
        <v/>
      </c>
    </row>
    <row r="122" customFormat="false" ht="15" hidden="false" customHeight="false" outlineLevel="0" collapsed="false">
      <c r="A122" s="11" t="str">
        <f aca="false">TRIB!A122</f>
        <v>7_UNLABELED_103</v>
      </c>
      <c r="B122" s="14" t="n">
        <f aca="false">TRIB!B122</f>
        <v>0</v>
      </c>
      <c r="C122" s="14" t="n">
        <f aca="false">TRIB!C122</f>
        <v>0</v>
      </c>
      <c r="D122" s="11" t="str">
        <f aca="false">TRIB!D122</f>
        <v>A</v>
      </c>
      <c r="E122" s="4" t="str">
        <f aca="false">IF(RHO_ARCH!E122="","",IF(RHO_ARCH!E122&gt;INPUTS!$B$10,"NG",IF(RHO_ARCH!E122&gt;INPUTS!$B$9,"HEAVY","OK")))</f>
        <v/>
      </c>
      <c r="F122" s="4" t="str">
        <f aca="false">IF(RHO_ARCH!F122="","",IF(RHO_ARCH!F122&gt;INPUTS!$B$10,"NG",IF(RHO_ARCH!F122&gt;INPUTS!$B$9,"HEAVY","OK")))</f>
        <v/>
      </c>
      <c r="G122" s="4" t="str">
        <f aca="false">IF(RHO_ARCH!G122="","",IF(RHO_ARCH!G122&gt;INPUTS!$B$10,"NG",IF(RHO_ARCH!G122&gt;INPUTS!$B$9,"HEAVY","OK")))</f>
        <v/>
      </c>
      <c r="H122" s="4" t="str">
        <f aca="false">IF(RHO_ARCH!H122="","",IF(RHO_ARCH!H122&gt;INPUTS!$B$10,"NG",IF(RHO_ARCH!H122&gt;INPUTS!$B$9,"HEAVY","OK")))</f>
        <v/>
      </c>
      <c r="I122" s="4" t="str">
        <f aca="false">IF(RHO_ARCH!I122="","",IF(RHO_ARCH!I122&gt;INPUTS!$B$10,"NG",IF(RHO_ARCH!I122&gt;INPUTS!$B$9,"HEAVY","OK")))</f>
        <v/>
      </c>
      <c r="J122" s="4" t="str">
        <f aca="false">IF(RHO_ARCH!J122="","",IF(RHO_ARCH!J122&gt;INPUTS!$B$10,"NG",IF(RHO_ARCH!J122&gt;INPUTS!$B$9,"HEAVY","OK")))</f>
        <v>OK</v>
      </c>
      <c r="K122" s="4" t="str">
        <f aca="false">IF(RHO_ARCH!K122="","",IF(RHO_ARCH!K122&gt;INPUTS!$B$10,"NG",IF(RHO_ARCH!K122&gt;INPUTS!$B$9,"HEAVY","OK")))</f>
        <v/>
      </c>
      <c r="L122" s="4" t="str">
        <f aca="false">IF(RHO_ARCH!L122="","",IF(RHO_ARCH!L122&gt;INPUTS!$B$10,"NG",IF(RHO_ARCH!L122&gt;INPUTS!$B$9,"HEAVY","OK")))</f>
        <v/>
      </c>
      <c r="M122" s="4" t="str">
        <f aca="false">IF(RHO_ARCH!M122="","",IF(RHO_ARCH!M122&gt;INPUTS!$B$10,"NG",IF(RHO_ARCH!M122&gt;INPUTS!$B$9,"HEAVY","OK")))</f>
        <v/>
      </c>
      <c r="N122" s="4" t="str">
        <f aca="false">IF(RHO_ARCH!N122="","",IF(RHO_ARCH!N122&gt;INPUTS!$B$10,"NG",IF(RHO_ARCH!N122&gt;INPUTS!$B$9,"HEAVY","OK")))</f>
        <v/>
      </c>
      <c r="O122" s="4" t="str">
        <f aca="false">IF(RHO_ARCH!O122="","",IF(RHO_ARCH!O122&gt;INPUTS!$B$10,"NG",IF(RHO_ARCH!O122&gt;INPUTS!$B$9,"HEAVY","OK")))</f>
        <v/>
      </c>
      <c r="P122" s="4" t="str">
        <f aca="false">IF(RHO_ARCH!P122="","",IF(RHO_ARCH!P122&gt;INPUTS!$B$10,"NG",IF(RHO_ARCH!P122&gt;INPUTS!$B$9,"HEAVY","OK")))</f>
        <v/>
      </c>
    </row>
    <row r="123" customFormat="false" ht="15" hidden="false" customHeight="false" outlineLevel="0" collapsed="false">
      <c r="A123" s="11" t="str">
        <f aca="false">TRIB!A123</f>
        <v>7_UNLABELED_90</v>
      </c>
      <c r="B123" s="14" t="n">
        <f aca="false">TRIB!B123</f>
        <v>0</v>
      </c>
      <c r="C123" s="14" t="n">
        <f aca="false">TRIB!C123</f>
        <v>0</v>
      </c>
      <c r="D123" s="11" t="str">
        <f aca="false">TRIB!D123</f>
        <v>A</v>
      </c>
      <c r="E123" s="4" t="str">
        <f aca="false">IF(RHO_ARCH!E123="","",IF(RHO_ARCH!E123&gt;INPUTS!$B$10,"NG",IF(RHO_ARCH!E123&gt;INPUTS!$B$9,"HEAVY","OK")))</f>
        <v/>
      </c>
      <c r="F123" s="4" t="str">
        <f aca="false">IF(RHO_ARCH!F123="","",IF(RHO_ARCH!F123&gt;INPUTS!$B$10,"NG",IF(RHO_ARCH!F123&gt;INPUTS!$B$9,"HEAVY","OK")))</f>
        <v/>
      </c>
      <c r="G123" s="4" t="str">
        <f aca="false">IF(RHO_ARCH!G123="","",IF(RHO_ARCH!G123&gt;INPUTS!$B$10,"NG",IF(RHO_ARCH!G123&gt;INPUTS!$B$9,"HEAVY","OK")))</f>
        <v/>
      </c>
      <c r="H123" s="4" t="str">
        <f aca="false">IF(RHO_ARCH!H123="","",IF(RHO_ARCH!H123&gt;INPUTS!$B$10,"NG",IF(RHO_ARCH!H123&gt;INPUTS!$B$9,"HEAVY","OK")))</f>
        <v/>
      </c>
      <c r="I123" s="4" t="str">
        <f aca="false">IF(RHO_ARCH!I123="","",IF(RHO_ARCH!I123&gt;INPUTS!$B$10,"NG",IF(RHO_ARCH!I123&gt;INPUTS!$B$9,"HEAVY","OK")))</f>
        <v/>
      </c>
      <c r="J123" s="4" t="str">
        <f aca="false">IF(RHO_ARCH!J123="","",IF(RHO_ARCH!J123&gt;INPUTS!$B$10,"NG",IF(RHO_ARCH!J123&gt;INPUTS!$B$9,"HEAVY","OK")))</f>
        <v>OK</v>
      </c>
      <c r="K123" s="4" t="str">
        <f aca="false">IF(RHO_ARCH!K123="","",IF(RHO_ARCH!K123&gt;INPUTS!$B$10,"NG",IF(RHO_ARCH!K123&gt;INPUTS!$B$9,"HEAVY","OK")))</f>
        <v/>
      </c>
      <c r="L123" s="4" t="str">
        <f aca="false">IF(RHO_ARCH!L123="","",IF(RHO_ARCH!L123&gt;INPUTS!$B$10,"NG",IF(RHO_ARCH!L123&gt;INPUTS!$B$9,"HEAVY","OK")))</f>
        <v/>
      </c>
      <c r="M123" s="4" t="str">
        <f aca="false">IF(RHO_ARCH!M123="","",IF(RHO_ARCH!M123&gt;INPUTS!$B$10,"NG",IF(RHO_ARCH!M123&gt;INPUTS!$B$9,"HEAVY","OK")))</f>
        <v/>
      </c>
      <c r="N123" s="4" t="str">
        <f aca="false">IF(RHO_ARCH!N123="","",IF(RHO_ARCH!N123&gt;INPUTS!$B$10,"NG",IF(RHO_ARCH!N123&gt;INPUTS!$B$9,"HEAVY","OK")))</f>
        <v/>
      </c>
      <c r="O123" s="4" t="str">
        <f aca="false">IF(RHO_ARCH!O123="","",IF(RHO_ARCH!O123&gt;INPUTS!$B$10,"NG",IF(RHO_ARCH!O123&gt;INPUTS!$B$9,"HEAVY","OK")))</f>
        <v/>
      </c>
      <c r="P123" s="4" t="str">
        <f aca="false">IF(RHO_ARCH!P123="","",IF(RHO_ARCH!P123&gt;INPUTS!$B$10,"NG",IF(RHO_ARCH!P123&gt;INPUTS!$B$9,"HEAVY","OK")))</f>
        <v/>
      </c>
    </row>
    <row r="124" customFormat="false" ht="15" hidden="false" customHeight="false" outlineLevel="0" collapsed="false">
      <c r="A124" s="11" t="str">
        <f aca="false">TRIB!A124</f>
        <v>7_UNLABELED_91</v>
      </c>
      <c r="B124" s="14" t="n">
        <f aca="false">TRIB!B124</f>
        <v>0</v>
      </c>
      <c r="C124" s="14" t="n">
        <f aca="false">TRIB!C124</f>
        <v>0</v>
      </c>
      <c r="D124" s="11" t="str">
        <f aca="false">TRIB!D124</f>
        <v>A</v>
      </c>
      <c r="E124" s="4" t="str">
        <f aca="false">IF(RHO_ARCH!E124="","",IF(RHO_ARCH!E124&gt;INPUTS!$B$10,"NG",IF(RHO_ARCH!E124&gt;INPUTS!$B$9,"HEAVY","OK")))</f>
        <v/>
      </c>
      <c r="F124" s="4" t="str">
        <f aca="false">IF(RHO_ARCH!F124="","",IF(RHO_ARCH!F124&gt;INPUTS!$B$10,"NG",IF(RHO_ARCH!F124&gt;INPUTS!$B$9,"HEAVY","OK")))</f>
        <v/>
      </c>
      <c r="G124" s="4" t="str">
        <f aca="false">IF(RHO_ARCH!G124="","",IF(RHO_ARCH!G124&gt;INPUTS!$B$10,"NG",IF(RHO_ARCH!G124&gt;INPUTS!$B$9,"HEAVY","OK")))</f>
        <v/>
      </c>
      <c r="H124" s="4" t="str">
        <f aca="false">IF(RHO_ARCH!H124="","",IF(RHO_ARCH!H124&gt;INPUTS!$B$10,"NG",IF(RHO_ARCH!H124&gt;INPUTS!$B$9,"HEAVY","OK")))</f>
        <v/>
      </c>
      <c r="I124" s="4" t="str">
        <f aca="false">IF(RHO_ARCH!I124="","",IF(RHO_ARCH!I124&gt;INPUTS!$B$10,"NG",IF(RHO_ARCH!I124&gt;INPUTS!$B$9,"HEAVY","OK")))</f>
        <v/>
      </c>
      <c r="J124" s="4" t="str">
        <f aca="false">IF(RHO_ARCH!J124="","",IF(RHO_ARCH!J124&gt;INPUTS!$B$10,"NG",IF(RHO_ARCH!J124&gt;INPUTS!$B$9,"HEAVY","OK")))</f>
        <v>OK</v>
      </c>
      <c r="K124" s="4" t="str">
        <f aca="false">IF(RHO_ARCH!K124="","",IF(RHO_ARCH!K124&gt;INPUTS!$B$10,"NG",IF(RHO_ARCH!K124&gt;INPUTS!$B$9,"HEAVY","OK")))</f>
        <v/>
      </c>
      <c r="L124" s="4" t="str">
        <f aca="false">IF(RHO_ARCH!L124="","",IF(RHO_ARCH!L124&gt;INPUTS!$B$10,"NG",IF(RHO_ARCH!L124&gt;INPUTS!$B$9,"HEAVY","OK")))</f>
        <v/>
      </c>
      <c r="M124" s="4" t="str">
        <f aca="false">IF(RHO_ARCH!M124="","",IF(RHO_ARCH!M124&gt;INPUTS!$B$10,"NG",IF(RHO_ARCH!M124&gt;INPUTS!$B$9,"HEAVY","OK")))</f>
        <v/>
      </c>
      <c r="N124" s="4" t="str">
        <f aca="false">IF(RHO_ARCH!N124="","",IF(RHO_ARCH!N124&gt;INPUTS!$B$10,"NG",IF(RHO_ARCH!N124&gt;INPUTS!$B$9,"HEAVY","OK")))</f>
        <v/>
      </c>
      <c r="O124" s="4" t="str">
        <f aca="false">IF(RHO_ARCH!O124="","",IF(RHO_ARCH!O124&gt;INPUTS!$B$10,"NG",IF(RHO_ARCH!O124&gt;INPUTS!$B$9,"HEAVY","OK")))</f>
        <v/>
      </c>
      <c r="P124" s="4" t="str">
        <f aca="false">IF(RHO_ARCH!P124="","",IF(RHO_ARCH!P124&gt;INPUTS!$B$10,"NG",IF(RHO_ARCH!P124&gt;INPUTS!$B$9,"HEAVY","OK")))</f>
        <v/>
      </c>
    </row>
    <row r="125" customFormat="false" ht="15" hidden="false" customHeight="false" outlineLevel="0" collapsed="false">
      <c r="A125" s="11" t="str">
        <f aca="false">TRIB!A125</f>
        <v>7_UNLABELED_92</v>
      </c>
      <c r="B125" s="14" t="n">
        <f aca="false">TRIB!B125</f>
        <v>0</v>
      </c>
      <c r="C125" s="14" t="n">
        <f aca="false">TRIB!C125</f>
        <v>0</v>
      </c>
      <c r="D125" s="11" t="str">
        <f aca="false">TRIB!D125</f>
        <v>A</v>
      </c>
      <c r="E125" s="4" t="str">
        <f aca="false">IF(RHO_ARCH!E125="","",IF(RHO_ARCH!E125&gt;INPUTS!$B$10,"NG",IF(RHO_ARCH!E125&gt;INPUTS!$B$9,"HEAVY","OK")))</f>
        <v/>
      </c>
      <c r="F125" s="4" t="str">
        <f aca="false">IF(RHO_ARCH!F125="","",IF(RHO_ARCH!F125&gt;INPUTS!$B$10,"NG",IF(RHO_ARCH!F125&gt;INPUTS!$B$9,"HEAVY","OK")))</f>
        <v/>
      </c>
      <c r="G125" s="4" t="str">
        <f aca="false">IF(RHO_ARCH!G125="","",IF(RHO_ARCH!G125&gt;INPUTS!$B$10,"NG",IF(RHO_ARCH!G125&gt;INPUTS!$B$9,"HEAVY","OK")))</f>
        <v/>
      </c>
      <c r="H125" s="4" t="str">
        <f aca="false">IF(RHO_ARCH!H125="","",IF(RHO_ARCH!H125&gt;INPUTS!$B$10,"NG",IF(RHO_ARCH!H125&gt;INPUTS!$B$9,"HEAVY","OK")))</f>
        <v/>
      </c>
      <c r="I125" s="4" t="str">
        <f aca="false">IF(RHO_ARCH!I125="","",IF(RHO_ARCH!I125&gt;INPUTS!$B$10,"NG",IF(RHO_ARCH!I125&gt;INPUTS!$B$9,"HEAVY","OK")))</f>
        <v/>
      </c>
      <c r="J125" s="4" t="str">
        <f aca="false">IF(RHO_ARCH!J125="","",IF(RHO_ARCH!J125&gt;INPUTS!$B$10,"NG",IF(RHO_ARCH!J125&gt;INPUTS!$B$9,"HEAVY","OK")))</f>
        <v>OK</v>
      </c>
      <c r="K125" s="4" t="str">
        <f aca="false">IF(RHO_ARCH!K125="","",IF(RHO_ARCH!K125&gt;INPUTS!$B$10,"NG",IF(RHO_ARCH!K125&gt;INPUTS!$B$9,"HEAVY","OK")))</f>
        <v/>
      </c>
      <c r="L125" s="4" t="str">
        <f aca="false">IF(RHO_ARCH!L125="","",IF(RHO_ARCH!L125&gt;INPUTS!$B$10,"NG",IF(RHO_ARCH!L125&gt;INPUTS!$B$9,"HEAVY","OK")))</f>
        <v/>
      </c>
      <c r="M125" s="4" t="str">
        <f aca="false">IF(RHO_ARCH!M125="","",IF(RHO_ARCH!M125&gt;INPUTS!$B$10,"NG",IF(RHO_ARCH!M125&gt;INPUTS!$B$9,"HEAVY","OK")))</f>
        <v/>
      </c>
      <c r="N125" s="4" t="str">
        <f aca="false">IF(RHO_ARCH!N125="","",IF(RHO_ARCH!N125&gt;INPUTS!$B$10,"NG",IF(RHO_ARCH!N125&gt;INPUTS!$B$9,"HEAVY","OK")))</f>
        <v/>
      </c>
      <c r="O125" s="4" t="str">
        <f aca="false">IF(RHO_ARCH!O125="","",IF(RHO_ARCH!O125&gt;INPUTS!$B$10,"NG",IF(RHO_ARCH!O125&gt;INPUTS!$B$9,"HEAVY","OK")))</f>
        <v/>
      </c>
      <c r="P125" s="4" t="str">
        <f aca="false">IF(RHO_ARCH!P125="","",IF(RHO_ARCH!P125&gt;INPUTS!$B$10,"NG",IF(RHO_ARCH!P125&gt;INPUTS!$B$9,"HEAVY","OK")))</f>
        <v/>
      </c>
    </row>
    <row r="126" customFormat="false" ht="15" hidden="false" customHeight="false" outlineLevel="0" collapsed="false">
      <c r="A126" s="11" t="str">
        <f aca="false">TRIB!A126</f>
        <v>7_UNLABELED_93</v>
      </c>
      <c r="B126" s="14" t="n">
        <f aca="false">TRIB!B126</f>
        <v>0</v>
      </c>
      <c r="C126" s="14" t="n">
        <f aca="false">TRIB!C126</f>
        <v>0</v>
      </c>
      <c r="D126" s="11" t="str">
        <f aca="false">TRIB!D126</f>
        <v>A</v>
      </c>
      <c r="E126" s="4" t="str">
        <f aca="false">IF(RHO_ARCH!E126="","",IF(RHO_ARCH!E126&gt;INPUTS!$B$10,"NG",IF(RHO_ARCH!E126&gt;INPUTS!$B$9,"HEAVY","OK")))</f>
        <v/>
      </c>
      <c r="F126" s="4" t="str">
        <f aca="false">IF(RHO_ARCH!F126="","",IF(RHO_ARCH!F126&gt;INPUTS!$B$10,"NG",IF(RHO_ARCH!F126&gt;INPUTS!$B$9,"HEAVY","OK")))</f>
        <v/>
      </c>
      <c r="G126" s="4" t="str">
        <f aca="false">IF(RHO_ARCH!G126="","",IF(RHO_ARCH!G126&gt;INPUTS!$B$10,"NG",IF(RHO_ARCH!G126&gt;INPUTS!$B$9,"HEAVY","OK")))</f>
        <v/>
      </c>
      <c r="H126" s="4" t="str">
        <f aca="false">IF(RHO_ARCH!H126="","",IF(RHO_ARCH!H126&gt;INPUTS!$B$10,"NG",IF(RHO_ARCH!H126&gt;INPUTS!$B$9,"HEAVY","OK")))</f>
        <v/>
      </c>
      <c r="I126" s="4" t="str">
        <f aca="false">IF(RHO_ARCH!I126="","",IF(RHO_ARCH!I126&gt;INPUTS!$B$10,"NG",IF(RHO_ARCH!I126&gt;INPUTS!$B$9,"HEAVY","OK")))</f>
        <v/>
      </c>
      <c r="J126" s="4" t="str">
        <f aca="false">IF(RHO_ARCH!J126="","",IF(RHO_ARCH!J126&gt;INPUTS!$B$10,"NG",IF(RHO_ARCH!J126&gt;INPUTS!$B$9,"HEAVY","OK")))</f>
        <v>OK</v>
      </c>
      <c r="K126" s="4" t="str">
        <f aca="false">IF(RHO_ARCH!K126="","",IF(RHO_ARCH!K126&gt;INPUTS!$B$10,"NG",IF(RHO_ARCH!K126&gt;INPUTS!$B$9,"HEAVY","OK")))</f>
        <v/>
      </c>
      <c r="L126" s="4" t="str">
        <f aca="false">IF(RHO_ARCH!L126="","",IF(RHO_ARCH!L126&gt;INPUTS!$B$10,"NG",IF(RHO_ARCH!L126&gt;INPUTS!$B$9,"HEAVY","OK")))</f>
        <v/>
      </c>
      <c r="M126" s="4" t="str">
        <f aca="false">IF(RHO_ARCH!M126="","",IF(RHO_ARCH!M126&gt;INPUTS!$B$10,"NG",IF(RHO_ARCH!M126&gt;INPUTS!$B$9,"HEAVY","OK")))</f>
        <v/>
      </c>
      <c r="N126" s="4" t="str">
        <f aca="false">IF(RHO_ARCH!N126="","",IF(RHO_ARCH!N126&gt;INPUTS!$B$10,"NG",IF(RHO_ARCH!N126&gt;INPUTS!$B$9,"HEAVY","OK")))</f>
        <v/>
      </c>
      <c r="O126" s="4" t="str">
        <f aca="false">IF(RHO_ARCH!O126="","",IF(RHO_ARCH!O126&gt;INPUTS!$B$10,"NG",IF(RHO_ARCH!O126&gt;INPUTS!$B$9,"HEAVY","OK")))</f>
        <v/>
      </c>
      <c r="P126" s="4" t="str">
        <f aca="false">IF(RHO_ARCH!P126="","",IF(RHO_ARCH!P126&gt;INPUTS!$B$10,"NG",IF(RHO_ARCH!P126&gt;INPUTS!$B$9,"HEAVY","OK")))</f>
        <v/>
      </c>
    </row>
    <row r="127" customFormat="false" ht="15" hidden="false" customHeight="false" outlineLevel="0" collapsed="false">
      <c r="A127" s="11" t="str">
        <f aca="false">TRIB!A127</f>
        <v>7_UNLABELED_94</v>
      </c>
      <c r="B127" s="14" t="n">
        <f aca="false">TRIB!B127</f>
        <v>0</v>
      </c>
      <c r="C127" s="14" t="n">
        <f aca="false">TRIB!C127</f>
        <v>0</v>
      </c>
      <c r="D127" s="11" t="str">
        <f aca="false">TRIB!D127</f>
        <v>A</v>
      </c>
      <c r="E127" s="4" t="str">
        <f aca="false">IF(RHO_ARCH!E127="","",IF(RHO_ARCH!E127&gt;INPUTS!$B$10,"NG",IF(RHO_ARCH!E127&gt;INPUTS!$B$9,"HEAVY","OK")))</f>
        <v/>
      </c>
      <c r="F127" s="4" t="str">
        <f aca="false">IF(RHO_ARCH!F127="","",IF(RHO_ARCH!F127&gt;INPUTS!$B$10,"NG",IF(RHO_ARCH!F127&gt;INPUTS!$B$9,"HEAVY","OK")))</f>
        <v/>
      </c>
      <c r="G127" s="4" t="str">
        <f aca="false">IF(RHO_ARCH!G127="","",IF(RHO_ARCH!G127&gt;INPUTS!$B$10,"NG",IF(RHO_ARCH!G127&gt;INPUTS!$B$9,"HEAVY","OK")))</f>
        <v/>
      </c>
      <c r="H127" s="4" t="str">
        <f aca="false">IF(RHO_ARCH!H127="","",IF(RHO_ARCH!H127&gt;INPUTS!$B$10,"NG",IF(RHO_ARCH!H127&gt;INPUTS!$B$9,"HEAVY","OK")))</f>
        <v/>
      </c>
      <c r="I127" s="4" t="str">
        <f aca="false">IF(RHO_ARCH!I127="","",IF(RHO_ARCH!I127&gt;INPUTS!$B$10,"NG",IF(RHO_ARCH!I127&gt;INPUTS!$B$9,"HEAVY","OK")))</f>
        <v/>
      </c>
      <c r="J127" s="4" t="str">
        <f aca="false">IF(RHO_ARCH!J127="","",IF(RHO_ARCH!J127&gt;INPUTS!$B$10,"NG",IF(RHO_ARCH!J127&gt;INPUTS!$B$9,"HEAVY","OK")))</f>
        <v>OK</v>
      </c>
      <c r="K127" s="4" t="str">
        <f aca="false">IF(RHO_ARCH!K127="","",IF(RHO_ARCH!K127&gt;INPUTS!$B$10,"NG",IF(RHO_ARCH!K127&gt;INPUTS!$B$9,"HEAVY","OK")))</f>
        <v/>
      </c>
      <c r="L127" s="4" t="str">
        <f aca="false">IF(RHO_ARCH!L127="","",IF(RHO_ARCH!L127&gt;INPUTS!$B$10,"NG",IF(RHO_ARCH!L127&gt;INPUTS!$B$9,"HEAVY","OK")))</f>
        <v/>
      </c>
      <c r="M127" s="4" t="str">
        <f aca="false">IF(RHO_ARCH!M127="","",IF(RHO_ARCH!M127&gt;INPUTS!$B$10,"NG",IF(RHO_ARCH!M127&gt;INPUTS!$B$9,"HEAVY","OK")))</f>
        <v/>
      </c>
      <c r="N127" s="4" t="str">
        <f aca="false">IF(RHO_ARCH!N127="","",IF(RHO_ARCH!N127&gt;INPUTS!$B$10,"NG",IF(RHO_ARCH!N127&gt;INPUTS!$B$9,"HEAVY","OK")))</f>
        <v/>
      </c>
      <c r="O127" s="4" t="str">
        <f aca="false">IF(RHO_ARCH!O127="","",IF(RHO_ARCH!O127&gt;INPUTS!$B$10,"NG",IF(RHO_ARCH!O127&gt;INPUTS!$B$9,"HEAVY","OK")))</f>
        <v/>
      </c>
      <c r="P127" s="4" t="str">
        <f aca="false">IF(RHO_ARCH!P127="","",IF(RHO_ARCH!P127&gt;INPUTS!$B$10,"NG",IF(RHO_ARCH!P127&gt;INPUTS!$B$9,"HEAVY","OK")))</f>
        <v/>
      </c>
    </row>
    <row r="128" customFormat="false" ht="15" hidden="false" customHeight="false" outlineLevel="0" collapsed="false">
      <c r="A128" s="11" t="str">
        <f aca="false">TRIB!A128</f>
        <v>7_UNLABELED_95</v>
      </c>
      <c r="B128" s="14" t="n">
        <f aca="false">TRIB!B128</f>
        <v>0</v>
      </c>
      <c r="C128" s="14" t="n">
        <f aca="false">TRIB!C128</f>
        <v>0</v>
      </c>
      <c r="D128" s="11" t="str">
        <f aca="false">TRIB!D128</f>
        <v>A</v>
      </c>
      <c r="E128" s="4" t="str">
        <f aca="false">IF(RHO_ARCH!E128="","",IF(RHO_ARCH!E128&gt;INPUTS!$B$10,"NG",IF(RHO_ARCH!E128&gt;INPUTS!$B$9,"HEAVY","OK")))</f>
        <v/>
      </c>
      <c r="F128" s="4" t="str">
        <f aca="false">IF(RHO_ARCH!F128="","",IF(RHO_ARCH!F128&gt;INPUTS!$B$10,"NG",IF(RHO_ARCH!F128&gt;INPUTS!$B$9,"HEAVY","OK")))</f>
        <v/>
      </c>
      <c r="G128" s="4" t="str">
        <f aca="false">IF(RHO_ARCH!G128="","",IF(RHO_ARCH!G128&gt;INPUTS!$B$10,"NG",IF(RHO_ARCH!G128&gt;INPUTS!$B$9,"HEAVY","OK")))</f>
        <v/>
      </c>
      <c r="H128" s="4" t="str">
        <f aca="false">IF(RHO_ARCH!H128="","",IF(RHO_ARCH!H128&gt;INPUTS!$B$10,"NG",IF(RHO_ARCH!H128&gt;INPUTS!$B$9,"HEAVY","OK")))</f>
        <v/>
      </c>
      <c r="I128" s="4" t="str">
        <f aca="false">IF(RHO_ARCH!I128="","",IF(RHO_ARCH!I128&gt;INPUTS!$B$10,"NG",IF(RHO_ARCH!I128&gt;INPUTS!$B$9,"HEAVY","OK")))</f>
        <v/>
      </c>
      <c r="J128" s="4" t="str">
        <f aca="false">IF(RHO_ARCH!J128="","",IF(RHO_ARCH!J128&gt;INPUTS!$B$10,"NG",IF(RHO_ARCH!J128&gt;INPUTS!$B$9,"HEAVY","OK")))</f>
        <v>OK</v>
      </c>
      <c r="K128" s="4" t="str">
        <f aca="false">IF(RHO_ARCH!K128="","",IF(RHO_ARCH!K128&gt;INPUTS!$B$10,"NG",IF(RHO_ARCH!K128&gt;INPUTS!$B$9,"HEAVY","OK")))</f>
        <v/>
      </c>
      <c r="L128" s="4" t="str">
        <f aca="false">IF(RHO_ARCH!L128="","",IF(RHO_ARCH!L128&gt;INPUTS!$B$10,"NG",IF(RHO_ARCH!L128&gt;INPUTS!$B$9,"HEAVY","OK")))</f>
        <v/>
      </c>
      <c r="M128" s="4" t="str">
        <f aca="false">IF(RHO_ARCH!M128="","",IF(RHO_ARCH!M128&gt;INPUTS!$B$10,"NG",IF(RHO_ARCH!M128&gt;INPUTS!$B$9,"HEAVY","OK")))</f>
        <v/>
      </c>
      <c r="N128" s="4" t="str">
        <f aca="false">IF(RHO_ARCH!N128="","",IF(RHO_ARCH!N128&gt;INPUTS!$B$10,"NG",IF(RHO_ARCH!N128&gt;INPUTS!$B$9,"HEAVY","OK")))</f>
        <v/>
      </c>
      <c r="O128" s="4" t="str">
        <f aca="false">IF(RHO_ARCH!O128="","",IF(RHO_ARCH!O128&gt;INPUTS!$B$10,"NG",IF(RHO_ARCH!O128&gt;INPUTS!$B$9,"HEAVY","OK")))</f>
        <v/>
      </c>
      <c r="P128" s="4" t="str">
        <f aca="false">IF(RHO_ARCH!P128="","",IF(RHO_ARCH!P128&gt;INPUTS!$B$10,"NG",IF(RHO_ARCH!P128&gt;INPUTS!$B$9,"HEAVY","OK")))</f>
        <v/>
      </c>
    </row>
    <row r="129" customFormat="false" ht="15" hidden="false" customHeight="false" outlineLevel="0" collapsed="false">
      <c r="A129" s="11" t="str">
        <f aca="false">TRIB!A129</f>
        <v>7_UNLABELED_96</v>
      </c>
      <c r="B129" s="14" t="n">
        <f aca="false">TRIB!B129</f>
        <v>0</v>
      </c>
      <c r="C129" s="14" t="n">
        <f aca="false">TRIB!C129</f>
        <v>0</v>
      </c>
      <c r="D129" s="11" t="str">
        <f aca="false">TRIB!D129</f>
        <v>A</v>
      </c>
      <c r="E129" s="4" t="str">
        <f aca="false">IF(RHO_ARCH!E129="","",IF(RHO_ARCH!E129&gt;INPUTS!$B$10,"NG",IF(RHO_ARCH!E129&gt;INPUTS!$B$9,"HEAVY","OK")))</f>
        <v/>
      </c>
      <c r="F129" s="4" t="str">
        <f aca="false">IF(RHO_ARCH!F129="","",IF(RHO_ARCH!F129&gt;INPUTS!$B$10,"NG",IF(RHO_ARCH!F129&gt;INPUTS!$B$9,"HEAVY","OK")))</f>
        <v/>
      </c>
      <c r="G129" s="4" t="str">
        <f aca="false">IF(RHO_ARCH!G129="","",IF(RHO_ARCH!G129&gt;INPUTS!$B$10,"NG",IF(RHO_ARCH!G129&gt;INPUTS!$B$9,"HEAVY","OK")))</f>
        <v/>
      </c>
      <c r="H129" s="4" t="str">
        <f aca="false">IF(RHO_ARCH!H129="","",IF(RHO_ARCH!H129&gt;INPUTS!$B$10,"NG",IF(RHO_ARCH!H129&gt;INPUTS!$B$9,"HEAVY","OK")))</f>
        <v/>
      </c>
      <c r="I129" s="4" t="str">
        <f aca="false">IF(RHO_ARCH!I129="","",IF(RHO_ARCH!I129&gt;INPUTS!$B$10,"NG",IF(RHO_ARCH!I129&gt;INPUTS!$B$9,"HEAVY","OK")))</f>
        <v/>
      </c>
      <c r="J129" s="4" t="str">
        <f aca="false">IF(RHO_ARCH!J129="","",IF(RHO_ARCH!J129&gt;INPUTS!$B$10,"NG",IF(RHO_ARCH!J129&gt;INPUTS!$B$9,"HEAVY","OK")))</f>
        <v>OK</v>
      </c>
      <c r="K129" s="4" t="str">
        <f aca="false">IF(RHO_ARCH!K129="","",IF(RHO_ARCH!K129&gt;INPUTS!$B$10,"NG",IF(RHO_ARCH!K129&gt;INPUTS!$B$9,"HEAVY","OK")))</f>
        <v/>
      </c>
      <c r="L129" s="4" t="str">
        <f aca="false">IF(RHO_ARCH!L129="","",IF(RHO_ARCH!L129&gt;INPUTS!$B$10,"NG",IF(RHO_ARCH!L129&gt;INPUTS!$B$9,"HEAVY","OK")))</f>
        <v/>
      </c>
      <c r="M129" s="4" t="str">
        <f aca="false">IF(RHO_ARCH!M129="","",IF(RHO_ARCH!M129&gt;INPUTS!$B$10,"NG",IF(RHO_ARCH!M129&gt;INPUTS!$B$9,"HEAVY","OK")))</f>
        <v/>
      </c>
      <c r="N129" s="4" t="str">
        <f aca="false">IF(RHO_ARCH!N129="","",IF(RHO_ARCH!N129&gt;INPUTS!$B$10,"NG",IF(RHO_ARCH!N129&gt;INPUTS!$B$9,"HEAVY","OK")))</f>
        <v/>
      </c>
      <c r="O129" s="4" t="str">
        <f aca="false">IF(RHO_ARCH!O129="","",IF(RHO_ARCH!O129&gt;INPUTS!$B$10,"NG",IF(RHO_ARCH!O129&gt;INPUTS!$B$9,"HEAVY","OK")))</f>
        <v/>
      </c>
      <c r="P129" s="4" t="str">
        <f aca="false">IF(RHO_ARCH!P129="","",IF(RHO_ARCH!P129&gt;INPUTS!$B$10,"NG",IF(RHO_ARCH!P129&gt;INPUTS!$B$9,"HEAVY","OK")))</f>
        <v/>
      </c>
    </row>
    <row r="130" customFormat="false" ht="15" hidden="false" customHeight="false" outlineLevel="0" collapsed="false">
      <c r="A130" s="11" t="str">
        <f aca="false">TRIB!A130</f>
        <v>7_UNLABELED_97</v>
      </c>
      <c r="B130" s="14" t="n">
        <f aca="false">TRIB!B130</f>
        <v>0</v>
      </c>
      <c r="C130" s="14" t="n">
        <f aca="false">TRIB!C130</f>
        <v>0</v>
      </c>
      <c r="D130" s="11" t="str">
        <f aca="false">TRIB!D130</f>
        <v>A</v>
      </c>
      <c r="E130" s="4" t="str">
        <f aca="false">IF(RHO_ARCH!E130="","",IF(RHO_ARCH!E130&gt;INPUTS!$B$10,"NG",IF(RHO_ARCH!E130&gt;INPUTS!$B$9,"HEAVY","OK")))</f>
        <v/>
      </c>
      <c r="F130" s="4" t="str">
        <f aca="false">IF(RHO_ARCH!F130="","",IF(RHO_ARCH!F130&gt;INPUTS!$B$10,"NG",IF(RHO_ARCH!F130&gt;INPUTS!$B$9,"HEAVY","OK")))</f>
        <v/>
      </c>
      <c r="G130" s="4" t="str">
        <f aca="false">IF(RHO_ARCH!G130="","",IF(RHO_ARCH!G130&gt;INPUTS!$B$10,"NG",IF(RHO_ARCH!G130&gt;INPUTS!$B$9,"HEAVY","OK")))</f>
        <v/>
      </c>
      <c r="H130" s="4" t="str">
        <f aca="false">IF(RHO_ARCH!H130="","",IF(RHO_ARCH!H130&gt;INPUTS!$B$10,"NG",IF(RHO_ARCH!H130&gt;INPUTS!$B$9,"HEAVY","OK")))</f>
        <v/>
      </c>
      <c r="I130" s="4" t="str">
        <f aca="false">IF(RHO_ARCH!I130="","",IF(RHO_ARCH!I130&gt;INPUTS!$B$10,"NG",IF(RHO_ARCH!I130&gt;INPUTS!$B$9,"HEAVY","OK")))</f>
        <v/>
      </c>
      <c r="J130" s="4" t="str">
        <f aca="false">IF(RHO_ARCH!J130="","",IF(RHO_ARCH!J130&gt;INPUTS!$B$10,"NG",IF(RHO_ARCH!J130&gt;INPUTS!$B$9,"HEAVY","OK")))</f>
        <v>OK</v>
      </c>
      <c r="K130" s="4" t="str">
        <f aca="false">IF(RHO_ARCH!K130="","",IF(RHO_ARCH!K130&gt;INPUTS!$B$10,"NG",IF(RHO_ARCH!K130&gt;INPUTS!$B$9,"HEAVY","OK")))</f>
        <v/>
      </c>
      <c r="L130" s="4" t="str">
        <f aca="false">IF(RHO_ARCH!L130="","",IF(RHO_ARCH!L130&gt;INPUTS!$B$10,"NG",IF(RHO_ARCH!L130&gt;INPUTS!$B$9,"HEAVY","OK")))</f>
        <v/>
      </c>
      <c r="M130" s="4" t="str">
        <f aca="false">IF(RHO_ARCH!M130="","",IF(RHO_ARCH!M130&gt;INPUTS!$B$10,"NG",IF(RHO_ARCH!M130&gt;INPUTS!$B$9,"HEAVY","OK")))</f>
        <v/>
      </c>
      <c r="N130" s="4" t="str">
        <f aca="false">IF(RHO_ARCH!N130="","",IF(RHO_ARCH!N130&gt;INPUTS!$B$10,"NG",IF(RHO_ARCH!N130&gt;INPUTS!$B$9,"HEAVY","OK")))</f>
        <v/>
      </c>
      <c r="O130" s="4" t="str">
        <f aca="false">IF(RHO_ARCH!O130="","",IF(RHO_ARCH!O130&gt;INPUTS!$B$10,"NG",IF(RHO_ARCH!O130&gt;INPUTS!$B$9,"HEAVY","OK")))</f>
        <v/>
      </c>
      <c r="P130" s="4" t="str">
        <f aca="false">IF(RHO_ARCH!P130="","",IF(RHO_ARCH!P130&gt;INPUTS!$B$10,"NG",IF(RHO_ARCH!P130&gt;INPUTS!$B$9,"HEAVY","OK")))</f>
        <v/>
      </c>
    </row>
    <row r="131" customFormat="false" ht="15" hidden="false" customHeight="false" outlineLevel="0" collapsed="false">
      <c r="A131" s="11" t="str">
        <f aca="false">TRIB!A131</f>
        <v>7_UNLABELED_98</v>
      </c>
      <c r="B131" s="14" t="n">
        <f aca="false">TRIB!B131</f>
        <v>0</v>
      </c>
      <c r="C131" s="14" t="n">
        <f aca="false">TRIB!C131</f>
        <v>0</v>
      </c>
      <c r="D131" s="11" t="str">
        <f aca="false">TRIB!D131</f>
        <v>A</v>
      </c>
      <c r="E131" s="4" t="str">
        <f aca="false">IF(RHO_ARCH!E131="","",IF(RHO_ARCH!E131&gt;INPUTS!$B$10,"NG",IF(RHO_ARCH!E131&gt;INPUTS!$B$9,"HEAVY","OK")))</f>
        <v/>
      </c>
      <c r="F131" s="4" t="str">
        <f aca="false">IF(RHO_ARCH!F131="","",IF(RHO_ARCH!F131&gt;INPUTS!$B$10,"NG",IF(RHO_ARCH!F131&gt;INPUTS!$B$9,"HEAVY","OK")))</f>
        <v/>
      </c>
      <c r="G131" s="4" t="str">
        <f aca="false">IF(RHO_ARCH!G131="","",IF(RHO_ARCH!G131&gt;INPUTS!$B$10,"NG",IF(RHO_ARCH!G131&gt;INPUTS!$B$9,"HEAVY","OK")))</f>
        <v/>
      </c>
      <c r="H131" s="4" t="str">
        <f aca="false">IF(RHO_ARCH!H131="","",IF(RHO_ARCH!H131&gt;INPUTS!$B$10,"NG",IF(RHO_ARCH!H131&gt;INPUTS!$B$9,"HEAVY","OK")))</f>
        <v/>
      </c>
      <c r="I131" s="4" t="str">
        <f aca="false">IF(RHO_ARCH!I131="","",IF(RHO_ARCH!I131&gt;INPUTS!$B$10,"NG",IF(RHO_ARCH!I131&gt;INPUTS!$B$9,"HEAVY","OK")))</f>
        <v/>
      </c>
      <c r="J131" s="4" t="str">
        <f aca="false">IF(RHO_ARCH!J131="","",IF(RHO_ARCH!J131&gt;INPUTS!$B$10,"NG",IF(RHO_ARCH!J131&gt;INPUTS!$B$9,"HEAVY","OK")))</f>
        <v>OK</v>
      </c>
      <c r="K131" s="4" t="str">
        <f aca="false">IF(RHO_ARCH!K131="","",IF(RHO_ARCH!K131&gt;INPUTS!$B$10,"NG",IF(RHO_ARCH!K131&gt;INPUTS!$B$9,"HEAVY","OK")))</f>
        <v/>
      </c>
      <c r="L131" s="4" t="str">
        <f aca="false">IF(RHO_ARCH!L131="","",IF(RHO_ARCH!L131&gt;INPUTS!$B$10,"NG",IF(RHO_ARCH!L131&gt;INPUTS!$B$9,"HEAVY","OK")))</f>
        <v/>
      </c>
      <c r="M131" s="4" t="str">
        <f aca="false">IF(RHO_ARCH!M131="","",IF(RHO_ARCH!M131&gt;INPUTS!$B$10,"NG",IF(RHO_ARCH!M131&gt;INPUTS!$B$9,"HEAVY","OK")))</f>
        <v/>
      </c>
      <c r="N131" s="4" t="str">
        <f aca="false">IF(RHO_ARCH!N131="","",IF(RHO_ARCH!N131&gt;INPUTS!$B$10,"NG",IF(RHO_ARCH!N131&gt;INPUTS!$B$9,"HEAVY","OK")))</f>
        <v/>
      </c>
      <c r="O131" s="4" t="str">
        <f aca="false">IF(RHO_ARCH!O131="","",IF(RHO_ARCH!O131&gt;INPUTS!$B$10,"NG",IF(RHO_ARCH!O131&gt;INPUTS!$B$9,"HEAVY","OK")))</f>
        <v/>
      </c>
      <c r="P131" s="4" t="str">
        <f aca="false">IF(RHO_ARCH!P131="","",IF(RHO_ARCH!P131&gt;INPUTS!$B$10,"NG",IF(RHO_ARCH!P131&gt;INPUTS!$B$9,"HEAVY","OK")))</f>
        <v/>
      </c>
    </row>
    <row r="132" customFormat="false" ht="15" hidden="false" customHeight="false" outlineLevel="0" collapsed="false">
      <c r="A132" s="11" t="str">
        <f aca="false">TRIB!A132</f>
        <v>7_UNLABELED_99</v>
      </c>
      <c r="B132" s="14" t="n">
        <f aca="false">TRIB!B132</f>
        <v>0</v>
      </c>
      <c r="C132" s="14" t="n">
        <f aca="false">TRIB!C132</f>
        <v>0</v>
      </c>
      <c r="D132" s="11" t="str">
        <f aca="false">TRIB!D132</f>
        <v>A</v>
      </c>
      <c r="E132" s="4" t="str">
        <f aca="false">IF(RHO_ARCH!E132="","",IF(RHO_ARCH!E132&gt;INPUTS!$B$10,"NG",IF(RHO_ARCH!E132&gt;INPUTS!$B$9,"HEAVY","OK")))</f>
        <v/>
      </c>
      <c r="F132" s="4" t="str">
        <f aca="false">IF(RHO_ARCH!F132="","",IF(RHO_ARCH!F132&gt;INPUTS!$B$10,"NG",IF(RHO_ARCH!F132&gt;INPUTS!$B$9,"HEAVY","OK")))</f>
        <v/>
      </c>
      <c r="G132" s="4" t="str">
        <f aca="false">IF(RHO_ARCH!G132="","",IF(RHO_ARCH!G132&gt;INPUTS!$B$10,"NG",IF(RHO_ARCH!G132&gt;INPUTS!$B$9,"HEAVY","OK")))</f>
        <v/>
      </c>
      <c r="H132" s="4" t="str">
        <f aca="false">IF(RHO_ARCH!H132="","",IF(RHO_ARCH!H132&gt;INPUTS!$B$10,"NG",IF(RHO_ARCH!H132&gt;INPUTS!$B$9,"HEAVY","OK")))</f>
        <v/>
      </c>
      <c r="I132" s="4" t="str">
        <f aca="false">IF(RHO_ARCH!I132="","",IF(RHO_ARCH!I132&gt;INPUTS!$B$10,"NG",IF(RHO_ARCH!I132&gt;INPUTS!$B$9,"HEAVY","OK")))</f>
        <v/>
      </c>
      <c r="J132" s="4" t="str">
        <f aca="false">IF(RHO_ARCH!J132="","",IF(RHO_ARCH!J132&gt;INPUTS!$B$10,"NG",IF(RHO_ARCH!J132&gt;INPUTS!$B$9,"HEAVY","OK")))</f>
        <v>OK</v>
      </c>
      <c r="K132" s="4" t="str">
        <f aca="false">IF(RHO_ARCH!K132="","",IF(RHO_ARCH!K132&gt;INPUTS!$B$10,"NG",IF(RHO_ARCH!K132&gt;INPUTS!$B$9,"HEAVY","OK")))</f>
        <v/>
      </c>
      <c r="L132" s="4" t="str">
        <f aca="false">IF(RHO_ARCH!L132="","",IF(RHO_ARCH!L132&gt;INPUTS!$B$10,"NG",IF(RHO_ARCH!L132&gt;INPUTS!$B$9,"HEAVY","OK")))</f>
        <v/>
      </c>
      <c r="M132" s="4" t="str">
        <f aca="false">IF(RHO_ARCH!M132="","",IF(RHO_ARCH!M132&gt;INPUTS!$B$10,"NG",IF(RHO_ARCH!M132&gt;INPUTS!$B$9,"HEAVY","OK")))</f>
        <v/>
      </c>
      <c r="N132" s="4" t="str">
        <f aca="false">IF(RHO_ARCH!N132="","",IF(RHO_ARCH!N132&gt;INPUTS!$B$10,"NG",IF(RHO_ARCH!N132&gt;INPUTS!$B$9,"HEAVY","OK")))</f>
        <v/>
      </c>
      <c r="O132" s="4" t="str">
        <f aca="false">IF(RHO_ARCH!O132="","",IF(RHO_ARCH!O132&gt;INPUTS!$B$10,"NG",IF(RHO_ARCH!O132&gt;INPUTS!$B$9,"HEAVY","OK")))</f>
        <v/>
      </c>
      <c r="P132" s="4" t="str">
        <f aca="false">IF(RHO_ARCH!P132="","",IF(RHO_ARCH!P132&gt;INPUTS!$B$10,"NG",IF(RHO_ARCH!P132&gt;INPUTS!$B$9,"HEAVY","OK")))</f>
        <v/>
      </c>
    </row>
    <row r="133" customFormat="false" ht="15" hidden="false" customHeight="false" outlineLevel="0" collapsed="false">
      <c r="A133" s="11" t="str">
        <f aca="false">TRIB!A133</f>
        <v>8_UNLABELED_106</v>
      </c>
      <c r="B133" s="14" t="n">
        <f aca="false">TRIB!B133</f>
        <v>0</v>
      </c>
      <c r="C133" s="14" t="n">
        <f aca="false">TRIB!C133</f>
        <v>0</v>
      </c>
      <c r="D133" s="11" t="str">
        <f aca="false">TRIB!D133</f>
        <v>A</v>
      </c>
      <c r="E133" s="4" t="str">
        <f aca="false">IF(RHO_ARCH!E133="","",IF(RHO_ARCH!E133&gt;INPUTS!$B$10,"NG",IF(RHO_ARCH!E133&gt;INPUTS!$B$9,"HEAVY","OK")))</f>
        <v/>
      </c>
      <c r="F133" s="4" t="str">
        <f aca="false">IF(RHO_ARCH!F133="","",IF(RHO_ARCH!F133&gt;INPUTS!$B$10,"NG",IF(RHO_ARCH!F133&gt;INPUTS!$B$9,"HEAVY","OK")))</f>
        <v/>
      </c>
      <c r="G133" s="4" t="str">
        <f aca="false">IF(RHO_ARCH!G133="","",IF(RHO_ARCH!G133&gt;INPUTS!$B$10,"NG",IF(RHO_ARCH!G133&gt;INPUTS!$B$9,"HEAVY","OK")))</f>
        <v/>
      </c>
      <c r="H133" s="4" t="str">
        <f aca="false">IF(RHO_ARCH!H133="","",IF(RHO_ARCH!H133&gt;INPUTS!$B$10,"NG",IF(RHO_ARCH!H133&gt;INPUTS!$B$9,"HEAVY","OK")))</f>
        <v/>
      </c>
      <c r="I133" s="4" t="str">
        <f aca="false">IF(RHO_ARCH!I133="","",IF(RHO_ARCH!I133&gt;INPUTS!$B$10,"NG",IF(RHO_ARCH!I133&gt;INPUTS!$B$9,"HEAVY","OK")))</f>
        <v>OK</v>
      </c>
      <c r="J133" s="4" t="str">
        <f aca="false">IF(RHO_ARCH!J133="","",IF(RHO_ARCH!J133&gt;INPUTS!$B$10,"NG",IF(RHO_ARCH!J133&gt;INPUTS!$B$9,"HEAVY","OK")))</f>
        <v/>
      </c>
      <c r="K133" s="4" t="str">
        <f aca="false">IF(RHO_ARCH!K133="","",IF(RHO_ARCH!K133&gt;INPUTS!$B$10,"NG",IF(RHO_ARCH!K133&gt;INPUTS!$B$9,"HEAVY","OK")))</f>
        <v/>
      </c>
      <c r="L133" s="4" t="str">
        <f aca="false">IF(RHO_ARCH!L133="","",IF(RHO_ARCH!L133&gt;INPUTS!$B$10,"NG",IF(RHO_ARCH!L133&gt;INPUTS!$B$9,"HEAVY","OK")))</f>
        <v/>
      </c>
      <c r="M133" s="4" t="str">
        <f aca="false">IF(RHO_ARCH!M133="","",IF(RHO_ARCH!M133&gt;INPUTS!$B$10,"NG",IF(RHO_ARCH!M133&gt;INPUTS!$B$9,"HEAVY","OK")))</f>
        <v/>
      </c>
      <c r="N133" s="4" t="str">
        <f aca="false">IF(RHO_ARCH!N133="","",IF(RHO_ARCH!N133&gt;INPUTS!$B$10,"NG",IF(RHO_ARCH!N133&gt;INPUTS!$B$9,"HEAVY","OK")))</f>
        <v/>
      </c>
      <c r="O133" s="4" t="str">
        <f aca="false">IF(RHO_ARCH!O133="","",IF(RHO_ARCH!O133&gt;INPUTS!$B$10,"NG",IF(RHO_ARCH!O133&gt;INPUTS!$B$9,"HEAVY","OK")))</f>
        <v/>
      </c>
      <c r="P133" s="4" t="str">
        <f aca="false">IF(RHO_ARCH!P133="","",IF(RHO_ARCH!P133&gt;INPUTS!$B$10,"NG",IF(RHO_ARCH!P133&gt;INPUTS!$B$9,"HEAVY","OK")))</f>
        <v/>
      </c>
    </row>
    <row r="134" customFormat="false" ht="15" hidden="false" customHeight="false" outlineLevel="0" collapsed="false">
      <c r="A134" s="11" t="str">
        <f aca="false">TRIB!A134</f>
        <v>8_UNLABELED_107</v>
      </c>
      <c r="B134" s="14" t="n">
        <f aca="false">TRIB!B134</f>
        <v>0</v>
      </c>
      <c r="C134" s="14" t="n">
        <f aca="false">TRIB!C134</f>
        <v>0</v>
      </c>
      <c r="D134" s="11" t="str">
        <f aca="false">TRIB!D134</f>
        <v>A</v>
      </c>
      <c r="E134" s="4" t="str">
        <f aca="false">IF(RHO_ARCH!E134="","",IF(RHO_ARCH!E134&gt;INPUTS!$B$10,"NG",IF(RHO_ARCH!E134&gt;INPUTS!$B$9,"HEAVY","OK")))</f>
        <v/>
      </c>
      <c r="F134" s="4" t="str">
        <f aca="false">IF(RHO_ARCH!F134="","",IF(RHO_ARCH!F134&gt;INPUTS!$B$10,"NG",IF(RHO_ARCH!F134&gt;INPUTS!$B$9,"HEAVY","OK")))</f>
        <v/>
      </c>
      <c r="G134" s="4" t="str">
        <f aca="false">IF(RHO_ARCH!G134="","",IF(RHO_ARCH!G134&gt;INPUTS!$B$10,"NG",IF(RHO_ARCH!G134&gt;INPUTS!$B$9,"HEAVY","OK")))</f>
        <v/>
      </c>
      <c r="H134" s="4" t="str">
        <f aca="false">IF(RHO_ARCH!H134="","",IF(RHO_ARCH!H134&gt;INPUTS!$B$10,"NG",IF(RHO_ARCH!H134&gt;INPUTS!$B$9,"HEAVY","OK")))</f>
        <v/>
      </c>
      <c r="I134" s="4" t="str">
        <f aca="false">IF(RHO_ARCH!I134="","",IF(RHO_ARCH!I134&gt;INPUTS!$B$10,"NG",IF(RHO_ARCH!I134&gt;INPUTS!$B$9,"HEAVY","OK")))</f>
        <v>OK</v>
      </c>
      <c r="J134" s="4" t="str">
        <f aca="false">IF(RHO_ARCH!J134="","",IF(RHO_ARCH!J134&gt;INPUTS!$B$10,"NG",IF(RHO_ARCH!J134&gt;INPUTS!$B$9,"HEAVY","OK")))</f>
        <v/>
      </c>
      <c r="K134" s="4" t="str">
        <f aca="false">IF(RHO_ARCH!K134="","",IF(RHO_ARCH!K134&gt;INPUTS!$B$10,"NG",IF(RHO_ARCH!K134&gt;INPUTS!$B$9,"HEAVY","OK")))</f>
        <v/>
      </c>
      <c r="L134" s="4" t="str">
        <f aca="false">IF(RHO_ARCH!L134="","",IF(RHO_ARCH!L134&gt;INPUTS!$B$10,"NG",IF(RHO_ARCH!L134&gt;INPUTS!$B$9,"HEAVY","OK")))</f>
        <v/>
      </c>
      <c r="M134" s="4" t="str">
        <f aca="false">IF(RHO_ARCH!M134="","",IF(RHO_ARCH!M134&gt;INPUTS!$B$10,"NG",IF(RHO_ARCH!M134&gt;INPUTS!$B$9,"HEAVY","OK")))</f>
        <v/>
      </c>
      <c r="N134" s="4" t="str">
        <f aca="false">IF(RHO_ARCH!N134="","",IF(RHO_ARCH!N134&gt;INPUTS!$B$10,"NG",IF(RHO_ARCH!N134&gt;INPUTS!$B$9,"HEAVY","OK")))</f>
        <v/>
      </c>
      <c r="O134" s="4" t="str">
        <f aca="false">IF(RHO_ARCH!O134="","",IF(RHO_ARCH!O134&gt;INPUTS!$B$10,"NG",IF(RHO_ARCH!O134&gt;INPUTS!$B$9,"HEAVY","OK")))</f>
        <v/>
      </c>
      <c r="P134" s="4" t="str">
        <f aca="false">IF(RHO_ARCH!P134="","",IF(RHO_ARCH!P134&gt;INPUTS!$B$10,"NG",IF(RHO_ARCH!P134&gt;INPUTS!$B$9,"HEAVY","OK")))</f>
        <v/>
      </c>
    </row>
  </sheetData>
  <conditionalFormatting sqref="E2:P134">
    <cfRule type="cellIs" priority="2" operator="equal" aboveAverage="0" equalAverage="0" bottom="0" percent="0" rank="0" text="" dxfId="0">
      <formula>"NG"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2026-10-06T21:03:21Z</dcterms:created>
  <dc:creator>openpyxl</dc:creator>
  <dc:description/>
  <dc:language>en-US</dc:language>
  <cp:lastModifiedBy/>
  <dcterms:modified xsi:type="dcterms:W3CDTF">2026-10-06T21:03:22Z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